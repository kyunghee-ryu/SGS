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Workspace\+SGS\RTAP_SAR\RTAP_SAR\bin\Debug\Template\SAR\"/>
    </mc:Choice>
  </mc:AlternateContent>
  <xr:revisionPtr revIDLastSave="0" documentId="13_ncr:1_{B258A07F-3B39-4A37-AB8F-B69AD66E20E2}" xr6:coauthVersionLast="45" xr6:coauthVersionMax="45" xr10:uidLastSave="{00000000-0000-0000-0000-000000000000}"/>
  <bookViews>
    <workbookView xWindow="-21660" yWindow="24" windowWidth="21288" windowHeight="12324" tabRatio="818" activeTab="2" xr2:uid="{00000000-000D-0000-FFFF-FFFF00000000}"/>
  </bookViews>
  <sheets>
    <sheet name="WLAN 2.4GHz" sheetId="28" r:id="rId1"/>
    <sheet name="info" sheetId="29" state="hidden" r:id="rId2"/>
    <sheet name="WLAN 5GHz" sheetId="80" r:id="rId3"/>
    <sheet name="Bluetooth" sheetId="81" r:id="rId4"/>
    <sheet name="Ant+" sheetId="82" r:id="rId5"/>
    <sheet name="Duty Cycle" sheetId="79" r:id="rId6"/>
    <sheet name="Plot Count" sheetId="70" r:id="rId7"/>
  </sheets>
  <definedNames>
    <definedName name="_xlnm._FilterDatabase" localSheetId="6" hidden="1">'Plot Count'!$E$2:$E$7</definedName>
    <definedName name="_xlnm.Print_Area" localSheetId="4">'Ant+'!$A$1:$L$219</definedName>
    <definedName name="_xlnm.Print_Area" localSheetId="3">Bluetooth!$A$1:$L$438</definedName>
    <definedName name="_xlnm.Print_Area" localSheetId="0">'WLAN 2.4GHz'!$A$1:$N$657</definedName>
    <definedName name="_xlnm.Print_Area" localSheetId="2">'WLAN 5GHz'!$A$1:$N$1971</definedName>
    <definedName name="SerialNumber" localSheetId="4">#REF!</definedName>
    <definedName name="SerialNumber" localSheetId="3">#REF!</definedName>
    <definedName name="SerialNumber" localSheetId="2">#REF!</definedName>
    <definedName name="SerialNumb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80" i="82" l="1"/>
  <c r="F180" i="82"/>
  <c r="E180" i="82"/>
  <c r="D180" i="82"/>
  <c r="C180" i="82"/>
  <c r="B180" i="82"/>
  <c r="H179" i="82"/>
  <c r="F179" i="82"/>
  <c r="E179" i="82"/>
  <c r="D179" i="82"/>
  <c r="C179" i="82"/>
  <c r="B179" i="82"/>
  <c r="H178" i="82"/>
  <c r="F178" i="82"/>
  <c r="E178" i="82"/>
  <c r="D178" i="82"/>
  <c r="C178" i="82"/>
  <c r="B178" i="82"/>
  <c r="H177" i="82"/>
  <c r="F177" i="82"/>
  <c r="E177" i="82"/>
  <c r="D177" i="82"/>
  <c r="C177" i="82"/>
  <c r="B177" i="82"/>
  <c r="H176" i="82"/>
  <c r="F176" i="82"/>
  <c r="E176" i="82"/>
  <c r="D176" i="82"/>
  <c r="C176" i="82"/>
  <c r="B176" i="82"/>
  <c r="H175" i="82"/>
  <c r="F175" i="82"/>
  <c r="E175" i="82"/>
  <c r="D175" i="82"/>
  <c r="C175" i="82"/>
  <c r="B175" i="82"/>
  <c r="H174" i="82"/>
  <c r="F174" i="82"/>
  <c r="E174" i="82"/>
  <c r="D174" i="82"/>
  <c r="C174" i="82"/>
  <c r="B174" i="82"/>
  <c r="H173" i="82"/>
  <c r="F173" i="82"/>
  <c r="E173" i="82"/>
  <c r="D173" i="82"/>
  <c r="C173" i="82"/>
  <c r="B173" i="82"/>
  <c r="H172" i="82"/>
  <c r="F172" i="82"/>
  <c r="E172" i="82"/>
  <c r="D172" i="82"/>
  <c r="C172" i="82"/>
  <c r="B172" i="82"/>
  <c r="H171" i="82"/>
  <c r="F171" i="82"/>
  <c r="E171" i="82"/>
  <c r="D171" i="82"/>
  <c r="C171" i="82"/>
  <c r="B171" i="82"/>
  <c r="H170" i="82"/>
  <c r="F170" i="82"/>
  <c r="E170" i="82"/>
  <c r="D170" i="82"/>
  <c r="C170" i="82"/>
  <c r="B170" i="82"/>
  <c r="H169" i="82"/>
  <c r="F169" i="82"/>
  <c r="E169" i="82"/>
  <c r="D169" i="82"/>
  <c r="C169" i="82"/>
  <c r="B169" i="82"/>
  <c r="H168" i="82"/>
  <c r="F168" i="82"/>
  <c r="E168" i="82"/>
  <c r="D168" i="82"/>
  <c r="C168" i="82"/>
  <c r="B168" i="82"/>
  <c r="H167" i="82"/>
  <c r="F167" i="82"/>
  <c r="E167" i="82"/>
  <c r="D167" i="82"/>
  <c r="C167" i="82"/>
  <c r="B167" i="82"/>
  <c r="H166" i="82"/>
  <c r="F166" i="82"/>
  <c r="E166" i="82"/>
  <c r="D166" i="82"/>
  <c r="C166" i="82"/>
  <c r="B166" i="82"/>
  <c r="I165" i="82"/>
  <c r="K165" i="82" s="1"/>
  <c r="I164" i="82"/>
  <c r="K164" i="82" s="1"/>
  <c r="I163" i="82"/>
  <c r="K163" i="82" s="1"/>
  <c r="H161" i="82"/>
  <c r="F161" i="82"/>
  <c r="E161" i="82"/>
  <c r="D161" i="82"/>
  <c r="C161" i="82"/>
  <c r="B161" i="82"/>
  <c r="H160" i="82"/>
  <c r="F160" i="82"/>
  <c r="E160" i="82"/>
  <c r="D160" i="82"/>
  <c r="C160" i="82"/>
  <c r="B160" i="82"/>
  <c r="H159" i="82"/>
  <c r="F159" i="82"/>
  <c r="E159" i="82"/>
  <c r="D159" i="82"/>
  <c r="C159" i="82"/>
  <c r="B159" i="82"/>
  <c r="H158" i="82"/>
  <c r="F158" i="82"/>
  <c r="E158" i="82"/>
  <c r="D158" i="82"/>
  <c r="C158" i="82"/>
  <c r="B158" i="82"/>
  <c r="H157" i="82"/>
  <c r="F157" i="82"/>
  <c r="E157" i="82"/>
  <c r="D157" i="82"/>
  <c r="C157" i="82"/>
  <c r="B157" i="82"/>
  <c r="H156" i="82"/>
  <c r="F156" i="82"/>
  <c r="E156" i="82"/>
  <c r="D156" i="82"/>
  <c r="C156" i="82"/>
  <c r="B156" i="82"/>
  <c r="H155" i="82"/>
  <c r="F155" i="82"/>
  <c r="E155" i="82"/>
  <c r="D155" i="82"/>
  <c r="C155" i="82"/>
  <c r="B155" i="82"/>
  <c r="H154" i="82"/>
  <c r="F154" i="82"/>
  <c r="E154" i="82"/>
  <c r="D154" i="82"/>
  <c r="C154" i="82"/>
  <c r="B154" i="82"/>
  <c r="H153" i="82"/>
  <c r="F153" i="82"/>
  <c r="E153" i="82"/>
  <c r="D153" i="82"/>
  <c r="C153" i="82"/>
  <c r="B153" i="82"/>
  <c r="H152" i="82"/>
  <c r="F152" i="82"/>
  <c r="E152" i="82"/>
  <c r="D152" i="82"/>
  <c r="C152" i="82"/>
  <c r="B152" i="82"/>
  <c r="H151" i="82"/>
  <c r="F151" i="82"/>
  <c r="E151" i="82"/>
  <c r="D151" i="82"/>
  <c r="C151" i="82"/>
  <c r="B151" i="82"/>
  <c r="H150" i="82"/>
  <c r="F150" i="82"/>
  <c r="E150" i="82"/>
  <c r="D150" i="82"/>
  <c r="C150" i="82"/>
  <c r="B150" i="82"/>
  <c r="H149" i="82"/>
  <c r="F149" i="82"/>
  <c r="E149" i="82"/>
  <c r="D149" i="82"/>
  <c r="C149" i="82"/>
  <c r="B149" i="82"/>
  <c r="H148" i="82"/>
  <c r="F148" i="82"/>
  <c r="E148" i="82"/>
  <c r="D148" i="82"/>
  <c r="C148" i="82"/>
  <c r="B148" i="82"/>
  <c r="H147" i="82"/>
  <c r="F147" i="82"/>
  <c r="E147" i="82"/>
  <c r="D147" i="82"/>
  <c r="C147" i="82"/>
  <c r="B147" i="82"/>
  <c r="I146" i="82"/>
  <c r="K146" i="82" s="1"/>
  <c r="I145" i="82"/>
  <c r="K145" i="82" s="1"/>
  <c r="I144" i="82"/>
  <c r="K144" i="82" s="1"/>
  <c r="H142" i="82"/>
  <c r="F142" i="82"/>
  <c r="E142" i="82"/>
  <c r="D142" i="82"/>
  <c r="C142" i="82"/>
  <c r="B142" i="82"/>
  <c r="H141" i="82"/>
  <c r="F141" i="82"/>
  <c r="E141" i="82"/>
  <c r="D141" i="82"/>
  <c r="C141" i="82"/>
  <c r="B141" i="82"/>
  <c r="H140" i="82"/>
  <c r="F140" i="82"/>
  <c r="E140" i="82"/>
  <c r="D140" i="82"/>
  <c r="C140" i="82"/>
  <c r="B140" i="82"/>
  <c r="H139" i="82"/>
  <c r="F139" i="82"/>
  <c r="E139" i="82"/>
  <c r="D139" i="82"/>
  <c r="C139" i="82"/>
  <c r="B139" i="82"/>
  <c r="H138" i="82"/>
  <c r="F138" i="82"/>
  <c r="E138" i="82"/>
  <c r="D138" i="82"/>
  <c r="C138" i="82"/>
  <c r="B138" i="82"/>
  <c r="H137" i="82"/>
  <c r="F137" i="82"/>
  <c r="E137" i="82"/>
  <c r="D137" i="82"/>
  <c r="C137" i="82"/>
  <c r="B137" i="82"/>
  <c r="H136" i="82"/>
  <c r="F136" i="82"/>
  <c r="E136" i="82"/>
  <c r="D136" i="82"/>
  <c r="C136" i="82"/>
  <c r="B136" i="82"/>
  <c r="H135" i="82"/>
  <c r="F135" i="82"/>
  <c r="E135" i="82"/>
  <c r="D135" i="82"/>
  <c r="C135" i="82"/>
  <c r="B135" i="82"/>
  <c r="H134" i="82"/>
  <c r="F134" i="82"/>
  <c r="E134" i="82"/>
  <c r="D134" i="82"/>
  <c r="C134" i="82"/>
  <c r="B134" i="82"/>
  <c r="H133" i="82"/>
  <c r="F133" i="82"/>
  <c r="E133" i="82"/>
  <c r="D133" i="82"/>
  <c r="C133" i="82"/>
  <c r="B133" i="82"/>
  <c r="H132" i="82"/>
  <c r="F132" i="82"/>
  <c r="E132" i="82"/>
  <c r="D132" i="82"/>
  <c r="C132" i="82"/>
  <c r="B132" i="82"/>
  <c r="H131" i="82"/>
  <c r="F131" i="82"/>
  <c r="E131" i="82"/>
  <c r="D131" i="82"/>
  <c r="C131" i="82"/>
  <c r="B131" i="82"/>
  <c r="H130" i="82"/>
  <c r="F130" i="82"/>
  <c r="E130" i="82"/>
  <c r="D130" i="82"/>
  <c r="C130" i="82"/>
  <c r="B130" i="82"/>
  <c r="H129" i="82"/>
  <c r="F129" i="82"/>
  <c r="E129" i="82"/>
  <c r="D129" i="82"/>
  <c r="C129" i="82"/>
  <c r="B129" i="82"/>
  <c r="H128" i="82"/>
  <c r="F128" i="82"/>
  <c r="E128" i="82"/>
  <c r="D128" i="82"/>
  <c r="C128" i="82"/>
  <c r="B128" i="82"/>
  <c r="I127" i="82"/>
  <c r="K127" i="82" s="1"/>
  <c r="I126" i="82"/>
  <c r="K126" i="82" s="1"/>
  <c r="I125" i="82"/>
  <c r="K125" i="82" s="1"/>
  <c r="H123" i="82"/>
  <c r="F123" i="82"/>
  <c r="E123" i="82"/>
  <c r="D123" i="82"/>
  <c r="C123" i="82"/>
  <c r="B123" i="82"/>
  <c r="H122" i="82"/>
  <c r="F122" i="82"/>
  <c r="E122" i="82"/>
  <c r="D122" i="82"/>
  <c r="C122" i="82"/>
  <c r="B122" i="82"/>
  <c r="H121" i="82"/>
  <c r="F121" i="82"/>
  <c r="E121" i="82"/>
  <c r="D121" i="82"/>
  <c r="C121" i="82"/>
  <c r="B121" i="82"/>
  <c r="H120" i="82"/>
  <c r="F120" i="82"/>
  <c r="E120" i="82"/>
  <c r="D120" i="82"/>
  <c r="C120" i="82"/>
  <c r="B120" i="82"/>
  <c r="H119" i="82"/>
  <c r="F119" i="82"/>
  <c r="E119" i="82"/>
  <c r="D119" i="82"/>
  <c r="C119" i="82"/>
  <c r="B119" i="82"/>
  <c r="H118" i="82"/>
  <c r="F118" i="82"/>
  <c r="E118" i="82"/>
  <c r="D118" i="82"/>
  <c r="C118" i="82"/>
  <c r="B118" i="82"/>
  <c r="H117" i="82"/>
  <c r="F117" i="82"/>
  <c r="E117" i="82"/>
  <c r="D117" i="82"/>
  <c r="C117" i="82"/>
  <c r="B117" i="82"/>
  <c r="H116" i="82"/>
  <c r="F116" i="82"/>
  <c r="E116" i="82"/>
  <c r="D116" i="82"/>
  <c r="C116" i="82"/>
  <c r="B116" i="82"/>
  <c r="H115" i="82"/>
  <c r="F115" i="82"/>
  <c r="E115" i="82"/>
  <c r="D115" i="82"/>
  <c r="C115" i="82"/>
  <c r="B115" i="82"/>
  <c r="H114" i="82"/>
  <c r="F114" i="82"/>
  <c r="E114" i="82"/>
  <c r="D114" i="82"/>
  <c r="C114" i="82"/>
  <c r="B114" i="82"/>
  <c r="H113" i="82"/>
  <c r="F113" i="82"/>
  <c r="E113" i="82"/>
  <c r="D113" i="82"/>
  <c r="C113" i="82"/>
  <c r="B113" i="82"/>
  <c r="H112" i="82"/>
  <c r="F112" i="82"/>
  <c r="E112" i="82"/>
  <c r="D112" i="82"/>
  <c r="C112" i="82"/>
  <c r="B112" i="82"/>
  <c r="H111" i="82"/>
  <c r="F111" i="82"/>
  <c r="E111" i="82"/>
  <c r="D111" i="82"/>
  <c r="C111" i="82"/>
  <c r="B111" i="82"/>
  <c r="H110" i="82"/>
  <c r="F110" i="82"/>
  <c r="E110" i="82"/>
  <c r="D110" i="82"/>
  <c r="C110" i="82"/>
  <c r="B110" i="82"/>
  <c r="H109" i="82"/>
  <c r="F109" i="82"/>
  <c r="E109" i="82"/>
  <c r="D109" i="82"/>
  <c r="C109" i="82"/>
  <c r="B109" i="82"/>
  <c r="I108" i="82"/>
  <c r="K108" i="82" s="1"/>
  <c r="I107" i="82"/>
  <c r="K107" i="82" s="1"/>
  <c r="I106" i="82"/>
  <c r="K106" i="82" s="1"/>
  <c r="H104" i="82"/>
  <c r="F104" i="82"/>
  <c r="E104" i="82"/>
  <c r="D104" i="82"/>
  <c r="C104" i="82"/>
  <c r="B104" i="82"/>
  <c r="H103" i="82"/>
  <c r="F103" i="82"/>
  <c r="E103" i="82"/>
  <c r="D103" i="82"/>
  <c r="C103" i="82"/>
  <c r="B103" i="82"/>
  <c r="H102" i="82"/>
  <c r="F102" i="82"/>
  <c r="E102" i="82"/>
  <c r="D102" i="82"/>
  <c r="C102" i="82"/>
  <c r="B102" i="82"/>
  <c r="H101" i="82"/>
  <c r="F101" i="82"/>
  <c r="E101" i="82"/>
  <c r="D101" i="82"/>
  <c r="C101" i="82"/>
  <c r="B101" i="82"/>
  <c r="H100" i="82"/>
  <c r="F100" i="82"/>
  <c r="E100" i="82"/>
  <c r="D100" i="82"/>
  <c r="C100" i="82"/>
  <c r="B100" i="82"/>
  <c r="H99" i="82"/>
  <c r="F99" i="82"/>
  <c r="E99" i="82"/>
  <c r="D99" i="82"/>
  <c r="C99" i="82"/>
  <c r="B99" i="82"/>
  <c r="H98" i="82"/>
  <c r="F98" i="82"/>
  <c r="E98" i="82"/>
  <c r="D98" i="82"/>
  <c r="C98" i="82"/>
  <c r="B98" i="82"/>
  <c r="H97" i="82"/>
  <c r="F97" i="82"/>
  <c r="E97" i="82"/>
  <c r="D97" i="82"/>
  <c r="C97" i="82"/>
  <c r="B97" i="82"/>
  <c r="H96" i="82"/>
  <c r="F96" i="82"/>
  <c r="E96" i="82"/>
  <c r="D96" i="82"/>
  <c r="C96" i="82"/>
  <c r="B96" i="82"/>
  <c r="H95" i="82"/>
  <c r="F95" i="82"/>
  <c r="E95" i="82"/>
  <c r="D95" i="82"/>
  <c r="C95" i="82"/>
  <c r="B95" i="82"/>
  <c r="H94" i="82"/>
  <c r="F94" i="82"/>
  <c r="E94" i="82"/>
  <c r="D94" i="82"/>
  <c r="C94" i="82"/>
  <c r="B94" i="82"/>
  <c r="H93" i="82"/>
  <c r="F93" i="82"/>
  <c r="E93" i="82"/>
  <c r="D93" i="82"/>
  <c r="C93" i="82"/>
  <c r="B93" i="82"/>
  <c r="H92" i="82"/>
  <c r="F92" i="82"/>
  <c r="E92" i="82"/>
  <c r="D92" i="82"/>
  <c r="C92" i="82"/>
  <c r="B92" i="82"/>
  <c r="H91" i="82"/>
  <c r="F91" i="82"/>
  <c r="E91" i="82"/>
  <c r="D91" i="82"/>
  <c r="C91" i="82"/>
  <c r="B91" i="82"/>
  <c r="H90" i="82"/>
  <c r="F90" i="82"/>
  <c r="E90" i="82"/>
  <c r="D90" i="82"/>
  <c r="C90" i="82"/>
  <c r="B90" i="82"/>
  <c r="I89" i="82"/>
  <c r="K89" i="82" s="1"/>
  <c r="I88" i="82"/>
  <c r="K88" i="82" s="1"/>
  <c r="I87" i="82"/>
  <c r="K87" i="82" s="1"/>
  <c r="H85" i="82"/>
  <c r="F85" i="82"/>
  <c r="E85" i="82"/>
  <c r="D85" i="82"/>
  <c r="C85" i="82"/>
  <c r="B85" i="82"/>
  <c r="H84" i="82"/>
  <c r="F84" i="82"/>
  <c r="E84" i="82"/>
  <c r="D84" i="82"/>
  <c r="C84" i="82"/>
  <c r="B84" i="82"/>
  <c r="H83" i="82"/>
  <c r="F83" i="82"/>
  <c r="E83" i="82"/>
  <c r="D83" i="82"/>
  <c r="C83" i="82"/>
  <c r="B83" i="82"/>
  <c r="H82" i="82"/>
  <c r="F82" i="82"/>
  <c r="E82" i="82"/>
  <c r="D82" i="82"/>
  <c r="C82" i="82"/>
  <c r="B82" i="82"/>
  <c r="H81" i="82"/>
  <c r="F81" i="82"/>
  <c r="E81" i="82"/>
  <c r="D81" i="82"/>
  <c r="C81" i="82"/>
  <c r="B81" i="82"/>
  <c r="H80" i="82"/>
  <c r="F80" i="82"/>
  <c r="E80" i="82"/>
  <c r="D80" i="82"/>
  <c r="C80" i="82"/>
  <c r="B80" i="82"/>
  <c r="H79" i="82"/>
  <c r="F79" i="82"/>
  <c r="E79" i="82"/>
  <c r="D79" i="82"/>
  <c r="C79" i="82"/>
  <c r="B79" i="82"/>
  <c r="H78" i="82"/>
  <c r="F78" i="82"/>
  <c r="E78" i="82"/>
  <c r="D78" i="82"/>
  <c r="C78" i="82"/>
  <c r="B78" i="82"/>
  <c r="H77" i="82"/>
  <c r="F77" i="82"/>
  <c r="E77" i="82"/>
  <c r="D77" i="82"/>
  <c r="C77" i="82"/>
  <c r="B77" i="82"/>
  <c r="H76" i="82"/>
  <c r="F76" i="82"/>
  <c r="E76" i="82"/>
  <c r="D76" i="82"/>
  <c r="C76" i="82"/>
  <c r="B76" i="82"/>
  <c r="H75" i="82"/>
  <c r="F75" i="82"/>
  <c r="E75" i="82"/>
  <c r="D75" i="82"/>
  <c r="C75" i="82"/>
  <c r="B75" i="82"/>
  <c r="H74" i="82"/>
  <c r="F74" i="82"/>
  <c r="E74" i="82"/>
  <c r="D74" i="82"/>
  <c r="C74" i="82"/>
  <c r="B74" i="82"/>
  <c r="H73" i="82"/>
  <c r="F73" i="82"/>
  <c r="E73" i="82"/>
  <c r="D73" i="82"/>
  <c r="C73" i="82"/>
  <c r="B73" i="82"/>
  <c r="H72" i="82"/>
  <c r="F72" i="82"/>
  <c r="E72" i="82"/>
  <c r="D72" i="82"/>
  <c r="C72" i="82"/>
  <c r="B72" i="82"/>
  <c r="H71" i="82"/>
  <c r="F71" i="82"/>
  <c r="E71" i="82"/>
  <c r="D71" i="82"/>
  <c r="C71" i="82"/>
  <c r="B71" i="82"/>
  <c r="I70" i="82"/>
  <c r="K70" i="82" s="1"/>
  <c r="I69" i="82"/>
  <c r="K69" i="82" s="1"/>
  <c r="I68" i="82"/>
  <c r="K68" i="82" s="1"/>
  <c r="H66" i="82"/>
  <c r="F66" i="82"/>
  <c r="E66" i="82"/>
  <c r="D66" i="82"/>
  <c r="C66" i="82"/>
  <c r="B66" i="82"/>
  <c r="H65" i="82"/>
  <c r="F65" i="82"/>
  <c r="E65" i="82"/>
  <c r="D65" i="82"/>
  <c r="C65" i="82"/>
  <c r="B65" i="82"/>
  <c r="H64" i="82"/>
  <c r="F64" i="82"/>
  <c r="E64" i="82"/>
  <c r="D64" i="82"/>
  <c r="C64" i="82"/>
  <c r="B64" i="82"/>
  <c r="H63" i="82"/>
  <c r="F63" i="82"/>
  <c r="E63" i="82"/>
  <c r="D63" i="82"/>
  <c r="C63" i="82"/>
  <c r="B63" i="82"/>
  <c r="H62" i="82"/>
  <c r="F62" i="82"/>
  <c r="E62" i="82"/>
  <c r="D62" i="82"/>
  <c r="C62" i="82"/>
  <c r="B62" i="82"/>
  <c r="H61" i="82"/>
  <c r="F61" i="82"/>
  <c r="E61" i="82"/>
  <c r="D61" i="82"/>
  <c r="C61" i="82"/>
  <c r="B61" i="82"/>
  <c r="H60" i="82"/>
  <c r="F60" i="82"/>
  <c r="E60" i="82"/>
  <c r="D60" i="82"/>
  <c r="C60" i="82"/>
  <c r="B60" i="82"/>
  <c r="H59" i="82"/>
  <c r="F59" i="82"/>
  <c r="E59" i="82"/>
  <c r="D59" i="82"/>
  <c r="C59" i="82"/>
  <c r="B59" i="82"/>
  <c r="H58" i="82"/>
  <c r="F58" i="82"/>
  <c r="E58" i="82"/>
  <c r="D58" i="82"/>
  <c r="C58" i="82"/>
  <c r="B58" i="82"/>
  <c r="H57" i="82"/>
  <c r="F57" i="82"/>
  <c r="E57" i="82"/>
  <c r="D57" i="82"/>
  <c r="C57" i="82"/>
  <c r="B57" i="82"/>
  <c r="H56" i="82"/>
  <c r="F56" i="82"/>
  <c r="E56" i="82"/>
  <c r="D56" i="82"/>
  <c r="C56" i="82"/>
  <c r="B56" i="82"/>
  <c r="H55" i="82"/>
  <c r="F55" i="82"/>
  <c r="E55" i="82"/>
  <c r="D55" i="82"/>
  <c r="C55" i="82"/>
  <c r="B55" i="82"/>
  <c r="H54" i="82"/>
  <c r="F54" i="82"/>
  <c r="E54" i="82"/>
  <c r="D54" i="82"/>
  <c r="C54" i="82"/>
  <c r="B54" i="82"/>
  <c r="H53" i="82"/>
  <c r="F53" i="82"/>
  <c r="E53" i="82"/>
  <c r="D53" i="82"/>
  <c r="C53" i="82"/>
  <c r="B53" i="82"/>
  <c r="H52" i="82"/>
  <c r="F52" i="82"/>
  <c r="E52" i="82"/>
  <c r="D52" i="82"/>
  <c r="C52" i="82"/>
  <c r="B52" i="82"/>
  <c r="I51" i="82"/>
  <c r="K51" i="82" s="1"/>
  <c r="I50" i="82"/>
  <c r="K50" i="82" s="1"/>
  <c r="I49" i="82"/>
  <c r="K49" i="82" s="1"/>
  <c r="H47" i="82"/>
  <c r="F47" i="82"/>
  <c r="E47" i="82"/>
  <c r="D47" i="82"/>
  <c r="C47" i="82"/>
  <c r="B47" i="82"/>
  <c r="H46" i="82"/>
  <c r="F46" i="82"/>
  <c r="E46" i="82"/>
  <c r="D46" i="82"/>
  <c r="C46" i="82"/>
  <c r="B46" i="82"/>
  <c r="H45" i="82"/>
  <c r="F45" i="82"/>
  <c r="E45" i="82"/>
  <c r="D45" i="82"/>
  <c r="C45" i="82"/>
  <c r="B45" i="82"/>
  <c r="H44" i="82"/>
  <c r="F44" i="82"/>
  <c r="E44" i="82"/>
  <c r="D44" i="82"/>
  <c r="C44" i="82"/>
  <c r="B44" i="82"/>
  <c r="H43" i="82"/>
  <c r="F43" i="82"/>
  <c r="E43" i="82"/>
  <c r="D43" i="82"/>
  <c r="C43" i="82"/>
  <c r="B43" i="82"/>
  <c r="H42" i="82"/>
  <c r="F42" i="82"/>
  <c r="E42" i="82"/>
  <c r="D42" i="82"/>
  <c r="C42" i="82"/>
  <c r="B42" i="82"/>
  <c r="H41" i="82"/>
  <c r="F41" i="82"/>
  <c r="E41" i="82"/>
  <c r="D41" i="82"/>
  <c r="C41" i="82"/>
  <c r="B41" i="82"/>
  <c r="H40" i="82"/>
  <c r="F40" i="82"/>
  <c r="E40" i="82"/>
  <c r="D40" i="82"/>
  <c r="C40" i="82"/>
  <c r="B40" i="82"/>
  <c r="H39" i="82"/>
  <c r="F39" i="82"/>
  <c r="E39" i="82"/>
  <c r="D39" i="82"/>
  <c r="C39" i="82"/>
  <c r="B39" i="82"/>
  <c r="H38" i="82"/>
  <c r="F38" i="82"/>
  <c r="E38" i="82"/>
  <c r="D38" i="82"/>
  <c r="C38" i="82"/>
  <c r="B38" i="82"/>
  <c r="H37" i="82"/>
  <c r="F37" i="82"/>
  <c r="E37" i="82"/>
  <c r="D37" i="82"/>
  <c r="C37" i="82"/>
  <c r="B37" i="82"/>
  <c r="H36" i="82"/>
  <c r="F36" i="82"/>
  <c r="E36" i="82"/>
  <c r="D36" i="82"/>
  <c r="C36" i="82"/>
  <c r="B36" i="82"/>
  <c r="H35" i="82"/>
  <c r="F35" i="82"/>
  <c r="E35" i="82"/>
  <c r="D35" i="82"/>
  <c r="C35" i="82"/>
  <c r="B35" i="82"/>
  <c r="H34" i="82"/>
  <c r="F34" i="82"/>
  <c r="E34" i="82"/>
  <c r="D34" i="82"/>
  <c r="C34" i="82"/>
  <c r="B34" i="82"/>
  <c r="H33" i="82"/>
  <c r="F33" i="82"/>
  <c r="E33" i="82"/>
  <c r="D33" i="82"/>
  <c r="C33" i="82"/>
  <c r="B33" i="82"/>
  <c r="I32" i="82"/>
  <c r="K32" i="82" s="1"/>
  <c r="K31" i="82"/>
  <c r="I31" i="82"/>
  <c r="I30" i="82"/>
  <c r="K30" i="82" s="1"/>
  <c r="G17" i="82"/>
  <c r="E17" i="82"/>
  <c r="D17" i="82"/>
  <c r="C17" i="82"/>
  <c r="B17" i="82"/>
  <c r="G16" i="82"/>
  <c r="E16" i="82"/>
  <c r="D16" i="82"/>
  <c r="C16" i="82"/>
  <c r="B16" i="82"/>
  <c r="G15" i="82"/>
  <c r="E15" i="82"/>
  <c r="D15" i="82"/>
  <c r="C15" i="82"/>
  <c r="B15" i="82"/>
  <c r="G14" i="82"/>
  <c r="E14" i="82"/>
  <c r="E20" i="82" s="1"/>
  <c r="D14" i="82"/>
  <c r="D20" i="82" s="1"/>
  <c r="C14" i="82"/>
  <c r="C20" i="82" s="1"/>
  <c r="B14" i="82"/>
  <c r="B20" i="82" s="1"/>
  <c r="G13" i="82"/>
  <c r="G19" i="82" s="1"/>
  <c r="E13" i="82"/>
  <c r="D13" i="82"/>
  <c r="D19" i="82" s="1"/>
  <c r="C13" i="82"/>
  <c r="C19" i="82" s="1"/>
  <c r="B13" i="82"/>
  <c r="B19" i="82" s="1"/>
  <c r="G12" i="82"/>
  <c r="G18" i="82" s="1"/>
  <c r="E12" i="82"/>
  <c r="E18" i="82" s="1"/>
  <c r="D12" i="82"/>
  <c r="D18" i="82" s="1"/>
  <c r="C12" i="82"/>
  <c r="C18" i="82" s="1"/>
  <c r="B12" i="82"/>
  <c r="B18" i="82" s="1"/>
  <c r="H11" i="82"/>
  <c r="J11" i="82" s="1"/>
  <c r="H10" i="82"/>
  <c r="J10" i="82" s="1"/>
  <c r="H9" i="82"/>
  <c r="J9" i="82" s="1"/>
  <c r="H399" i="81"/>
  <c r="F399" i="81"/>
  <c r="E399" i="81"/>
  <c r="D399" i="81"/>
  <c r="C399" i="81"/>
  <c r="B399" i="81"/>
  <c r="H398" i="81"/>
  <c r="F398" i="81"/>
  <c r="E398" i="81"/>
  <c r="D398" i="81"/>
  <c r="C398" i="81"/>
  <c r="B398" i="81"/>
  <c r="H397" i="81"/>
  <c r="F397" i="81"/>
  <c r="E397" i="81"/>
  <c r="D397" i="81"/>
  <c r="C397" i="81"/>
  <c r="B397" i="81"/>
  <c r="H396" i="81"/>
  <c r="F396" i="81"/>
  <c r="E396" i="81"/>
  <c r="D396" i="81"/>
  <c r="C396" i="81"/>
  <c r="B396" i="81"/>
  <c r="H395" i="81"/>
  <c r="F395" i="81"/>
  <c r="E395" i="81"/>
  <c r="D395" i="81"/>
  <c r="C395" i="81"/>
  <c r="B395" i="81"/>
  <c r="H394" i="81"/>
  <c r="F394" i="81"/>
  <c r="E394" i="81"/>
  <c r="D394" i="81"/>
  <c r="C394" i="81"/>
  <c r="B394" i="81"/>
  <c r="H393" i="81"/>
  <c r="F393" i="81"/>
  <c r="E393" i="81"/>
  <c r="D393" i="81"/>
  <c r="C393" i="81"/>
  <c r="B393" i="81"/>
  <c r="H392" i="81"/>
  <c r="F392" i="81"/>
  <c r="E392" i="81"/>
  <c r="D392" i="81"/>
  <c r="C392" i="81"/>
  <c r="B392" i="81"/>
  <c r="H391" i="81"/>
  <c r="F391" i="81"/>
  <c r="E391" i="81"/>
  <c r="D391" i="81"/>
  <c r="C391" i="81"/>
  <c r="B391" i="81"/>
  <c r="H390" i="81"/>
  <c r="F390" i="81"/>
  <c r="E390" i="81"/>
  <c r="D390" i="81"/>
  <c r="C390" i="81"/>
  <c r="B390" i="81"/>
  <c r="H389" i="81"/>
  <c r="F389" i="81"/>
  <c r="E389" i="81"/>
  <c r="D389" i="81"/>
  <c r="C389" i="81"/>
  <c r="B389" i="81"/>
  <c r="H388" i="81"/>
  <c r="F388" i="81"/>
  <c r="E388" i="81"/>
  <c r="D388" i="81"/>
  <c r="C388" i="81"/>
  <c r="B388" i="81"/>
  <c r="H387" i="81"/>
  <c r="F387" i="81"/>
  <c r="E387" i="81"/>
  <c r="D387" i="81"/>
  <c r="C387" i="81"/>
  <c r="B387" i="81"/>
  <c r="H386" i="81"/>
  <c r="F386" i="81"/>
  <c r="E386" i="81"/>
  <c r="D386" i="81"/>
  <c r="C386" i="81"/>
  <c r="B386" i="81"/>
  <c r="H385" i="81"/>
  <c r="F385" i="81"/>
  <c r="E385" i="81"/>
  <c r="D385" i="81"/>
  <c r="C385" i="81"/>
  <c r="B385" i="81"/>
  <c r="I384" i="81"/>
  <c r="K384" i="81" s="1"/>
  <c r="K383" i="81"/>
  <c r="I383" i="81"/>
  <c r="I382" i="81"/>
  <c r="K382" i="81" s="1"/>
  <c r="H380" i="81"/>
  <c r="F380" i="81"/>
  <c r="E380" i="81"/>
  <c r="D380" i="81"/>
  <c r="C380" i="81"/>
  <c r="B380" i="81"/>
  <c r="H379" i="81"/>
  <c r="F379" i="81"/>
  <c r="E379" i="81"/>
  <c r="D379" i="81"/>
  <c r="C379" i="81"/>
  <c r="B379" i="81"/>
  <c r="H378" i="81"/>
  <c r="F378" i="81"/>
  <c r="E378" i="81"/>
  <c r="D378" i="81"/>
  <c r="C378" i="81"/>
  <c r="B378" i="81"/>
  <c r="H377" i="81"/>
  <c r="F377" i="81"/>
  <c r="E377" i="81"/>
  <c r="D377" i="81"/>
  <c r="C377" i="81"/>
  <c r="B377" i="81"/>
  <c r="H376" i="81"/>
  <c r="F376" i="81"/>
  <c r="E376" i="81"/>
  <c r="D376" i="81"/>
  <c r="C376" i="81"/>
  <c r="B376" i="81"/>
  <c r="H375" i="81"/>
  <c r="F375" i="81"/>
  <c r="E375" i="81"/>
  <c r="D375" i="81"/>
  <c r="C375" i="81"/>
  <c r="B375" i="81"/>
  <c r="H374" i="81"/>
  <c r="F374" i="81"/>
  <c r="E374" i="81"/>
  <c r="D374" i="81"/>
  <c r="C374" i="81"/>
  <c r="B374" i="81"/>
  <c r="H373" i="81"/>
  <c r="F373" i="81"/>
  <c r="E373" i="81"/>
  <c r="D373" i="81"/>
  <c r="C373" i="81"/>
  <c r="B373" i="81"/>
  <c r="H372" i="81"/>
  <c r="F372" i="81"/>
  <c r="E372" i="81"/>
  <c r="D372" i="81"/>
  <c r="C372" i="81"/>
  <c r="B372" i="81"/>
  <c r="H371" i="81"/>
  <c r="F371" i="81"/>
  <c r="E371" i="81"/>
  <c r="D371" i="81"/>
  <c r="C371" i="81"/>
  <c r="B371" i="81"/>
  <c r="H370" i="81"/>
  <c r="F370" i="81"/>
  <c r="E370" i="81"/>
  <c r="D370" i="81"/>
  <c r="C370" i="81"/>
  <c r="B370" i="81"/>
  <c r="H369" i="81"/>
  <c r="F369" i="81"/>
  <c r="E369" i="81"/>
  <c r="D369" i="81"/>
  <c r="C369" i="81"/>
  <c r="B369" i="81"/>
  <c r="H368" i="81"/>
  <c r="F368" i="81"/>
  <c r="E368" i="81"/>
  <c r="D368" i="81"/>
  <c r="C368" i="81"/>
  <c r="B368" i="81"/>
  <c r="H367" i="81"/>
  <c r="F367" i="81"/>
  <c r="E367" i="81"/>
  <c r="D367" i="81"/>
  <c r="C367" i="81"/>
  <c r="B367" i="81"/>
  <c r="H366" i="81"/>
  <c r="F366" i="81"/>
  <c r="E366" i="81"/>
  <c r="D366" i="81"/>
  <c r="C366" i="81"/>
  <c r="B366" i="81"/>
  <c r="K365" i="81"/>
  <c r="I365" i="81"/>
  <c r="I364" i="81"/>
  <c r="K364" i="81" s="1"/>
  <c r="I363" i="81"/>
  <c r="K363" i="81" s="1"/>
  <c r="H361" i="81"/>
  <c r="F361" i="81"/>
  <c r="E361" i="81"/>
  <c r="D361" i="81"/>
  <c r="C361" i="81"/>
  <c r="B361" i="81"/>
  <c r="H360" i="81"/>
  <c r="F360" i="81"/>
  <c r="E360" i="81"/>
  <c r="D360" i="81"/>
  <c r="C360" i="81"/>
  <c r="B360" i="81"/>
  <c r="H359" i="81"/>
  <c r="F359" i="81"/>
  <c r="E359" i="81"/>
  <c r="D359" i="81"/>
  <c r="C359" i="81"/>
  <c r="B359" i="81"/>
  <c r="H358" i="81"/>
  <c r="F358" i="81"/>
  <c r="E358" i="81"/>
  <c r="D358" i="81"/>
  <c r="C358" i="81"/>
  <c r="B358" i="81"/>
  <c r="H357" i="81"/>
  <c r="F357" i="81"/>
  <c r="E357" i="81"/>
  <c r="D357" i="81"/>
  <c r="C357" i="81"/>
  <c r="B357" i="81"/>
  <c r="H356" i="81"/>
  <c r="F356" i="81"/>
  <c r="E356" i="81"/>
  <c r="D356" i="81"/>
  <c r="C356" i="81"/>
  <c r="B356" i="81"/>
  <c r="H355" i="81"/>
  <c r="F355" i="81"/>
  <c r="E355" i="81"/>
  <c r="D355" i="81"/>
  <c r="C355" i="81"/>
  <c r="B355" i="81"/>
  <c r="H354" i="81"/>
  <c r="F354" i="81"/>
  <c r="E354" i="81"/>
  <c r="D354" i="81"/>
  <c r="C354" i="81"/>
  <c r="B354" i="81"/>
  <c r="H353" i="81"/>
  <c r="F353" i="81"/>
  <c r="E353" i="81"/>
  <c r="D353" i="81"/>
  <c r="C353" i="81"/>
  <c r="B353" i="81"/>
  <c r="H352" i="81"/>
  <c r="F352" i="81"/>
  <c r="E352" i="81"/>
  <c r="D352" i="81"/>
  <c r="C352" i="81"/>
  <c r="B352" i="81"/>
  <c r="H351" i="81"/>
  <c r="F351" i="81"/>
  <c r="E351" i="81"/>
  <c r="D351" i="81"/>
  <c r="C351" i="81"/>
  <c r="B351" i="81"/>
  <c r="H350" i="81"/>
  <c r="F350" i="81"/>
  <c r="E350" i="81"/>
  <c r="D350" i="81"/>
  <c r="C350" i="81"/>
  <c r="B350" i="81"/>
  <c r="H349" i="81"/>
  <c r="F349" i="81"/>
  <c r="E349" i="81"/>
  <c r="D349" i="81"/>
  <c r="C349" i="81"/>
  <c r="B349" i="81"/>
  <c r="H348" i="81"/>
  <c r="F348" i="81"/>
  <c r="E348" i="81"/>
  <c r="D348" i="81"/>
  <c r="C348" i="81"/>
  <c r="B348" i="81"/>
  <c r="H347" i="81"/>
  <c r="F347" i="81"/>
  <c r="E347" i="81"/>
  <c r="D347" i="81"/>
  <c r="C347" i="81"/>
  <c r="B347" i="81"/>
  <c r="K346" i="81"/>
  <c r="I346" i="81"/>
  <c r="I345" i="81"/>
  <c r="K345" i="81" s="1"/>
  <c r="I344" i="81"/>
  <c r="K344" i="81" s="1"/>
  <c r="H342" i="81"/>
  <c r="F342" i="81"/>
  <c r="E342" i="81"/>
  <c r="D342" i="81"/>
  <c r="C342" i="81"/>
  <c r="B342" i="81"/>
  <c r="H341" i="81"/>
  <c r="F341" i="81"/>
  <c r="E341" i="81"/>
  <c r="D341" i="81"/>
  <c r="C341" i="81"/>
  <c r="B341" i="81"/>
  <c r="H340" i="81"/>
  <c r="F340" i="81"/>
  <c r="E340" i="81"/>
  <c r="D340" i="81"/>
  <c r="C340" i="81"/>
  <c r="B340" i="81"/>
  <c r="H339" i="81"/>
  <c r="F339" i="81"/>
  <c r="E339" i="81"/>
  <c r="D339" i="81"/>
  <c r="C339" i="81"/>
  <c r="B339" i="81"/>
  <c r="H338" i="81"/>
  <c r="F338" i="81"/>
  <c r="E338" i="81"/>
  <c r="D338" i="81"/>
  <c r="C338" i="81"/>
  <c r="B338" i="81"/>
  <c r="H337" i="81"/>
  <c r="F337" i="81"/>
  <c r="E337" i="81"/>
  <c r="D337" i="81"/>
  <c r="C337" i="81"/>
  <c r="B337" i="81"/>
  <c r="H336" i="81"/>
  <c r="F336" i="81"/>
  <c r="E336" i="81"/>
  <c r="D336" i="81"/>
  <c r="C336" i="81"/>
  <c r="B336" i="81"/>
  <c r="H335" i="81"/>
  <c r="F335" i="81"/>
  <c r="E335" i="81"/>
  <c r="D335" i="81"/>
  <c r="C335" i="81"/>
  <c r="B335" i="81"/>
  <c r="H334" i="81"/>
  <c r="F334" i="81"/>
  <c r="E334" i="81"/>
  <c r="D334" i="81"/>
  <c r="C334" i="81"/>
  <c r="B334" i="81"/>
  <c r="H333" i="81"/>
  <c r="F333" i="81"/>
  <c r="E333" i="81"/>
  <c r="D333" i="81"/>
  <c r="C333" i="81"/>
  <c r="B333" i="81"/>
  <c r="H332" i="81"/>
  <c r="F332" i="81"/>
  <c r="E332" i="81"/>
  <c r="D332" i="81"/>
  <c r="C332" i="81"/>
  <c r="B332" i="81"/>
  <c r="H331" i="81"/>
  <c r="F331" i="81"/>
  <c r="E331" i="81"/>
  <c r="D331" i="81"/>
  <c r="C331" i="81"/>
  <c r="B331" i="81"/>
  <c r="H330" i="81"/>
  <c r="F330" i="81"/>
  <c r="E330" i="81"/>
  <c r="D330" i="81"/>
  <c r="C330" i="81"/>
  <c r="B330" i="81"/>
  <c r="H329" i="81"/>
  <c r="F329" i="81"/>
  <c r="E329" i="81"/>
  <c r="D329" i="81"/>
  <c r="C329" i="81"/>
  <c r="B329" i="81"/>
  <c r="H328" i="81"/>
  <c r="F328" i="81"/>
  <c r="E328" i="81"/>
  <c r="D328" i="81"/>
  <c r="C328" i="81"/>
  <c r="B328" i="81"/>
  <c r="K327" i="81"/>
  <c r="I327" i="81"/>
  <c r="I326" i="81"/>
  <c r="K326" i="81" s="1"/>
  <c r="I325" i="81"/>
  <c r="K325" i="81" s="1"/>
  <c r="H323" i="81"/>
  <c r="F323" i="81"/>
  <c r="E323" i="81"/>
  <c r="D323" i="81"/>
  <c r="C323" i="81"/>
  <c r="B323" i="81"/>
  <c r="H322" i="81"/>
  <c r="F322" i="81"/>
  <c r="E322" i="81"/>
  <c r="D322" i="81"/>
  <c r="C322" i="81"/>
  <c r="B322" i="81"/>
  <c r="H321" i="81"/>
  <c r="F321" i="81"/>
  <c r="E321" i="81"/>
  <c r="D321" i="81"/>
  <c r="C321" i="81"/>
  <c r="B321" i="81"/>
  <c r="H320" i="81"/>
  <c r="F320" i="81"/>
  <c r="E320" i="81"/>
  <c r="D320" i="81"/>
  <c r="C320" i="81"/>
  <c r="B320" i="81"/>
  <c r="H319" i="81"/>
  <c r="F319" i="81"/>
  <c r="E319" i="81"/>
  <c r="D319" i="81"/>
  <c r="C319" i="81"/>
  <c r="B319" i="81"/>
  <c r="H318" i="81"/>
  <c r="F318" i="81"/>
  <c r="E318" i="81"/>
  <c r="D318" i="81"/>
  <c r="C318" i="81"/>
  <c r="B318" i="81"/>
  <c r="H317" i="81"/>
  <c r="F317" i="81"/>
  <c r="E317" i="81"/>
  <c r="D317" i="81"/>
  <c r="C317" i="81"/>
  <c r="B317" i="81"/>
  <c r="H316" i="81"/>
  <c r="F316" i="81"/>
  <c r="E316" i="81"/>
  <c r="D316" i="81"/>
  <c r="C316" i="81"/>
  <c r="B316" i="81"/>
  <c r="H315" i="81"/>
  <c r="F315" i="81"/>
  <c r="E315" i="81"/>
  <c r="D315" i="81"/>
  <c r="C315" i="81"/>
  <c r="B315" i="81"/>
  <c r="H314" i="81"/>
  <c r="F314" i="81"/>
  <c r="E314" i="81"/>
  <c r="D314" i="81"/>
  <c r="C314" i="81"/>
  <c r="B314" i="81"/>
  <c r="H313" i="81"/>
  <c r="F313" i="81"/>
  <c r="E313" i="81"/>
  <c r="D313" i="81"/>
  <c r="C313" i="81"/>
  <c r="B313" i="81"/>
  <c r="H312" i="81"/>
  <c r="F312" i="81"/>
  <c r="E312" i="81"/>
  <c r="D312" i="81"/>
  <c r="C312" i="81"/>
  <c r="B312" i="81"/>
  <c r="H311" i="81"/>
  <c r="F311" i="81"/>
  <c r="E311" i="81"/>
  <c r="D311" i="81"/>
  <c r="C311" i="81"/>
  <c r="B311" i="81"/>
  <c r="H310" i="81"/>
  <c r="F310" i="81"/>
  <c r="E310" i="81"/>
  <c r="D310" i="81"/>
  <c r="C310" i="81"/>
  <c r="B310" i="81"/>
  <c r="H309" i="81"/>
  <c r="F309" i="81"/>
  <c r="E309" i="81"/>
  <c r="D309" i="81"/>
  <c r="C309" i="81"/>
  <c r="B309" i="81"/>
  <c r="K308" i="81"/>
  <c r="I308" i="81"/>
  <c r="I307" i="81"/>
  <c r="K307" i="81" s="1"/>
  <c r="I306" i="81"/>
  <c r="K306" i="81" s="1"/>
  <c r="H304" i="81"/>
  <c r="F304" i="81"/>
  <c r="E304" i="81"/>
  <c r="D304" i="81"/>
  <c r="C304" i="81"/>
  <c r="B304" i="81"/>
  <c r="H303" i="81"/>
  <c r="F303" i="81"/>
  <c r="E303" i="81"/>
  <c r="D303" i="81"/>
  <c r="C303" i="81"/>
  <c r="B303" i="81"/>
  <c r="H302" i="81"/>
  <c r="F302" i="81"/>
  <c r="E302" i="81"/>
  <c r="D302" i="81"/>
  <c r="C302" i="81"/>
  <c r="B302" i="81"/>
  <c r="H301" i="81"/>
  <c r="F301" i="81"/>
  <c r="E301" i="81"/>
  <c r="D301" i="81"/>
  <c r="C301" i="81"/>
  <c r="B301" i="81"/>
  <c r="H300" i="81"/>
  <c r="F300" i="81"/>
  <c r="E300" i="81"/>
  <c r="D300" i="81"/>
  <c r="C300" i="81"/>
  <c r="B300" i="81"/>
  <c r="H299" i="81"/>
  <c r="F299" i="81"/>
  <c r="E299" i="81"/>
  <c r="D299" i="81"/>
  <c r="C299" i="81"/>
  <c r="B299" i="81"/>
  <c r="H298" i="81"/>
  <c r="F298" i="81"/>
  <c r="E298" i="81"/>
  <c r="D298" i="81"/>
  <c r="C298" i="81"/>
  <c r="B298" i="81"/>
  <c r="H297" i="81"/>
  <c r="F297" i="81"/>
  <c r="E297" i="81"/>
  <c r="D297" i="81"/>
  <c r="C297" i="81"/>
  <c r="B297" i="81"/>
  <c r="H296" i="81"/>
  <c r="F296" i="81"/>
  <c r="E296" i="81"/>
  <c r="D296" i="81"/>
  <c r="C296" i="81"/>
  <c r="B296" i="81"/>
  <c r="H295" i="81"/>
  <c r="F295" i="81"/>
  <c r="E295" i="81"/>
  <c r="D295" i="81"/>
  <c r="C295" i="81"/>
  <c r="B295" i="81"/>
  <c r="H294" i="81"/>
  <c r="F294" i="81"/>
  <c r="E294" i="81"/>
  <c r="D294" i="81"/>
  <c r="C294" i="81"/>
  <c r="B294" i="81"/>
  <c r="H293" i="81"/>
  <c r="F293" i="81"/>
  <c r="E293" i="81"/>
  <c r="D293" i="81"/>
  <c r="C293" i="81"/>
  <c r="B293" i="81"/>
  <c r="H292" i="81"/>
  <c r="F292" i="81"/>
  <c r="E292" i="81"/>
  <c r="D292" i="81"/>
  <c r="C292" i="81"/>
  <c r="B292" i="81"/>
  <c r="H291" i="81"/>
  <c r="F291" i="81"/>
  <c r="E291" i="81"/>
  <c r="D291" i="81"/>
  <c r="C291" i="81"/>
  <c r="B291" i="81"/>
  <c r="H290" i="81"/>
  <c r="F290" i="81"/>
  <c r="E290" i="81"/>
  <c r="D290" i="81"/>
  <c r="C290" i="81"/>
  <c r="B290" i="81"/>
  <c r="K289" i="81"/>
  <c r="I289" i="81"/>
  <c r="I288" i="81"/>
  <c r="K288" i="81" s="1"/>
  <c r="I287" i="81"/>
  <c r="K287" i="81" s="1"/>
  <c r="H285" i="81"/>
  <c r="F285" i="81"/>
  <c r="E285" i="81"/>
  <c r="D285" i="81"/>
  <c r="C285" i="81"/>
  <c r="B285" i="81"/>
  <c r="H284" i="81"/>
  <c r="F284" i="81"/>
  <c r="E284" i="81"/>
  <c r="D284" i="81"/>
  <c r="C284" i="81"/>
  <c r="B284" i="81"/>
  <c r="H283" i="81"/>
  <c r="F283" i="81"/>
  <c r="E283" i="81"/>
  <c r="D283" i="81"/>
  <c r="C283" i="81"/>
  <c r="B283" i="81"/>
  <c r="H282" i="81"/>
  <c r="F282" i="81"/>
  <c r="E282" i="81"/>
  <c r="D282" i="81"/>
  <c r="C282" i="81"/>
  <c r="B282" i="81"/>
  <c r="H281" i="81"/>
  <c r="F281" i="81"/>
  <c r="E281" i="81"/>
  <c r="D281" i="81"/>
  <c r="C281" i="81"/>
  <c r="B281" i="81"/>
  <c r="H280" i="81"/>
  <c r="F280" i="81"/>
  <c r="E280" i="81"/>
  <c r="D280" i="81"/>
  <c r="C280" i="81"/>
  <c r="B280" i="81"/>
  <c r="H279" i="81"/>
  <c r="F279" i="81"/>
  <c r="E279" i="81"/>
  <c r="D279" i="81"/>
  <c r="C279" i="81"/>
  <c r="B279" i="81"/>
  <c r="H278" i="81"/>
  <c r="F278" i="81"/>
  <c r="E278" i="81"/>
  <c r="D278" i="81"/>
  <c r="C278" i="81"/>
  <c r="B278" i="81"/>
  <c r="H277" i="81"/>
  <c r="F277" i="81"/>
  <c r="E277" i="81"/>
  <c r="D277" i="81"/>
  <c r="C277" i="81"/>
  <c r="B277" i="81"/>
  <c r="H276" i="81"/>
  <c r="F276" i="81"/>
  <c r="E276" i="81"/>
  <c r="D276" i="81"/>
  <c r="C276" i="81"/>
  <c r="B276" i="81"/>
  <c r="H275" i="81"/>
  <c r="F275" i="81"/>
  <c r="E275" i="81"/>
  <c r="D275" i="81"/>
  <c r="C275" i="81"/>
  <c r="B275" i="81"/>
  <c r="H274" i="81"/>
  <c r="F274" i="81"/>
  <c r="E274" i="81"/>
  <c r="D274" i="81"/>
  <c r="C274" i="81"/>
  <c r="B274" i="81"/>
  <c r="H273" i="81"/>
  <c r="F273" i="81"/>
  <c r="E273" i="81"/>
  <c r="D273" i="81"/>
  <c r="C273" i="81"/>
  <c r="B273" i="81"/>
  <c r="H272" i="81"/>
  <c r="F272" i="81"/>
  <c r="E272" i="81"/>
  <c r="D272" i="81"/>
  <c r="C272" i="81"/>
  <c r="B272" i="81"/>
  <c r="H271" i="81"/>
  <c r="F271" i="81"/>
  <c r="E271" i="81"/>
  <c r="D271" i="81"/>
  <c r="C271" i="81"/>
  <c r="B271" i="81"/>
  <c r="K270" i="81"/>
  <c r="I270" i="81"/>
  <c r="I269" i="81"/>
  <c r="K269" i="81" s="1"/>
  <c r="I268" i="81"/>
  <c r="K268" i="81" s="1"/>
  <c r="H266" i="81"/>
  <c r="F266" i="81"/>
  <c r="E266" i="81"/>
  <c r="D266" i="81"/>
  <c r="C266" i="81"/>
  <c r="B266" i="81"/>
  <c r="H265" i="81"/>
  <c r="F265" i="81"/>
  <c r="E265" i="81"/>
  <c r="D265" i="81"/>
  <c r="C265" i="81"/>
  <c r="B265" i="81"/>
  <c r="H264" i="81"/>
  <c r="F264" i="81"/>
  <c r="E264" i="81"/>
  <c r="D264" i="81"/>
  <c r="C264" i="81"/>
  <c r="B264" i="81"/>
  <c r="H263" i="81"/>
  <c r="F263" i="81"/>
  <c r="E263" i="81"/>
  <c r="D263" i="81"/>
  <c r="C263" i="81"/>
  <c r="B263" i="81"/>
  <c r="H262" i="81"/>
  <c r="F262" i="81"/>
  <c r="E262" i="81"/>
  <c r="D262" i="81"/>
  <c r="C262" i="81"/>
  <c r="B262" i="81"/>
  <c r="H261" i="81"/>
  <c r="F261" i="81"/>
  <c r="E261" i="81"/>
  <c r="D261" i="81"/>
  <c r="C261" i="81"/>
  <c r="B261" i="81"/>
  <c r="H260" i="81"/>
  <c r="F260" i="81"/>
  <c r="E260" i="81"/>
  <c r="D260" i="81"/>
  <c r="C260" i="81"/>
  <c r="B260" i="81"/>
  <c r="H259" i="81"/>
  <c r="F259" i="81"/>
  <c r="E259" i="81"/>
  <c r="D259" i="81"/>
  <c r="C259" i="81"/>
  <c r="B259" i="81"/>
  <c r="H258" i="81"/>
  <c r="F258" i="81"/>
  <c r="E258" i="81"/>
  <c r="D258" i="81"/>
  <c r="C258" i="81"/>
  <c r="B258" i="81"/>
  <c r="H257" i="81"/>
  <c r="F257" i="81"/>
  <c r="E257" i="81"/>
  <c r="D257" i="81"/>
  <c r="C257" i="81"/>
  <c r="B257" i="81"/>
  <c r="H256" i="81"/>
  <c r="F256" i="81"/>
  <c r="E256" i="81"/>
  <c r="D256" i="81"/>
  <c r="C256" i="81"/>
  <c r="B256" i="81"/>
  <c r="H255" i="81"/>
  <c r="F255" i="81"/>
  <c r="E255" i="81"/>
  <c r="D255" i="81"/>
  <c r="C255" i="81"/>
  <c r="B255" i="81"/>
  <c r="H254" i="81"/>
  <c r="F254" i="81"/>
  <c r="E254" i="81"/>
  <c r="D254" i="81"/>
  <c r="C254" i="81"/>
  <c r="B254" i="81"/>
  <c r="H253" i="81"/>
  <c r="F253" i="81"/>
  <c r="E253" i="81"/>
  <c r="D253" i="81"/>
  <c r="C253" i="81"/>
  <c r="B253" i="81"/>
  <c r="H252" i="81"/>
  <c r="F252" i="81"/>
  <c r="E252" i="81"/>
  <c r="D252" i="81"/>
  <c r="C252" i="81"/>
  <c r="B252" i="81"/>
  <c r="K251" i="81"/>
  <c r="I251" i="81"/>
  <c r="I250" i="81"/>
  <c r="K250" i="81" s="1"/>
  <c r="I249" i="81"/>
  <c r="K249" i="81" s="1"/>
  <c r="G238" i="81"/>
  <c r="B238" i="81"/>
  <c r="E237" i="81"/>
  <c r="G236" i="81"/>
  <c r="E236" i="81"/>
  <c r="D236" i="81"/>
  <c r="C236" i="81"/>
  <c r="B236" i="81"/>
  <c r="G235" i="81"/>
  <c r="E235" i="81"/>
  <c r="D235" i="81"/>
  <c r="C235" i="81"/>
  <c r="B235" i="81"/>
  <c r="G234" i="81"/>
  <c r="E234" i="81"/>
  <c r="D234" i="81"/>
  <c r="C234" i="81"/>
  <c r="B234" i="81"/>
  <c r="G233" i="81"/>
  <c r="G239" i="81" s="1"/>
  <c r="E233" i="81"/>
  <c r="E239" i="81" s="1"/>
  <c r="D233" i="81"/>
  <c r="D239" i="81" s="1"/>
  <c r="C233" i="81"/>
  <c r="C239" i="81" s="1"/>
  <c r="B233" i="81"/>
  <c r="B239" i="81" s="1"/>
  <c r="G232" i="81"/>
  <c r="E232" i="81"/>
  <c r="E238" i="81" s="1"/>
  <c r="D232" i="81"/>
  <c r="D238" i="81" s="1"/>
  <c r="C232" i="81"/>
  <c r="C238" i="81" s="1"/>
  <c r="B232" i="81"/>
  <c r="G231" i="81"/>
  <c r="G237" i="81" s="1"/>
  <c r="E231" i="81"/>
  <c r="D231" i="81"/>
  <c r="D237" i="81" s="1"/>
  <c r="C231" i="81"/>
  <c r="C237" i="81" s="1"/>
  <c r="B231" i="81"/>
  <c r="B237" i="81" s="1"/>
  <c r="H230" i="81"/>
  <c r="J230" i="81" s="1"/>
  <c r="H229" i="81"/>
  <c r="J229" i="81" s="1"/>
  <c r="H228" i="81"/>
  <c r="J228" i="81" s="1"/>
  <c r="I52" i="82" l="1"/>
  <c r="K52" i="82" s="1"/>
  <c r="I56" i="82"/>
  <c r="K56" i="82" s="1"/>
  <c r="I33" i="82"/>
  <c r="K33" i="82" s="1"/>
  <c r="I37" i="82"/>
  <c r="K37" i="82" s="1"/>
  <c r="I41" i="82"/>
  <c r="K41" i="82" s="1"/>
  <c r="I45" i="82"/>
  <c r="K45" i="82" s="1"/>
  <c r="I36" i="82"/>
  <c r="K36" i="82" s="1"/>
  <c r="I40" i="82"/>
  <c r="K40" i="82" s="1"/>
  <c r="I35" i="82"/>
  <c r="K35" i="82" s="1"/>
  <c r="I39" i="82"/>
  <c r="K39" i="82" s="1"/>
  <c r="I43" i="82"/>
  <c r="K43" i="82" s="1"/>
  <c r="I47" i="82"/>
  <c r="K47" i="82" s="1"/>
  <c r="I34" i="82"/>
  <c r="K34" i="82" s="1"/>
  <c r="I38" i="82"/>
  <c r="K38" i="82" s="1"/>
  <c r="I42" i="82"/>
  <c r="K42" i="82" s="1"/>
  <c r="I44" i="82"/>
  <c r="K44" i="82" s="1"/>
  <c r="I95" i="82"/>
  <c r="K95" i="82" s="1"/>
  <c r="I99" i="82"/>
  <c r="K99" i="82" s="1"/>
  <c r="H12" i="82"/>
  <c r="J12" i="82" s="1"/>
  <c r="I60" i="82"/>
  <c r="K60" i="82" s="1"/>
  <c r="I64" i="82"/>
  <c r="K64" i="82" s="1"/>
  <c r="I46" i="82"/>
  <c r="K46" i="82" s="1"/>
  <c r="I53" i="82"/>
  <c r="K53" i="82" s="1"/>
  <c r="I57" i="82"/>
  <c r="K57" i="82" s="1"/>
  <c r="I61" i="82"/>
  <c r="K61" i="82" s="1"/>
  <c r="I65" i="82"/>
  <c r="K65" i="82" s="1"/>
  <c r="I91" i="82"/>
  <c r="K91" i="82" s="1"/>
  <c r="I103" i="82"/>
  <c r="K103" i="82" s="1"/>
  <c r="I167" i="82"/>
  <c r="K167" i="82" s="1"/>
  <c r="I171" i="82"/>
  <c r="K171" i="82" s="1"/>
  <c r="I173" i="82"/>
  <c r="K173" i="82" s="1"/>
  <c r="I179" i="82"/>
  <c r="K179" i="82" s="1"/>
  <c r="I92" i="82"/>
  <c r="K92" i="82" s="1"/>
  <c r="I96" i="82"/>
  <c r="K96" i="82" s="1"/>
  <c r="I100" i="82"/>
  <c r="K100" i="82" s="1"/>
  <c r="I104" i="82"/>
  <c r="K104" i="82" s="1"/>
  <c r="I130" i="82"/>
  <c r="K130" i="82" s="1"/>
  <c r="I134" i="82"/>
  <c r="K134" i="82" s="1"/>
  <c r="I138" i="82"/>
  <c r="K138" i="82" s="1"/>
  <c r="I142" i="82"/>
  <c r="K142" i="82" s="1"/>
  <c r="I168" i="82"/>
  <c r="K168" i="82" s="1"/>
  <c r="I172" i="82"/>
  <c r="K172" i="82" s="1"/>
  <c r="I174" i="82"/>
  <c r="K174" i="82" s="1"/>
  <c r="I180" i="82"/>
  <c r="K180" i="82" s="1"/>
  <c r="H15" i="82"/>
  <c r="J15" i="82" s="1"/>
  <c r="H18" i="82"/>
  <c r="J18" i="82" s="1"/>
  <c r="H16" i="82"/>
  <c r="J16" i="82" s="1"/>
  <c r="H17" i="82"/>
  <c r="J17" i="82" s="1"/>
  <c r="I55" i="82"/>
  <c r="K55" i="82" s="1"/>
  <c r="I58" i="82"/>
  <c r="K58" i="82" s="1"/>
  <c r="I63" i="82"/>
  <c r="K63" i="82" s="1"/>
  <c r="I66" i="82"/>
  <c r="K66" i="82" s="1"/>
  <c r="I71" i="82"/>
  <c r="K71" i="82" s="1"/>
  <c r="I73" i="82"/>
  <c r="K73" i="82" s="1"/>
  <c r="I75" i="82"/>
  <c r="K75" i="82" s="1"/>
  <c r="I77" i="82"/>
  <c r="K77" i="82" s="1"/>
  <c r="I79" i="82"/>
  <c r="K79" i="82" s="1"/>
  <c r="I81" i="82"/>
  <c r="K81" i="82" s="1"/>
  <c r="I83" i="82"/>
  <c r="K83" i="82" s="1"/>
  <c r="I85" i="82"/>
  <c r="K85" i="82" s="1"/>
  <c r="I90" i="82"/>
  <c r="K90" i="82" s="1"/>
  <c r="I93" i="82"/>
  <c r="K93" i="82" s="1"/>
  <c r="I98" i="82"/>
  <c r="K98" i="82" s="1"/>
  <c r="I101" i="82"/>
  <c r="K101" i="82" s="1"/>
  <c r="I109" i="82"/>
  <c r="K109" i="82" s="1"/>
  <c r="I111" i="82"/>
  <c r="K111" i="82" s="1"/>
  <c r="I113" i="82"/>
  <c r="K113" i="82" s="1"/>
  <c r="I115" i="82"/>
  <c r="K115" i="82" s="1"/>
  <c r="I117" i="82"/>
  <c r="K117" i="82" s="1"/>
  <c r="I119" i="82"/>
  <c r="K119" i="82" s="1"/>
  <c r="I121" i="82"/>
  <c r="K121" i="82" s="1"/>
  <c r="I123" i="82"/>
  <c r="K123" i="82" s="1"/>
  <c r="I128" i="82"/>
  <c r="K128" i="82" s="1"/>
  <c r="I131" i="82"/>
  <c r="K131" i="82" s="1"/>
  <c r="I133" i="82"/>
  <c r="K133" i="82" s="1"/>
  <c r="I136" i="82"/>
  <c r="K136" i="82" s="1"/>
  <c r="I139" i="82"/>
  <c r="K139" i="82" s="1"/>
  <c r="I141" i="82"/>
  <c r="K141" i="82" s="1"/>
  <c r="I147" i="82"/>
  <c r="K147" i="82" s="1"/>
  <c r="I149" i="82"/>
  <c r="K149" i="82" s="1"/>
  <c r="I151" i="82"/>
  <c r="K151" i="82" s="1"/>
  <c r="I153" i="82"/>
  <c r="K153" i="82" s="1"/>
  <c r="I155" i="82"/>
  <c r="K155" i="82" s="1"/>
  <c r="I157" i="82"/>
  <c r="K157" i="82" s="1"/>
  <c r="I159" i="82"/>
  <c r="K159" i="82" s="1"/>
  <c r="I161" i="82"/>
  <c r="K161" i="82" s="1"/>
  <c r="I166" i="82"/>
  <c r="K166" i="82" s="1"/>
  <c r="I169" i="82"/>
  <c r="K169" i="82" s="1"/>
  <c r="I176" i="82"/>
  <c r="K176" i="82" s="1"/>
  <c r="I178" i="82"/>
  <c r="K178" i="82" s="1"/>
  <c r="I54" i="82"/>
  <c r="K54" i="82" s="1"/>
  <c r="I59" i="82"/>
  <c r="K59" i="82" s="1"/>
  <c r="I62" i="82"/>
  <c r="K62" i="82" s="1"/>
  <c r="I72" i="82"/>
  <c r="K72" i="82" s="1"/>
  <c r="I74" i="82"/>
  <c r="K74" i="82" s="1"/>
  <c r="I76" i="82"/>
  <c r="K76" i="82" s="1"/>
  <c r="I78" i="82"/>
  <c r="K78" i="82" s="1"/>
  <c r="I80" i="82"/>
  <c r="K80" i="82" s="1"/>
  <c r="I82" i="82"/>
  <c r="K82" i="82" s="1"/>
  <c r="I84" i="82"/>
  <c r="K84" i="82" s="1"/>
  <c r="I94" i="82"/>
  <c r="K94" i="82" s="1"/>
  <c r="I97" i="82"/>
  <c r="K97" i="82" s="1"/>
  <c r="I102" i="82"/>
  <c r="K102" i="82" s="1"/>
  <c r="I110" i="82"/>
  <c r="K110" i="82" s="1"/>
  <c r="I112" i="82"/>
  <c r="K112" i="82" s="1"/>
  <c r="I114" i="82"/>
  <c r="K114" i="82" s="1"/>
  <c r="I116" i="82"/>
  <c r="K116" i="82" s="1"/>
  <c r="I118" i="82"/>
  <c r="K118" i="82" s="1"/>
  <c r="I120" i="82"/>
  <c r="K120" i="82" s="1"/>
  <c r="I122" i="82"/>
  <c r="K122" i="82" s="1"/>
  <c r="I129" i="82"/>
  <c r="K129" i="82" s="1"/>
  <c r="I132" i="82"/>
  <c r="K132" i="82" s="1"/>
  <c r="I135" i="82"/>
  <c r="K135" i="82" s="1"/>
  <c r="I137" i="82"/>
  <c r="K137" i="82" s="1"/>
  <c r="I140" i="82"/>
  <c r="K140" i="82" s="1"/>
  <c r="I148" i="82"/>
  <c r="K148" i="82" s="1"/>
  <c r="I150" i="82"/>
  <c r="K150" i="82" s="1"/>
  <c r="I152" i="82"/>
  <c r="K152" i="82" s="1"/>
  <c r="I154" i="82"/>
  <c r="K154" i="82" s="1"/>
  <c r="I156" i="82"/>
  <c r="K156" i="82" s="1"/>
  <c r="I158" i="82"/>
  <c r="K158" i="82" s="1"/>
  <c r="I160" i="82"/>
  <c r="K160" i="82" s="1"/>
  <c r="I170" i="82"/>
  <c r="K170" i="82" s="1"/>
  <c r="I175" i="82"/>
  <c r="K175" i="82" s="1"/>
  <c r="I177" i="82"/>
  <c r="K177" i="82" s="1"/>
  <c r="E19" i="82"/>
  <c r="H19" i="82" s="1"/>
  <c r="J19" i="82" s="1"/>
  <c r="H13" i="82"/>
  <c r="J13" i="82" s="1"/>
  <c r="G20" i="82"/>
  <c r="H20" i="82" s="1"/>
  <c r="J20" i="82" s="1"/>
  <c r="H14" i="82"/>
  <c r="J14" i="82" s="1"/>
  <c r="I385" i="81"/>
  <c r="K385" i="81" s="1"/>
  <c r="I387" i="81"/>
  <c r="K387" i="81" s="1"/>
  <c r="I389" i="81"/>
  <c r="K389" i="81" s="1"/>
  <c r="I391" i="81"/>
  <c r="K391" i="81" s="1"/>
  <c r="I393" i="81"/>
  <c r="K393" i="81" s="1"/>
  <c r="I395" i="81"/>
  <c r="K395" i="81" s="1"/>
  <c r="I397" i="81"/>
  <c r="K397" i="81" s="1"/>
  <c r="I399" i="81"/>
  <c r="K399" i="81" s="1"/>
  <c r="H235" i="81"/>
  <c r="J235" i="81" s="1"/>
  <c r="H236" i="81"/>
  <c r="J236" i="81" s="1"/>
  <c r="I252" i="81"/>
  <c r="K252" i="81" s="1"/>
  <c r="I254" i="81"/>
  <c r="K254" i="81" s="1"/>
  <c r="I256" i="81"/>
  <c r="K256" i="81" s="1"/>
  <c r="I258" i="81"/>
  <c r="K258" i="81" s="1"/>
  <c r="I260" i="81"/>
  <c r="K260" i="81" s="1"/>
  <c r="I262" i="81"/>
  <c r="K262" i="81" s="1"/>
  <c r="I264" i="81"/>
  <c r="K264" i="81" s="1"/>
  <c r="I266" i="81"/>
  <c r="K266" i="81" s="1"/>
  <c r="I271" i="81"/>
  <c r="K271" i="81" s="1"/>
  <c r="I273" i="81"/>
  <c r="K273" i="81" s="1"/>
  <c r="I275" i="81"/>
  <c r="K275" i="81" s="1"/>
  <c r="I277" i="81"/>
  <c r="K277" i="81" s="1"/>
  <c r="I279" i="81"/>
  <c r="K279" i="81" s="1"/>
  <c r="I281" i="81"/>
  <c r="K281" i="81" s="1"/>
  <c r="I283" i="81"/>
  <c r="K283" i="81" s="1"/>
  <c r="I285" i="81"/>
  <c r="K285" i="81" s="1"/>
  <c r="I290" i="81"/>
  <c r="K290" i="81" s="1"/>
  <c r="I292" i="81"/>
  <c r="K292" i="81" s="1"/>
  <c r="I294" i="81"/>
  <c r="K294" i="81" s="1"/>
  <c r="I296" i="81"/>
  <c r="K296" i="81" s="1"/>
  <c r="I253" i="81"/>
  <c r="K253" i="81" s="1"/>
  <c r="I255" i="81"/>
  <c r="K255" i="81" s="1"/>
  <c r="I257" i="81"/>
  <c r="K257" i="81" s="1"/>
  <c r="I259" i="81"/>
  <c r="K259" i="81" s="1"/>
  <c r="I261" i="81"/>
  <c r="K261" i="81" s="1"/>
  <c r="I263" i="81"/>
  <c r="K263" i="81" s="1"/>
  <c r="I265" i="81"/>
  <c r="K265" i="81" s="1"/>
  <c r="I272" i="81"/>
  <c r="K272" i="81" s="1"/>
  <c r="I274" i="81"/>
  <c r="K274" i="81" s="1"/>
  <c r="I276" i="81"/>
  <c r="K276" i="81" s="1"/>
  <c r="I278" i="81"/>
  <c r="K278" i="81" s="1"/>
  <c r="I280" i="81"/>
  <c r="K280" i="81" s="1"/>
  <c r="I282" i="81"/>
  <c r="K282" i="81" s="1"/>
  <c r="I284" i="81"/>
  <c r="K284" i="81" s="1"/>
  <c r="I291" i="81"/>
  <c r="K291" i="81" s="1"/>
  <c r="I293" i="81"/>
  <c r="K293" i="81" s="1"/>
  <c r="I295" i="81"/>
  <c r="K295" i="81" s="1"/>
  <c r="I297" i="81"/>
  <c r="K297" i="81" s="1"/>
  <c r="I299" i="81"/>
  <c r="K299" i="81" s="1"/>
  <c r="I298" i="81"/>
  <c r="K298" i="81" s="1"/>
  <c r="I300" i="81"/>
  <c r="K300" i="81" s="1"/>
  <c r="I302" i="81"/>
  <c r="K302" i="81" s="1"/>
  <c r="I304" i="81"/>
  <c r="K304" i="81" s="1"/>
  <c r="I309" i="81"/>
  <c r="K309" i="81" s="1"/>
  <c r="I311" i="81"/>
  <c r="K311" i="81" s="1"/>
  <c r="I313" i="81"/>
  <c r="K313" i="81" s="1"/>
  <c r="I315" i="81"/>
  <c r="K315" i="81" s="1"/>
  <c r="I317" i="81"/>
  <c r="K317" i="81" s="1"/>
  <c r="I319" i="81"/>
  <c r="K319" i="81" s="1"/>
  <c r="I321" i="81"/>
  <c r="K321" i="81" s="1"/>
  <c r="I323" i="81"/>
  <c r="K323" i="81" s="1"/>
  <c r="I328" i="81"/>
  <c r="K328" i="81" s="1"/>
  <c r="I330" i="81"/>
  <c r="K330" i="81" s="1"/>
  <c r="I332" i="81"/>
  <c r="K332" i="81" s="1"/>
  <c r="I334" i="81"/>
  <c r="K334" i="81" s="1"/>
  <c r="I336" i="81"/>
  <c r="K336" i="81" s="1"/>
  <c r="I338" i="81"/>
  <c r="K338" i="81" s="1"/>
  <c r="I340" i="81"/>
  <c r="K340" i="81" s="1"/>
  <c r="I342" i="81"/>
  <c r="K342" i="81" s="1"/>
  <c r="I347" i="81"/>
  <c r="K347" i="81" s="1"/>
  <c r="I349" i="81"/>
  <c r="K349" i="81" s="1"/>
  <c r="I351" i="81"/>
  <c r="K351" i="81" s="1"/>
  <c r="I353" i="81"/>
  <c r="K353" i="81" s="1"/>
  <c r="I355" i="81"/>
  <c r="K355" i="81" s="1"/>
  <c r="I357" i="81"/>
  <c r="K357" i="81" s="1"/>
  <c r="I359" i="81"/>
  <c r="K359" i="81" s="1"/>
  <c r="I361" i="81"/>
  <c r="K361" i="81" s="1"/>
  <c r="I366" i="81"/>
  <c r="K366" i="81" s="1"/>
  <c r="I368" i="81"/>
  <c r="K368" i="81" s="1"/>
  <c r="I370" i="81"/>
  <c r="K370" i="81" s="1"/>
  <c r="I372" i="81"/>
  <c r="K372" i="81" s="1"/>
  <c r="I374" i="81"/>
  <c r="K374" i="81" s="1"/>
  <c r="I376" i="81"/>
  <c r="K376" i="81" s="1"/>
  <c r="I378" i="81"/>
  <c r="K378" i="81" s="1"/>
  <c r="I380" i="81"/>
  <c r="K380" i="81" s="1"/>
  <c r="I301" i="81"/>
  <c r="K301" i="81" s="1"/>
  <c r="I303" i="81"/>
  <c r="K303" i="81" s="1"/>
  <c r="I310" i="81"/>
  <c r="K310" i="81" s="1"/>
  <c r="I312" i="81"/>
  <c r="K312" i="81" s="1"/>
  <c r="I314" i="81"/>
  <c r="K314" i="81" s="1"/>
  <c r="I316" i="81"/>
  <c r="K316" i="81" s="1"/>
  <c r="I318" i="81"/>
  <c r="K318" i="81" s="1"/>
  <c r="I320" i="81"/>
  <c r="K320" i="81" s="1"/>
  <c r="I322" i="81"/>
  <c r="K322" i="81" s="1"/>
  <c r="I329" i="81"/>
  <c r="K329" i="81" s="1"/>
  <c r="I331" i="81"/>
  <c r="K331" i="81" s="1"/>
  <c r="I333" i="81"/>
  <c r="K333" i="81" s="1"/>
  <c r="I335" i="81"/>
  <c r="K335" i="81" s="1"/>
  <c r="I337" i="81"/>
  <c r="K337" i="81" s="1"/>
  <c r="I339" i="81"/>
  <c r="K339" i="81" s="1"/>
  <c r="I341" i="81"/>
  <c r="K341" i="81" s="1"/>
  <c r="I348" i="81"/>
  <c r="K348" i="81" s="1"/>
  <c r="I350" i="81"/>
  <c r="K350" i="81" s="1"/>
  <c r="I352" i="81"/>
  <c r="K352" i="81" s="1"/>
  <c r="I354" i="81"/>
  <c r="K354" i="81" s="1"/>
  <c r="I356" i="81"/>
  <c r="K356" i="81" s="1"/>
  <c r="I358" i="81"/>
  <c r="K358" i="81" s="1"/>
  <c r="I360" i="81"/>
  <c r="K360" i="81" s="1"/>
  <c r="I367" i="81"/>
  <c r="K367" i="81" s="1"/>
  <c r="I369" i="81"/>
  <c r="K369" i="81" s="1"/>
  <c r="I371" i="81"/>
  <c r="K371" i="81" s="1"/>
  <c r="I373" i="81"/>
  <c r="K373" i="81" s="1"/>
  <c r="H234" i="81"/>
  <c r="J234" i="81" s="1"/>
  <c r="I386" i="81"/>
  <c r="K386" i="81" s="1"/>
  <c r="I388" i="81"/>
  <c r="K388" i="81" s="1"/>
  <c r="I390" i="81"/>
  <c r="K390" i="81" s="1"/>
  <c r="I392" i="81"/>
  <c r="K392" i="81" s="1"/>
  <c r="I394" i="81"/>
  <c r="K394" i="81" s="1"/>
  <c r="I396" i="81"/>
  <c r="K396" i="81" s="1"/>
  <c r="I398" i="81"/>
  <c r="K398" i="81" s="1"/>
  <c r="I375" i="81"/>
  <c r="K375" i="81" s="1"/>
  <c r="I377" i="81"/>
  <c r="K377" i="81" s="1"/>
  <c r="I379" i="81"/>
  <c r="K379" i="81" s="1"/>
  <c r="H237" i="81"/>
  <c r="J237" i="81" s="1"/>
  <c r="H238" i="81"/>
  <c r="J238" i="81" s="1"/>
  <c r="H239" i="81"/>
  <c r="J239" i="81" s="1"/>
  <c r="H232" i="81"/>
  <c r="J232" i="81" s="1"/>
  <c r="H231" i="81"/>
  <c r="J231" i="81" s="1"/>
  <c r="H233" i="81"/>
  <c r="J233" i="81" s="1"/>
  <c r="H180" i="81"/>
  <c r="F180" i="81"/>
  <c r="E180" i="81"/>
  <c r="D180" i="81"/>
  <c r="C180" i="81"/>
  <c r="B180" i="81"/>
  <c r="H179" i="81"/>
  <c r="F179" i="81"/>
  <c r="E179" i="81"/>
  <c r="D179" i="81"/>
  <c r="C179" i="81"/>
  <c r="B179" i="81"/>
  <c r="H178" i="81"/>
  <c r="F178" i="81"/>
  <c r="E178" i="81"/>
  <c r="D178" i="81"/>
  <c r="C178" i="81"/>
  <c r="B178" i="81"/>
  <c r="H177" i="81"/>
  <c r="F177" i="81"/>
  <c r="E177" i="81"/>
  <c r="D177" i="81"/>
  <c r="C177" i="81"/>
  <c r="B177" i="81"/>
  <c r="H176" i="81"/>
  <c r="F176" i="81"/>
  <c r="E176" i="81"/>
  <c r="D176" i="81"/>
  <c r="C176" i="81"/>
  <c r="B176" i="81"/>
  <c r="H175" i="81"/>
  <c r="F175" i="81"/>
  <c r="E175" i="81"/>
  <c r="D175" i="81"/>
  <c r="C175" i="81"/>
  <c r="B175" i="81"/>
  <c r="H174" i="81"/>
  <c r="F174" i="81"/>
  <c r="E174" i="81"/>
  <c r="D174" i="81"/>
  <c r="C174" i="81"/>
  <c r="B174" i="81"/>
  <c r="H173" i="81"/>
  <c r="F173" i="81"/>
  <c r="E173" i="81"/>
  <c r="D173" i="81"/>
  <c r="C173" i="81"/>
  <c r="B173" i="81"/>
  <c r="H172" i="81"/>
  <c r="F172" i="81"/>
  <c r="E172" i="81"/>
  <c r="D172" i="81"/>
  <c r="C172" i="81"/>
  <c r="B172" i="81"/>
  <c r="H171" i="81"/>
  <c r="F171" i="81"/>
  <c r="E171" i="81"/>
  <c r="D171" i="81"/>
  <c r="C171" i="81"/>
  <c r="B171" i="81"/>
  <c r="H170" i="81"/>
  <c r="F170" i="81"/>
  <c r="E170" i="81"/>
  <c r="D170" i="81"/>
  <c r="C170" i="81"/>
  <c r="B170" i="81"/>
  <c r="H169" i="81"/>
  <c r="F169" i="81"/>
  <c r="E169" i="81"/>
  <c r="D169" i="81"/>
  <c r="C169" i="81"/>
  <c r="B169" i="81"/>
  <c r="H168" i="81"/>
  <c r="F168" i="81"/>
  <c r="E168" i="81"/>
  <c r="D168" i="81"/>
  <c r="C168" i="81"/>
  <c r="B168" i="81"/>
  <c r="H167" i="81"/>
  <c r="F167" i="81"/>
  <c r="E167" i="81"/>
  <c r="D167" i="81"/>
  <c r="C167" i="81"/>
  <c r="B167" i="81"/>
  <c r="H166" i="81"/>
  <c r="F166" i="81"/>
  <c r="E166" i="81"/>
  <c r="D166" i="81"/>
  <c r="C166" i="81"/>
  <c r="B166" i="81"/>
  <c r="I165" i="81"/>
  <c r="K165" i="81" s="1"/>
  <c r="I164" i="81"/>
  <c r="K164" i="81" s="1"/>
  <c r="I163" i="81"/>
  <c r="K163" i="81" s="1"/>
  <c r="H161" i="81"/>
  <c r="F161" i="81"/>
  <c r="E161" i="81"/>
  <c r="D161" i="81"/>
  <c r="C161" i="81"/>
  <c r="B161" i="81"/>
  <c r="H160" i="81"/>
  <c r="F160" i="81"/>
  <c r="E160" i="81"/>
  <c r="D160" i="81"/>
  <c r="C160" i="81"/>
  <c r="B160" i="81"/>
  <c r="H159" i="81"/>
  <c r="F159" i="81"/>
  <c r="E159" i="81"/>
  <c r="D159" i="81"/>
  <c r="C159" i="81"/>
  <c r="B159" i="81"/>
  <c r="H158" i="81"/>
  <c r="F158" i="81"/>
  <c r="E158" i="81"/>
  <c r="D158" i="81"/>
  <c r="C158" i="81"/>
  <c r="B158" i="81"/>
  <c r="H157" i="81"/>
  <c r="F157" i="81"/>
  <c r="E157" i="81"/>
  <c r="D157" i="81"/>
  <c r="C157" i="81"/>
  <c r="B157" i="81"/>
  <c r="H156" i="81"/>
  <c r="F156" i="81"/>
  <c r="E156" i="81"/>
  <c r="D156" i="81"/>
  <c r="C156" i="81"/>
  <c r="B156" i="81"/>
  <c r="H155" i="81"/>
  <c r="F155" i="81"/>
  <c r="E155" i="81"/>
  <c r="D155" i="81"/>
  <c r="C155" i="81"/>
  <c r="B155" i="81"/>
  <c r="H154" i="81"/>
  <c r="F154" i="81"/>
  <c r="E154" i="81"/>
  <c r="D154" i="81"/>
  <c r="C154" i="81"/>
  <c r="B154" i="81"/>
  <c r="H153" i="81"/>
  <c r="F153" i="81"/>
  <c r="E153" i="81"/>
  <c r="D153" i="81"/>
  <c r="C153" i="81"/>
  <c r="B153" i="81"/>
  <c r="H152" i="81"/>
  <c r="F152" i="81"/>
  <c r="E152" i="81"/>
  <c r="D152" i="81"/>
  <c r="C152" i="81"/>
  <c r="B152" i="81"/>
  <c r="H151" i="81"/>
  <c r="F151" i="81"/>
  <c r="E151" i="81"/>
  <c r="D151" i="81"/>
  <c r="C151" i="81"/>
  <c r="B151" i="81"/>
  <c r="H150" i="81"/>
  <c r="F150" i="81"/>
  <c r="E150" i="81"/>
  <c r="D150" i="81"/>
  <c r="C150" i="81"/>
  <c r="B150" i="81"/>
  <c r="H149" i="81"/>
  <c r="F149" i="81"/>
  <c r="E149" i="81"/>
  <c r="D149" i="81"/>
  <c r="C149" i="81"/>
  <c r="B149" i="81"/>
  <c r="H148" i="81"/>
  <c r="F148" i="81"/>
  <c r="E148" i="81"/>
  <c r="D148" i="81"/>
  <c r="C148" i="81"/>
  <c r="B148" i="81"/>
  <c r="H147" i="81"/>
  <c r="F147" i="81"/>
  <c r="E147" i="81"/>
  <c r="D147" i="81"/>
  <c r="C147" i="81"/>
  <c r="B147" i="81"/>
  <c r="I146" i="81"/>
  <c r="K146" i="81" s="1"/>
  <c r="I145" i="81"/>
  <c r="K145" i="81" s="1"/>
  <c r="I144" i="81"/>
  <c r="K144" i="81" s="1"/>
  <c r="H142" i="81"/>
  <c r="F142" i="81"/>
  <c r="E142" i="81"/>
  <c r="D142" i="81"/>
  <c r="C142" i="81"/>
  <c r="B142" i="81"/>
  <c r="H141" i="81"/>
  <c r="F141" i="81"/>
  <c r="E141" i="81"/>
  <c r="D141" i="81"/>
  <c r="C141" i="81"/>
  <c r="B141" i="81"/>
  <c r="H140" i="81"/>
  <c r="F140" i="81"/>
  <c r="E140" i="81"/>
  <c r="D140" i="81"/>
  <c r="C140" i="81"/>
  <c r="B140" i="81"/>
  <c r="H139" i="81"/>
  <c r="F139" i="81"/>
  <c r="E139" i="81"/>
  <c r="D139" i="81"/>
  <c r="C139" i="81"/>
  <c r="B139" i="81"/>
  <c r="H138" i="81"/>
  <c r="F138" i="81"/>
  <c r="E138" i="81"/>
  <c r="D138" i="81"/>
  <c r="C138" i="81"/>
  <c r="B138" i="81"/>
  <c r="H137" i="81"/>
  <c r="F137" i="81"/>
  <c r="E137" i="81"/>
  <c r="D137" i="81"/>
  <c r="C137" i="81"/>
  <c r="B137" i="81"/>
  <c r="H136" i="81"/>
  <c r="F136" i="81"/>
  <c r="E136" i="81"/>
  <c r="D136" i="81"/>
  <c r="C136" i="81"/>
  <c r="B136" i="81"/>
  <c r="H135" i="81"/>
  <c r="F135" i="81"/>
  <c r="E135" i="81"/>
  <c r="D135" i="81"/>
  <c r="C135" i="81"/>
  <c r="B135" i="81"/>
  <c r="H134" i="81"/>
  <c r="F134" i="81"/>
  <c r="E134" i="81"/>
  <c r="D134" i="81"/>
  <c r="C134" i="81"/>
  <c r="B134" i="81"/>
  <c r="H133" i="81"/>
  <c r="F133" i="81"/>
  <c r="E133" i="81"/>
  <c r="D133" i="81"/>
  <c r="C133" i="81"/>
  <c r="B133" i="81"/>
  <c r="H132" i="81"/>
  <c r="F132" i="81"/>
  <c r="E132" i="81"/>
  <c r="D132" i="81"/>
  <c r="C132" i="81"/>
  <c r="B132" i="81"/>
  <c r="H131" i="81"/>
  <c r="F131" i="81"/>
  <c r="E131" i="81"/>
  <c r="D131" i="81"/>
  <c r="C131" i="81"/>
  <c r="B131" i="81"/>
  <c r="H130" i="81"/>
  <c r="F130" i="81"/>
  <c r="E130" i="81"/>
  <c r="D130" i="81"/>
  <c r="C130" i="81"/>
  <c r="B130" i="81"/>
  <c r="H129" i="81"/>
  <c r="F129" i="81"/>
  <c r="E129" i="81"/>
  <c r="D129" i="81"/>
  <c r="C129" i="81"/>
  <c r="B129" i="81"/>
  <c r="H128" i="81"/>
  <c r="F128" i="81"/>
  <c r="E128" i="81"/>
  <c r="D128" i="81"/>
  <c r="C128" i="81"/>
  <c r="B128" i="81"/>
  <c r="I127" i="81"/>
  <c r="K127" i="81" s="1"/>
  <c r="I126" i="81"/>
  <c r="K126" i="81" s="1"/>
  <c r="I125" i="81"/>
  <c r="K125" i="81" s="1"/>
  <c r="H123" i="81"/>
  <c r="F123" i="81"/>
  <c r="E123" i="81"/>
  <c r="D123" i="81"/>
  <c r="C123" i="81"/>
  <c r="B123" i="81"/>
  <c r="H122" i="81"/>
  <c r="F122" i="81"/>
  <c r="E122" i="81"/>
  <c r="D122" i="81"/>
  <c r="C122" i="81"/>
  <c r="B122" i="81"/>
  <c r="H121" i="81"/>
  <c r="F121" i="81"/>
  <c r="E121" i="81"/>
  <c r="D121" i="81"/>
  <c r="C121" i="81"/>
  <c r="B121" i="81"/>
  <c r="H120" i="81"/>
  <c r="F120" i="81"/>
  <c r="E120" i="81"/>
  <c r="D120" i="81"/>
  <c r="C120" i="81"/>
  <c r="B120" i="81"/>
  <c r="H119" i="81"/>
  <c r="F119" i="81"/>
  <c r="E119" i="81"/>
  <c r="D119" i="81"/>
  <c r="C119" i="81"/>
  <c r="B119" i="81"/>
  <c r="H118" i="81"/>
  <c r="F118" i="81"/>
  <c r="E118" i="81"/>
  <c r="D118" i="81"/>
  <c r="C118" i="81"/>
  <c r="B118" i="81"/>
  <c r="H117" i="81"/>
  <c r="F117" i="81"/>
  <c r="E117" i="81"/>
  <c r="D117" i="81"/>
  <c r="C117" i="81"/>
  <c r="B117" i="81"/>
  <c r="H116" i="81"/>
  <c r="F116" i="81"/>
  <c r="E116" i="81"/>
  <c r="D116" i="81"/>
  <c r="C116" i="81"/>
  <c r="B116" i="81"/>
  <c r="H115" i="81"/>
  <c r="F115" i="81"/>
  <c r="E115" i="81"/>
  <c r="D115" i="81"/>
  <c r="C115" i="81"/>
  <c r="B115" i="81"/>
  <c r="H114" i="81"/>
  <c r="F114" i="81"/>
  <c r="E114" i="81"/>
  <c r="D114" i="81"/>
  <c r="C114" i="81"/>
  <c r="B114" i="81"/>
  <c r="H113" i="81"/>
  <c r="F113" i="81"/>
  <c r="E113" i="81"/>
  <c r="D113" i="81"/>
  <c r="C113" i="81"/>
  <c r="B113" i="81"/>
  <c r="H112" i="81"/>
  <c r="F112" i="81"/>
  <c r="E112" i="81"/>
  <c r="D112" i="81"/>
  <c r="C112" i="81"/>
  <c r="B112" i="81"/>
  <c r="H111" i="81"/>
  <c r="F111" i="81"/>
  <c r="E111" i="81"/>
  <c r="D111" i="81"/>
  <c r="C111" i="81"/>
  <c r="B111" i="81"/>
  <c r="H110" i="81"/>
  <c r="F110" i="81"/>
  <c r="E110" i="81"/>
  <c r="D110" i="81"/>
  <c r="C110" i="81"/>
  <c r="B110" i="81"/>
  <c r="H109" i="81"/>
  <c r="F109" i="81"/>
  <c r="E109" i="81"/>
  <c r="D109" i="81"/>
  <c r="C109" i="81"/>
  <c r="B109" i="81"/>
  <c r="I108" i="81"/>
  <c r="K108" i="81" s="1"/>
  <c r="I107" i="81"/>
  <c r="K107" i="81" s="1"/>
  <c r="I106" i="81"/>
  <c r="K106" i="81" s="1"/>
  <c r="H104" i="81"/>
  <c r="F104" i="81"/>
  <c r="E104" i="81"/>
  <c r="D104" i="81"/>
  <c r="C104" i="81"/>
  <c r="B104" i="81"/>
  <c r="H103" i="81"/>
  <c r="F103" i="81"/>
  <c r="E103" i="81"/>
  <c r="D103" i="81"/>
  <c r="C103" i="81"/>
  <c r="B103" i="81"/>
  <c r="H102" i="81"/>
  <c r="F102" i="81"/>
  <c r="E102" i="81"/>
  <c r="D102" i="81"/>
  <c r="C102" i="81"/>
  <c r="B102" i="81"/>
  <c r="H101" i="81"/>
  <c r="F101" i="81"/>
  <c r="E101" i="81"/>
  <c r="D101" i="81"/>
  <c r="C101" i="81"/>
  <c r="B101" i="81"/>
  <c r="H100" i="81"/>
  <c r="F100" i="81"/>
  <c r="E100" i="81"/>
  <c r="D100" i="81"/>
  <c r="C100" i="81"/>
  <c r="B100" i="81"/>
  <c r="H99" i="81"/>
  <c r="F99" i="81"/>
  <c r="E99" i="81"/>
  <c r="D99" i="81"/>
  <c r="C99" i="81"/>
  <c r="B99" i="81"/>
  <c r="H98" i="81"/>
  <c r="F98" i="81"/>
  <c r="E98" i="81"/>
  <c r="D98" i="81"/>
  <c r="C98" i="81"/>
  <c r="B98" i="81"/>
  <c r="H97" i="81"/>
  <c r="F97" i="81"/>
  <c r="E97" i="81"/>
  <c r="D97" i="81"/>
  <c r="C97" i="81"/>
  <c r="B97" i="81"/>
  <c r="H96" i="81"/>
  <c r="F96" i="81"/>
  <c r="E96" i="81"/>
  <c r="D96" i="81"/>
  <c r="C96" i="81"/>
  <c r="B96" i="81"/>
  <c r="H95" i="81"/>
  <c r="F95" i="81"/>
  <c r="E95" i="81"/>
  <c r="D95" i="81"/>
  <c r="C95" i="81"/>
  <c r="B95" i="81"/>
  <c r="H94" i="81"/>
  <c r="F94" i="81"/>
  <c r="E94" i="81"/>
  <c r="D94" i="81"/>
  <c r="C94" i="81"/>
  <c r="B94" i="81"/>
  <c r="H93" i="81"/>
  <c r="F93" i="81"/>
  <c r="E93" i="81"/>
  <c r="D93" i="81"/>
  <c r="C93" i="81"/>
  <c r="B93" i="81"/>
  <c r="H92" i="81"/>
  <c r="F92" i="81"/>
  <c r="E92" i="81"/>
  <c r="D92" i="81"/>
  <c r="C92" i="81"/>
  <c r="B92" i="81"/>
  <c r="H91" i="81"/>
  <c r="F91" i="81"/>
  <c r="E91" i="81"/>
  <c r="D91" i="81"/>
  <c r="C91" i="81"/>
  <c r="B91" i="81"/>
  <c r="H90" i="81"/>
  <c r="F90" i="81"/>
  <c r="E90" i="81"/>
  <c r="D90" i="81"/>
  <c r="C90" i="81"/>
  <c r="B90" i="81"/>
  <c r="I89" i="81"/>
  <c r="K89" i="81" s="1"/>
  <c r="I88" i="81"/>
  <c r="K88" i="81" s="1"/>
  <c r="I87" i="81"/>
  <c r="K87" i="81" s="1"/>
  <c r="H85" i="81"/>
  <c r="F85" i="81"/>
  <c r="E85" i="81"/>
  <c r="D85" i="81"/>
  <c r="C85" i="81"/>
  <c r="B85" i="81"/>
  <c r="H84" i="81"/>
  <c r="F84" i="81"/>
  <c r="E84" i="81"/>
  <c r="D84" i="81"/>
  <c r="C84" i="81"/>
  <c r="B84" i="81"/>
  <c r="H83" i="81"/>
  <c r="F83" i="81"/>
  <c r="E83" i="81"/>
  <c r="D83" i="81"/>
  <c r="C83" i="81"/>
  <c r="B83" i="81"/>
  <c r="H82" i="81"/>
  <c r="F82" i="81"/>
  <c r="E82" i="81"/>
  <c r="D82" i="81"/>
  <c r="C82" i="81"/>
  <c r="B82" i="81"/>
  <c r="H81" i="81"/>
  <c r="F81" i="81"/>
  <c r="E81" i="81"/>
  <c r="D81" i="81"/>
  <c r="C81" i="81"/>
  <c r="B81" i="81"/>
  <c r="H80" i="81"/>
  <c r="F80" i="81"/>
  <c r="E80" i="81"/>
  <c r="D80" i="81"/>
  <c r="C80" i="81"/>
  <c r="B80" i="81"/>
  <c r="H79" i="81"/>
  <c r="F79" i="81"/>
  <c r="E79" i="81"/>
  <c r="D79" i="81"/>
  <c r="C79" i="81"/>
  <c r="B79" i="81"/>
  <c r="H78" i="81"/>
  <c r="F78" i="81"/>
  <c r="E78" i="81"/>
  <c r="D78" i="81"/>
  <c r="C78" i="81"/>
  <c r="B78" i="81"/>
  <c r="H77" i="81"/>
  <c r="F77" i="81"/>
  <c r="E77" i="81"/>
  <c r="D77" i="81"/>
  <c r="C77" i="81"/>
  <c r="B77" i="81"/>
  <c r="H76" i="81"/>
  <c r="F76" i="81"/>
  <c r="E76" i="81"/>
  <c r="D76" i="81"/>
  <c r="C76" i="81"/>
  <c r="B76" i="81"/>
  <c r="H75" i="81"/>
  <c r="F75" i="81"/>
  <c r="E75" i="81"/>
  <c r="D75" i="81"/>
  <c r="C75" i="81"/>
  <c r="B75" i="81"/>
  <c r="H74" i="81"/>
  <c r="F74" i="81"/>
  <c r="E74" i="81"/>
  <c r="D74" i="81"/>
  <c r="C74" i="81"/>
  <c r="B74" i="81"/>
  <c r="H73" i="81"/>
  <c r="F73" i="81"/>
  <c r="E73" i="81"/>
  <c r="D73" i="81"/>
  <c r="C73" i="81"/>
  <c r="B73" i="81"/>
  <c r="H72" i="81"/>
  <c r="F72" i="81"/>
  <c r="E72" i="81"/>
  <c r="D72" i="81"/>
  <c r="C72" i="81"/>
  <c r="B72" i="81"/>
  <c r="H71" i="81"/>
  <c r="F71" i="81"/>
  <c r="E71" i="81"/>
  <c r="D71" i="81"/>
  <c r="C71" i="81"/>
  <c r="B71" i="81"/>
  <c r="I70" i="81"/>
  <c r="K70" i="81" s="1"/>
  <c r="I69" i="81"/>
  <c r="K69" i="81" s="1"/>
  <c r="I68" i="81"/>
  <c r="K68" i="81" s="1"/>
  <c r="H66" i="81"/>
  <c r="F66" i="81"/>
  <c r="E66" i="81"/>
  <c r="D66" i="81"/>
  <c r="C66" i="81"/>
  <c r="B66" i="81"/>
  <c r="H65" i="81"/>
  <c r="F65" i="81"/>
  <c r="E65" i="81"/>
  <c r="D65" i="81"/>
  <c r="C65" i="81"/>
  <c r="B65" i="81"/>
  <c r="H64" i="81"/>
  <c r="F64" i="81"/>
  <c r="E64" i="81"/>
  <c r="D64" i="81"/>
  <c r="C64" i="81"/>
  <c r="B64" i="81"/>
  <c r="H63" i="81"/>
  <c r="F63" i="81"/>
  <c r="E63" i="81"/>
  <c r="D63" i="81"/>
  <c r="C63" i="81"/>
  <c r="B63" i="81"/>
  <c r="H62" i="81"/>
  <c r="F62" i="81"/>
  <c r="E62" i="81"/>
  <c r="D62" i="81"/>
  <c r="C62" i="81"/>
  <c r="B62" i="81"/>
  <c r="H61" i="81"/>
  <c r="F61" i="81"/>
  <c r="E61" i="81"/>
  <c r="D61" i="81"/>
  <c r="C61" i="81"/>
  <c r="B61" i="81"/>
  <c r="H60" i="81"/>
  <c r="F60" i="81"/>
  <c r="E60" i="81"/>
  <c r="D60" i="81"/>
  <c r="C60" i="81"/>
  <c r="B60" i="81"/>
  <c r="H59" i="81"/>
  <c r="F59" i="81"/>
  <c r="E59" i="81"/>
  <c r="D59" i="81"/>
  <c r="C59" i="81"/>
  <c r="B59" i="81"/>
  <c r="H58" i="81"/>
  <c r="F58" i="81"/>
  <c r="E58" i="81"/>
  <c r="D58" i="81"/>
  <c r="C58" i="81"/>
  <c r="B58" i="81"/>
  <c r="H57" i="81"/>
  <c r="F57" i="81"/>
  <c r="E57" i="81"/>
  <c r="D57" i="81"/>
  <c r="C57" i="81"/>
  <c r="B57" i="81"/>
  <c r="H56" i="81"/>
  <c r="F56" i="81"/>
  <c r="E56" i="81"/>
  <c r="D56" i="81"/>
  <c r="C56" i="81"/>
  <c r="B56" i="81"/>
  <c r="H55" i="81"/>
  <c r="F55" i="81"/>
  <c r="E55" i="81"/>
  <c r="D55" i="81"/>
  <c r="C55" i="81"/>
  <c r="B55" i="81"/>
  <c r="H54" i="81"/>
  <c r="F54" i="81"/>
  <c r="E54" i="81"/>
  <c r="D54" i="81"/>
  <c r="C54" i="81"/>
  <c r="B54" i="81"/>
  <c r="H53" i="81"/>
  <c r="F53" i="81"/>
  <c r="E53" i="81"/>
  <c r="D53" i="81"/>
  <c r="C53" i="81"/>
  <c r="B53" i="81"/>
  <c r="H52" i="81"/>
  <c r="F52" i="81"/>
  <c r="E52" i="81"/>
  <c r="D52" i="81"/>
  <c r="C52" i="81"/>
  <c r="B52" i="81"/>
  <c r="I51" i="81"/>
  <c r="K51" i="81" s="1"/>
  <c r="I50" i="81"/>
  <c r="K50" i="81" s="1"/>
  <c r="I49" i="81"/>
  <c r="K49" i="81" s="1"/>
  <c r="H47" i="81"/>
  <c r="F47" i="81"/>
  <c r="E47" i="81"/>
  <c r="D47" i="81"/>
  <c r="C47" i="81"/>
  <c r="B47" i="81"/>
  <c r="H46" i="81"/>
  <c r="F46" i="81"/>
  <c r="E46" i="81"/>
  <c r="D46" i="81"/>
  <c r="C46" i="81"/>
  <c r="B46" i="81"/>
  <c r="H45" i="81"/>
  <c r="F45" i="81"/>
  <c r="E45" i="81"/>
  <c r="D45" i="81"/>
  <c r="C45" i="81"/>
  <c r="B45" i="81"/>
  <c r="H44" i="81"/>
  <c r="F44" i="81"/>
  <c r="E44" i="81"/>
  <c r="D44" i="81"/>
  <c r="C44" i="81"/>
  <c r="B44" i="81"/>
  <c r="H43" i="81"/>
  <c r="F43" i="81"/>
  <c r="E43" i="81"/>
  <c r="D43" i="81"/>
  <c r="C43" i="81"/>
  <c r="B43" i="81"/>
  <c r="H42" i="81"/>
  <c r="F42" i="81"/>
  <c r="E42" i="81"/>
  <c r="D42" i="81"/>
  <c r="C42" i="81"/>
  <c r="B42" i="81"/>
  <c r="H41" i="81"/>
  <c r="F41" i="81"/>
  <c r="E41" i="81"/>
  <c r="D41" i="81"/>
  <c r="C41" i="81"/>
  <c r="B41" i="81"/>
  <c r="H40" i="81"/>
  <c r="F40" i="81"/>
  <c r="E40" i="81"/>
  <c r="D40" i="81"/>
  <c r="C40" i="81"/>
  <c r="B40" i="81"/>
  <c r="H39" i="81"/>
  <c r="F39" i="81"/>
  <c r="E39" i="81"/>
  <c r="D39" i="81"/>
  <c r="C39" i="81"/>
  <c r="B39" i="81"/>
  <c r="H38" i="81"/>
  <c r="F38" i="81"/>
  <c r="E38" i="81"/>
  <c r="D38" i="81"/>
  <c r="C38" i="81"/>
  <c r="B38" i="81"/>
  <c r="H37" i="81"/>
  <c r="F37" i="81"/>
  <c r="E37" i="81"/>
  <c r="D37" i="81"/>
  <c r="C37" i="81"/>
  <c r="B37" i="81"/>
  <c r="H36" i="81"/>
  <c r="F36" i="81"/>
  <c r="E36" i="81"/>
  <c r="D36" i="81"/>
  <c r="C36" i="81"/>
  <c r="B36" i="81"/>
  <c r="H35" i="81"/>
  <c r="F35" i="81"/>
  <c r="E35" i="81"/>
  <c r="D35" i="81"/>
  <c r="C35" i="81"/>
  <c r="B35" i="81"/>
  <c r="H34" i="81"/>
  <c r="F34" i="81"/>
  <c r="E34" i="81"/>
  <c r="D34" i="81"/>
  <c r="C34" i="81"/>
  <c r="B34" i="81"/>
  <c r="H33" i="81"/>
  <c r="F33" i="81"/>
  <c r="E33" i="81"/>
  <c r="D33" i="81"/>
  <c r="C33" i="81"/>
  <c r="B33" i="81"/>
  <c r="I32" i="81"/>
  <c r="K32" i="81" s="1"/>
  <c r="I31" i="81"/>
  <c r="K31" i="81" s="1"/>
  <c r="I30" i="81"/>
  <c r="K30" i="81" s="1"/>
  <c r="G17" i="81"/>
  <c r="E17" i="81"/>
  <c r="D17" i="81"/>
  <c r="C17" i="81"/>
  <c r="B17" i="81"/>
  <c r="G16" i="81"/>
  <c r="E16" i="81"/>
  <c r="D16" i="81"/>
  <c r="C16" i="81"/>
  <c r="B16" i="81"/>
  <c r="G15" i="81"/>
  <c r="E15" i="81"/>
  <c r="D15" i="81"/>
  <c r="C15" i="81"/>
  <c r="B15" i="81"/>
  <c r="G14" i="81"/>
  <c r="G20" i="81" s="1"/>
  <c r="E14" i="81"/>
  <c r="E20" i="81" s="1"/>
  <c r="D14" i="81"/>
  <c r="D20" i="81" s="1"/>
  <c r="C14" i="81"/>
  <c r="C20" i="81" s="1"/>
  <c r="B14" i="81"/>
  <c r="B20" i="81" s="1"/>
  <c r="G13" i="81"/>
  <c r="G19" i="81" s="1"/>
  <c r="E13" i="81"/>
  <c r="E19" i="81" s="1"/>
  <c r="D13" i="81"/>
  <c r="D19" i="81" s="1"/>
  <c r="C13" i="81"/>
  <c r="C19" i="81" s="1"/>
  <c r="B13" i="81"/>
  <c r="B19" i="81" s="1"/>
  <c r="G12" i="81"/>
  <c r="G18" i="81" s="1"/>
  <c r="E12" i="81"/>
  <c r="E18" i="81" s="1"/>
  <c r="D12" i="81"/>
  <c r="D18" i="81" s="1"/>
  <c r="C12" i="81"/>
  <c r="C18" i="81" s="1"/>
  <c r="B12" i="81"/>
  <c r="B18" i="81" s="1"/>
  <c r="H11" i="81"/>
  <c r="J11" i="81" s="1"/>
  <c r="H10" i="81"/>
  <c r="J10" i="81" s="1"/>
  <c r="H9" i="81"/>
  <c r="J9" i="81" s="1"/>
  <c r="D201" i="82" l="1"/>
  <c r="H182" i="82"/>
  <c r="F182" i="82"/>
  <c r="A201" i="82"/>
  <c r="C182" i="82"/>
  <c r="C201" i="82"/>
  <c r="H201" i="82"/>
  <c r="F401" i="81"/>
  <c r="B182" i="82"/>
  <c r="E182" i="82"/>
  <c r="D182" i="82"/>
  <c r="B201" i="82"/>
  <c r="E201" i="82"/>
  <c r="A182" i="82"/>
  <c r="F201" i="82"/>
  <c r="B420" i="81"/>
  <c r="H420" i="81"/>
  <c r="A401" i="81"/>
  <c r="E420" i="81"/>
  <c r="D401" i="81"/>
  <c r="I59" i="81"/>
  <c r="K59" i="81" s="1"/>
  <c r="I61" i="81"/>
  <c r="K61" i="81" s="1"/>
  <c r="I90" i="81"/>
  <c r="K90" i="81" s="1"/>
  <c r="I92" i="81"/>
  <c r="K92" i="81" s="1"/>
  <c r="I168" i="81"/>
  <c r="K168" i="81" s="1"/>
  <c r="I170" i="81"/>
  <c r="K170" i="81" s="1"/>
  <c r="I172" i="81"/>
  <c r="K172" i="81" s="1"/>
  <c r="I174" i="81"/>
  <c r="K174" i="81" s="1"/>
  <c r="I176" i="81"/>
  <c r="K176" i="81" s="1"/>
  <c r="C401" i="81"/>
  <c r="D420" i="81"/>
  <c r="B401" i="81"/>
  <c r="F420" i="81"/>
  <c r="A420" i="81"/>
  <c r="E401" i="81"/>
  <c r="C420" i="81"/>
  <c r="H401" i="81"/>
  <c r="I58" i="81"/>
  <c r="K58" i="81" s="1"/>
  <c r="I167" i="81"/>
  <c r="K167" i="81" s="1"/>
  <c r="I171" i="81"/>
  <c r="K171" i="81" s="1"/>
  <c r="I175" i="81"/>
  <c r="K175" i="81" s="1"/>
  <c r="I56" i="81"/>
  <c r="K56" i="81" s="1"/>
  <c r="I103" i="81"/>
  <c r="K103" i="81" s="1"/>
  <c r="I62" i="81"/>
  <c r="K62" i="81" s="1"/>
  <c r="I93" i="81"/>
  <c r="K93" i="81" s="1"/>
  <c r="I97" i="81"/>
  <c r="K97" i="81" s="1"/>
  <c r="I180" i="81"/>
  <c r="K180" i="81" s="1"/>
  <c r="I109" i="81"/>
  <c r="K109" i="81" s="1"/>
  <c r="I111" i="81"/>
  <c r="K111" i="81" s="1"/>
  <c r="I113" i="81"/>
  <c r="K113" i="81" s="1"/>
  <c r="I115" i="81"/>
  <c r="K115" i="81" s="1"/>
  <c r="I117" i="81"/>
  <c r="K117" i="81" s="1"/>
  <c r="I119" i="81"/>
  <c r="K119" i="81" s="1"/>
  <c r="I121" i="81"/>
  <c r="K121" i="81" s="1"/>
  <c r="I123" i="81"/>
  <c r="K123" i="81" s="1"/>
  <c r="I130" i="81"/>
  <c r="K130" i="81" s="1"/>
  <c r="I134" i="81"/>
  <c r="K134" i="81" s="1"/>
  <c r="I136" i="81"/>
  <c r="K136" i="81" s="1"/>
  <c r="I140" i="81"/>
  <c r="K140" i="81" s="1"/>
  <c r="H17" i="81"/>
  <c r="J17" i="81" s="1"/>
  <c r="I53" i="81"/>
  <c r="K53" i="81" s="1"/>
  <c r="I101" i="81"/>
  <c r="K101" i="81" s="1"/>
  <c r="I128" i="81"/>
  <c r="K128" i="81" s="1"/>
  <c r="I132" i="81"/>
  <c r="K132" i="81" s="1"/>
  <c r="I173" i="81"/>
  <c r="K173" i="81" s="1"/>
  <c r="H16" i="81"/>
  <c r="J16" i="81" s="1"/>
  <c r="I54" i="81"/>
  <c r="K54" i="81" s="1"/>
  <c r="I64" i="81"/>
  <c r="K64" i="81" s="1"/>
  <c r="I66" i="81"/>
  <c r="K66" i="81" s="1"/>
  <c r="I95" i="81"/>
  <c r="K95" i="81" s="1"/>
  <c r="I98" i="81"/>
  <c r="K98" i="81" s="1"/>
  <c r="I100" i="81"/>
  <c r="K100" i="81" s="1"/>
  <c r="I129" i="81"/>
  <c r="K129" i="81" s="1"/>
  <c r="I131" i="81"/>
  <c r="K131" i="81" s="1"/>
  <c r="I133" i="81"/>
  <c r="K133" i="81" s="1"/>
  <c r="I135" i="81"/>
  <c r="K135" i="81" s="1"/>
  <c r="I142" i="81"/>
  <c r="K142" i="81" s="1"/>
  <c r="H14" i="81"/>
  <c r="J14" i="81" s="1"/>
  <c r="I33" i="81"/>
  <c r="K33" i="81" s="1"/>
  <c r="I35" i="81"/>
  <c r="K35" i="81" s="1"/>
  <c r="I37" i="81"/>
  <c r="K37" i="81" s="1"/>
  <c r="I39" i="81"/>
  <c r="K39" i="81" s="1"/>
  <c r="I41" i="81"/>
  <c r="K41" i="81" s="1"/>
  <c r="I43" i="81"/>
  <c r="K43" i="81" s="1"/>
  <c r="I45" i="81"/>
  <c r="K45" i="81" s="1"/>
  <c r="I47" i="81"/>
  <c r="K47" i="81" s="1"/>
  <c r="I52" i="81"/>
  <c r="K52" i="81" s="1"/>
  <c r="I55" i="81"/>
  <c r="K55" i="81" s="1"/>
  <c r="I57" i="81"/>
  <c r="K57" i="81" s="1"/>
  <c r="I91" i="81"/>
  <c r="K91" i="81" s="1"/>
  <c r="I94" i="81"/>
  <c r="K94" i="81" s="1"/>
  <c r="I96" i="81"/>
  <c r="K96" i="81" s="1"/>
  <c r="I169" i="81"/>
  <c r="K169" i="81" s="1"/>
  <c r="H13" i="81"/>
  <c r="J13" i="81" s="1"/>
  <c r="I110" i="81"/>
  <c r="K110" i="81" s="1"/>
  <c r="I112" i="81"/>
  <c r="K112" i="81" s="1"/>
  <c r="I114" i="81"/>
  <c r="K114" i="81" s="1"/>
  <c r="I116" i="81"/>
  <c r="K116" i="81" s="1"/>
  <c r="I118" i="81"/>
  <c r="K118" i="81" s="1"/>
  <c r="I120" i="81"/>
  <c r="K120" i="81" s="1"/>
  <c r="I122" i="81"/>
  <c r="K122" i="81" s="1"/>
  <c r="I137" i="81"/>
  <c r="K137" i="81" s="1"/>
  <c r="I139" i="81"/>
  <c r="K139" i="81" s="1"/>
  <c r="H12" i="81"/>
  <c r="J12" i="81" s="1"/>
  <c r="H15" i="81"/>
  <c r="J15" i="81" s="1"/>
  <c r="I34" i="81"/>
  <c r="K34" i="81" s="1"/>
  <c r="I36" i="81"/>
  <c r="K36" i="81" s="1"/>
  <c r="I38" i="81"/>
  <c r="K38" i="81" s="1"/>
  <c r="I40" i="81"/>
  <c r="K40" i="81" s="1"/>
  <c r="I42" i="81"/>
  <c r="K42" i="81" s="1"/>
  <c r="I44" i="81"/>
  <c r="K44" i="81" s="1"/>
  <c r="I46" i="81"/>
  <c r="K46" i="81" s="1"/>
  <c r="I60" i="81"/>
  <c r="K60" i="81" s="1"/>
  <c r="I63" i="81"/>
  <c r="K63" i="81" s="1"/>
  <c r="I65" i="81"/>
  <c r="K65" i="81" s="1"/>
  <c r="I99" i="81"/>
  <c r="K99" i="81" s="1"/>
  <c r="I102" i="81"/>
  <c r="K102" i="81" s="1"/>
  <c r="I104" i="81"/>
  <c r="K104" i="81" s="1"/>
  <c r="I138" i="81"/>
  <c r="K138" i="81" s="1"/>
  <c r="I141" i="81"/>
  <c r="K141" i="81" s="1"/>
  <c r="I166" i="81"/>
  <c r="K166" i="81" s="1"/>
  <c r="H18" i="81"/>
  <c r="J18" i="81" s="1"/>
  <c r="I72" i="81"/>
  <c r="K72" i="81" s="1"/>
  <c r="I74" i="81"/>
  <c r="K74" i="81" s="1"/>
  <c r="I76" i="81"/>
  <c r="K76" i="81" s="1"/>
  <c r="I78" i="81"/>
  <c r="K78" i="81" s="1"/>
  <c r="I80" i="81"/>
  <c r="K80" i="81" s="1"/>
  <c r="I82" i="81"/>
  <c r="K82" i="81" s="1"/>
  <c r="I84" i="81"/>
  <c r="K84" i="81" s="1"/>
  <c r="I147" i="81"/>
  <c r="K147" i="81" s="1"/>
  <c r="I149" i="81"/>
  <c r="K149" i="81" s="1"/>
  <c r="I151" i="81"/>
  <c r="K151" i="81" s="1"/>
  <c r="I153" i="81"/>
  <c r="K153" i="81" s="1"/>
  <c r="I155" i="81"/>
  <c r="K155" i="81" s="1"/>
  <c r="I157" i="81"/>
  <c r="K157" i="81" s="1"/>
  <c r="I159" i="81"/>
  <c r="K159" i="81" s="1"/>
  <c r="I161" i="81"/>
  <c r="K161" i="81" s="1"/>
  <c r="I178" i="81"/>
  <c r="K178" i="81" s="1"/>
  <c r="H20" i="81"/>
  <c r="J20" i="81" s="1"/>
  <c r="I71" i="81"/>
  <c r="K71" i="81" s="1"/>
  <c r="I73" i="81"/>
  <c r="K73" i="81" s="1"/>
  <c r="I75" i="81"/>
  <c r="K75" i="81" s="1"/>
  <c r="I77" i="81"/>
  <c r="K77" i="81" s="1"/>
  <c r="I79" i="81"/>
  <c r="K79" i="81" s="1"/>
  <c r="I81" i="81"/>
  <c r="K81" i="81" s="1"/>
  <c r="I83" i="81"/>
  <c r="K83" i="81" s="1"/>
  <c r="I85" i="81"/>
  <c r="K85" i="81" s="1"/>
  <c r="I148" i="81"/>
  <c r="K148" i="81" s="1"/>
  <c r="I150" i="81"/>
  <c r="K150" i="81" s="1"/>
  <c r="I152" i="81"/>
  <c r="K152" i="81" s="1"/>
  <c r="I154" i="81"/>
  <c r="K154" i="81" s="1"/>
  <c r="I156" i="81"/>
  <c r="K156" i="81" s="1"/>
  <c r="I158" i="81"/>
  <c r="K158" i="81" s="1"/>
  <c r="I160" i="81"/>
  <c r="K160" i="81" s="1"/>
  <c r="I177" i="81"/>
  <c r="K177" i="81" s="1"/>
  <c r="I179" i="81"/>
  <c r="K179" i="81" s="1"/>
  <c r="H19" i="81"/>
  <c r="J19" i="81" s="1"/>
  <c r="K1932" i="80"/>
  <c r="I1932" i="80"/>
  <c r="H1932" i="80"/>
  <c r="G1932" i="80"/>
  <c r="F1932" i="80"/>
  <c r="B1932" i="80"/>
  <c r="K1931" i="80"/>
  <c r="I1931" i="80"/>
  <c r="H1931" i="80"/>
  <c r="G1931" i="80"/>
  <c r="F1931" i="80"/>
  <c r="B1931" i="80"/>
  <c r="K1930" i="80"/>
  <c r="I1930" i="80"/>
  <c r="H1930" i="80"/>
  <c r="G1930" i="80"/>
  <c r="F1930" i="80"/>
  <c r="B1930" i="80"/>
  <c r="K1929" i="80"/>
  <c r="I1929" i="80"/>
  <c r="H1929" i="80"/>
  <c r="G1929" i="80"/>
  <c r="F1929" i="80"/>
  <c r="B1929" i="80"/>
  <c r="K1928" i="80"/>
  <c r="I1928" i="80"/>
  <c r="H1928" i="80"/>
  <c r="G1928" i="80"/>
  <c r="F1928" i="80"/>
  <c r="B1928" i="80"/>
  <c r="K1927" i="80"/>
  <c r="I1927" i="80"/>
  <c r="H1927" i="80"/>
  <c r="G1927" i="80"/>
  <c r="F1927" i="80"/>
  <c r="B1927" i="80"/>
  <c r="K1926" i="80"/>
  <c r="I1926" i="80"/>
  <c r="H1926" i="80"/>
  <c r="G1926" i="80"/>
  <c r="F1926" i="80"/>
  <c r="B1926" i="80"/>
  <c r="K1925" i="80"/>
  <c r="I1925" i="80"/>
  <c r="H1925" i="80"/>
  <c r="G1925" i="80"/>
  <c r="F1925" i="80"/>
  <c r="B1925" i="80"/>
  <c r="K1924" i="80"/>
  <c r="I1924" i="80"/>
  <c r="H1924" i="80"/>
  <c r="G1924" i="80"/>
  <c r="F1924" i="80"/>
  <c r="B1924" i="80"/>
  <c r="K1923" i="80"/>
  <c r="I1923" i="80"/>
  <c r="H1923" i="80"/>
  <c r="G1923" i="80"/>
  <c r="F1923" i="80"/>
  <c r="B1923" i="80"/>
  <c r="K1922" i="80"/>
  <c r="I1922" i="80"/>
  <c r="H1922" i="80"/>
  <c r="G1922" i="80"/>
  <c r="F1922" i="80"/>
  <c r="B1922" i="80"/>
  <c r="K1921" i="80"/>
  <c r="I1921" i="80"/>
  <c r="H1921" i="80"/>
  <c r="G1921" i="80"/>
  <c r="F1921" i="80"/>
  <c r="B1921" i="80"/>
  <c r="K1920" i="80"/>
  <c r="I1920" i="80"/>
  <c r="H1920" i="80"/>
  <c r="G1920" i="80"/>
  <c r="F1920" i="80"/>
  <c r="B1920" i="80"/>
  <c r="K1919" i="80"/>
  <c r="I1919" i="80"/>
  <c r="H1919" i="80"/>
  <c r="G1919" i="80"/>
  <c r="F1919" i="80"/>
  <c r="B1919" i="80"/>
  <c r="K1918" i="80"/>
  <c r="I1918" i="80"/>
  <c r="H1918" i="80"/>
  <c r="G1918" i="80"/>
  <c r="F1918" i="80"/>
  <c r="B1918" i="80"/>
  <c r="L1917" i="80"/>
  <c r="N1917" i="80" s="1"/>
  <c r="L1916" i="80"/>
  <c r="N1916" i="80" s="1"/>
  <c r="L1915" i="80"/>
  <c r="N1915" i="80" s="1"/>
  <c r="K1913" i="80"/>
  <c r="I1913" i="80"/>
  <c r="H1913" i="80"/>
  <c r="G1913" i="80"/>
  <c r="F1913" i="80"/>
  <c r="B1913" i="80"/>
  <c r="K1912" i="80"/>
  <c r="I1912" i="80"/>
  <c r="H1912" i="80"/>
  <c r="G1912" i="80"/>
  <c r="F1912" i="80"/>
  <c r="B1912" i="80"/>
  <c r="K1911" i="80"/>
  <c r="I1911" i="80"/>
  <c r="H1911" i="80"/>
  <c r="G1911" i="80"/>
  <c r="F1911" i="80"/>
  <c r="B1911" i="80"/>
  <c r="K1910" i="80"/>
  <c r="I1910" i="80"/>
  <c r="H1910" i="80"/>
  <c r="G1910" i="80"/>
  <c r="F1910" i="80"/>
  <c r="B1910" i="80"/>
  <c r="K1909" i="80"/>
  <c r="I1909" i="80"/>
  <c r="H1909" i="80"/>
  <c r="G1909" i="80"/>
  <c r="F1909" i="80"/>
  <c r="B1909" i="80"/>
  <c r="K1908" i="80"/>
  <c r="I1908" i="80"/>
  <c r="H1908" i="80"/>
  <c r="G1908" i="80"/>
  <c r="F1908" i="80"/>
  <c r="B1908" i="80"/>
  <c r="K1907" i="80"/>
  <c r="I1907" i="80"/>
  <c r="H1907" i="80"/>
  <c r="G1907" i="80"/>
  <c r="F1907" i="80"/>
  <c r="B1907" i="80"/>
  <c r="K1906" i="80"/>
  <c r="I1906" i="80"/>
  <c r="H1906" i="80"/>
  <c r="G1906" i="80"/>
  <c r="F1906" i="80"/>
  <c r="B1906" i="80"/>
  <c r="K1905" i="80"/>
  <c r="I1905" i="80"/>
  <c r="H1905" i="80"/>
  <c r="G1905" i="80"/>
  <c r="F1905" i="80"/>
  <c r="B1905" i="80"/>
  <c r="K1904" i="80"/>
  <c r="I1904" i="80"/>
  <c r="H1904" i="80"/>
  <c r="G1904" i="80"/>
  <c r="F1904" i="80"/>
  <c r="B1904" i="80"/>
  <c r="K1903" i="80"/>
  <c r="I1903" i="80"/>
  <c r="H1903" i="80"/>
  <c r="G1903" i="80"/>
  <c r="F1903" i="80"/>
  <c r="B1903" i="80"/>
  <c r="K1902" i="80"/>
  <c r="I1902" i="80"/>
  <c r="H1902" i="80"/>
  <c r="G1902" i="80"/>
  <c r="F1902" i="80"/>
  <c r="B1902" i="80"/>
  <c r="K1901" i="80"/>
  <c r="I1901" i="80"/>
  <c r="H1901" i="80"/>
  <c r="G1901" i="80"/>
  <c r="F1901" i="80"/>
  <c r="B1901" i="80"/>
  <c r="K1900" i="80"/>
  <c r="I1900" i="80"/>
  <c r="H1900" i="80"/>
  <c r="G1900" i="80"/>
  <c r="F1900" i="80"/>
  <c r="B1900" i="80"/>
  <c r="K1899" i="80"/>
  <c r="I1899" i="80"/>
  <c r="H1899" i="80"/>
  <c r="G1899" i="80"/>
  <c r="F1899" i="80"/>
  <c r="B1899" i="80"/>
  <c r="L1898" i="80"/>
  <c r="N1898" i="80" s="1"/>
  <c r="L1897" i="80"/>
  <c r="N1897" i="80" s="1"/>
  <c r="L1896" i="80"/>
  <c r="N1896" i="80" s="1"/>
  <c r="K1894" i="80"/>
  <c r="I1894" i="80"/>
  <c r="H1894" i="80"/>
  <c r="G1894" i="80"/>
  <c r="F1894" i="80"/>
  <c r="B1894" i="80"/>
  <c r="K1893" i="80"/>
  <c r="I1893" i="80"/>
  <c r="H1893" i="80"/>
  <c r="G1893" i="80"/>
  <c r="F1893" i="80"/>
  <c r="B1893" i="80"/>
  <c r="K1892" i="80"/>
  <c r="I1892" i="80"/>
  <c r="H1892" i="80"/>
  <c r="G1892" i="80"/>
  <c r="F1892" i="80"/>
  <c r="B1892" i="80"/>
  <c r="K1891" i="80"/>
  <c r="I1891" i="80"/>
  <c r="H1891" i="80"/>
  <c r="G1891" i="80"/>
  <c r="F1891" i="80"/>
  <c r="B1891" i="80"/>
  <c r="K1890" i="80"/>
  <c r="I1890" i="80"/>
  <c r="H1890" i="80"/>
  <c r="G1890" i="80"/>
  <c r="F1890" i="80"/>
  <c r="B1890" i="80"/>
  <c r="K1889" i="80"/>
  <c r="I1889" i="80"/>
  <c r="H1889" i="80"/>
  <c r="G1889" i="80"/>
  <c r="F1889" i="80"/>
  <c r="B1889" i="80"/>
  <c r="K1888" i="80"/>
  <c r="I1888" i="80"/>
  <c r="H1888" i="80"/>
  <c r="G1888" i="80"/>
  <c r="F1888" i="80"/>
  <c r="B1888" i="80"/>
  <c r="K1887" i="80"/>
  <c r="I1887" i="80"/>
  <c r="H1887" i="80"/>
  <c r="G1887" i="80"/>
  <c r="F1887" i="80"/>
  <c r="B1887" i="80"/>
  <c r="K1886" i="80"/>
  <c r="I1886" i="80"/>
  <c r="H1886" i="80"/>
  <c r="G1886" i="80"/>
  <c r="F1886" i="80"/>
  <c r="B1886" i="80"/>
  <c r="K1885" i="80"/>
  <c r="I1885" i="80"/>
  <c r="H1885" i="80"/>
  <c r="G1885" i="80"/>
  <c r="F1885" i="80"/>
  <c r="B1885" i="80"/>
  <c r="K1884" i="80"/>
  <c r="I1884" i="80"/>
  <c r="H1884" i="80"/>
  <c r="G1884" i="80"/>
  <c r="F1884" i="80"/>
  <c r="B1884" i="80"/>
  <c r="K1883" i="80"/>
  <c r="I1883" i="80"/>
  <c r="H1883" i="80"/>
  <c r="G1883" i="80"/>
  <c r="F1883" i="80"/>
  <c r="B1883" i="80"/>
  <c r="K1882" i="80"/>
  <c r="I1882" i="80"/>
  <c r="H1882" i="80"/>
  <c r="G1882" i="80"/>
  <c r="F1882" i="80"/>
  <c r="B1882" i="80"/>
  <c r="K1881" i="80"/>
  <c r="I1881" i="80"/>
  <c r="H1881" i="80"/>
  <c r="G1881" i="80"/>
  <c r="F1881" i="80"/>
  <c r="B1881" i="80"/>
  <c r="K1880" i="80"/>
  <c r="I1880" i="80"/>
  <c r="H1880" i="80"/>
  <c r="G1880" i="80"/>
  <c r="F1880" i="80"/>
  <c r="B1880" i="80"/>
  <c r="L1879" i="80"/>
  <c r="N1879" i="80" s="1"/>
  <c r="L1878" i="80"/>
  <c r="N1878" i="80" s="1"/>
  <c r="L1877" i="80"/>
  <c r="N1877" i="80" s="1"/>
  <c r="K1875" i="80"/>
  <c r="I1875" i="80"/>
  <c r="H1875" i="80"/>
  <c r="G1875" i="80"/>
  <c r="F1875" i="80"/>
  <c r="B1875" i="80"/>
  <c r="K1874" i="80"/>
  <c r="I1874" i="80"/>
  <c r="H1874" i="80"/>
  <c r="G1874" i="80"/>
  <c r="F1874" i="80"/>
  <c r="B1874" i="80"/>
  <c r="K1873" i="80"/>
  <c r="I1873" i="80"/>
  <c r="H1873" i="80"/>
  <c r="G1873" i="80"/>
  <c r="F1873" i="80"/>
  <c r="B1873" i="80"/>
  <c r="K1872" i="80"/>
  <c r="I1872" i="80"/>
  <c r="H1872" i="80"/>
  <c r="G1872" i="80"/>
  <c r="F1872" i="80"/>
  <c r="B1872" i="80"/>
  <c r="K1871" i="80"/>
  <c r="I1871" i="80"/>
  <c r="H1871" i="80"/>
  <c r="G1871" i="80"/>
  <c r="F1871" i="80"/>
  <c r="B1871" i="80"/>
  <c r="K1870" i="80"/>
  <c r="I1870" i="80"/>
  <c r="H1870" i="80"/>
  <c r="G1870" i="80"/>
  <c r="F1870" i="80"/>
  <c r="B1870" i="80"/>
  <c r="K1869" i="80"/>
  <c r="I1869" i="80"/>
  <c r="H1869" i="80"/>
  <c r="G1869" i="80"/>
  <c r="F1869" i="80"/>
  <c r="B1869" i="80"/>
  <c r="K1868" i="80"/>
  <c r="I1868" i="80"/>
  <c r="H1868" i="80"/>
  <c r="G1868" i="80"/>
  <c r="F1868" i="80"/>
  <c r="B1868" i="80"/>
  <c r="K1867" i="80"/>
  <c r="I1867" i="80"/>
  <c r="H1867" i="80"/>
  <c r="G1867" i="80"/>
  <c r="F1867" i="80"/>
  <c r="B1867" i="80"/>
  <c r="K1866" i="80"/>
  <c r="I1866" i="80"/>
  <c r="H1866" i="80"/>
  <c r="G1866" i="80"/>
  <c r="F1866" i="80"/>
  <c r="B1866" i="80"/>
  <c r="K1865" i="80"/>
  <c r="I1865" i="80"/>
  <c r="H1865" i="80"/>
  <c r="G1865" i="80"/>
  <c r="F1865" i="80"/>
  <c r="B1865" i="80"/>
  <c r="K1864" i="80"/>
  <c r="I1864" i="80"/>
  <c r="H1864" i="80"/>
  <c r="G1864" i="80"/>
  <c r="F1864" i="80"/>
  <c r="B1864" i="80"/>
  <c r="K1863" i="80"/>
  <c r="I1863" i="80"/>
  <c r="H1863" i="80"/>
  <c r="G1863" i="80"/>
  <c r="F1863" i="80"/>
  <c r="B1863" i="80"/>
  <c r="K1862" i="80"/>
  <c r="I1862" i="80"/>
  <c r="H1862" i="80"/>
  <c r="G1862" i="80"/>
  <c r="F1862" i="80"/>
  <c r="B1862" i="80"/>
  <c r="K1861" i="80"/>
  <c r="I1861" i="80"/>
  <c r="H1861" i="80"/>
  <c r="G1861" i="80"/>
  <c r="F1861" i="80"/>
  <c r="B1861" i="80"/>
  <c r="L1860" i="80"/>
  <c r="N1860" i="80" s="1"/>
  <c r="L1859" i="80"/>
  <c r="N1859" i="80" s="1"/>
  <c r="L1858" i="80"/>
  <c r="N1858" i="80" s="1"/>
  <c r="K1856" i="80"/>
  <c r="I1856" i="80"/>
  <c r="H1856" i="80"/>
  <c r="G1856" i="80"/>
  <c r="F1856" i="80"/>
  <c r="B1856" i="80"/>
  <c r="K1855" i="80"/>
  <c r="I1855" i="80"/>
  <c r="H1855" i="80"/>
  <c r="G1855" i="80"/>
  <c r="F1855" i="80"/>
  <c r="B1855" i="80"/>
  <c r="K1854" i="80"/>
  <c r="I1854" i="80"/>
  <c r="H1854" i="80"/>
  <c r="G1854" i="80"/>
  <c r="F1854" i="80"/>
  <c r="B1854" i="80"/>
  <c r="K1853" i="80"/>
  <c r="I1853" i="80"/>
  <c r="H1853" i="80"/>
  <c r="G1853" i="80"/>
  <c r="F1853" i="80"/>
  <c r="B1853" i="80"/>
  <c r="K1852" i="80"/>
  <c r="I1852" i="80"/>
  <c r="H1852" i="80"/>
  <c r="G1852" i="80"/>
  <c r="F1852" i="80"/>
  <c r="B1852" i="80"/>
  <c r="K1851" i="80"/>
  <c r="I1851" i="80"/>
  <c r="H1851" i="80"/>
  <c r="G1851" i="80"/>
  <c r="F1851" i="80"/>
  <c r="B1851" i="80"/>
  <c r="K1850" i="80"/>
  <c r="I1850" i="80"/>
  <c r="H1850" i="80"/>
  <c r="G1850" i="80"/>
  <c r="F1850" i="80"/>
  <c r="B1850" i="80"/>
  <c r="K1849" i="80"/>
  <c r="I1849" i="80"/>
  <c r="H1849" i="80"/>
  <c r="G1849" i="80"/>
  <c r="F1849" i="80"/>
  <c r="B1849" i="80"/>
  <c r="K1848" i="80"/>
  <c r="I1848" i="80"/>
  <c r="H1848" i="80"/>
  <c r="G1848" i="80"/>
  <c r="F1848" i="80"/>
  <c r="B1848" i="80"/>
  <c r="K1847" i="80"/>
  <c r="I1847" i="80"/>
  <c r="H1847" i="80"/>
  <c r="G1847" i="80"/>
  <c r="F1847" i="80"/>
  <c r="B1847" i="80"/>
  <c r="K1846" i="80"/>
  <c r="I1846" i="80"/>
  <c r="H1846" i="80"/>
  <c r="G1846" i="80"/>
  <c r="F1846" i="80"/>
  <c r="B1846" i="80"/>
  <c r="K1845" i="80"/>
  <c r="I1845" i="80"/>
  <c r="H1845" i="80"/>
  <c r="G1845" i="80"/>
  <c r="F1845" i="80"/>
  <c r="B1845" i="80"/>
  <c r="K1844" i="80"/>
  <c r="I1844" i="80"/>
  <c r="H1844" i="80"/>
  <c r="G1844" i="80"/>
  <c r="F1844" i="80"/>
  <c r="B1844" i="80"/>
  <c r="K1843" i="80"/>
  <c r="I1843" i="80"/>
  <c r="H1843" i="80"/>
  <c r="G1843" i="80"/>
  <c r="F1843" i="80"/>
  <c r="B1843" i="80"/>
  <c r="K1842" i="80"/>
  <c r="I1842" i="80"/>
  <c r="H1842" i="80"/>
  <c r="G1842" i="80"/>
  <c r="F1842" i="80"/>
  <c r="B1842" i="80"/>
  <c r="L1841" i="80"/>
  <c r="N1841" i="80" s="1"/>
  <c r="L1840" i="80"/>
  <c r="N1840" i="80" s="1"/>
  <c r="L1839" i="80"/>
  <c r="N1839" i="80" s="1"/>
  <c r="K1837" i="80"/>
  <c r="I1837" i="80"/>
  <c r="H1837" i="80"/>
  <c r="G1837" i="80"/>
  <c r="F1837" i="80"/>
  <c r="B1837" i="80"/>
  <c r="K1836" i="80"/>
  <c r="I1836" i="80"/>
  <c r="H1836" i="80"/>
  <c r="G1836" i="80"/>
  <c r="F1836" i="80"/>
  <c r="B1836" i="80"/>
  <c r="K1835" i="80"/>
  <c r="I1835" i="80"/>
  <c r="H1835" i="80"/>
  <c r="G1835" i="80"/>
  <c r="F1835" i="80"/>
  <c r="B1835" i="80"/>
  <c r="K1834" i="80"/>
  <c r="I1834" i="80"/>
  <c r="H1834" i="80"/>
  <c r="G1834" i="80"/>
  <c r="F1834" i="80"/>
  <c r="B1834" i="80"/>
  <c r="K1833" i="80"/>
  <c r="I1833" i="80"/>
  <c r="H1833" i="80"/>
  <c r="G1833" i="80"/>
  <c r="F1833" i="80"/>
  <c r="B1833" i="80"/>
  <c r="K1832" i="80"/>
  <c r="I1832" i="80"/>
  <c r="H1832" i="80"/>
  <c r="G1832" i="80"/>
  <c r="F1832" i="80"/>
  <c r="B1832" i="80"/>
  <c r="K1831" i="80"/>
  <c r="I1831" i="80"/>
  <c r="H1831" i="80"/>
  <c r="G1831" i="80"/>
  <c r="F1831" i="80"/>
  <c r="B1831" i="80"/>
  <c r="K1830" i="80"/>
  <c r="I1830" i="80"/>
  <c r="H1830" i="80"/>
  <c r="G1830" i="80"/>
  <c r="F1830" i="80"/>
  <c r="B1830" i="80"/>
  <c r="K1829" i="80"/>
  <c r="I1829" i="80"/>
  <c r="H1829" i="80"/>
  <c r="G1829" i="80"/>
  <c r="F1829" i="80"/>
  <c r="B1829" i="80"/>
  <c r="K1828" i="80"/>
  <c r="I1828" i="80"/>
  <c r="H1828" i="80"/>
  <c r="G1828" i="80"/>
  <c r="F1828" i="80"/>
  <c r="B1828" i="80"/>
  <c r="K1827" i="80"/>
  <c r="I1827" i="80"/>
  <c r="H1827" i="80"/>
  <c r="G1827" i="80"/>
  <c r="F1827" i="80"/>
  <c r="B1827" i="80"/>
  <c r="K1826" i="80"/>
  <c r="I1826" i="80"/>
  <c r="H1826" i="80"/>
  <c r="G1826" i="80"/>
  <c r="F1826" i="80"/>
  <c r="B1826" i="80"/>
  <c r="K1825" i="80"/>
  <c r="I1825" i="80"/>
  <c r="H1825" i="80"/>
  <c r="G1825" i="80"/>
  <c r="F1825" i="80"/>
  <c r="B1825" i="80"/>
  <c r="K1824" i="80"/>
  <c r="I1824" i="80"/>
  <c r="H1824" i="80"/>
  <c r="G1824" i="80"/>
  <c r="F1824" i="80"/>
  <c r="B1824" i="80"/>
  <c r="K1823" i="80"/>
  <c r="I1823" i="80"/>
  <c r="H1823" i="80"/>
  <c r="G1823" i="80"/>
  <c r="F1823" i="80"/>
  <c r="B1823" i="80"/>
  <c r="L1822" i="80"/>
  <c r="N1822" i="80" s="1"/>
  <c r="L1821" i="80"/>
  <c r="N1821" i="80" s="1"/>
  <c r="L1820" i="80"/>
  <c r="N1820" i="80" s="1"/>
  <c r="K1818" i="80"/>
  <c r="I1818" i="80"/>
  <c r="H1818" i="80"/>
  <c r="G1818" i="80"/>
  <c r="F1818" i="80"/>
  <c r="B1818" i="80"/>
  <c r="K1817" i="80"/>
  <c r="I1817" i="80"/>
  <c r="H1817" i="80"/>
  <c r="G1817" i="80"/>
  <c r="F1817" i="80"/>
  <c r="B1817" i="80"/>
  <c r="K1816" i="80"/>
  <c r="I1816" i="80"/>
  <c r="H1816" i="80"/>
  <c r="G1816" i="80"/>
  <c r="F1816" i="80"/>
  <c r="B1816" i="80"/>
  <c r="K1815" i="80"/>
  <c r="I1815" i="80"/>
  <c r="H1815" i="80"/>
  <c r="G1815" i="80"/>
  <c r="F1815" i="80"/>
  <c r="B1815" i="80"/>
  <c r="K1814" i="80"/>
  <c r="I1814" i="80"/>
  <c r="H1814" i="80"/>
  <c r="G1814" i="80"/>
  <c r="F1814" i="80"/>
  <c r="B1814" i="80"/>
  <c r="K1813" i="80"/>
  <c r="I1813" i="80"/>
  <c r="H1813" i="80"/>
  <c r="G1813" i="80"/>
  <c r="F1813" i="80"/>
  <c r="B1813" i="80"/>
  <c r="K1812" i="80"/>
  <c r="I1812" i="80"/>
  <c r="H1812" i="80"/>
  <c r="G1812" i="80"/>
  <c r="F1812" i="80"/>
  <c r="B1812" i="80"/>
  <c r="K1811" i="80"/>
  <c r="I1811" i="80"/>
  <c r="H1811" i="80"/>
  <c r="G1811" i="80"/>
  <c r="F1811" i="80"/>
  <c r="B1811" i="80"/>
  <c r="K1810" i="80"/>
  <c r="I1810" i="80"/>
  <c r="H1810" i="80"/>
  <c r="G1810" i="80"/>
  <c r="F1810" i="80"/>
  <c r="B1810" i="80"/>
  <c r="K1809" i="80"/>
  <c r="I1809" i="80"/>
  <c r="H1809" i="80"/>
  <c r="G1809" i="80"/>
  <c r="F1809" i="80"/>
  <c r="B1809" i="80"/>
  <c r="K1808" i="80"/>
  <c r="I1808" i="80"/>
  <c r="H1808" i="80"/>
  <c r="G1808" i="80"/>
  <c r="F1808" i="80"/>
  <c r="B1808" i="80"/>
  <c r="K1807" i="80"/>
  <c r="I1807" i="80"/>
  <c r="H1807" i="80"/>
  <c r="G1807" i="80"/>
  <c r="F1807" i="80"/>
  <c r="B1807" i="80"/>
  <c r="K1806" i="80"/>
  <c r="I1806" i="80"/>
  <c r="H1806" i="80"/>
  <c r="G1806" i="80"/>
  <c r="F1806" i="80"/>
  <c r="B1806" i="80"/>
  <c r="K1805" i="80"/>
  <c r="I1805" i="80"/>
  <c r="H1805" i="80"/>
  <c r="G1805" i="80"/>
  <c r="F1805" i="80"/>
  <c r="B1805" i="80"/>
  <c r="K1804" i="80"/>
  <c r="I1804" i="80"/>
  <c r="H1804" i="80"/>
  <c r="G1804" i="80"/>
  <c r="F1804" i="80"/>
  <c r="B1804" i="80"/>
  <c r="L1803" i="80"/>
  <c r="N1803" i="80" s="1"/>
  <c r="L1802" i="80"/>
  <c r="N1802" i="80" s="1"/>
  <c r="L1801" i="80"/>
  <c r="N1801" i="80" s="1"/>
  <c r="K1799" i="80"/>
  <c r="I1799" i="80"/>
  <c r="H1799" i="80"/>
  <c r="G1799" i="80"/>
  <c r="F1799" i="80"/>
  <c r="B1799" i="80"/>
  <c r="K1798" i="80"/>
  <c r="I1798" i="80"/>
  <c r="H1798" i="80"/>
  <c r="G1798" i="80"/>
  <c r="F1798" i="80"/>
  <c r="B1798" i="80"/>
  <c r="K1797" i="80"/>
  <c r="I1797" i="80"/>
  <c r="H1797" i="80"/>
  <c r="G1797" i="80"/>
  <c r="F1797" i="80"/>
  <c r="B1797" i="80"/>
  <c r="K1796" i="80"/>
  <c r="I1796" i="80"/>
  <c r="H1796" i="80"/>
  <c r="G1796" i="80"/>
  <c r="F1796" i="80"/>
  <c r="B1796" i="80"/>
  <c r="K1795" i="80"/>
  <c r="I1795" i="80"/>
  <c r="H1795" i="80"/>
  <c r="G1795" i="80"/>
  <c r="F1795" i="80"/>
  <c r="B1795" i="80"/>
  <c r="K1794" i="80"/>
  <c r="I1794" i="80"/>
  <c r="H1794" i="80"/>
  <c r="G1794" i="80"/>
  <c r="F1794" i="80"/>
  <c r="B1794" i="80"/>
  <c r="K1793" i="80"/>
  <c r="I1793" i="80"/>
  <c r="H1793" i="80"/>
  <c r="G1793" i="80"/>
  <c r="F1793" i="80"/>
  <c r="B1793" i="80"/>
  <c r="K1792" i="80"/>
  <c r="I1792" i="80"/>
  <c r="H1792" i="80"/>
  <c r="G1792" i="80"/>
  <c r="F1792" i="80"/>
  <c r="B1792" i="80"/>
  <c r="K1791" i="80"/>
  <c r="I1791" i="80"/>
  <c r="H1791" i="80"/>
  <c r="G1791" i="80"/>
  <c r="F1791" i="80"/>
  <c r="B1791" i="80"/>
  <c r="K1790" i="80"/>
  <c r="I1790" i="80"/>
  <c r="H1790" i="80"/>
  <c r="G1790" i="80"/>
  <c r="F1790" i="80"/>
  <c r="B1790" i="80"/>
  <c r="K1789" i="80"/>
  <c r="I1789" i="80"/>
  <c r="H1789" i="80"/>
  <c r="G1789" i="80"/>
  <c r="F1789" i="80"/>
  <c r="B1789" i="80"/>
  <c r="K1788" i="80"/>
  <c r="I1788" i="80"/>
  <c r="H1788" i="80"/>
  <c r="G1788" i="80"/>
  <c r="F1788" i="80"/>
  <c r="B1788" i="80"/>
  <c r="K1787" i="80"/>
  <c r="I1787" i="80"/>
  <c r="H1787" i="80"/>
  <c r="G1787" i="80"/>
  <c r="F1787" i="80"/>
  <c r="B1787" i="80"/>
  <c r="K1786" i="80"/>
  <c r="I1786" i="80"/>
  <c r="H1786" i="80"/>
  <c r="G1786" i="80"/>
  <c r="F1786" i="80"/>
  <c r="B1786" i="80"/>
  <c r="K1785" i="80"/>
  <c r="I1785" i="80"/>
  <c r="H1785" i="80"/>
  <c r="G1785" i="80"/>
  <c r="F1785" i="80"/>
  <c r="B1785" i="80"/>
  <c r="L1784" i="80"/>
  <c r="N1784" i="80" s="1"/>
  <c r="L1783" i="80"/>
  <c r="N1783" i="80" s="1"/>
  <c r="L1782" i="80"/>
  <c r="N1782" i="80" s="1"/>
  <c r="J1769" i="80"/>
  <c r="H1769" i="80"/>
  <c r="G1769" i="80"/>
  <c r="F1769" i="80"/>
  <c r="E1769" i="80"/>
  <c r="B1769" i="80"/>
  <c r="J1768" i="80"/>
  <c r="H1768" i="80"/>
  <c r="G1768" i="80"/>
  <c r="F1768" i="80"/>
  <c r="E1768" i="80"/>
  <c r="B1768" i="80"/>
  <c r="J1767" i="80"/>
  <c r="H1767" i="80"/>
  <c r="G1767" i="80"/>
  <c r="F1767" i="80"/>
  <c r="E1767" i="80"/>
  <c r="B1767" i="80"/>
  <c r="J1766" i="80"/>
  <c r="J1772" i="80" s="1"/>
  <c r="H1766" i="80"/>
  <c r="H1772" i="80" s="1"/>
  <c r="G1766" i="80"/>
  <c r="G1772" i="80" s="1"/>
  <c r="F1766" i="80"/>
  <c r="F1772" i="80" s="1"/>
  <c r="E1766" i="80"/>
  <c r="E1772" i="80" s="1"/>
  <c r="B1766" i="80"/>
  <c r="B1772" i="80" s="1"/>
  <c r="J1765" i="80"/>
  <c r="J1771" i="80" s="1"/>
  <c r="H1765" i="80"/>
  <c r="H1771" i="80" s="1"/>
  <c r="G1765" i="80"/>
  <c r="G1771" i="80" s="1"/>
  <c r="F1765" i="80"/>
  <c r="F1771" i="80" s="1"/>
  <c r="E1765" i="80"/>
  <c r="E1771" i="80" s="1"/>
  <c r="B1765" i="80"/>
  <c r="B1771" i="80" s="1"/>
  <c r="J1764" i="80"/>
  <c r="J1770" i="80" s="1"/>
  <c r="H1764" i="80"/>
  <c r="H1770" i="80" s="1"/>
  <c r="G1764" i="80"/>
  <c r="G1770" i="80" s="1"/>
  <c r="F1764" i="80"/>
  <c r="F1770" i="80" s="1"/>
  <c r="E1764" i="80"/>
  <c r="E1770" i="80" s="1"/>
  <c r="B1764" i="80"/>
  <c r="B1770" i="80" s="1"/>
  <c r="K1763" i="80"/>
  <c r="M1763" i="80" s="1"/>
  <c r="K1762" i="80"/>
  <c r="M1762" i="80" s="1"/>
  <c r="M1761" i="80"/>
  <c r="K1761" i="80"/>
  <c r="K1713" i="80"/>
  <c r="I1713" i="80"/>
  <c r="H1713" i="80"/>
  <c r="G1713" i="80"/>
  <c r="F1713" i="80"/>
  <c r="B1713" i="80"/>
  <c r="K1712" i="80"/>
  <c r="I1712" i="80"/>
  <c r="H1712" i="80"/>
  <c r="G1712" i="80"/>
  <c r="F1712" i="80"/>
  <c r="B1712" i="80"/>
  <c r="K1711" i="80"/>
  <c r="I1711" i="80"/>
  <c r="H1711" i="80"/>
  <c r="G1711" i="80"/>
  <c r="F1711" i="80"/>
  <c r="B1711" i="80"/>
  <c r="K1710" i="80"/>
  <c r="I1710" i="80"/>
  <c r="H1710" i="80"/>
  <c r="G1710" i="80"/>
  <c r="F1710" i="80"/>
  <c r="B1710" i="80"/>
  <c r="K1709" i="80"/>
  <c r="I1709" i="80"/>
  <c r="H1709" i="80"/>
  <c r="G1709" i="80"/>
  <c r="F1709" i="80"/>
  <c r="B1709" i="80"/>
  <c r="K1708" i="80"/>
  <c r="I1708" i="80"/>
  <c r="H1708" i="80"/>
  <c r="G1708" i="80"/>
  <c r="F1708" i="80"/>
  <c r="B1708" i="80"/>
  <c r="K1707" i="80"/>
  <c r="I1707" i="80"/>
  <c r="H1707" i="80"/>
  <c r="G1707" i="80"/>
  <c r="F1707" i="80"/>
  <c r="B1707" i="80"/>
  <c r="K1706" i="80"/>
  <c r="I1706" i="80"/>
  <c r="H1706" i="80"/>
  <c r="G1706" i="80"/>
  <c r="F1706" i="80"/>
  <c r="B1706" i="80"/>
  <c r="K1705" i="80"/>
  <c r="I1705" i="80"/>
  <c r="H1705" i="80"/>
  <c r="G1705" i="80"/>
  <c r="F1705" i="80"/>
  <c r="B1705" i="80"/>
  <c r="K1704" i="80"/>
  <c r="I1704" i="80"/>
  <c r="H1704" i="80"/>
  <c r="G1704" i="80"/>
  <c r="F1704" i="80"/>
  <c r="B1704" i="80"/>
  <c r="K1703" i="80"/>
  <c r="I1703" i="80"/>
  <c r="H1703" i="80"/>
  <c r="G1703" i="80"/>
  <c r="F1703" i="80"/>
  <c r="B1703" i="80"/>
  <c r="K1702" i="80"/>
  <c r="I1702" i="80"/>
  <c r="H1702" i="80"/>
  <c r="G1702" i="80"/>
  <c r="F1702" i="80"/>
  <c r="B1702" i="80"/>
  <c r="K1701" i="80"/>
  <c r="I1701" i="80"/>
  <c r="H1701" i="80"/>
  <c r="G1701" i="80"/>
  <c r="F1701" i="80"/>
  <c r="B1701" i="80"/>
  <c r="K1700" i="80"/>
  <c r="I1700" i="80"/>
  <c r="H1700" i="80"/>
  <c r="G1700" i="80"/>
  <c r="F1700" i="80"/>
  <c r="B1700" i="80"/>
  <c r="K1699" i="80"/>
  <c r="I1699" i="80"/>
  <c r="H1699" i="80"/>
  <c r="G1699" i="80"/>
  <c r="F1699" i="80"/>
  <c r="B1699" i="80"/>
  <c r="L1698" i="80"/>
  <c r="N1698" i="80" s="1"/>
  <c r="L1697" i="80"/>
  <c r="N1697" i="80" s="1"/>
  <c r="L1696" i="80"/>
  <c r="N1696" i="80" s="1"/>
  <c r="K1694" i="80"/>
  <c r="I1694" i="80"/>
  <c r="H1694" i="80"/>
  <c r="G1694" i="80"/>
  <c r="F1694" i="80"/>
  <c r="B1694" i="80"/>
  <c r="K1693" i="80"/>
  <c r="I1693" i="80"/>
  <c r="H1693" i="80"/>
  <c r="G1693" i="80"/>
  <c r="F1693" i="80"/>
  <c r="B1693" i="80"/>
  <c r="K1692" i="80"/>
  <c r="I1692" i="80"/>
  <c r="H1692" i="80"/>
  <c r="G1692" i="80"/>
  <c r="F1692" i="80"/>
  <c r="B1692" i="80"/>
  <c r="K1691" i="80"/>
  <c r="I1691" i="80"/>
  <c r="H1691" i="80"/>
  <c r="G1691" i="80"/>
  <c r="F1691" i="80"/>
  <c r="B1691" i="80"/>
  <c r="K1690" i="80"/>
  <c r="I1690" i="80"/>
  <c r="H1690" i="80"/>
  <c r="G1690" i="80"/>
  <c r="F1690" i="80"/>
  <c r="B1690" i="80"/>
  <c r="K1689" i="80"/>
  <c r="I1689" i="80"/>
  <c r="H1689" i="80"/>
  <c r="G1689" i="80"/>
  <c r="F1689" i="80"/>
  <c r="B1689" i="80"/>
  <c r="K1688" i="80"/>
  <c r="I1688" i="80"/>
  <c r="H1688" i="80"/>
  <c r="G1688" i="80"/>
  <c r="F1688" i="80"/>
  <c r="B1688" i="80"/>
  <c r="K1687" i="80"/>
  <c r="I1687" i="80"/>
  <c r="H1687" i="80"/>
  <c r="G1687" i="80"/>
  <c r="F1687" i="80"/>
  <c r="B1687" i="80"/>
  <c r="K1686" i="80"/>
  <c r="I1686" i="80"/>
  <c r="H1686" i="80"/>
  <c r="G1686" i="80"/>
  <c r="F1686" i="80"/>
  <c r="B1686" i="80"/>
  <c r="K1685" i="80"/>
  <c r="I1685" i="80"/>
  <c r="H1685" i="80"/>
  <c r="G1685" i="80"/>
  <c r="F1685" i="80"/>
  <c r="B1685" i="80"/>
  <c r="K1684" i="80"/>
  <c r="I1684" i="80"/>
  <c r="H1684" i="80"/>
  <c r="G1684" i="80"/>
  <c r="F1684" i="80"/>
  <c r="B1684" i="80"/>
  <c r="K1683" i="80"/>
  <c r="I1683" i="80"/>
  <c r="H1683" i="80"/>
  <c r="G1683" i="80"/>
  <c r="F1683" i="80"/>
  <c r="B1683" i="80"/>
  <c r="K1682" i="80"/>
  <c r="I1682" i="80"/>
  <c r="H1682" i="80"/>
  <c r="G1682" i="80"/>
  <c r="F1682" i="80"/>
  <c r="B1682" i="80"/>
  <c r="K1681" i="80"/>
  <c r="I1681" i="80"/>
  <c r="H1681" i="80"/>
  <c r="G1681" i="80"/>
  <c r="F1681" i="80"/>
  <c r="B1681" i="80"/>
  <c r="K1680" i="80"/>
  <c r="I1680" i="80"/>
  <c r="H1680" i="80"/>
  <c r="G1680" i="80"/>
  <c r="F1680" i="80"/>
  <c r="B1680" i="80"/>
  <c r="L1679" i="80"/>
  <c r="N1679" i="80" s="1"/>
  <c r="L1678" i="80"/>
  <c r="N1678" i="80" s="1"/>
  <c r="L1677" i="80"/>
  <c r="N1677" i="80" s="1"/>
  <c r="K1675" i="80"/>
  <c r="I1675" i="80"/>
  <c r="H1675" i="80"/>
  <c r="G1675" i="80"/>
  <c r="F1675" i="80"/>
  <c r="B1675" i="80"/>
  <c r="K1674" i="80"/>
  <c r="I1674" i="80"/>
  <c r="H1674" i="80"/>
  <c r="G1674" i="80"/>
  <c r="F1674" i="80"/>
  <c r="B1674" i="80"/>
  <c r="K1673" i="80"/>
  <c r="I1673" i="80"/>
  <c r="H1673" i="80"/>
  <c r="G1673" i="80"/>
  <c r="F1673" i="80"/>
  <c r="B1673" i="80"/>
  <c r="K1672" i="80"/>
  <c r="I1672" i="80"/>
  <c r="H1672" i="80"/>
  <c r="G1672" i="80"/>
  <c r="F1672" i="80"/>
  <c r="B1672" i="80"/>
  <c r="K1671" i="80"/>
  <c r="I1671" i="80"/>
  <c r="H1671" i="80"/>
  <c r="G1671" i="80"/>
  <c r="F1671" i="80"/>
  <c r="B1671" i="80"/>
  <c r="K1670" i="80"/>
  <c r="I1670" i="80"/>
  <c r="H1670" i="80"/>
  <c r="G1670" i="80"/>
  <c r="F1670" i="80"/>
  <c r="B1670" i="80"/>
  <c r="K1669" i="80"/>
  <c r="I1669" i="80"/>
  <c r="H1669" i="80"/>
  <c r="G1669" i="80"/>
  <c r="F1669" i="80"/>
  <c r="B1669" i="80"/>
  <c r="K1668" i="80"/>
  <c r="I1668" i="80"/>
  <c r="H1668" i="80"/>
  <c r="G1668" i="80"/>
  <c r="F1668" i="80"/>
  <c r="B1668" i="80"/>
  <c r="K1667" i="80"/>
  <c r="I1667" i="80"/>
  <c r="H1667" i="80"/>
  <c r="G1667" i="80"/>
  <c r="F1667" i="80"/>
  <c r="B1667" i="80"/>
  <c r="K1666" i="80"/>
  <c r="I1666" i="80"/>
  <c r="H1666" i="80"/>
  <c r="G1666" i="80"/>
  <c r="F1666" i="80"/>
  <c r="B1666" i="80"/>
  <c r="K1665" i="80"/>
  <c r="I1665" i="80"/>
  <c r="H1665" i="80"/>
  <c r="G1665" i="80"/>
  <c r="F1665" i="80"/>
  <c r="B1665" i="80"/>
  <c r="K1664" i="80"/>
  <c r="I1664" i="80"/>
  <c r="H1664" i="80"/>
  <c r="G1664" i="80"/>
  <c r="F1664" i="80"/>
  <c r="B1664" i="80"/>
  <c r="K1663" i="80"/>
  <c r="I1663" i="80"/>
  <c r="H1663" i="80"/>
  <c r="G1663" i="80"/>
  <c r="F1663" i="80"/>
  <c r="B1663" i="80"/>
  <c r="K1662" i="80"/>
  <c r="I1662" i="80"/>
  <c r="H1662" i="80"/>
  <c r="G1662" i="80"/>
  <c r="F1662" i="80"/>
  <c r="B1662" i="80"/>
  <c r="K1661" i="80"/>
  <c r="I1661" i="80"/>
  <c r="H1661" i="80"/>
  <c r="G1661" i="80"/>
  <c r="F1661" i="80"/>
  <c r="B1661" i="80"/>
  <c r="L1660" i="80"/>
  <c r="N1660" i="80" s="1"/>
  <c r="L1659" i="80"/>
  <c r="N1659" i="80" s="1"/>
  <c r="L1658" i="80"/>
  <c r="N1658" i="80" s="1"/>
  <c r="K1656" i="80"/>
  <c r="I1656" i="80"/>
  <c r="H1656" i="80"/>
  <c r="G1656" i="80"/>
  <c r="F1656" i="80"/>
  <c r="B1656" i="80"/>
  <c r="K1655" i="80"/>
  <c r="I1655" i="80"/>
  <c r="H1655" i="80"/>
  <c r="G1655" i="80"/>
  <c r="F1655" i="80"/>
  <c r="B1655" i="80"/>
  <c r="K1654" i="80"/>
  <c r="I1654" i="80"/>
  <c r="H1654" i="80"/>
  <c r="G1654" i="80"/>
  <c r="F1654" i="80"/>
  <c r="B1654" i="80"/>
  <c r="K1653" i="80"/>
  <c r="I1653" i="80"/>
  <c r="H1653" i="80"/>
  <c r="G1653" i="80"/>
  <c r="F1653" i="80"/>
  <c r="B1653" i="80"/>
  <c r="K1652" i="80"/>
  <c r="I1652" i="80"/>
  <c r="H1652" i="80"/>
  <c r="G1652" i="80"/>
  <c r="F1652" i="80"/>
  <c r="B1652" i="80"/>
  <c r="K1651" i="80"/>
  <c r="I1651" i="80"/>
  <c r="H1651" i="80"/>
  <c r="G1651" i="80"/>
  <c r="F1651" i="80"/>
  <c r="B1651" i="80"/>
  <c r="K1650" i="80"/>
  <c r="I1650" i="80"/>
  <c r="H1650" i="80"/>
  <c r="G1650" i="80"/>
  <c r="F1650" i="80"/>
  <c r="B1650" i="80"/>
  <c r="K1649" i="80"/>
  <c r="I1649" i="80"/>
  <c r="H1649" i="80"/>
  <c r="G1649" i="80"/>
  <c r="F1649" i="80"/>
  <c r="B1649" i="80"/>
  <c r="K1648" i="80"/>
  <c r="I1648" i="80"/>
  <c r="H1648" i="80"/>
  <c r="G1648" i="80"/>
  <c r="F1648" i="80"/>
  <c r="B1648" i="80"/>
  <c r="K1647" i="80"/>
  <c r="I1647" i="80"/>
  <c r="H1647" i="80"/>
  <c r="G1647" i="80"/>
  <c r="F1647" i="80"/>
  <c r="B1647" i="80"/>
  <c r="K1646" i="80"/>
  <c r="I1646" i="80"/>
  <c r="H1646" i="80"/>
  <c r="G1646" i="80"/>
  <c r="F1646" i="80"/>
  <c r="B1646" i="80"/>
  <c r="K1645" i="80"/>
  <c r="I1645" i="80"/>
  <c r="H1645" i="80"/>
  <c r="G1645" i="80"/>
  <c r="F1645" i="80"/>
  <c r="B1645" i="80"/>
  <c r="K1644" i="80"/>
  <c r="I1644" i="80"/>
  <c r="H1644" i="80"/>
  <c r="G1644" i="80"/>
  <c r="F1644" i="80"/>
  <c r="B1644" i="80"/>
  <c r="K1643" i="80"/>
  <c r="I1643" i="80"/>
  <c r="H1643" i="80"/>
  <c r="G1643" i="80"/>
  <c r="F1643" i="80"/>
  <c r="B1643" i="80"/>
  <c r="K1642" i="80"/>
  <c r="I1642" i="80"/>
  <c r="H1642" i="80"/>
  <c r="G1642" i="80"/>
  <c r="F1642" i="80"/>
  <c r="B1642" i="80"/>
  <c r="L1641" i="80"/>
  <c r="N1641" i="80" s="1"/>
  <c r="L1640" i="80"/>
  <c r="N1640" i="80" s="1"/>
  <c r="L1639" i="80"/>
  <c r="N1639" i="80" s="1"/>
  <c r="K1637" i="80"/>
  <c r="I1637" i="80"/>
  <c r="H1637" i="80"/>
  <c r="G1637" i="80"/>
  <c r="F1637" i="80"/>
  <c r="B1637" i="80"/>
  <c r="K1636" i="80"/>
  <c r="I1636" i="80"/>
  <c r="H1636" i="80"/>
  <c r="G1636" i="80"/>
  <c r="F1636" i="80"/>
  <c r="B1636" i="80"/>
  <c r="K1635" i="80"/>
  <c r="I1635" i="80"/>
  <c r="H1635" i="80"/>
  <c r="G1635" i="80"/>
  <c r="F1635" i="80"/>
  <c r="B1635" i="80"/>
  <c r="K1634" i="80"/>
  <c r="I1634" i="80"/>
  <c r="H1634" i="80"/>
  <c r="G1634" i="80"/>
  <c r="F1634" i="80"/>
  <c r="B1634" i="80"/>
  <c r="K1633" i="80"/>
  <c r="I1633" i="80"/>
  <c r="H1633" i="80"/>
  <c r="G1633" i="80"/>
  <c r="F1633" i="80"/>
  <c r="B1633" i="80"/>
  <c r="K1632" i="80"/>
  <c r="I1632" i="80"/>
  <c r="H1632" i="80"/>
  <c r="G1632" i="80"/>
  <c r="F1632" i="80"/>
  <c r="B1632" i="80"/>
  <c r="K1631" i="80"/>
  <c r="I1631" i="80"/>
  <c r="H1631" i="80"/>
  <c r="G1631" i="80"/>
  <c r="F1631" i="80"/>
  <c r="B1631" i="80"/>
  <c r="K1630" i="80"/>
  <c r="I1630" i="80"/>
  <c r="H1630" i="80"/>
  <c r="G1630" i="80"/>
  <c r="F1630" i="80"/>
  <c r="B1630" i="80"/>
  <c r="K1629" i="80"/>
  <c r="I1629" i="80"/>
  <c r="H1629" i="80"/>
  <c r="G1629" i="80"/>
  <c r="F1629" i="80"/>
  <c r="B1629" i="80"/>
  <c r="K1628" i="80"/>
  <c r="I1628" i="80"/>
  <c r="H1628" i="80"/>
  <c r="G1628" i="80"/>
  <c r="F1628" i="80"/>
  <c r="B1628" i="80"/>
  <c r="K1627" i="80"/>
  <c r="I1627" i="80"/>
  <c r="H1627" i="80"/>
  <c r="G1627" i="80"/>
  <c r="F1627" i="80"/>
  <c r="B1627" i="80"/>
  <c r="K1626" i="80"/>
  <c r="I1626" i="80"/>
  <c r="H1626" i="80"/>
  <c r="G1626" i="80"/>
  <c r="F1626" i="80"/>
  <c r="B1626" i="80"/>
  <c r="K1625" i="80"/>
  <c r="I1625" i="80"/>
  <c r="H1625" i="80"/>
  <c r="G1625" i="80"/>
  <c r="F1625" i="80"/>
  <c r="B1625" i="80"/>
  <c r="K1624" i="80"/>
  <c r="I1624" i="80"/>
  <c r="H1624" i="80"/>
  <c r="G1624" i="80"/>
  <c r="F1624" i="80"/>
  <c r="B1624" i="80"/>
  <c r="K1623" i="80"/>
  <c r="I1623" i="80"/>
  <c r="H1623" i="80"/>
  <c r="G1623" i="80"/>
  <c r="F1623" i="80"/>
  <c r="B1623" i="80"/>
  <c r="L1622" i="80"/>
  <c r="N1622" i="80" s="1"/>
  <c r="L1621" i="80"/>
  <c r="N1621" i="80" s="1"/>
  <c r="L1620" i="80"/>
  <c r="N1620" i="80" s="1"/>
  <c r="K1618" i="80"/>
  <c r="I1618" i="80"/>
  <c r="H1618" i="80"/>
  <c r="G1618" i="80"/>
  <c r="F1618" i="80"/>
  <c r="B1618" i="80"/>
  <c r="K1617" i="80"/>
  <c r="I1617" i="80"/>
  <c r="H1617" i="80"/>
  <c r="G1617" i="80"/>
  <c r="F1617" i="80"/>
  <c r="B1617" i="80"/>
  <c r="K1616" i="80"/>
  <c r="I1616" i="80"/>
  <c r="H1616" i="80"/>
  <c r="G1616" i="80"/>
  <c r="F1616" i="80"/>
  <c r="B1616" i="80"/>
  <c r="K1615" i="80"/>
  <c r="I1615" i="80"/>
  <c r="H1615" i="80"/>
  <c r="G1615" i="80"/>
  <c r="F1615" i="80"/>
  <c r="B1615" i="80"/>
  <c r="K1614" i="80"/>
  <c r="I1614" i="80"/>
  <c r="H1614" i="80"/>
  <c r="G1614" i="80"/>
  <c r="F1614" i="80"/>
  <c r="B1614" i="80"/>
  <c r="K1613" i="80"/>
  <c r="I1613" i="80"/>
  <c r="H1613" i="80"/>
  <c r="G1613" i="80"/>
  <c r="F1613" i="80"/>
  <c r="B1613" i="80"/>
  <c r="K1612" i="80"/>
  <c r="I1612" i="80"/>
  <c r="H1612" i="80"/>
  <c r="G1612" i="80"/>
  <c r="F1612" i="80"/>
  <c r="B1612" i="80"/>
  <c r="K1611" i="80"/>
  <c r="I1611" i="80"/>
  <c r="H1611" i="80"/>
  <c r="G1611" i="80"/>
  <c r="F1611" i="80"/>
  <c r="B1611" i="80"/>
  <c r="K1610" i="80"/>
  <c r="I1610" i="80"/>
  <c r="H1610" i="80"/>
  <c r="G1610" i="80"/>
  <c r="F1610" i="80"/>
  <c r="B1610" i="80"/>
  <c r="K1609" i="80"/>
  <c r="I1609" i="80"/>
  <c r="H1609" i="80"/>
  <c r="G1609" i="80"/>
  <c r="F1609" i="80"/>
  <c r="B1609" i="80"/>
  <c r="K1608" i="80"/>
  <c r="I1608" i="80"/>
  <c r="H1608" i="80"/>
  <c r="G1608" i="80"/>
  <c r="F1608" i="80"/>
  <c r="B1608" i="80"/>
  <c r="K1607" i="80"/>
  <c r="I1607" i="80"/>
  <c r="H1607" i="80"/>
  <c r="G1607" i="80"/>
  <c r="F1607" i="80"/>
  <c r="B1607" i="80"/>
  <c r="K1606" i="80"/>
  <c r="I1606" i="80"/>
  <c r="H1606" i="80"/>
  <c r="G1606" i="80"/>
  <c r="F1606" i="80"/>
  <c r="B1606" i="80"/>
  <c r="K1605" i="80"/>
  <c r="I1605" i="80"/>
  <c r="H1605" i="80"/>
  <c r="G1605" i="80"/>
  <c r="F1605" i="80"/>
  <c r="B1605" i="80"/>
  <c r="K1604" i="80"/>
  <c r="I1604" i="80"/>
  <c r="H1604" i="80"/>
  <c r="G1604" i="80"/>
  <c r="F1604" i="80"/>
  <c r="B1604" i="80"/>
  <c r="L1603" i="80"/>
  <c r="N1603" i="80" s="1"/>
  <c r="L1602" i="80"/>
  <c r="N1602" i="80" s="1"/>
  <c r="L1601" i="80"/>
  <c r="N1601" i="80" s="1"/>
  <c r="K1599" i="80"/>
  <c r="I1599" i="80"/>
  <c r="H1599" i="80"/>
  <c r="G1599" i="80"/>
  <c r="F1599" i="80"/>
  <c r="B1599" i="80"/>
  <c r="K1598" i="80"/>
  <c r="I1598" i="80"/>
  <c r="H1598" i="80"/>
  <c r="G1598" i="80"/>
  <c r="F1598" i="80"/>
  <c r="B1598" i="80"/>
  <c r="K1597" i="80"/>
  <c r="I1597" i="80"/>
  <c r="H1597" i="80"/>
  <c r="G1597" i="80"/>
  <c r="F1597" i="80"/>
  <c r="B1597" i="80"/>
  <c r="K1596" i="80"/>
  <c r="I1596" i="80"/>
  <c r="H1596" i="80"/>
  <c r="G1596" i="80"/>
  <c r="F1596" i="80"/>
  <c r="B1596" i="80"/>
  <c r="K1595" i="80"/>
  <c r="I1595" i="80"/>
  <c r="H1595" i="80"/>
  <c r="G1595" i="80"/>
  <c r="F1595" i="80"/>
  <c r="B1595" i="80"/>
  <c r="K1594" i="80"/>
  <c r="I1594" i="80"/>
  <c r="H1594" i="80"/>
  <c r="G1594" i="80"/>
  <c r="F1594" i="80"/>
  <c r="B1594" i="80"/>
  <c r="K1593" i="80"/>
  <c r="I1593" i="80"/>
  <c r="H1593" i="80"/>
  <c r="G1593" i="80"/>
  <c r="F1593" i="80"/>
  <c r="B1593" i="80"/>
  <c r="K1592" i="80"/>
  <c r="I1592" i="80"/>
  <c r="H1592" i="80"/>
  <c r="G1592" i="80"/>
  <c r="F1592" i="80"/>
  <c r="B1592" i="80"/>
  <c r="K1591" i="80"/>
  <c r="I1591" i="80"/>
  <c r="H1591" i="80"/>
  <c r="G1591" i="80"/>
  <c r="F1591" i="80"/>
  <c r="B1591" i="80"/>
  <c r="K1590" i="80"/>
  <c r="I1590" i="80"/>
  <c r="H1590" i="80"/>
  <c r="G1590" i="80"/>
  <c r="F1590" i="80"/>
  <c r="B1590" i="80"/>
  <c r="K1589" i="80"/>
  <c r="I1589" i="80"/>
  <c r="H1589" i="80"/>
  <c r="G1589" i="80"/>
  <c r="F1589" i="80"/>
  <c r="B1589" i="80"/>
  <c r="K1588" i="80"/>
  <c r="I1588" i="80"/>
  <c r="H1588" i="80"/>
  <c r="G1588" i="80"/>
  <c r="F1588" i="80"/>
  <c r="B1588" i="80"/>
  <c r="K1587" i="80"/>
  <c r="I1587" i="80"/>
  <c r="H1587" i="80"/>
  <c r="G1587" i="80"/>
  <c r="F1587" i="80"/>
  <c r="B1587" i="80"/>
  <c r="K1586" i="80"/>
  <c r="I1586" i="80"/>
  <c r="H1586" i="80"/>
  <c r="G1586" i="80"/>
  <c r="F1586" i="80"/>
  <c r="B1586" i="80"/>
  <c r="K1585" i="80"/>
  <c r="I1585" i="80"/>
  <c r="H1585" i="80"/>
  <c r="G1585" i="80"/>
  <c r="F1585" i="80"/>
  <c r="B1585" i="80"/>
  <c r="L1584" i="80"/>
  <c r="N1584" i="80" s="1"/>
  <c r="L1583" i="80"/>
  <c r="N1583" i="80" s="1"/>
  <c r="L1582" i="80"/>
  <c r="N1582" i="80" s="1"/>
  <c r="K1580" i="80"/>
  <c r="I1580" i="80"/>
  <c r="H1580" i="80"/>
  <c r="G1580" i="80"/>
  <c r="F1580" i="80"/>
  <c r="B1580" i="80"/>
  <c r="K1579" i="80"/>
  <c r="I1579" i="80"/>
  <c r="H1579" i="80"/>
  <c r="G1579" i="80"/>
  <c r="F1579" i="80"/>
  <c r="B1579" i="80"/>
  <c r="K1578" i="80"/>
  <c r="I1578" i="80"/>
  <c r="H1578" i="80"/>
  <c r="G1578" i="80"/>
  <c r="F1578" i="80"/>
  <c r="B1578" i="80"/>
  <c r="K1577" i="80"/>
  <c r="I1577" i="80"/>
  <c r="H1577" i="80"/>
  <c r="G1577" i="80"/>
  <c r="F1577" i="80"/>
  <c r="B1577" i="80"/>
  <c r="K1576" i="80"/>
  <c r="I1576" i="80"/>
  <c r="H1576" i="80"/>
  <c r="G1576" i="80"/>
  <c r="F1576" i="80"/>
  <c r="B1576" i="80"/>
  <c r="K1575" i="80"/>
  <c r="I1575" i="80"/>
  <c r="H1575" i="80"/>
  <c r="G1575" i="80"/>
  <c r="F1575" i="80"/>
  <c r="B1575" i="80"/>
  <c r="K1574" i="80"/>
  <c r="I1574" i="80"/>
  <c r="H1574" i="80"/>
  <c r="G1574" i="80"/>
  <c r="F1574" i="80"/>
  <c r="B1574" i="80"/>
  <c r="K1573" i="80"/>
  <c r="I1573" i="80"/>
  <c r="H1573" i="80"/>
  <c r="G1573" i="80"/>
  <c r="F1573" i="80"/>
  <c r="B1573" i="80"/>
  <c r="K1572" i="80"/>
  <c r="I1572" i="80"/>
  <c r="H1572" i="80"/>
  <c r="G1572" i="80"/>
  <c r="F1572" i="80"/>
  <c r="B1572" i="80"/>
  <c r="K1571" i="80"/>
  <c r="I1571" i="80"/>
  <c r="H1571" i="80"/>
  <c r="G1571" i="80"/>
  <c r="F1571" i="80"/>
  <c r="B1571" i="80"/>
  <c r="K1570" i="80"/>
  <c r="I1570" i="80"/>
  <c r="H1570" i="80"/>
  <c r="G1570" i="80"/>
  <c r="F1570" i="80"/>
  <c r="B1570" i="80"/>
  <c r="K1569" i="80"/>
  <c r="I1569" i="80"/>
  <c r="H1569" i="80"/>
  <c r="G1569" i="80"/>
  <c r="F1569" i="80"/>
  <c r="B1569" i="80"/>
  <c r="K1568" i="80"/>
  <c r="I1568" i="80"/>
  <c r="H1568" i="80"/>
  <c r="G1568" i="80"/>
  <c r="F1568" i="80"/>
  <c r="B1568" i="80"/>
  <c r="K1567" i="80"/>
  <c r="I1567" i="80"/>
  <c r="H1567" i="80"/>
  <c r="G1567" i="80"/>
  <c r="F1567" i="80"/>
  <c r="B1567" i="80"/>
  <c r="K1566" i="80"/>
  <c r="I1566" i="80"/>
  <c r="H1566" i="80"/>
  <c r="G1566" i="80"/>
  <c r="F1566" i="80"/>
  <c r="B1566" i="80"/>
  <c r="L1565" i="80"/>
  <c r="N1565" i="80" s="1"/>
  <c r="L1564" i="80"/>
  <c r="N1564" i="80" s="1"/>
  <c r="L1563" i="80"/>
  <c r="N1563" i="80" s="1"/>
  <c r="H1553" i="80"/>
  <c r="H1551" i="80"/>
  <c r="J1550" i="80"/>
  <c r="H1550" i="80"/>
  <c r="G1550" i="80"/>
  <c r="F1550" i="80"/>
  <c r="E1550" i="80"/>
  <c r="B1550" i="80"/>
  <c r="J1549" i="80"/>
  <c r="H1549" i="80"/>
  <c r="G1549" i="80"/>
  <c r="F1549" i="80"/>
  <c r="E1549" i="80"/>
  <c r="B1549" i="80"/>
  <c r="J1548" i="80"/>
  <c r="H1548" i="80"/>
  <c r="G1548" i="80"/>
  <c r="F1548" i="80"/>
  <c r="E1548" i="80"/>
  <c r="B1548" i="80"/>
  <c r="K1547" i="80"/>
  <c r="M1547" i="80" s="1"/>
  <c r="J1547" i="80"/>
  <c r="J1553" i="80" s="1"/>
  <c r="H1547" i="80"/>
  <c r="G1547" i="80"/>
  <c r="G1553" i="80" s="1"/>
  <c r="F1547" i="80"/>
  <c r="F1553" i="80" s="1"/>
  <c r="E1547" i="80"/>
  <c r="E1553" i="80" s="1"/>
  <c r="B1547" i="80"/>
  <c r="B1553" i="80" s="1"/>
  <c r="K1546" i="80"/>
  <c r="M1546" i="80" s="1"/>
  <c r="J1546" i="80"/>
  <c r="J1552" i="80" s="1"/>
  <c r="H1546" i="80"/>
  <c r="H1552" i="80" s="1"/>
  <c r="G1546" i="80"/>
  <c r="G1552" i="80" s="1"/>
  <c r="F1546" i="80"/>
  <c r="F1552" i="80" s="1"/>
  <c r="E1546" i="80"/>
  <c r="E1552" i="80" s="1"/>
  <c r="B1546" i="80"/>
  <c r="B1552" i="80" s="1"/>
  <c r="K1545" i="80"/>
  <c r="M1545" i="80" s="1"/>
  <c r="J1545" i="80"/>
  <c r="J1551" i="80" s="1"/>
  <c r="H1545" i="80"/>
  <c r="G1545" i="80"/>
  <c r="G1551" i="80" s="1"/>
  <c r="F1545" i="80"/>
  <c r="F1551" i="80" s="1"/>
  <c r="E1545" i="80"/>
  <c r="E1551" i="80" s="1"/>
  <c r="B1545" i="80"/>
  <c r="B1551" i="80" s="1"/>
  <c r="K1544" i="80"/>
  <c r="M1544" i="80" s="1"/>
  <c r="K1543" i="80"/>
  <c r="M1543" i="80" s="1"/>
  <c r="K1542" i="80"/>
  <c r="M1542" i="80" s="1"/>
  <c r="K1494" i="80"/>
  <c r="I1494" i="80"/>
  <c r="H1494" i="80"/>
  <c r="G1494" i="80"/>
  <c r="F1494" i="80"/>
  <c r="B1494" i="80"/>
  <c r="K1493" i="80"/>
  <c r="I1493" i="80"/>
  <c r="H1493" i="80"/>
  <c r="G1493" i="80"/>
  <c r="F1493" i="80"/>
  <c r="B1493" i="80"/>
  <c r="K1492" i="80"/>
  <c r="I1492" i="80"/>
  <c r="H1492" i="80"/>
  <c r="G1492" i="80"/>
  <c r="F1492" i="80"/>
  <c r="B1492" i="80"/>
  <c r="K1491" i="80"/>
  <c r="I1491" i="80"/>
  <c r="H1491" i="80"/>
  <c r="G1491" i="80"/>
  <c r="F1491" i="80"/>
  <c r="B1491" i="80"/>
  <c r="K1490" i="80"/>
  <c r="I1490" i="80"/>
  <c r="H1490" i="80"/>
  <c r="G1490" i="80"/>
  <c r="F1490" i="80"/>
  <c r="B1490" i="80"/>
  <c r="K1489" i="80"/>
  <c r="I1489" i="80"/>
  <c r="H1489" i="80"/>
  <c r="G1489" i="80"/>
  <c r="F1489" i="80"/>
  <c r="B1489" i="80"/>
  <c r="K1488" i="80"/>
  <c r="I1488" i="80"/>
  <c r="H1488" i="80"/>
  <c r="G1488" i="80"/>
  <c r="F1488" i="80"/>
  <c r="B1488" i="80"/>
  <c r="K1487" i="80"/>
  <c r="I1487" i="80"/>
  <c r="H1487" i="80"/>
  <c r="G1487" i="80"/>
  <c r="F1487" i="80"/>
  <c r="B1487" i="80"/>
  <c r="K1486" i="80"/>
  <c r="I1486" i="80"/>
  <c r="H1486" i="80"/>
  <c r="G1486" i="80"/>
  <c r="F1486" i="80"/>
  <c r="B1486" i="80"/>
  <c r="K1485" i="80"/>
  <c r="I1485" i="80"/>
  <c r="H1485" i="80"/>
  <c r="G1485" i="80"/>
  <c r="F1485" i="80"/>
  <c r="B1485" i="80"/>
  <c r="K1484" i="80"/>
  <c r="I1484" i="80"/>
  <c r="H1484" i="80"/>
  <c r="G1484" i="80"/>
  <c r="F1484" i="80"/>
  <c r="B1484" i="80"/>
  <c r="K1483" i="80"/>
  <c r="I1483" i="80"/>
  <c r="H1483" i="80"/>
  <c r="G1483" i="80"/>
  <c r="F1483" i="80"/>
  <c r="B1483" i="80"/>
  <c r="K1482" i="80"/>
  <c r="I1482" i="80"/>
  <c r="H1482" i="80"/>
  <c r="G1482" i="80"/>
  <c r="F1482" i="80"/>
  <c r="B1482" i="80"/>
  <c r="K1481" i="80"/>
  <c r="I1481" i="80"/>
  <c r="H1481" i="80"/>
  <c r="G1481" i="80"/>
  <c r="F1481" i="80"/>
  <c r="B1481" i="80"/>
  <c r="K1480" i="80"/>
  <c r="I1480" i="80"/>
  <c r="H1480" i="80"/>
  <c r="G1480" i="80"/>
  <c r="F1480" i="80"/>
  <c r="B1480" i="80"/>
  <c r="L1479" i="80"/>
  <c r="N1479" i="80" s="1"/>
  <c r="L1478" i="80"/>
  <c r="N1478" i="80" s="1"/>
  <c r="L1477" i="80"/>
  <c r="N1477" i="80" s="1"/>
  <c r="K1475" i="80"/>
  <c r="I1475" i="80"/>
  <c r="H1475" i="80"/>
  <c r="G1475" i="80"/>
  <c r="F1475" i="80"/>
  <c r="B1475" i="80"/>
  <c r="K1474" i="80"/>
  <c r="I1474" i="80"/>
  <c r="H1474" i="80"/>
  <c r="G1474" i="80"/>
  <c r="F1474" i="80"/>
  <c r="B1474" i="80"/>
  <c r="K1473" i="80"/>
  <c r="I1473" i="80"/>
  <c r="H1473" i="80"/>
  <c r="G1473" i="80"/>
  <c r="F1473" i="80"/>
  <c r="B1473" i="80"/>
  <c r="K1472" i="80"/>
  <c r="I1472" i="80"/>
  <c r="H1472" i="80"/>
  <c r="G1472" i="80"/>
  <c r="F1472" i="80"/>
  <c r="B1472" i="80"/>
  <c r="K1471" i="80"/>
  <c r="I1471" i="80"/>
  <c r="H1471" i="80"/>
  <c r="G1471" i="80"/>
  <c r="F1471" i="80"/>
  <c r="B1471" i="80"/>
  <c r="K1470" i="80"/>
  <c r="I1470" i="80"/>
  <c r="H1470" i="80"/>
  <c r="G1470" i="80"/>
  <c r="F1470" i="80"/>
  <c r="B1470" i="80"/>
  <c r="K1469" i="80"/>
  <c r="I1469" i="80"/>
  <c r="H1469" i="80"/>
  <c r="G1469" i="80"/>
  <c r="F1469" i="80"/>
  <c r="B1469" i="80"/>
  <c r="K1468" i="80"/>
  <c r="I1468" i="80"/>
  <c r="H1468" i="80"/>
  <c r="G1468" i="80"/>
  <c r="F1468" i="80"/>
  <c r="B1468" i="80"/>
  <c r="K1467" i="80"/>
  <c r="I1467" i="80"/>
  <c r="H1467" i="80"/>
  <c r="G1467" i="80"/>
  <c r="F1467" i="80"/>
  <c r="B1467" i="80"/>
  <c r="K1466" i="80"/>
  <c r="I1466" i="80"/>
  <c r="H1466" i="80"/>
  <c r="G1466" i="80"/>
  <c r="F1466" i="80"/>
  <c r="B1466" i="80"/>
  <c r="K1465" i="80"/>
  <c r="I1465" i="80"/>
  <c r="H1465" i="80"/>
  <c r="G1465" i="80"/>
  <c r="F1465" i="80"/>
  <c r="B1465" i="80"/>
  <c r="K1464" i="80"/>
  <c r="I1464" i="80"/>
  <c r="H1464" i="80"/>
  <c r="G1464" i="80"/>
  <c r="F1464" i="80"/>
  <c r="B1464" i="80"/>
  <c r="K1463" i="80"/>
  <c r="I1463" i="80"/>
  <c r="H1463" i="80"/>
  <c r="G1463" i="80"/>
  <c r="F1463" i="80"/>
  <c r="B1463" i="80"/>
  <c r="K1462" i="80"/>
  <c r="I1462" i="80"/>
  <c r="H1462" i="80"/>
  <c r="G1462" i="80"/>
  <c r="F1462" i="80"/>
  <c r="B1462" i="80"/>
  <c r="K1461" i="80"/>
  <c r="I1461" i="80"/>
  <c r="H1461" i="80"/>
  <c r="G1461" i="80"/>
  <c r="F1461" i="80"/>
  <c r="B1461" i="80"/>
  <c r="L1460" i="80"/>
  <c r="N1460" i="80" s="1"/>
  <c r="L1459" i="80"/>
  <c r="N1459" i="80" s="1"/>
  <c r="L1458" i="80"/>
  <c r="N1458" i="80" s="1"/>
  <c r="K1456" i="80"/>
  <c r="I1456" i="80"/>
  <c r="H1456" i="80"/>
  <c r="G1456" i="80"/>
  <c r="F1456" i="80"/>
  <c r="B1456" i="80"/>
  <c r="K1455" i="80"/>
  <c r="I1455" i="80"/>
  <c r="H1455" i="80"/>
  <c r="G1455" i="80"/>
  <c r="F1455" i="80"/>
  <c r="B1455" i="80"/>
  <c r="K1454" i="80"/>
  <c r="I1454" i="80"/>
  <c r="H1454" i="80"/>
  <c r="G1454" i="80"/>
  <c r="F1454" i="80"/>
  <c r="B1454" i="80"/>
  <c r="K1453" i="80"/>
  <c r="I1453" i="80"/>
  <c r="H1453" i="80"/>
  <c r="G1453" i="80"/>
  <c r="F1453" i="80"/>
  <c r="B1453" i="80"/>
  <c r="K1452" i="80"/>
  <c r="I1452" i="80"/>
  <c r="H1452" i="80"/>
  <c r="G1452" i="80"/>
  <c r="F1452" i="80"/>
  <c r="B1452" i="80"/>
  <c r="K1451" i="80"/>
  <c r="I1451" i="80"/>
  <c r="H1451" i="80"/>
  <c r="G1451" i="80"/>
  <c r="F1451" i="80"/>
  <c r="B1451" i="80"/>
  <c r="K1450" i="80"/>
  <c r="I1450" i="80"/>
  <c r="H1450" i="80"/>
  <c r="G1450" i="80"/>
  <c r="F1450" i="80"/>
  <c r="B1450" i="80"/>
  <c r="K1449" i="80"/>
  <c r="I1449" i="80"/>
  <c r="H1449" i="80"/>
  <c r="G1449" i="80"/>
  <c r="F1449" i="80"/>
  <c r="B1449" i="80"/>
  <c r="K1448" i="80"/>
  <c r="I1448" i="80"/>
  <c r="H1448" i="80"/>
  <c r="G1448" i="80"/>
  <c r="F1448" i="80"/>
  <c r="B1448" i="80"/>
  <c r="K1447" i="80"/>
  <c r="I1447" i="80"/>
  <c r="H1447" i="80"/>
  <c r="G1447" i="80"/>
  <c r="F1447" i="80"/>
  <c r="B1447" i="80"/>
  <c r="K1446" i="80"/>
  <c r="I1446" i="80"/>
  <c r="H1446" i="80"/>
  <c r="G1446" i="80"/>
  <c r="F1446" i="80"/>
  <c r="B1446" i="80"/>
  <c r="K1445" i="80"/>
  <c r="I1445" i="80"/>
  <c r="H1445" i="80"/>
  <c r="G1445" i="80"/>
  <c r="F1445" i="80"/>
  <c r="B1445" i="80"/>
  <c r="K1444" i="80"/>
  <c r="I1444" i="80"/>
  <c r="H1444" i="80"/>
  <c r="G1444" i="80"/>
  <c r="F1444" i="80"/>
  <c r="B1444" i="80"/>
  <c r="K1443" i="80"/>
  <c r="I1443" i="80"/>
  <c r="H1443" i="80"/>
  <c r="G1443" i="80"/>
  <c r="F1443" i="80"/>
  <c r="B1443" i="80"/>
  <c r="K1442" i="80"/>
  <c r="I1442" i="80"/>
  <c r="H1442" i="80"/>
  <c r="G1442" i="80"/>
  <c r="F1442" i="80"/>
  <c r="B1442" i="80"/>
  <c r="L1441" i="80"/>
  <c r="N1441" i="80" s="1"/>
  <c r="L1440" i="80"/>
  <c r="N1440" i="80" s="1"/>
  <c r="L1439" i="80"/>
  <c r="N1439" i="80" s="1"/>
  <c r="K1437" i="80"/>
  <c r="I1437" i="80"/>
  <c r="H1437" i="80"/>
  <c r="G1437" i="80"/>
  <c r="F1437" i="80"/>
  <c r="B1437" i="80"/>
  <c r="K1436" i="80"/>
  <c r="I1436" i="80"/>
  <c r="H1436" i="80"/>
  <c r="G1436" i="80"/>
  <c r="F1436" i="80"/>
  <c r="B1436" i="80"/>
  <c r="K1435" i="80"/>
  <c r="I1435" i="80"/>
  <c r="H1435" i="80"/>
  <c r="G1435" i="80"/>
  <c r="F1435" i="80"/>
  <c r="B1435" i="80"/>
  <c r="K1434" i="80"/>
  <c r="I1434" i="80"/>
  <c r="H1434" i="80"/>
  <c r="G1434" i="80"/>
  <c r="F1434" i="80"/>
  <c r="B1434" i="80"/>
  <c r="K1433" i="80"/>
  <c r="I1433" i="80"/>
  <c r="H1433" i="80"/>
  <c r="G1433" i="80"/>
  <c r="F1433" i="80"/>
  <c r="B1433" i="80"/>
  <c r="K1432" i="80"/>
  <c r="I1432" i="80"/>
  <c r="H1432" i="80"/>
  <c r="G1432" i="80"/>
  <c r="F1432" i="80"/>
  <c r="B1432" i="80"/>
  <c r="K1431" i="80"/>
  <c r="I1431" i="80"/>
  <c r="H1431" i="80"/>
  <c r="G1431" i="80"/>
  <c r="F1431" i="80"/>
  <c r="B1431" i="80"/>
  <c r="K1430" i="80"/>
  <c r="I1430" i="80"/>
  <c r="H1430" i="80"/>
  <c r="G1430" i="80"/>
  <c r="F1430" i="80"/>
  <c r="B1430" i="80"/>
  <c r="K1429" i="80"/>
  <c r="I1429" i="80"/>
  <c r="H1429" i="80"/>
  <c r="G1429" i="80"/>
  <c r="F1429" i="80"/>
  <c r="B1429" i="80"/>
  <c r="K1428" i="80"/>
  <c r="I1428" i="80"/>
  <c r="H1428" i="80"/>
  <c r="G1428" i="80"/>
  <c r="F1428" i="80"/>
  <c r="B1428" i="80"/>
  <c r="K1427" i="80"/>
  <c r="I1427" i="80"/>
  <c r="H1427" i="80"/>
  <c r="G1427" i="80"/>
  <c r="F1427" i="80"/>
  <c r="B1427" i="80"/>
  <c r="K1426" i="80"/>
  <c r="I1426" i="80"/>
  <c r="H1426" i="80"/>
  <c r="G1426" i="80"/>
  <c r="F1426" i="80"/>
  <c r="B1426" i="80"/>
  <c r="K1425" i="80"/>
  <c r="I1425" i="80"/>
  <c r="H1425" i="80"/>
  <c r="G1425" i="80"/>
  <c r="F1425" i="80"/>
  <c r="B1425" i="80"/>
  <c r="K1424" i="80"/>
  <c r="I1424" i="80"/>
  <c r="H1424" i="80"/>
  <c r="G1424" i="80"/>
  <c r="F1424" i="80"/>
  <c r="B1424" i="80"/>
  <c r="K1423" i="80"/>
  <c r="I1423" i="80"/>
  <c r="H1423" i="80"/>
  <c r="G1423" i="80"/>
  <c r="F1423" i="80"/>
  <c r="B1423" i="80"/>
  <c r="L1422" i="80"/>
  <c r="N1422" i="80" s="1"/>
  <c r="L1421" i="80"/>
  <c r="N1421" i="80" s="1"/>
  <c r="L1420" i="80"/>
  <c r="N1420" i="80" s="1"/>
  <c r="K1418" i="80"/>
  <c r="I1418" i="80"/>
  <c r="H1418" i="80"/>
  <c r="G1418" i="80"/>
  <c r="F1418" i="80"/>
  <c r="B1418" i="80"/>
  <c r="K1417" i="80"/>
  <c r="I1417" i="80"/>
  <c r="H1417" i="80"/>
  <c r="G1417" i="80"/>
  <c r="F1417" i="80"/>
  <c r="B1417" i="80"/>
  <c r="K1416" i="80"/>
  <c r="I1416" i="80"/>
  <c r="H1416" i="80"/>
  <c r="G1416" i="80"/>
  <c r="F1416" i="80"/>
  <c r="B1416" i="80"/>
  <c r="K1415" i="80"/>
  <c r="I1415" i="80"/>
  <c r="H1415" i="80"/>
  <c r="G1415" i="80"/>
  <c r="F1415" i="80"/>
  <c r="B1415" i="80"/>
  <c r="K1414" i="80"/>
  <c r="I1414" i="80"/>
  <c r="H1414" i="80"/>
  <c r="G1414" i="80"/>
  <c r="F1414" i="80"/>
  <c r="B1414" i="80"/>
  <c r="K1413" i="80"/>
  <c r="I1413" i="80"/>
  <c r="H1413" i="80"/>
  <c r="G1413" i="80"/>
  <c r="F1413" i="80"/>
  <c r="B1413" i="80"/>
  <c r="K1412" i="80"/>
  <c r="I1412" i="80"/>
  <c r="H1412" i="80"/>
  <c r="G1412" i="80"/>
  <c r="F1412" i="80"/>
  <c r="B1412" i="80"/>
  <c r="K1411" i="80"/>
  <c r="I1411" i="80"/>
  <c r="H1411" i="80"/>
  <c r="G1411" i="80"/>
  <c r="F1411" i="80"/>
  <c r="B1411" i="80"/>
  <c r="K1410" i="80"/>
  <c r="I1410" i="80"/>
  <c r="H1410" i="80"/>
  <c r="G1410" i="80"/>
  <c r="F1410" i="80"/>
  <c r="B1410" i="80"/>
  <c r="K1409" i="80"/>
  <c r="I1409" i="80"/>
  <c r="H1409" i="80"/>
  <c r="G1409" i="80"/>
  <c r="F1409" i="80"/>
  <c r="B1409" i="80"/>
  <c r="K1408" i="80"/>
  <c r="I1408" i="80"/>
  <c r="H1408" i="80"/>
  <c r="G1408" i="80"/>
  <c r="F1408" i="80"/>
  <c r="B1408" i="80"/>
  <c r="K1407" i="80"/>
  <c r="I1407" i="80"/>
  <c r="H1407" i="80"/>
  <c r="G1407" i="80"/>
  <c r="F1407" i="80"/>
  <c r="B1407" i="80"/>
  <c r="K1406" i="80"/>
  <c r="I1406" i="80"/>
  <c r="H1406" i="80"/>
  <c r="G1406" i="80"/>
  <c r="F1406" i="80"/>
  <c r="B1406" i="80"/>
  <c r="K1405" i="80"/>
  <c r="I1405" i="80"/>
  <c r="H1405" i="80"/>
  <c r="G1405" i="80"/>
  <c r="F1405" i="80"/>
  <c r="B1405" i="80"/>
  <c r="K1404" i="80"/>
  <c r="I1404" i="80"/>
  <c r="H1404" i="80"/>
  <c r="G1404" i="80"/>
  <c r="F1404" i="80"/>
  <c r="B1404" i="80"/>
  <c r="L1403" i="80"/>
  <c r="N1403" i="80" s="1"/>
  <c r="L1402" i="80"/>
  <c r="N1402" i="80" s="1"/>
  <c r="L1401" i="80"/>
  <c r="N1401" i="80" s="1"/>
  <c r="K1399" i="80"/>
  <c r="I1399" i="80"/>
  <c r="H1399" i="80"/>
  <c r="G1399" i="80"/>
  <c r="F1399" i="80"/>
  <c r="B1399" i="80"/>
  <c r="K1398" i="80"/>
  <c r="I1398" i="80"/>
  <c r="H1398" i="80"/>
  <c r="G1398" i="80"/>
  <c r="F1398" i="80"/>
  <c r="B1398" i="80"/>
  <c r="K1397" i="80"/>
  <c r="I1397" i="80"/>
  <c r="H1397" i="80"/>
  <c r="G1397" i="80"/>
  <c r="F1397" i="80"/>
  <c r="B1397" i="80"/>
  <c r="K1396" i="80"/>
  <c r="I1396" i="80"/>
  <c r="H1396" i="80"/>
  <c r="G1396" i="80"/>
  <c r="F1396" i="80"/>
  <c r="B1396" i="80"/>
  <c r="K1395" i="80"/>
  <c r="I1395" i="80"/>
  <c r="H1395" i="80"/>
  <c r="G1395" i="80"/>
  <c r="F1395" i="80"/>
  <c r="B1395" i="80"/>
  <c r="K1394" i="80"/>
  <c r="I1394" i="80"/>
  <c r="H1394" i="80"/>
  <c r="G1394" i="80"/>
  <c r="F1394" i="80"/>
  <c r="B1394" i="80"/>
  <c r="K1393" i="80"/>
  <c r="I1393" i="80"/>
  <c r="H1393" i="80"/>
  <c r="G1393" i="80"/>
  <c r="F1393" i="80"/>
  <c r="B1393" i="80"/>
  <c r="K1392" i="80"/>
  <c r="I1392" i="80"/>
  <c r="H1392" i="80"/>
  <c r="G1392" i="80"/>
  <c r="F1392" i="80"/>
  <c r="B1392" i="80"/>
  <c r="K1391" i="80"/>
  <c r="I1391" i="80"/>
  <c r="H1391" i="80"/>
  <c r="G1391" i="80"/>
  <c r="F1391" i="80"/>
  <c r="B1391" i="80"/>
  <c r="K1390" i="80"/>
  <c r="I1390" i="80"/>
  <c r="H1390" i="80"/>
  <c r="G1390" i="80"/>
  <c r="F1390" i="80"/>
  <c r="B1390" i="80"/>
  <c r="K1389" i="80"/>
  <c r="I1389" i="80"/>
  <c r="H1389" i="80"/>
  <c r="G1389" i="80"/>
  <c r="F1389" i="80"/>
  <c r="B1389" i="80"/>
  <c r="K1388" i="80"/>
  <c r="I1388" i="80"/>
  <c r="H1388" i="80"/>
  <c r="G1388" i="80"/>
  <c r="F1388" i="80"/>
  <c r="B1388" i="80"/>
  <c r="K1387" i="80"/>
  <c r="I1387" i="80"/>
  <c r="H1387" i="80"/>
  <c r="G1387" i="80"/>
  <c r="F1387" i="80"/>
  <c r="B1387" i="80"/>
  <c r="K1386" i="80"/>
  <c r="I1386" i="80"/>
  <c r="H1386" i="80"/>
  <c r="G1386" i="80"/>
  <c r="F1386" i="80"/>
  <c r="B1386" i="80"/>
  <c r="K1385" i="80"/>
  <c r="I1385" i="80"/>
  <c r="H1385" i="80"/>
  <c r="G1385" i="80"/>
  <c r="F1385" i="80"/>
  <c r="B1385" i="80"/>
  <c r="L1384" i="80"/>
  <c r="N1384" i="80" s="1"/>
  <c r="L1383" i="80"/>
  <c r="N1383" i="80" s="1"/>
  <c r="L1382" i="80"/>
  <c r="N1382" i="80" s="1"/>
  <c r="K1380" i="80"/>
  <c r="I1380" i="80"/>
  <c r="H1380" i="80"/>
  <c r="G1380" i="80"/>
  <c r="F1380" i="80"/>
  <c r="B1380" i="80"/>
  <c r="K1379" i="80"/>
  <c r="I1379" i="80"/>
  <c r="H1379" i="80"/>
  <c r="G1379" i="80"/>
  <c r="F1379" i="80"/>
  <c r="B1379" i="80"/>
  <c r="K1378" i="80"/>
  <c r="I1378" i="80"/>
  <c r="H1378" i="80"/>
  <c r="G1378" i="80"/>
  <c r="F1378" i="80"/>
  <c r="B1378" i="80"/>
  <c r="K1377" i="80"/>
  <c r="I1377" i="80"/>
  <c r="H1377" i="80"/>
  <c r="G1377" i="80"/>
  <c r="F1377" i="80"/>
  <c r="B1377" i="80"/>
  <c r="K1376" i="80"/>
  <c r="I1376" i="80"/>
  <c r="H1376" i="80"/>
  <c r="G1376" i="80"/>
  <c r="F1376" i="80"/>
  <c r="B1376" i="80"/>
  <c r="K1375" i="80"/>
  <c r="I1375" i="80"/>
  <c r="H1375" i="80"/>
  <c r="G1375" i="80"/>
  <c r="F1375" i="80"/>
  <c r="B1375" i="80"/>
  <c r="K1374" i="80"/>
  <c r="I1374" i="80"/>
  <c r="H1374" i="80"/>
  <c r="G1374" i="80"/>
  <c r="F1374" i="80"/>
  <c r="B1374" i="80"/>
  <c r="K1373" i="80"/>
  <c r="I1373" i="80"/>
  <c r="H1373" i="80"/>
  <c r="G1373" i="80"/>
  <c r="F1373" i="80"/>
  <c r="B1373" i="80"/>
  <c r="K1372" i="80"/>
  <c r="I1372" i="80"/>
  <c r="H1372" i="80"/>
  <c r="G1372" i="80"/>
  <c r="F1372" i="80"/>
  <c r="B1372" i="80"/>
  <c r="K1371" i="80"/>
  <c r="I1371" i="80"/>
  <c r="H1371" i="80"/>
  <c r="G1371" i="80"/>
  <c r="F1371" i="80"/>
  <c r="B1371" i="80"/>
  <c r="K1370" i="80"/>
  <c r="I1370" i="80"/>
  <c r="H1370" i="80"/>
  <c r="G1370" i="80"/>
  <c r="F1370" i="80"/>
  <c r="B1370" i="80"/>
  <c r="K1369" i="80"/>
  <c r="I1369" i="80"/>
  <c r="H1369" i="80"/>
  <c r="G1369" i="80"/>
  <c r="F1369" i="80"/>
  <c r="B1369" i="80"/>
  <c r="K1368" i="80"/>
  <c r="I1368" i="80"/>
  <c r="H1368" i="80"/>
  <c r="G1368" i="80"/>
  <c r="F1368" i="80"/>
  <c r="B1368" i="80"/>
  <c r="K1367" i="80"/>
  <c r="I1367" i="80"/>
  <c r="H1367" i="80"/>
  <c r="G1367" i="80"/>
  <c r="F1367" i="80"/>
  <c r="B1367" i="80"/>
  <c r="K1366" i="80"/>
  <c r="I1366" i="80"/>
  <c r="H1366" i="80"/>
  <c r="G1366" i="80"/>
  <c r="F1366" i="80"/>
  <c r="B1366" i="80"/>
  <c r="L1365" i="80"/>
  <c r="N1365" i="80" s="1"/>
  <c r="L1364" i="80"/>
  <c r="N1364" i="80" s="1"/>
  <c r="L1363" i="80"/>
  <c r="N1363" i="80" s="1"/>
  <c r="K1361" i="80"/>
  <c r="I1361" i="80"/>
  <c r="H1361" i="80"/>
  <c r="G1361" i="80"/>
  <c r="F1361" i="80"/>
  <c r="B1361" i="80"/>
  <c r="K1360" i="80"/>
  <c r="I1360" i="80"/>
  <c r="H1360" i="80"/>
  <c r="G1360" i="80"/>
  <c r="F1360" i="80"/>
  <c r="B1360" i="80"/>
  <c r="K1359" i="80"/>
  <c r="I1359" i="80"/>
  <c r="H1359" i="80"/>
  <c r="G1359" i="80"/>
  <c r="F1359" i="80"/>
  <c r="B1359" i="80"/>
  <c r="K1358" i="80"/>
  <c r="I1358" i="80"/>
  <c r="H1358" i="80"/>
  <c r="G1358" i="80"/>
  <c r="F1358" i="80"/>
  <c r="B1358" i="80"/>
  <c r="K1357" i="80"/>
  <c r="I1357" i="80"/>
  <c r="H1357" i="80"/>
  <c r="G1357" i="80"/>
  <c r="F1357" i="80"/>
  <c r="B1357" i="80"/>
  <c r="K1356" i="80"/>
  <c r="I1356" i="80"/>
  <c r="H1356" i="80"/>
  <c r="G1356" i="80"/>
  <c r="F1356" i="80"/>
  <c r="B1356" i="80"/>
  <c r="K1355" i="80"/>
  <c r="I1355" i="80"/>
  <c r="H1355" i="80"/>
  <c r="G1355" i="80"/>
  <c r="F1355" i="80"/>
  <c r="B1355" i="80"/>
  <c r="K1354" i="80"/>
  <c r="I1354" i="80"/>
  <c r="H1354" i="80"/>
  <c r="G1354" i="80"/>
  <c r="F1354" i="80"/>
  <c r="B1354" i="80"/>
  <c r="K1353" i="80"/>
  <c r="I1353" i="80"/>
  <c r="H1353" i="80"/>
  <c r="G1353" i="80"/>
  <c r="F1353" i="80"/>
  <c r="B1353" i="80"/>
  <c r="K1352" i="80"/>
  <c r="I1352" i="80"/>
  <c r="H1352" i="80"/>
  <c r="G1352" i="80"/>
  <c r="F1352" i="80"/>
  <c r="B1352" i="80"/>
  <c r="K1351" i="80"/>
  <c r="I1351" i="80"/>
  <c r="H1351" i="80"/>
  <c r="G1351" i="80"/>
  <c r="F1351" i="80"/>
  <c r="B1351" i="80"/>
  <c r="K1350" i="80"/>
  <c r="I1350" i="80"/>
  <c r="H1350" i="80"/>
  <c r="G1350" i="80"/>
  <c r="F1350" i="80"/>
  <c r="B1350" i="80"/>
  <c r="K1349" i="80"/>
  <c r="I1349" i="80"/>
  <c r="H1349" i="80"/>
  <c r="G1349" i="80"/>
  <c r="F1349" i="80"/>
  <c r="B1349" i="80"/>
  <c r="K1348" i="80"/>
  <c r="I1348" i="80"/>
  <c r="H1348" i="80"/>
  <c r="G1348" i="80"/>
  <c r="F1348" i="80"/>
  <c r="B1348" i="80"/>
  <c r="K1347" i="80"/>
  <c r="I1347" i="80"/>
  <c r="H1347" i="80"/>
  <c r="G1347" i="80"/>
  <c r="F1347" i="80"/>
  <c r="B1347" i="80"/>
  <c r="L1346" i="80"/>
  <c r="N1346" i="80" s="1"/>
  <c r="L1345" i="80"/>
  <c r="N1345" i="80" s="1"/>
  <c r="L1344" i="80"/>
  <c r="N1344" i="80" s="1"/>
  <c r="F1334" i="80"/>
  <c r="F1333" i="80"/>
  <c r="J1331" i="80"/>
  <c r="H1331" i="80"/>
  <c r="G1331" i="80"/>
  <c r="F1331" i="80"/>
  <c r="E1331" i="80"/>
  <c r="B1331" i="80"/>
  <c r="J1330" i="80"/>
  <c r="H1330" i="80"/>
  <c r="G1330" i="80"/>
  <c r="F1330" i="80"/>
  <c r="E1330" i="80"/>
  <c r="B1330" i="80"/>
  <c r="J1329" i="80"/>
  <c r="H1329" i="80"/>
  <c r="G1329" i="80"/>
  <c r="F1329" i="80"/>
  <c r="E1329" i="80"/>
  <c r="B1329" i="80"/>
  <c r="J1328" i="80"/>
  <c r="J1334" i="80" s="1"/>
  <c r="H1328" i="80"/>
  <c r="H1334" i="80" s="1"/>
  <c r="G1328" i="80"/>
  <c r="G1334" i="80" s="1"/>
  <c r="F1328" i="80"/>
  <c r="E1328" i="80"/>
  <c r="E1334" i="80" s="1"/>
  <c r="B1328" i="80"/>
  <c r="B1334" i="80" s="1"/>
  <c r="J1327" i="80"/>
  <c r="J1333" i="80" s="1"/>
  <c r="H1327" i="80"/>
  <c r="H1333" i="80" s="1"/>
  <c r="G1327" i="80"/>
  <c r="G1333" i="80" s="1"/>
  <c r="F1327" i="80"/>
  <c r="E1327" i="80"/>
  <c r="E1333" i="80" s="1"/>
  <c r="B1327" i="80"/>
  <c r="B1333" i="80" s="1"/>
  <c r="J1326" i="80"/>
  <c r="J1332" i="80" s="1"/>
  <c r="H1326" i="80"/>
  <c r="H1332" i="80" s="1"/>
  <c r="G1326" i="80"/>
  <c r="G1332" i="80" s="1"/>
  <c r="F1326" i="80"/>
  <c r="F1332" i="80" s="1"/>
  <c r="E1326" i="80"/>
  <c r="E1332" i="80" s="1"/>
  <c r="B1326" i="80"/>
  <c r="B1332" i="80" s="1"/>
  <c r="M1325" i="80"/>
  <c r="K1325" i="80"/>
  <c r="K1324" i="80"/>
  <c r="M1324" i="80" s="1"/>
  <c r="K1323" i="80"/>
  <c r="M1323" i="80" s="1"/>
  <c r="K1275" i="80"/>
  <c r="I1275" i="80"/>
  <c r="H1275" i="80"/>
  <c r="G1275" i="80"/>
  <c r="F1275" i="80"/>
  <c r="B1275" i="80"/>
  <c r="K1274" i="80"/>
  <c r="I1274" i="80"/>
  <c r="H1274" i="80"/>
  <c r="G1274" i="80"/>
  <c r="F1274" i="80"/>
  <c r="B1274" i="80"/>
  <c r="K1273" i="80"/>
  <c r="I1273" i="80"/>
  <c r="H1273" i="80"/>
  <c r="G1273" i="80"/>
  <c r="F1273" i="80"/>
  <c r="B1273" i="80"/>
  <c r="K1272" i="80"/>
  <c r="I1272" i="80"/>
  <c r="H1272" i="80"/>
  <c r="G1272" i="80"/>
  <c r="F1272" i="80"/>
  <c r="B1272" i="80"/>
  <c r="K1271" i="80"/>
  <c r="I1271" i="80"/>
  <c r="H1271" i="80"/>
  <c r="G1271" i="80"/>
  <c r="F1271" i="80"/>
  <c r="B1271" i="80"/>
  <c r="K1270" i="80"/>
  <c r="I1270" i="80"/>
  <c r="H1270" i="80"/>
  <c r="G1270" i="80"/>
  <c r="F1270" i="80"/>
  <c r="B1270" i="80"/>
  <c r="K1269" i="80"/>
  <c r="I1269" i="80"/>
  <c r="H1269" i="80"/>
  <c r="G1269" i="80"/>
  <c r="F1269" i="80"/>
  <c r="B1269" i="80"/>
  <c r="K1268" i="80"/>
  <c r="I1268" i="80"/>
  <c r="H1268" i="80"/>
  <c r="G1268" i="80"/>
  <c r="F1268" i="80"/>
  <c r="B1268" i="80"/>
  <c r="K1267" i="80"/>
  <c r="I1267" i="80"/>
  <c r="H1267" i="80"/>
  <c r="G1267" i="80"/>
  <c r="F1267" i="80"/>
  <c r="B1267" i="80"/>
  <c r="K1266" i="80"/>
  <c r="I1266" i="80"/>
  <c r="H1266" i="80"/>
  <c r="G1266" i="80"/>
  <c r="F1266" i="80"/>
  <c r="B1266" i="80"/>
  <c r="K1265" i="80"/>
  <c r="I1265" i="80"/>
  <c r="H1265" i="80"/>
  <c r="G1265" i="80"/>
  <c r="F1265" i="80"/>
  <c r="B1265" i="80"/>
  <c r="K1264" i="80"/>
  <c r="I1264" i="80"/>
  <c r="H1264" i="80"/>
  <c r="G1264" i="80"/>
  <c r="F1264" i="80"/>
  <c r="B1264" i="80"/>
  <c r="K1263" i="80"/>
  <c r="I1263" i="80"/>
  <c r="H1263" i="80"/>
  <c r="G1263" i="80"/>
  <c r="F1263" i="80"/>
  <c r="B1263" i="80"/>
  <c r="K1262" i="80"/>
  <c r="I1262" i="80"/>
  <c r="H1262" i="80"/>
  <c r="G1262" i="80"/>
  <c r="F1262" i="80"/>
  <c r="B1262" i="80"/>
  <c r="K1261" i="80"/>
  <c r="I1261" i="80"/>
  <c r="H1261" i="80"/>
  <c r="G1261" i="80"/>
  <c r="F1261" i="80"/>
  <c r="B1261" i="80"/>
  <c r="L1260" i="80"/>
  <c r="N1260" i="80" s="1"/>
  <c r="L1259" i="80"/>
  <c r="N1259" i="80" s="1"/>
  <c r="L1258" i="80"/>
  <c r="N1258" i="80" s="1"/>
  <c r="K1256" i="80"/>
  <c r="I1256" i="80"/>
  <c r="H1256" i="80"/>
  <c r="G1256" i="80"/>
  <c r="F1256" i="80"/>
  <c r="B1256" i="80"/>
  <c r="K1255" i="80"/>
  <c r="I1255" i="80"/>
  <c r="H1255" i="80"/>
  <c r="G1255" i="80"/>
  <c r="F1255" i="80"/>
  <c r="B1255" i="80"/>
  <c r="K1254" i="80"/>
  <c r="I1254" i="80"/>
  <c r="H1254" i="80"/>
  <c r="G1254" i="80"/>
  <c r="F1254" i="80"/>
  <c r="B1254" i="80"/>
  <c r="K1253" i="80"/>
  <c r="I1253" i="80"/>
  <c r="H1253" i="80"/>
  <c r="G1253" i="80"/>
  <c r="F1253" i="80"/>
  <c r="B1253" i="80"/>
  <c r="K1252" i="80"/>
  <c r="I1252" i="80"/>
  <c r="H1252" i="80"/>
  <c r="G1252" i="80"/>
  <c r="F1252" i="80"/>
  <c r="B1252" i="80"/>
  <c r="K1251" i="80"/>
  <c r="I1251" i="80"/>
  <c r="H1251" i="80"/>
  <c r="G1251" i="80"/>
  <c r="F1251" i="80"/>
  <c r="B1251" i="80"/>
  <c r="K1250" i="80"/>
  <c r="I1250" i="80"/>
  <c r="H1250" i="80"/>
  <c r="G1250" i="80"/>
  <c r="F1250" i="80"/>
  <c r="B1250" i="80"/>
  <c r="K1249" i="80"/>
  <c r="I1249" i="80"/>
  <c r="H1249" i="80"/>
  <c r="G1249" i="80"/>
  <c r="F1249" i="80"/>
  <c r="B1249" i="80"/>
  <c r="K1248" i="80"/>
  <c r="I1248" i="80"/>
  <c r="H1248" i="80"/>
  <c r="G1248" i="80"/>
  <c r="F1248" i="80"/>
  <c r="B1248" i="80"/>
  <c r="K1247" i="80"/>
  <c r="I1247" i="80"/>
  <c r="H1247" i="80"/>
  <c r="G1247" i="80"/>
  <c r="F1247" i="80"/>
  <c r="B1247" i="80"/>
  <c r="K1246" i="80"/>
  <c r="I1246" i="80"/>
  <c r="H1246" i="80"/>
  <c r="G1246" i="80"/>
  <c r="F1246" i="80"/>
  <c r="B1246" i="80"/>
  <c r="K1245" i="80"/>
  <c r="I1245" i="80"/>
  <c r="H1245" i="80"/>
  <c r="G1245" i="80"/>
  <c r="F1245" i="80"/>
  <c r="B1245" i="80"/>
  <c r="K1244" i="80"/>
  <c r="I1244" i="80"/>
  <c r="H1244" i="80"/>
  <c r="G1244" i="80"/>
  <c r="F1244" i="80"/>
  <c r="B1244" i="80"/>
  <c r="K1243" i="80"/>
  <c r="I1243" i="80"/>
  <c r="H1243" i="80"/>
  <c r="G1243" i="80"/>
  <c r="F1243" i="80"/>
  <c r="B1243" i="80"/>
  <c r="K1242" i="80"/>
  <c r="I1242" i="80"/>
  <c r="H1242" i="80"/>
  <c r="G1242" i="80"/>
  <c r="F1242" i="80"/>
  <c r="B1242" i="80"/>
  <c r="L1241" i="80"/>
  <c r="N1241" i="80" s="1"/>
  <c r="L1240" i="80"/>
  <c r="N1240" i="80" s="1"/>
  <c r="L1239" i="80"/>
  <c r="N1239" i="80" s="1"/>
  <c r="K1237" i="80"/>
  <c r="I1237" i="80"/>
  <c r="H1237" i="80"/>
  <c r="G1237" i="80"/>
  <c r="F1237" i="80"/>
  <c r="B1237" i="80"/>
  <c r="K1236" i="80"/>
  <c r="I1236" i="80"/>
  <c r="H1236" i="80"/>
  <c r="G1236" i="80"/>
  <c r="F1236" i="80"/>
  <c r="B1236" i="80"/>
  <c r="K1235" i="80"/>
  <c r="I1235" i="80"/>
  <c r="H1235" i="80"/>
  <c r="G1235" i="80"/>
  <c r="F1235" i="80"/>
  <c r="B1235" i="80"/>
  <c r="K1234" i="80"/>
  <c r="I1234" i="80"/>
  <c r="H1234" i="80"/>
  <c r="G1234" i="80"/>
  <c r="F1234" i="80"/>
  <c r="B1234" i="80"/>
  <c r="K1233" i="80"/>
  <c r="I1233" i="80"/>
  <c r="H1233" i="80"/>
  <c r="G1233" i="80"/>
  <c r="F1233" i="80"/>
  <c r="B1233" i="80"/>
  <c r="K1232" i="80"/>
  <c r="I1232" i="80"/>
  <c r="H1232" i="80"/>
  <c r="G1232" i="80"/>
  <c r="F1232" i="80"/>
  <c r="B1232" i="80"/>
  <c r="K1231" i="80"/>
  <c r="I1231" i="80"/>
  <c r="H1231" i="80"/>
  <c r="G1231" i="80"/>
  <c r="F1231" i="80"/>
  <c r="B1231" i="80"/>
  <c r="K1230" i="80"/>
  <c r="I1230" i="80"/>
  <c r="H1230" i="80"/>
  <c r="G1230" i="80"/>
  <c r="F1230" i="80"/>
  <c r="B1230" i="80"/>
  <c r="K1229" i="80"/>
  <c r="I1229" i="80"/>
  <c r="H1229" i="80"/>
  <c r="G1229" i="80"/>
  <c r="F1229" i="80"/>
  <c r="B1229" i="80"/>
  <c r="K1228" i="80"/>
  <c r="I1228" i="80"/>
  <c r="H1228" i="80"/>
  <c r="G1228" i="80"/>
  <c r="F1228" i="80"/>
  <c r="B1228" i="80"/>
  <c r="K1227" i="80"/>
  <c r="I1227" i="80"/>
  <c r="H1227" i="80"/>
  <c r="G1227" i="80"/>
  <c r="F1227" i="80"/>
  <c r="B1227" i="80"/>
  <c r="K1226" i="80"/>
  <c r="I1226" i="80"/>
  <c r="H1226" i="80"/>
  <c r="G1226" i="80"/>
  <c r="F1226" i="80"/>
  <c r="B1226" i="80"/>
  <c r="K1225" i="80"/>
  <c r="I1225" i="80"/>
  <c r="H1225" i="80"/>
  <c r="G1225" i="80"/>
  <c r="F1225" i="80"/>
  <c r="B1225" i="80"/>
  <c r="K1224" i="80"/>
  <c r="I1224" i="80"/>
  <c r="H1224" i="80"/>
  <c r="G1224" i="80"/>
  <c r="F1224" i="80"/>
  <c r="B1224" i="80"/>
  <c r="K1223" i="80"/>
  <c r="I1223" i="80"/>
  <c r="H1223" i="80"/>
  <c r="G1223" i="80"/>
  <c r="F1223" i="80"/>
  <c r="B1223" i="80"/>
  <c r="L1222" i="80"/>
  <c r="N1222" i="80" s="1"/>
  <c r="L1221" i="80"/>
  <c r="N1221" i="80" s="1"/>
  <c r="L1220" i="80"/>
  <c r="N1220" i="80" s="1"/>
  <c r="K1218" i="80"/>
  <c r="I1218" i="80"/>
  <c r="H1218" i="80"/>
  <c r="G1218" i="80"/>
  <c r="F1218" i="80"/>
  <c r="B1218" i="80"/>
  <c r="K1217" i="80"/>
  <c r="I1217" i="80"/>
  <c r="H1217" i="80"/>
  <c r="G1217" i="80"/>
  <c r="F1217" i="80"/>
  <c r="B1217" i="80"/>
  <c r="K1216" i="80"/>
  <c r="I1216" i="80"/>
  <c r="H1216" i="80"/>
  <c r="G1216" i="80"/>
  <c r="F1216" i="80"/>
  <c r="B1216" i="80"/>
  <c r="K1215" i="80"/>
  <c r="I1215" i="80"/>
  <c r="H1215" i="80"/>
  <c r="G1215" i="80"/>
  <c r="F1215" i="80"/>
  <c r="B1215" i="80"/>
  <c r="K1214" i="80"/>
  <c r="I1214" i="80"/>
  <c r="H1214" i="80"/>
  <c r="G1214" i="80"/>
  <c r="F1214" i="80"/>
  <c r="B1214" i="80"/>
  <c r="K1213" i="80"/>
  <c r="I1213" i="80"/>
  <c r="H1213" i="80"/>
  <c r="G1213" i="80"/>
  <c r="F1213" i="80"/>
  <c r="B1213" i="80"/>
  <c r="K1212" i="80"/>
  <c r="I1212" i="80"/>
  <c r="H1212" i="80"/>
  <c r="G1212" i="80"/>
  <c r="F1212" i="80"/>
  <c r="B1212" i="80"/>
  <c r="K1211" i="80"/>
  <c r="I1211" i="80"/>
  <c r="H1211" i="80"/>
  <c r="G1211" i="80"/>
  <c r="F1211" i="80"/>
  <c r="B1211" i="80"/>
  <c r="K1210" i="80"/>
  <c r="I1210" i="80"/>
  <c r="H1210" i="80"/>
  <c r="G1210" i="80"/>
  <c r="F1210" i="80"/>
  <c r="B1210" i="80"/>
  <c r="K1209" i="80"/>
  <c r="I1209" i="80"/>
  <c r="H1209" i="80"/>
  <c r="G1209" i="80"/>
  <c r="F1209" i="80"/>
  <c r="B1209" i="80"/>
  <c r="K1208" i="80"/>
  <c r="I1208" i="80"/>
  <c r="H1208" i="80"/>
  <c r="G1208" i="80"/>
  <c r="F1208" i="80"/>
  <c r="B1208" i="80"/>
  <c r="K1207" i="80"/>
  <c r="I1207" i="80"/>
  <c r="H1207" i="80"/>
  <c r="G1207" i="80"/>
  <c r="F1207" i="80"/>
  <c r="B1207" i="80"/>
  <c r="K1206" i="80"/>
  <c r="I1206" i="80"/>
  <c r="H1206" i="80"/>
  <c r="G1206" i="80"/>
  <c r="F1206" i="80"/>
  <c r="B1206" i="80"/>
  <c r="K1205" i="80"/>
  <c r="I1205" i="80"/>
  <c r="H1205" i="80"/>
  <c r="G1205" i="80"/>
  <c r="F1205" i="80"/>
  <c r="B1205" i="80"/>
  <c r="K1204" i="80"/>
  <c r="I1204" i="80"/>
  <c r="H1204" i="80"/>
  <c r="G1204" i="80"/>
  <c r="F1204" i="80"/>
  <c r="B1204" i="80"/>
  <c r="L1203" i="80"/>
  <c r="N1203" i="80" s="1"/>
  <c r="L1202" i="80"/>
  <c r="N1202" i="80" s="1"/>
  <c r="L1201" i="80"/>
  <c r="N1201" i="80" s="1"/>
  <c r="K1199" i="80"/>
  <c r="I1199" i="80"/>
  <c r="H1199" i="80"/>
  <c r="G1199" i="80"/>
  <c r="F1199" i="80"/>
  <c r="B1199" i="80"/>
  <c r="K1198" i="80"/>
  <c r="I1198" i="80"/>
  <c r="H1198" i="80"/>
  <c r="G1198" i="80"/>
  <c r="F1198" i="80"/>
  <c r="B1198" i="80"/>
  <c r="K1197" i="80"/>
  <c r="I1197" i="80"/>
  <c r="H1197" i="80"/>
  <c r="G1197" i="80"/>
  <c r="F1197" i="80"/>
  <c r="B1197" i="80"/>
  <c r="K1196" i="80"/>
  <c r="I1196" i="80"/>
  <c r="H1196" i="80"/>
  <c r="G1196" i="80"/>
  <c r="F1196" i="80"/>
  <c r="B1196" i="80"/>
  <c r="K1195" i="80"/>
  <c r="I1195" i="80"/>
  <c r="H1195" i="80"/>
  <c r="G1195" i="80"/>
  <c r="F1195" i="80"/>
  <c r="B1195" i="80"/>
  <c r="K1194" i="80"/>
  <c r="I1194" i="80"/>
  <c r="H1194" i="80"/>
  <c r="G1194" i="80"/>
  <c r="F1194" i="80"/>
  <c r="B1194" i="80"/>
  <c r="K1193" i="80"/>
  <c r="I1193" i="80"/>
  <c r="H1193" i="80"/>
  <c r="G1193" i="80"/>
  <c r="F1193" i="80"/>
  <c r="B1193" i="80"/>
  <c r="K1192" i="80"/>
  <c r="I1192" i="80"/>
  <c r="H1192" i="80"/>
  <c r="G1192" i="80"/>
  <c r="F1192" i="80"/>
  <c r="B1192" i="80"/>
  <c r="K1191" i="80"/>
  <c r="I1191" i="80"/>
  <c r="H1191" i="80"/>
  <c r="G1191" i="80"/>
  <c r="F1191" i="80"/>
  <c r="B1191" i="80"/>
  <c r="K1190" i="80"/>
  <c r="I1190" i="80"/>
  <c r="H1190" i="80"/>
  <c r="G1190" i="80"/>
  <c r="F1190" i="80"/>
  <c r="B1190" i="80"/>
  <c r="K1189" i="80"/>
  <c r="I1189" i="80"/>
  <c r="H1189" i="80"/>
  <c r="G1189" i="80"/>
  <c r="F1189" i="80"/>
  <c r="B1189" i="80"/>
  <c r="K1188" i="80"/>
  <c r="I1188" i="80"/>
  <c r="H1188" i="80"/>
  <c r="G1188" i="80"/>
  <c r="F1188" i="80"/>
  <c r="B1188" i="80"/>
  <c r="K1187" i="80"/>
  <c r="I1187" i="80"/>
  <c r="H1187" i="80"/>
  <c r="G1187" i="80"/>
  <c r="F1187" i="80"/>
  <c r="B1187" i="80"/>
  <c r="K1186" i="80"/>
  <c r="I1186" i="80"/>
  <c r="H1186" i="80"/>
  <c r="G1186" i="80"/>
  <c r="F1186" i="80"/>
  <c r="B1186" i="80"/>
  <c r="K1185" i="80"/>
  <c r="I1185" i="80"/>
  <c r="H1185" i="80"/>
  <c r="G1185" i="80"/>
  <c r="F1185" i="80"/>
  <c r="B1185" i="80"/>
  <c r="L1184" i="80"/>
  <c r="N1184" i="80" s="1"/>
  <c r="L1183" i="80"/>
  <c r="N1183" i="80" s="1"/>
  <c r="L1182" i="80"/>
  <c r="N1182" i="80" s="1"/>
  <c r="K1180" i="80"/>
  <c r="I1180" i="80"/>
  <c r="H1180" i="80"/>
  <c r="G1180" i="80"/>
  <c r="F1180" i="80"/>
  <c r="B1180" i="80"/>
  <c r="K1179" i="80"/>
  <c r="I1179" i="80"/>
  <c r="H1179" i="80"/>
  <c r="G1179" i="80"/>
  <c r="F1179" i="80"/>
  <c r="B1179" i="80"/>
  <c r="K1178" i="80"/>
  <c r="I1178" i="80"/>
  <c r="H1178" i="80"/>
  <c r="G1178" i="80"/>
  <c r="F1178" i="80"/>
  <c r="B1178" i="80"/>
  <c r="K1177" i="80"/>
  <c r="I1177" i="80"/>
  <c r="H1177" i="80"/>
  <c r="G1177" i="80"/>
  <c r="F1177" i="80"/>
  <c r="B1177" i="80"/>
  <c r="K1176" i="80"/>
  <c r="I1176" i="80"/>
  <c r="H1176" i="80"/>
  <c r="G1176" i="80"/>
  <c r="F1176" i="80"/>
  <c r="B1176" i="80"/>
  <c r="K1175" i="80"/>
  <c r="I1175" i="80"/>
  <c r="H1175" i="80"/>
  <c r="G1175" i="80"/>
  <c r="F1175" i="80"/>
  <c r="B1175" i="80"/>
  <c r="K1174" i="80"/>
  <c r="I1174" i="80"/>
  <c r="H1174" i="80"/>
  <c r="G1174" i="80"/>
  <c r="F1174" i="80"/>
  <c r="B1174" i="80"/>
  <c r="K1173" i="80"/>
  <c r="I1173" i="80"/>
  <c r="H1173" i="80"/>
  <c r="G1173" i="80"/>
  <c r="F1173" i="80"/>
  <c r="B1173" i="80"/>
  <c r="K1172" i="80"/>
  <c r="I1172" i="80"/>
  <c r="H1172" i="80"/>
  <c r="G1172" i="80"/>
  <c r="F1172" i="80"/>
  <c r="B1172" i="80"/>
  <c r="K1171" i="80"/>
  <c r="I1171" i="80"/>
  <c r="H1171" i="80"/>
  <c r="G1171" i="80"/>
  <c r="F1171" i="80"/>
  <c r="B1171" i="80"/>
  <c r="K1170" i="80"/>
  <c r="I1170" i="80"/>
  <c r="H1170" i="80"/>
  <c r="G1170" i="80"/>
  <c r="F1170" i="80"/>
  <c r="B1170" i="80"/>
  <c r="K1169" i="80"/>
  <c r="I1169" i="80"/>
  <c r="H1169" i="80"/>
  <c r="G1169" i="80"/>
  <c r="F1169" i="80"/>
  <c r="B1169" i="80"/>
  <c r="K1168" i="80"/>
  <c r="I1168" i="80"/>
  <c r="H1168" i="80"/>
  <c r="G1168" i="80"/>
  <c r="F1168" i="80"/>
  <c r="B1168" i="80"/>
  <c r="K1167" i="80"/>
  <c r="I1167" i="80"/>
  <c r="H1167" i="80"/>
  <c r="G1167" i="80"/>
  <c r="F1167" i="80"/>
  <c r="B1167" i="80"/>
  <c r="K1166" i="80"/>
  <c r="I1166" i="80"/>
  <c r="H1166" i="80"/>
  <c r="G1166" i="80"/>
  <c r="F1166" i="80"/>
  <c r="B1166" i="80"/>
  <c r="L1165" i="80"/>
  <c r="N1165" i="80" s="1"/>
  <c r="L1164" i="80"/>
  <c r="N1164" i="80" s="1"/>
  <c r="L1163" i="80"/>
  <c r="N1163" i="80" s="1"/>
  <c r="K1161" i="80"/>
  <c r="I1161" i="80"/>
  <c r="H1161" i="80"/>
  <c r="G1161" i="80"/>
  <c r="F1161" i="80"/>
  <c r="B1161" i="80"/>
  <c r="K1160" i="80"/>
  <c r="I1160" i="80"/>
  <c r="H1160" i="80"/>
  <c r="G1160" i="80"/>
  <c r="F1160" i="80"/>
  <c r="B1160" i="80"/>
  <c r="K1159" i="80"/>
  <c r="I1159" i="80"/>
  <c r="H1159" i="80"/>
  <c r="G1159" i="80"/>
  <c r="F1159" i="80"/>
  <c r="B1159" i="80"/>
  <c r="K1158" i="80"/>
  <c r="I1158" i="80"/>
  <c r="H1158" i="80"/>
  <c r="G1158" i="80"/>
  <c r="F1158" i="80"/>
  <c r="B1158" i="80"/>
  <c r="K1157" i="80"/>
  <c r="I1157" i="80"/>
  <c r="H1157" i="80"/>
  <c r="G1157" i="80"/>
  <c r="F1157" i="80"/>
  <c r="B1157" i="80"/>
  <c r="K1156" i="80"/>
  <c r="I1156" i="80"/>
  <c r="H1156" i="80"/>
  <c r="G1156" i="80"/>
  <c r="F1156" i="80"/>
  <c r="B1156" i="80"/>
  <c r="K1155" i="80"/>
  <c r="I1155" i="80"/>
  <c r="H1155" i="80"/>
  <c r="G1155" i="80"/>
  <c r="F1155" i="80"/>
  <c r="B1155" i="80"/>
  <c r="K1154" i="80"/>
  <c r="I1154" i="80"/>
  <c r="H1154" i="80"/>
  <c r="G1154" i="80"/>
  <c r="F1154" i="80"/>
  <c r="B1154" i="80"/>
  <c r="K1153" i="80"/>
  <c r="I1153" i="80"/>
  <c r="H1153" i="80"/>
  <c r="G1153" i="80"/>
  <c r="F1153" i="80"/>
  <c r="B1153" i="80"/>
  <c r="K1152" i="80"/>
  <c r="I1152" i="80"/>
  <c r="H1152" i="80"/>
  <c r="G1152" i="80"/>
  <c r="F1152" i="80"/>
  <c r="B1152" i="80"/>
  <c r="K1151" i="80"/>
  <c r="I1151" i="80"/>
  <c r="H1151" i="80"/>
  <c r="G1151" i="80"/>
  <c r="F1151" i="80"/>
  <c r="B1151" i="80"/>
  <c r="K1150" i="80"/>
  <c r="I1150" i="80"/>
  <c r="H1150" i="80"/>
  <c r="G1150" i="80"/>
  <c r="F1150" i="80"/>
  <c r="B1150" i="80"/>
  <c r="K1149" i="80"/>
  <c r="I1149" i="80"/>
  <c r="H1149" i="80"/>
  <c r="G1149" i="80"/>
  <c r="F1149" i="80"/>
  <c r="B1149" i="80"/>
  <c r="K1148" i="80"/>
  <c r="I1148" i="80"/>
  <c r="H1148" i="80"/>
  <c r="G1148" i="80"/>
  <c r="F1148" i="80"/>
  <c r="B1148" i="80"/>
  <c r="K1147" i="80"/>
  <c r="I1147" i="80"/>
  <c r="H1147" i="80"/>
  <c r="G1147" i="80"/>
  <c r="F1147" i="80"/>
  <c r="B1147" i="80"/>
  <c r="L1146" i="80"/>
  <c r="N1146" i="80" s="1"/>
  <c r="L1145" i="80"/>
  <c r="N1145" i="80" s="1"/>
  <c r="L1144" i="80"/>
  <c r="N1144" i="80" s="1"/>
  <c r="K1142" i="80"/>
  <c r="I1142" i="80"/>
  <c r="H1142" i="80"/>
  <c r="G1142" i="80"/>
  <c r="F1142" i="80"/>
  <c r="B1142" i="80"/>
  <c r="K1141" i="80"/>
  <c r="I1141" i="80"/>
  <c r="H1141" i="80"/>
  <c r="G1141" i="80"/>
  <c r="F1141" i="80"/>
  <c r="B1141" i="80"/>
  <c r="K1140" i="80"/>
  <c r="I1140" i="80"/>
  <c r="H1140" i="80"/>
  <c r="G1140" i="80"/>
  <c r="F1140" i="80"/>
  <c r="B1140" i="80"/>
  <c r="K1139" i="80"/>
  <c r="I1139" i="80"/>
  <c r="H1139" i="80"/>
  <c r="G1139" i="80"/>
  <c r="F1139" i="80"/>
  <c r="B1139" i="80"/>
  <c r="K1138" i="80"/>
  <c r="I1138" i="80"/>
  <c r="H1138" i="80"/>
  <c r="G1138" i="80"/>
  <c r="F1138" i="80"/>
  <c r="B1138" i="80"/>
  <c r="K1137" i="80"/>
  <c r="I1137" i="80"/>
  <c r="H1137" i="80"/>
  <c r="G1137" i="80"/>
  <c r="F1137" i="80"/>
  <c r="B1137" i="80"/>
  <c r="K1136" i="80"/>
  <c r="I1136" i="80"/>
  <c r="H1136" i="80"/>
  <c r="G1136" i="80"/>
  <c r="F1136" i="80"/>
  <c r="B1136" i="80"/>
  <c r="K1135" i="80"/>
  <c r="I1135" i="80"/>
  <c r="H1135" i="80"/>
  <c r="G1135" i="80"/>
  <c r="F1135" i="80"/>
  <c r="B1135" i="80"/>
  <c r="K1134" i="80"/>
  <c r="I1134" i="80"/>
  <c r="H1134" i="80"/>
  <c r="G1134" i="80"/>
  <c r="F1134" i="80"/>
  <c r="B1134" i="80"/>
  <c r="K1133" i="80"/>
  <c r="I1133" i="80"/>
  <c r="H1133" i="80"/>
  <c r="G1133" i="80"/>
  <c r="F1133" i="80"/>
  <c r="B1133" i="80"/>
  <c r="K1132" i="80"/>
  <c r="I1132" i="80"/>
  <c r="H1132" i="80"/>
  <c r="G1132" i="80"/>
  <c r="F1132" i="80"/>
  <c r="B1132" i="80"/>
  <c r="K1131" i="80"/>
  <c r="I1131" i="80"/>
  <c r="H1131" i="80"/>
  <c r="G1131" i="80"/>
  <c r="F1131" i="80"/>
  <c r="B1131" i="80"/>
  <c r="K1130" i="80"/>
  <c r="I1130" i="80"/>
  <c r="H1130" i="80"/>
  <c r="G1130" i="80"/>
  <c r="F1130" i="80"/>
  <c r="B1130" i="80"/>
  <c r="K1129" i="80"/>
  <c r="I1129" i="80"/>
  <c r="H1129" i="80"/>
  <c r="G1129" i="80"/>
  <c r="F1129" i="80"/>
  <c r="B1129" i="80"/>
  <c r="K1128" i="80"/>
  <c r="I1128" i="80"/>
  <c r="H1128" i="80"/>
  <c r="G1128" i="80"/>
  <c r="F1128" i="80"/>
  <c r="B1128" i="80"/>
  <c r="N1127" i="80"/>
  <c r="L1127" i="80"/>
  <c r="L1126" i="80"/>
  <c r="N1126" i="80" s="1"/>
  <c r="L1125" i="80"/>
  <c r="N1125" i="80" s="1"/>
  <c r="J1112" i="80"/>
  <c r="H1112" i="80"/>
  <c r="G1112" i="80"/>
  <c r="F1112" i="80"/>
  <c r="E1112" i="80"/>
  <c r="B1112" i="80"/>
  <c r="J1111" i="80"/>
  <c r="H1111" i="80"/>
  <c r="G1111" i="80"/>
  <c r="F1111" i="80"/>
  <c r="E1111" i="80"/>
  <c r="B1111" i="80"/>
  <c r="J1110" i="80"/>
  <c r="H1110" i="80"/>
  <c r="G1110" i="80"/>
  <c r="F1110" i="80"/>
  <c r="E1110" i="80"/>
  <c r="B1110" i="80"/>
  <c r="K1109" i="80"/>
  <c r="M1109" i="80" s="1"/>
  <c r="J1109" i="80"/>
  <c r="J1115" i="80" s="1"/>
  <c r="H1109" i="80"/>
  <c r="H1115" i="80" s="1"/>
  <c r="G1109" i="80"/>
  <c r="G1115" i="80" s="1"/>
  <c r="F1109" i="80"/>
  <c r="F1115" i="80" s="1"/>
  <c r="E1109" i="80"/>
  <c r="E1115" i="80" s="1"/>
  <c r="B1109" i="80"/>
  <c r="B1115" i="80" s="1"/>
  <c r="J1108" i="80"/>
  <c r="J1114" i="80" s="1"/>
  <c r="H1108" i="80"/>
  <c r="H1114" i="80" s="1"/>
  <c r="G1108" i="80"/>
  <c r="G1114" i="80" s="1"/>
  <c r="F1108" i="80"/>
  <c r="F1114" i="80" s="1"/>
  <c r="E1108" i="80"/>
  <c r="E1114" i="80" s="1"/>
  <c r="B1108" i="80"/>
  <c r="B1114" i="80" s="1"/>
  <c r="J1107" i="80"/>
  <c r="J1113" i="80" s="1"/>
  <c r="H1107" i="80"/>
  <c r="H1113" i="80" s="1"/>
  <c r="G1107" i="80"/>
  <c r="G1113" i="80" s="1"/>
  <c r="F1107" i="80"/>
  <c r="F1113" i="80" s="1"/>
  <c r="E1107" i="80"/>
  <c r="E1113" i="80" s="1"/>
  <c r="B1107" i="80"/>
  <c r="B1113" i="80" s="1"/>
  <c r="K1106" i="80"/>
  <c r="M1106" i="80" s="1"/>
  <c r="K1105" i="80"/>
  <c r="M1105" i="80" s="1"/>
  <c r="K1104" i="80"/>
  <c r="M1104" i="80" s="1"/>
  <c r="K1056" i="80"/>
  <c r="I1056" i="80"/>
  <c r="H1056" i="80"/>
  <c r="G1056" i="80"/>
  <c r="F1056" i="80"/>
  <c r="B1056" i="80"/>
  <c r="K1055" i="80"/>
  <c r="I1055" i="80"/>
  <c r="H1055" i="80"/>
  <c r="G1055" i="80"/>
  <c r="F1055" i="80"/>
  <c r="B1055" i="80"/>
  <c r="K1054" i="80"/>
  <c r="I1054" i="80"/>
  <c r="H1054" i="80"/>
  <c r="G1054" i="80"/>
  <c r="F1054" i="80"/>
  <c r="B1054" i="80"/>
  <c r="K1053" i="80"/>
  <c r="I1053" i="80"/>
  <c r="H1053" i="80"/>
  <c r="G1053" i="80"/>
  <c r="F1053" i="80"/>
  <c r="B1053" i="80"/>
  <c r="K1052" i="80"/>
  <c r="I1052" i="80"/>
  <c r="H1052" i="80"/>
  <c r="G1052" i="80"/>
  <c r="F1052" i="80"/>
  <c r="B1052" i="80"/>
  <c r="K1051" i="80"/>
  <c r="I1051" i="80"/>
  <c r="H1051" i="80"/>
  <c r="G1051" i="80"/>
  <c r="F1051" i="80"/>
  <c r="B1051" i="80"/>
  <c r="K1050" i="80"/>
  <c r="I1050" i="80"/>
  <c r="H1050" i="80"/>
  <c r="G1050" i="80"/>
  <c r="F1050" i="80"/>
  <c r="B1050" i="80"/>
  <c r="K1049" i="80"/>
  <c r="I1049" i="80"/>
  <c r="H1049" i="80"/>
  <c r="G1049" i="80"/>
  <c r="F1049" i="80"/>
  <c r="B1049" i="80"/>
  <c r="K1048" i="80"/>
  <c r="I1048" i="80"/>
  <c r="H1048" i="80"/>
  <c r="G1048" i="80"/>
  <c r="F1048" i="80"/>
  <c r="B1048" i="80"/>
  <c r="K1047" i="80"/>
  <c r="I1047" i="80"/>
  <c r="H1047" i="80"/>
  <c r="G1047" i="80"/>
  <c r="F1047" i="80"/>
  <c r="B1047" i="80"/>
  <c r="K1046" i="80"/>
  <c r="I1046" i="80"/>
  <c r="H1046" i="80"/>
  <c r="G1046" i="80"/>
  <c r="F1046" i="80"/>
  <c r="B1046" i="80"/>
  <c r="K1045" i="80"/>
  <c r="I1045" i="80"/>
  <c r="H1045" i="80"/>
  <c r="G1045" i="80"/>
  <c r="F1045" i="80"/>
  <c r="B1045" i="80"/>
  <c r="K1044" i="80"/>
  <c r="I1044" i="80"/>
  <c r="H1044" i="80"/>
  <c r="G1044" i="80"/>
  <c r="F1044" i="80"/>
  <c r="B1044" i="80"/>
  <c r="K1043" i="80"/>
  <c r="I1043" i="80"/>
  <c r="H1043" i="80"/>
  <c r="G1043" i="80"/>
  <c r="F1043" i="80"/>
  <c r="B1043" i="80"/>
  <c r="K1042" i="80"/>
  <c r="I1042" i="80"/>
  <c r="H1042" i="80"/>
  <c r="G1042" i="80"/>
  <c r="F1042" i="80"/>
  <c r="B1042" i="80"/>
  <c r="L1041" i="80"/>
  <c r="N1041" i="80" s="1"/>
  <c r="L1040" i="80"/>
  <c r="N1040" i="80" s="1"/>
  <c r="L1039" i="80"/>
  <c r="N1039" i="80" s="1"/>
  <c r="K1037" i="80"/>
  <c r="I1037" i="80"/>
  <c r="H1037" i="80"/>
  <c r="G1037" i="80"/>
  <c r="F1037" i="80"/>
  <c r="B1037" i="80"/>
  <c r="K1036" i="80"/>
  <c r="I1036" i="80"/>
  <c r="H1036" i="80"/>
  <c r="G1036" i="80"/>
  <c r="F1036" i="80"/>
  <c r="B1036" i="80"/>
  <c r="K1035" i="80"/>
  <c r="I1035" i="80"/>
  <c r="H1035" i="80"/>
  <c r="G1035" i="80"/>
  <c r="F1035" i="80"/>
  <c r="B1035" i="80"/>
  <c r="K1034" i="80"/>
  <c r="I1034" i="80"/>
  <c r="H1034" i="80"/>
  <c r="G1034" i="80"/>
  <c r="F1034" i="80"/>
  <c r="B1034" i="80"/>
  <c r="K1033" i="80"/>
  <c r="I1033" i="80"/>
  <c r="H1033" i="80"/>
  <c r="G1033" i="80"/>
  <c r="F1033" i="80"/>
  <c r="B1033" i="80"/>
  <c r="K1032" i="80"/>
  <c r="I1032" i="80"/>
  <c r="H1032" i="80"/>
  <c r="G1032" i="80"/>
  <c r="F1032" i="80"/>
  <c r="B1032" i="80"/>
  <c r="K1031" i="80"/>
  <c r="I1031" i="80"/>
  <c r="H1031" i="80"/>
  <c r="G1031" i="80"/>
  <c r="F1031" i="80"/>
  <c r="B1031" i="80"/>
  <c r="K1030" i="80"/>
  <c r="I1030" i="80"/>
  <c r="H1030" i="80"/>
  <c r="G1030" i="80"/>
  <c r="F1030" i="80"/>
  <c r="B1030" i="80"/>
  <c r="K1029" i="80"/>
  <c r="I1029" i="80"/>
  <c r="H1029" i="80"/>
  <c r="G1029" i="80"/>
  <c r="F1029" i="80"/>
  <c r="B1029" i="80"/>
  <c r="K1028" i="80"/>
  <c r="I1028" i="80"/>
  <c r="H1028" i="80"/>
  <c r="G1028" i="80"/>
  <c r="F1028" i="80"/>
  <c r="B1028" i="80"/>
  <c r="K1027" i="80"/>
  <c r="I1027" i="80"/>
  <c r="H1027" i="80"/>
  <c r="G1027" i="80"/>
  <c r="F1027" i="80"/>
  <c r="B1027" i="80"/>
  <c r="K1026" i="80"/>
  <c r="I1026" i="80"/>
  <c r="H1026" i="80"/>
  <c r="G1026" i="80"/>
  <c r="F1026" i="80"/>
  <c r="B1026" i="80"/>
  <c r="K1025" i="80"/>
  <c r="I1025" i="80"/>
  <c r="H1025" i="80"/>
  <c r="G1025" i="80"/>
  <c r="F1025" i="80"/>
  <c r="B1025" i="80"/>
  <c r="K1024" i="80"/>
  <c r="I1024" i="80"/>
  <c r="H1024" i="80"/>
  <c r="G1024" i="80"/>
  <c r="F1024" i="80"/>
  <c r="B1024" i="80"/>
  <c r="K1023" i="80"/>
  <c r="I1023" i="80"/>
  <c r="H1023" i="80"/>
  <c r="G1023" i="80"/>
  <c r="F1023" i="80"/>
  <c r="B1023" i="80"/>
  <c r="L1022" i="80"/>
  <c r="N1022" i="80" s="1"/>
  <c r="L1021" i="80"/>
  <c r="N1021" i="80" s="1"/>
  <c r="L1020" i="80"/>
  <c r="N1020" i="80" s="1"/>
  <c r="K1018" i="80"/>
  <c r="I1018" i="80"/>
  <c r="H1018" i="80"/>
  <c r="G1018" i="80"/>
  <c r="F1018" i="80"/>
  <c r="B1018" i="80"/>
  <c r="K1017" i="80"/>
  <c r="I1017" i="80"/>
  <c r="H1017" i="80"/>
  <c r="G1017" i="80"/>
  <c r="F1017" i="80"/>
  <c r="B1017" i="80"/>
  <c r="K1016" i="80"/>
  <c r="I1016" i="80"/>
  <c r="H1016" i="80"/>
  <c r="G1016" i="80"/>
  <c r="F1016" i="80"/>
  <c r="B1016" i="80"/>
  <c r="K1015" i="80"/>
  <c r="I1015" i="80"/>
  <c r="H1015" i="80"/>
  <c r="G1015" i="80"/>
  <c r="F1015" i="80"/>
  <c r="B1015" i="80"/>
  <c r="K1014" i="80"/>
  <c r="I1014" i="80"/>
  <c r="H1014" i="80"/>
  <c r="G1014" i="80"/>
  <c r="F1014" i="80"/>
  <c r="B1014" i="80"/>
  <c r="K1013" i="80"/>
  <c r="I1013" i="80"/>
  <c r="H1013" i="80"/>
  <c r="G1013" i="80"/>
  <c r="F1013" i="80"/>
  <c r="B1013" i="80"/>
  <c r="K1012" i="80"/>
  <c r="I1012" i="80"/>
  <c r="H1012" i="80"/>
  <c r="G1012" i="80"/>
  <c r="F1012" i="80"/>
  <c r="B1012" i="80"/>
  <c r="K1011" i="80"/>
  <c r="I1011" i="80"/>
  <c r="H1011" i="80"/>
  <c r="G1011" i="80"/>
  <c r="F1011" i="80"/>
  <c r="B1011" i="80"/>
  <c r="K1010" i="80"/>
  <c r="I1010" i="80"/>
  <c r="H1010" i="80"/>
  <c r="G1010" i="80"/>
  <c r="F1010" i="80"/>
  <c r="B1010" i="80"/>
  <c r="K1009" i="80"/>
  <c r="I1009" i="80"/>
  <c r="H1009" i="80"/>
  <c r="G1009" i="80"/>
  <c r="F1009" i="80"/>
  <c r="B1009" i="80"/>
  <c r="K1008" i="80"/>
  <c r="I1008" i="80"/>
  <c r="H1008" i="80"/>
  <c r="G1008" i="80"/>
  <c r="F1008" i="80"/>
  <c r="B1008" i="80"/>
  <c r="K1007" i="80"/>
  <c r="I1007" i="80"/>
  <c r="H1007" i="80"/>
  <c r="G1007" i="80"/>
  <c r="F1007" i="80"/>
  <c r="B1007" i="80"/>
  <c r="K1006" i="80"/>
  <c r="I1006" i="80"/>
  <c r="H1006" i="80"/>
  <c r="G1006" i="80"/>
  <c r="F1006" i="80"/>
  <c r="B1006" i="80"/>
  <c r="K1005" i="80"/>
  <c r="I1005" i="80"/>
  <c r="H1005" i="80"/>
  <c r="G1005" i="80"/>
  <c r="F1005" i="80"/>
  <c r="B1005" i="80"/>
  <c r="K1004" i="80"/>
  <c r="I1004" i="80"/>
  <c r="H1004" i="80"/>
  <c r="G1004" i="80"/>
  <c r="F1004" i="80"/>
  <c r="B1004" i="80"/>
  <c r="L1003" i="80"/>
  <c r="N1003" i="80" s="1"/>
  <c r="L1002" i="80"/>
  <c r="N1002" i="80" s="1"/>
  <c r="L1001" i="80"/>
  <c r="N1001" i="80" s="1"/>
  <c r="K999" i="80"/>
  <c r="I999" i="80"/>
  <c r="H999" i="80"/>
  <c r="G999" i="80"/>
  <c r="F999" i="80"/>
  <c r="B999" i="80"/>
  <c r="K998" i="80"/>
  <c r="I998" i="80"/>
  <c r="H998" i="80"/>
  <c r="G998" i="80"/>
  <c r="F998" i="80"/>
  <c r="B998" i="80"/>
  <c r="K997" i="80"/>
  <c r="I997" i="80"/>
  <c r="H997" i="80"/>
  <c r="G997" i="80"/>
  <c r="F997" i="80"/>
  <c r="B997" i="80"/>
  <c r="K996" i="80"/>
  <c r="I996" i="80"/>
  <c r="H996" i="80"/>
  <c r="G996" i="80"/>
  <c r="F996" i="80"/>
  <c r="B996" i="80"/>
  <c r="K995" i="80"/>
  <c r="I995" i="80"/>
  <c r="H995" i="80"/>
  <c r="G995" i="80"/>
  <c r="F995" i="80"/>
  <c r="B995" i="80"/>
  <c r="K994" i="80"/>
  <c r="I994" i="80"/>
  <c r="H994" i="80"/>
  <c r="G994" i="80"/>
  <c r="F994" i="80"/>
  <c r="B994" i="80"/>
  <c r="K993" i="80"/>
  <c r="I993" i="80"/>
  <c r="H993" i="80"/>
  <c r="G993" i="80"/>
  <c r="F993" i="80"/>
  <c r="B993" i="80"/>
  <c r="K992" i="80"/>
  <c r="I992" i="80"/>
  <c r="H992" i="80"/>
  <c r="G992" i="80"/>
  <c r="F992" i="80"/>
  <c r="B992" i="80"/>
  <c r="K991" i="80"/>
  <c r="I991" i="80"/>
  <c r="H991" i="80"/>
  <c r="G991" i="80"/>
  <c r="F991" i="80"/>
  <c r="B991" i="80"/>
  <c r="K990" i="80"/>
  <c r="I990" i="80"/>
  <c r="H990" i="80"/>
  <c r="G990" i="80"/>
  <c r="F990" i="80"/>
  <c r="B990" i="80"/>
  <c r="K989" i="80"/>
  <c r="I989" i="80"/>
  <c r="H989" i="80"/>
  <c r="G989" i="80"/>
  <c r="F989" i="80"/>
  <c r="B989" i="80"/>
  <c r="K988" i="80"/>
  <c r="I988" i="80"/>
  <c r="H988" i="80"/>
  <c r="G988" i="80"/>
  <c r="F988" i="80"/>
  <c r="B988" i="80"/>
  <c r="K987" i="80"/>
  <c r="I987" i="80"/>
  <c r="H987" i="80"/>
  <c r="G987" i="80"/>
  <c r="F987" i="80"/>
  <c r="B987" i="80"/>
  <c r="K986" i="80"/>
  <c r="I986" i="80"/>
  <c r="H986" i="80"/>
  <c r="G986" i="80"/>
  <c r="F986" i="80"/>
  <c r="B986" i="80"/>
  <c r="K985" i="80"/>
  <c r="I985" i="80"/>
  <c r="H985" i="80"/>
  <c r="G985" i="80"/>
  <c r="F985" i="80"/>
  <c r="B985" i="80"/>
  <c r="L984" i="80"/>
  <c r="N984" i="80" s="1"/>
  <c r="L983" i="80"/>
  <c r="N983" i="80" s="1"/>
  <c r="L982" i="80"/>
  <c r="N982" i="80" s="1"/>
  <c r="K980" i="80"/>
  <c r="I980" i="80"/>
  <c r="H980" i="80"/>
  <c r="G980" i="80"/>
  <c r="F980" i="80"/>
  <c r="B980" i="80"/>
  <c r="K979" i="80"/>
  <c r="I979" i="80"/>
  <c r="H979" i="80"/>
  <c r="G979" i="80"/>
  <c r="F979" i="80"/>
  <c r="B979" i="80"/>
  <c r="K978" i="80"/>
  <c r="I978" i="80"/>
  <c r="H978" i="80"/>
  <c r="G978" i="80"/>
  <c r="F978" i="80"/>
  <c r="B978" i="80"/>
  <c r="K977" i="80"/>
  <c r="I977" i="80"/>
  <c r="H977" i="80"/>
  <c r="G977" i="80"/>
  <c r="F977" i="80"/>
  <c r="B977" i="80"/>
  <c r="K976" i="80"/>
  <c r="I976" i="80"/>
  <c r="H976" i="80"/>
  <c r="G976" i="80"/>
  <c r="F976" i="80"/>
  <c r="B976" i="80"/>
  <c r="K975" i="80"/>
  <c r="I975" i="80"/>
  <c r="H975" i="80"/>
  <c r="G975" i="80"/>
  <c r="F975" i="80"/>
  <c r="B975" i="80"/>
  <c r="K974" i="80"/>
  <c r="I974" i="80"/>
  <c r="H974" i="80"/>
  <c r="G974" i="80"/>
  <c r="F974" i="80"/>
  <c r="B974" i="80"/>
  <c r="K973" i="80"/>
  <c r="I973" i="80"/>
  <c r="H973" i="80"/>
  <c r="G973" i="80"/>
  <c r="F973" i="80"/>
  <c r="B973" i="80"/>
  <c r="K972" i="80"/>
  <c r="I972" i="80"/>
  <c r="H972" i="80"/>
  <c r="G972" i="80"/>
  <c r="F972" i="80"/>
  <c r="B972" i="80"/>
  <c r="K971" i="80"/>
  <c r="I971" i="80"/>
  <c r="H971" i="80"/>
  <c r="G971" i="80"/>
  <c r="F971" i="80"/>
  <c r="B971" i="80"/>
  <c r="K970" i="80"/>
  <c r="I970" i="80"/>
  <c r="H970" i="80"/>
  <c r="G970" i="80"/>
  <c r="F970" i="80"/>
  <c r="B970" i="80"/>
  <c r="K969" i="80"/>
  <c r="I969" i="80"/>
  <c r="H969" i="80"/>
  <c r="G969" i="80"/>
  <c r="F969" i="80"/>
  <c r="B969" i="80"/>
  <c r="K968" i="80"/>
  <c r="I968" i="80"/>
  <c r="H968" i="80"/>
  <c r="G968" i="80"/>
  <c r="F968" i="80"/>
  <c r="B968" i="80"/>
  <c r="K967" i="80"/>
  <c r="I967" i="80"/>
  <c r="H967" i="80"/>
  <c r="G967" i="80"/>
  <c r="F967" i="80"/>
  <c r="B967" i="80"/>
  <c r="K966" i="80"/>
  <c r="I966" i="80"/>
  <c r="H966" i="80"/>
  <c r="G966" i="80"/>
  <c r="F966" i="80"/>
  <c r="B966" i="80"/>
  <c r="L965" i="80"/>
  <c r="N965" i="80" s="1"/>
  <c r="L964" i="80"/>
  <c r="N964" i="80" s="1"/>
  <c r="L963" i="80"/>
  <c r="N963" i="80" s="1"/>
  <c r="K961" i="80"/>
  <c r="I961" i="80"/>
  <c r="H961" i="80"/>
  <c r="G961" i="80"/>
  <c r="F961" i="80"/>
  <c r="B961" i="80"/>
  <c r="K960" i="80"/>
  <c r="I960" i="80"/>
  <c r="H960" i="80"/>
  <c r="G960" i="80"/>
  <c r="F960" i="80"/>
  <c r="B960" i="80"/>
  <c r="K959" i="80"/>
  <c r="I959" i="80"/>
  <c r="H959" i="80"/>
  <c r="G959" i="80"/>
  <c r="F959" i="80"/>
  <c r="B959" i="80"/>
  <c r="K958" i="80"/>
  <c r="I958" i="80"/>
  <c r="H958" i="80"/>
  <c r="G958" i="80"/>
  <c r="F958" i="80"/>
  <c r="B958" i="80"/>
  <c r="K957" i="80"/>
  <c r="I957" i="80"/>
  <c r="H957" i="80"/>
  <c r="G957" i="80"/>
  <c r="F957" i="80"/>
  <c r="B957" i="80"/>
  <c r="K956" i="80"/>
  <c r="I956" i="80"/>
  <c r="H956" i="80"/>
  <c r="G956" i="80"/>
  <c r="F956" i="80"/>
  <c r="B956" i="80"/>
  <c r="K955" i="80"/>
  <c r="I955" i="80"/>
  <c r="H955" i="80"/>
  <c r="G955" i="80"/>
  <c r="F955" i="80"/>
  <c r="B955" i="80"/>
  <c r="K954" i="80"/>
  <c r="I954" i="80"/>
  <c r="H954" i="80"/>
  <c r="G954" i="80"/>
  <c r="F954" i="80"/>
  <c r="B954" i="80"/>
  <c r="K953" i="80"/>
  <c r="I953" i="80"/>
  <c r="H953" i="80"/>
  <c r="G953" i="80"/>
  <c r="F953" i="80"/>
  <c r="B953" i="80"/>
  <c r="K952" i="80"/>
  <c r="I952" i="80"/>
  <c r="H952" i="80"/>
  <c r="G952" i="80"/>
  <c r="F952" i="80"/>
  <c r="B952" i="80"/>
  <c r="K951" i="80"/>
  <c r="I951" i="80"/>
  <c r="H951" i="80"/>
  <c r="G951" i="80"/>
  <c r="F951" i="80"/>
  <c r="B951" i="80"/>
  <c r="K950" i="80"/>
  <c r="I950" i="80"/>
  <c r="H950" i="80"/>
  <c r="G950" i="80"/>
  <c r="F950" i="80"/>
  <c r="B950" i="80"/>
  <c r="K949" i="80"/>
  <c r="I949" i="80"/>
  <c r="H949" i="80"/>
  <c r="G949" i="80"/>
  <c r="F949" i="80"/>
  <c r="B949" i="80"/>
  <c r="K948" i="80"/>
  <c r="I948" i="80"/>
  <c r="H948" i="80"/>
  <c r="G948" i="80"/>
  <c r="F948" i="80"/>
  <c r="B948" i="80"/>
  <c r="K947" i="80"/>
  <c r="I947" i="80"/>
  <c r="H947" i="80"/>
  <c r="G947" i="80"/>
  <c r="F947" i="80"/>
  <c r="B947" i="80"/>
  <c r="L946" i="80"/>
  <c r="N946" i="80" s="1"/>
  <c r="L945" i="80"/>
  <c r="N945" i="80" s="1"/>
  <c r="L944" i="80"/>
  <c r="N944" i="80" s="1"/>
  <c r="K942" i="80"/>
  <c r="I942" i="80"/>
  <c r="H942" i="80"/>
  <c r="G942" i="80"/>
  <c r="F942" i="80"/>
  <c r="B942" i="80"/>
  <c r="K941" i="80"/>
  <c r="I941" i="80"/>
  <c r="H941" i="80"/>
  <c r="G941" i="80"/>
  <c r="F941" i="80"/>
  <c r="B941" i="80"/>
  <c r="K940" i="80"/>
  <c r="I940" i="80"/>
  <c r="H940" i="80"/>
  <c r="G940" i="80"/>
  <c r="F940" i="80"/>
  <c r="B940" i="80"/>
  <c r="K939" i="80"/>
  <c r="I939" i="80"/>
  <c r="H939" i="80"/>
  <c r="G939" i="80"/>
  <c r="F939" i="80"/>
  <c r="B939" i="80"/>
  <c r="K938" i="80"/>
  <c r="I938" i="80"/>
  <c r="H938" i="80"/>
  <c r="G938" i="80"/>
  <c r="F938" i="80"/>
  <c r="B938" i="80"/>
  <c r="K937" i="80"/>
  <c r="I937" i="80"/>
  <c r="H937" i="80"/>
  <c r="G937" i="80"/>
  <c r="F937" i="80"/>
  <c r="B937" i="80"/>
  <c r="K936" i="80"/>
  <c r="I936" i="80"/>
  <c r="H936" i="80"/>
  <c r="G936" i="80"/>
  <c r="F936" i="80"/>
  <c r="B936" i="80"/>
  <c r="K935" i="80"/>
  <c r="I935" i="80"/>
  <c r="H935" i="80"/>
  <c r="G935" i="80"/>
  <c r="F935" i="80"/>
  <c r="B935" i="80"/>
  <c r="K934" i="80"/>
  <c r="I934" i="80"/>
  <c r="H934" i="80"/>
  <c r="G934" i="80"/>
  <c r="F934" i="80"/>
  <c r="B934" i="80"/>
  <c r="K933" i="80"/>
  <c r="I933" i="80"/>
  <c r="H933" i="80"/>
  <c r="G933" i="80"/>
  <c r="F933" i="80"/>
  <c r="B933" i="80"/>
  <c r="K932" i="80"/>
  <c r="I932" i="80"/>
  <c r="H932" i="80"/>
  <c r="G932" i="80"/>
  <c r="F932" i="80"/>
  <c r="B932" i="80"/>
  <c r="K931" i="80"/>
  <c r="I931" i="80"/>
  <c r="H931" i="80"/>
  <c r="G931" i="80"/>
  <c r="F931" i="80"/>
  <c r="B931" i="80"/>
  <c r="K930" i="80"/>
  <c r="I930" i="80"/>
  <c r="H930" i="80"/>
  <c r="G930" i="80"/>
  <c r="F930" i="80"/>
  <c r="B930" i="80"/>
  <c r="K929" i="80"/>
  <c r="I929" i="80"/>
  <c r="H929" i="80"/>
  <c r="G929" i="80"/>
  <c r="F929" i="80"/>
  <c r="B929" i="80"/>
  <c r="K928" i="80"/>
  <c r="I928" i="80"/>
  <c r="H928" i="80"/>
  <c r="G928" i="80"/>
  <c r="F928" i="80"/>
  <c r="B928" i="80"/>
  <c r="L927" i="80"/>
  <c r="N927" i="80" s="1"/>
  <c r="L926" i="80"/>
  <c r="N926" i="80" s="1"/>
  <c r="L925" i="80"/>
  <c r="N925" i="80" s="1"/>
  <c r="K923" i="80"/>
  <c r="I923" i="80"/>
  <c r="H923" i="80"/>
  <c r="G923" i="80"/>
  <c r="F923" i="80"/>
  <c r="B923" i="80"/>
  <c r="K922" i="80"/>
  <c r="I922" i="80"/>
  <c r="H922" i="80"/>
  <c r="G922" i="80"/>
  <c r="F922" i="80"/>
  <c r="B922" i="80"/>
  <c r="K921" i="80"/>
  <c r="I921" i="80"/>
  <c r="H921" i="80"/>
  <c r="G921" i="80"/>
  <c r="F921" i="80"/>
  <c r="B921" i="80"/>
  <c r="K920" i="80"/>
  <c r="I920" i="80"/>
  <c r="H920" i="80"/>
  <c r="G920" i="80"/>
  <c r="F920" i="80"/>
  <c r="B920" i="80"/>
  <c r="K919" i="80"/>
  <c r="I919" i="80"/>
  <c r="H919" i="80"/>
  <c r="G919" i="80"/>
  <c r="F919" i="80"/>
  <c r="B919" i="80"/>
  <c r="K918" i="80"/>
  <c r="I918" i="80"/>
  <c r="H918" i="80"/>
  <c r="G918" i="80"/>
  <c r="F918" i="80"/>
  <c r="B918" i="80"/>
  <c r="K917" i="80"/>
  <c r="I917" i="80"/>
  <c r="H917" i="80"/>
  <c r="G917" i="80"/>
  <c r="F917" i="80"/>
  <c r="B917" i="80"/>
  <c r="K916" i="80"/>
  <c r="I916" i="80"/>
  <c r="H916" i="80"/>
  <c r="G916" i="80"/>
  <c r="F916" i="80"/>
  <c r="B916" i="80"/>
  <c r="K915" i="80"/>
  <c r="I915" i="80"/>
  <c r="H915" i="80"/>
  <c r="G915" i="80"/>
  <c r="F915" i="80"/>
  <c r="B915" i="80"/>
  <c r="K914" i="80"/>
  <c r="I914" i="80"/>
  <c r="H914" i="80"/>
  <c r="G914" i="80"/>
  <c r="F914" i="80"/>
  <c r="B914" i="80"/>
  <c r="K913" i="80"/>
  <c r="I913" i="80"/>
  <c r="H913" i="80"/>
  <c r="G913" i="80"/>
  <c r="F913" i="80"/>
  <c r="B913" i="80"/>
  <c r="K912" i="80"/>
  <c r="I912" i="80"/>
  <c r="H912" i="80"/>
  <c r="G912" i="80"/>
  <c r="F912" i="80"/>
  <c r="B912" i="80"/>
  <c r="K911" i="80"/>
  <c r="I911" i="80"/>
  <c r="H911" i="80"/>
  <c r="G911" i="80"/>
  <c r="F911" i="80"/>
  <c r="B911" i="80"/>
  <c r="K910" i="80"/>
  <c r="I910" i="80"/>
  <c r="H910" i="80"/>
  <c r="G910" i="80"/>
  <c r="F910" i="80"/>
  <c r="B910" i="80"/>
  <c r="K909" i="80"/>
  <c r="I909" i="80"/>
  <c r="H909" i="80"/>
  <c r="G909" i="80"/>
  <c r="F909" i="80"/>
  <c r="B909" i="80"/>
  <c r="L908" i="80"/>
  <c r="N908" i="80" s="1"/>
  <c r="L907" i="80"/>
  <c r="N907" i="80" s="1"/>
  <c r="L906" i="80"/>
  <c r="N906" i="80" s="1"/>
  <c r="J893" i="80"/>
  <c r="H893" i="80"/>
  <c r="G893" i="80"/>
  <c r="F893" i="80"/>
  <c r="E893" i="80"/>
  <c r="B893" i="80"/>
  <c r="J892" i="80"/>
  <c r="H892" i="80"/>
  <c r="G892" i="80"/>
  <c r="F892" i="80"/>
  <c r="E892" i="80"/>
  <c r="B892" i="80"/>
  <c r="J891" i="80"/>
  <c r="H891" i="80"/>
  <c r="G891" i="80"/>
  <c r="F891" i="80"/>
  <c r="E891" i="80"/>
  <c r="B891" i="80"/>
  <c r="J890" i="80"/>
  <c r="J896" i="80" s="1"/>
  <c r="H890" i="80"/>
  <c r="H896" i="80" s="1"/>
  <c r="G890" i="80"/>
  <c r="G896" i="80" s="1"/>
  <c r="F890" i="80"/>
  <c r="F896" i="80" s="1"/>
  <c r="E890" i="80"/>
  <c r="E896" i="80" s="1"/>
  <c r="B890" i="80"/>
  <c r="B896" i="80" s="1"/>
  <c r="K889" i="80"/>
  <c r="M889" i="80" s="1"/>
  <c r="J889" i="80"/>
  <c r="J895" i="80" s="1"/>
  <c r="H889" i="80"/>
  <c r="H895" i="80" s="1"/>
  <c r="G889" i="80"/>
  <c r="G895" i="80" s="1"/>
  <c r="F889" i="80"/>
  <c r="F895" i="80" s="1"/>
  <c r="E889" i="80"/>
  <c r="E895" i="80" s="1"/>
  <c r="B889" i="80"/>
  <c r="B895" i="80" s="1"/>
  <c r="J888" i="80"/>
  <c r="J894" i="80" s="1"/>
  <c r="H888" i="80"/>
  <c r="H894" i="80" s="1"/>
  <c r="G888" i="80"/>
  <c r="G894" i="80" s="1"/>
  <c r="F888" i="80"/>
  <c r="F894" i="80" s="1"/>
  <c r="E888" i="80"/>
  <c r="E894" i="80" s="1"/>
  <c r="B888" i="80"/>
  <c r="B894" i="80" s="1"/>
  <c r="K887" i="80"/>
  <c r="M887" i="80" s="1"/>
  <c r="K886" i="80"/>
  <c r="M886" i="80" s="1"/>
  <c r="K885" i="80"/>
  <c r="M885" i="80" s="1"/>
  <c r="K837" i="80"/>
  <c r="I837" i="80"/>
  <c r="H837" i="80"/>
  <c r="G837" i="80"/>
  <c r="F837" i="80"/>
  <c r="B837" i="80"/>
  <c r="K836" i="80"/>
  <c r="I836" i="80"/>
  <c r="H836" i="80"/>
  <c r="G836" i="80"/>
  <c r="F836" i="80"/>
  <c r="B836" i="80"/>
  <c r="K835" i="80"/>
  <c r="I835" i="80"/>
  <c r="H835" i="80"/>
  <c r="G835" i="80"/>
  <c r="F835" i="80"/>
  <c r="B835" i="80"/>
  <c r="K834" i="80"/>
  <c r="I834" i="80"/>
  <c r="H834" i="80"/>
  <c r="G834" i="80"/>
  <c r="F834" i="80"/>
  <c r="B834" i="80"/>
  <c r="K833" i="80"/>
  <c r="I833" i="80"/>
  <c r="H833" i="80"/>
  <c r="G833" i="80"/>
  <c r="F833" i="80"/>
  <c r="B833" i="80"/>
  <c r="K832" i="80"/>
  <c r="I832" i="80"/>
  <c r="H832" i="80"/>
  <c r="G832" i="80"/>
  <c r="F832" i="80"/>
  <c r="B832" i="80"/>
  <c r="K831" i="80"/>
  <c r="I831" i="80"/>
  <c r="H831" i="80"/>
  <c r="G831" i="80"/>
  <c r="F831" i="80"/>
  <c r="B831" i="80"/>
  <c r="K830" i="80"/>
  <c r="I830" i="80"/>
  <c r="H830" i="80"/>
  <c r="G830" i="80"/>
  <c r="F830" i="80"/>
  <c r="B830" i="80"/>
  <c r="K829" i="80"/>
  <c r="I829" i="80"/>
  <c r="H829" i="80"/>
  <c r="G829" i="80"/>
  <c r="F829" i="80"/>
  <c r="B829" i="80"/>
  <c r="K828" i="80"/>
  <c r="I828" i="80"/>
  <c r="H828" i="80"/>
  <c r="G828" i="80"/>
  <c r="F828" i="80"/>
  <c r="B828" i="80"/>
  <c r="K827" i="80"/>
  <c r="I827" i="80"/>
  <c r="H827" i="80"/>
  <c r="G827" i="80"/>
  <c r="F827" i="80"/>
  <c r="B827" i="80"/>
  <c r="K826" i="80"/>
  <c r="I826" i="80"/>
  <c r="H826" i="80"/>
  <c r="G826" i="80"/>
  <c r="F826" i="80"/>
  <c r="B826" i="80"/>
  <c r="K825" i="80"/>
  <c r="I825" i="80"/>
  <c r="H825" i="80"/>
  <c r="G825" i="80"/>
  <c r="F825" i="80"/>
  <c r="B825" i="80"/>
  <c r="K824" i="80"/>
  <c r="I824" i="80"/>
  <c r="H824" i="80"/>
  <c r="G824" i="80"/>
  <c r="F824" i="80"/>
  <c r="B824" i="80"/>
  <c r="K823" i="80"/>
  <c r="I823" i="80"/>
  <c r="H823" i="80"/>
  <c r="G823" i="80"/>
  <c r="F823" i="80"/>
  <c r="B823" i="80"/>
  <c r="L822" i="80"/>
  <c r="N822" i="80" s="1"/>
  <c r="L821" i="80"/>
  <c r="N821" i="80" s="1"/>
  <c r="L820" i="80"/>
  <c r="N820" i="80" s="1"/>
  <c r="K818" i="80"/>
  <c r="I818" i="80"/>
  <c r="H818" i="80"/>
  <c r="G818" i="80"/>
  <c r="F818" i="80"/>
  <c r="B818" i="80"/>
  <c r="K817" i="80"/>
  <c r="I817" i="80"/>
  <c r="H817" i="80"/>
  <c r="G817" i="80"/>
  <c r="F817" i="80"/>
  <c r="B817" i="80"/>
  <c r="K816" i="80"/>
  <c r="I816" i="80"/>
  <c r="H816" i="80"/>
  <c r="G816" i="80"/>
  <c r="F816" i="80"/>
  <c r="B816" i="80"/>
  <c r="K815" i="80"/>
  <c r="I815" i="80"/>
  <c r="H815" i="80"/>
  <c r="G815" i="80"/>
  <c r="F815" i="80"/>
  <c r="B815" i="80"/>
  <c r="K814" i="80"/>
  <c r="I814" i="80"/>
  <c r="H814" i="80"/>
  <c r="G814" i="80"/>
  <c r="F814" i="80"/>
  <c r="B814" i="80"/>
  <c r="K813" i="80"/>
  <c r="I813" i="80"/>
  <c r="H813" i="80"/>
  <c r="G813" i="80"/>
  <c r="F813" i="80"/>
  <c r="B813" i="80"/>
  <c r="K812" i="80"/>
  <c r="I812" i="80"/>
  <c r="H812" i="80"/>
  <c r="G812" i="80"/>
  <c r="F812" i="80"/>
  <c r="B812" i="80"/>
  <c r="K811" i="80"/>
  <c r="I811" i="80"/>
  <c r="H811" i="80"/>
  <c r="G811" i="80"/>
  <c r="F811" i="80"/>
  <c r="B811" i="80"/>
  <c r="K810" i="80"/>
  <c r="I810" i="80"/>
  <c r="H810" i="80"/>
  <c r="G810" i="80"/>
  <c r="F810" i="80"/>
  <c r="B810" i="80"/>
  <c r="K809" i="80"/>
  <c r="I809" i="80"/>
  <c r="H809" i="80"/>
  <c r="G809" i="80"/>
  <c r="F809" i="80"/>
  <c r="B809" i="80"/>
  <c r="K808" i="80"/>
  <c r="I808" i="80"/>
  <c r="H808" i="80"/>
  <c r="G808" i="80"/>
  <c r="F808" i="80"/>
  <c r="B808" i="80"/>
  <c r="K807" i="80"/>
  <c r="I807" i="80"/>
  <c r="H807" i="80"/>
  <c r="G807" i="80"/>
  <c r="F807" i="80"/>
  <c r="B807" i="80"/>
  <c r="K806" i="80"/>
  <c r="I806" i="80"/>
  <c r="H806" i="80"/>
  <c r="G806" i="80"/>
  <c r="F806" i="80"/>
  <c r="B806" i="80"/>
  <c r="K805" i="80"/>
  <c r="I805" i="80"/>
  <c r="H805" i="80"/>
  <c r="G805" i="80"/>
  <c r="F805" i="80"/>
  <c r="B805" i="80"/>
  <c r="K804" i="80"/>
  <c r="I804" i="80"/>
  <c r="H804" i="80"/>
  <c r="G804" i="80"/>
  <c r="F804" i="80"/>
  <c r="B804" i="80"/>
  <c r="L803" i="80"/>
  <c r="N803" i="80" s="1"/>
  <c r="L802" i="80"/>
  <c r="N802" i="80" s="1"/>
  <c r="L801" i="80"/>
  <c r="N801" i="80" s="1"/>
  <c r="K799" i="80"/>
  <c r="I799" i="80"/>
  <c r="H799" i="80"/>
  <c r="G799" i="80"/>
  <c r="F799" i="80"/>
  <c r="B799" i="80"/>
  <c r="K798" i="80"/>
  <c r="I798" i="80"/>
  <c r="H798" i="80"/>
  <c r="G798" i="80"/>
  <c r="F798" i="80"/>
  <c r="B798" i="80"/>
  <c r="K797" i="80"/>
  <c r="I797" i="80"/>
  <c r="H797" i="80"/>
  <c r="G797" i="80"/>
  <c r="F797" i="80"/>
  <c r="B797" i="80"/>
  <c r="K796" i="80"/>
  <c r="I796" i="80"/>
  <c r="H796" i="80"/>
  <c r="G796" i="80"/>
  <c r="F796" i="80"/>
  <c r="B796" i="80"/>
  <c r="K795" i="80"/>
  <c r="I795" i="80"/>
  <c r="H795" i="80"/>
  <c r="G795" i="80"/>
  <c r="F795" i="80"/>
  <c r="B795" i="80"/>
  <c r="K794" i="80"/>
  <c r="I794" i="80"/>
  <c r="H794" i="80"/>
  <c r="G794" i="80"/>
  <c r="F794" i="80"/>
  <c r="B794" i="80"/>
  <c r="K793" i="80"/>
  <c r="I793" i="80"/>
  <c r="H793" i="80"/>
  <c r="G793" i="80"/>
  <c r="F793" i="80"/>
  <c r="B793" i="80"/>
  <c r="K792" i="80"/>
  <c r="I792" i="80"/>
  <c r="H792" i="80"/>
  <c r="G792" i="80"/>
  <c r="F792" i="80"/>
  <c r="B792" i="80"/>
  <c r="K791" i="80"/>
  <c r="I791" i="80"/>
  <c r="H791" i="80"/>
  <c r="G791" i="80"/>
  <c r="F791" i="80"/>
  <c r="B791" i="80"/>
  <c r="K790" i="80"/>
  <c r="I790" i="80"/>
  <c r="H790" i="80"/>
  <c r="G790" i="80"/>
  <c r="F790" i="80"/>
  <c r="B790" i="80"/>
  <c r="K789" i="80"/>
  <c r="I789" i="80"/>
  <c r="H789" i="80"/>
  <c r="G789" i="80"/>
  <c r="F789" i="80"/>
  <c r="B789" i="80"/>
  <c r="K788" i="80"/>
  <c r="I788" i="80"/>
  <c r="H788" i="80"/>
  <c r="G788" i="80"/>
  <c r="F788" i="80"/>
  <c r="B788" i="80"/>
  <c r="K787" i="80"/>
  <c r="I787" i="80"/>
  <c r="H787" i="80"/>
  <c r="G787" i="80"/>
  <c r="F787" i="80"/>
  <c r="B787" i="80"/>
  <c r="K786" i="80"/>
  <c r="I786" i="80"/>
  <c r="H786" i="80"/>
  <c r="G786" i="80"/>
  <c r="F786" i="80"/>
  <c r="B786" i="80"/>
  <c r="K785" i="80"/>
  <c r="I785" i="80"/>
  <c r="H785" i="80"/>
  <c r="G785" i="80"/>
  <c r="F785" i="80"/>
  <c r="B785" i="80"/>
  <c r="L784" i="80"/>
  <c r="N784" i="80" s="1"/>
  <c r="L783" i="80"/>
  <c r="N783" i="80" s="1"/>
  <c r="L782" i="80"/>
  <c r="N782" i="80" s="1"/>
  <c r="K780" i="80"/>
  <c r="I780" i="80"/>
  <c r="H780" i="80"/>
  <c r="G780" i="80"/>
  <c r="F780" i="80"/>
  <c r="B780" i="80"/>
  <c r="K779" i="80"/>
  <c r="I779" i="80"/>
  <c r="H779" i="80"/>
  <c r="G779" i="80"/>
  <c r="F779" i="80"/>
  <c r="B779" i="80"/>
  <c r="K778" i="80"/>
  <c r="I778" i="80"/>
  <c r="H778" i="80"/>
  <c r="G778" i="80"/>
  <c r="F778" i="80"/>
  <c r="B778" i="80"/>
  <c r="K777" i="80"/>
  <c r="I777" i="80"/>
  <c r="H777" i="80"/>
  <c r="G777" i="80"/>
  <c r="F777" i="80"/>
  <c r="B777" i="80"/>
  <c r="K776" i="80"/>
  <c r="I776" i="80"/>
  <c r="H776" i="80"/>
  <c r="G776" i="80"/>
  <c r="F776" i="80"/>
  <c r="B776" i="80"/>
  <c r="K775" i="80"/>
  <c r="I775" i="80"/>
  <c r="H775" i="80"/>
  <c r="G775" i="80"/>
  <c r="F775" i="80"/>
  <c r="B775" i="80"/>
  <c r="K774" i="80"/>
  <c r="I774" i="80"/>
  <c r="H774" i="80"/>
  <c r="G774" i="80"/>
  <c r="F774" i="80"/>
  <c r="B774" i="80"/>
  <c r="K773" i="80"/>
  <c r="I773" i="80"/>
  <c r="H773" i="80"/>
  <c r="G773" i="80"/>
  <c r="F773" i="80"/>
  <c r="B773" i="80"/>
  <c r="K772" i="80"/>
  <c r="I772" i="80"/>
  <c r="H772" i="80"/>
  <c r="G772" i="80"/>
  <c r="F772" i="80"/>
  <c r="B772" i="80"/>
  <c r="K771" i="80"/>
  <c r="I771" i="80"/>
  <c r="H771" i="80"/>
  <c r="G771" i="80"/>
  <c r="F771" i="80"/>
  <c r="B771" i="80"/>
  <c r="K770" i="80"/>
  <c r="I770" i="80"/>
  <c r="H770" i="80"/>
  <c r="G770" i="80"/>
  <c r="F770" i="80"/>
  <c r="B770" i="80"/>
  <c r="K769" i="80"/>
  <c r="I769" i="80"/>
  <c r="H769" i="80"/>
  <c r="G769" i="80"/>
  <c r="F769" i="80"/>
  <c r="B769" i="80"/>
  <c r="K768" i="80"/>
  <c r="I768" i="80"/>
  <c r="H768" i="80"/>
  <c r="G768" i="80"/>
  <c r="F768" i="80"/>
  <c r="B768" i="80"/>
  <c r="K767" i="80"/>
  <c r="I767" i="80"/>
  <c r="H767" i="80"/>
  <c r="G767" i="80"/>
  <c r="F767" i="80"/>
  <c r="B767" i="80"/>
  <c r="K766" i="80"/>
  <c r="I766" i="80"/>
  <c r="H766" i="80"/>
  <c r="G766" i="80"/>
  <c r="F766" i="80"/>
  <c r="B766" i="80"/>
  <c r="L765" i="80"/>
  <c r="N765" i="80" s="1"/>
  <c r="L764" i="80"/>
  <c r="N764" i="80" s="1"/>
  <c r="L763" i="80"/>
  <c r="N763" i="80" s="1"/>
  <c r="K761" i="80"/>
  <c r="I761" i="80"/>
  <c r="H761" i="80"/>
  <c r="G761" i="80"/>
  <c r="F761" i="80"/>
  <c r="B761" i="80"/>
  <c r="K760" i="80"/>
  <c r="I760" i="80"/>
  <c r="H760" i="80"/>
  <c r="G760" i="80"/>
  <c r="F760" i="80"/>
  <c r="B760" i="80"/>
  <c r="K759" i="80"/>
  <c r="I759" i="80"/>
  <c r="H759" i="80"/>
  <c r="G759" i="80"/>
  <c r="F759" i="80"/>
  <c r="B759" i="80"/>
  <c r="K758" i="80"/>
  <c r="I758" i="80"/>
  <c r="H758" i="80"/>
  <c r="G758" i="80"/>
  <c r="F758" i="80"/>
  <c r="B758" i="80"/>
  <c r="K757" i="80"/>
  <c r="I757" i="80"/>
  <c r="H757" i="80"/>
  <c r="G757" i="80"/>
  <c r="F757" i="80"/>
  <c r="B757" i="80"/>
  <c r="K756" i="80"/>
  <c r="I756" i="80"/>
  <c r="H756" i="80"/>
  <c r="G756" i="80"/>
  <c r="F756" i="80"/>
  <c r="B756" i="80"/>
  <c r="K755" i="80"/>
  <c r="I755" i="80"/>
  <c r="H755" i="80"/>
  <c r="G755" i="80"/>
  <c r="F755" i="80"/>
  <c r="B755" i="80"/>
  <c r="K754" i="80"/>
  <c r="I754" i="80"/>
  <c r="H754" i="80"/>
  <c r="G754" i="80"/>
  <c r="F754" i="80"/>
  <c r="B754" i="80"/>
  <c r="K753" i="80"/>
  <c r="I753" i="80"/>
  <c r="H753" i="80"/>
  <c r="G753" i="80"/>
  <c r="F753" i="80"/>
  <c r="B753" i="80"/>
  <c r="K752" i="80"/>
  <c r="I752" i="80"/>
  <c r="H752" i="80"/>
  <c r="G752" i="80"/>
  <c r="F752" i="80"/>
  <c r="B752" i="80"/>
  <c r="K751" i="80"/>
  <c r="I751" i="80"/>
  <c r="H751" i="80"/>
  <c r="G751" i="80"/>
  <c r="F751" i="80"/>
  <c r="B751" i="80"/>
  <c r="K750" i="80"/>
  <c r="I750" i="80"/>
  <c r="H750" i="80"/>
  <c r="G750" i="80"/>
  <c r="F750" i="80"/>
  <c r="B750" i="80"/>
  <c r="K749" i="80"/>
  <c r="I749" i="80"/>
  <c r="H749" i="80"/>
  <c r="G749" i="80"/>
  <c r="F749" i="80"/>
  <c r="B749" i="80"/>
  <c r="K748" i="80"/>
  <c r="I748" i="80"/>
  <c r="H748" i="80"/>
  <c r="G748" i="80"/>
  <c r="F748" i="80"/>
  <c r="B748" i="80"/>
  <c r="K747" i="80"/>
  <c r="I747" i="80"/>
  <c r="H747" i="80"/>
  <c r="G747" i="80"/>
  <c r="F747" i="80"/>
  <c r="B747" i="80"/>
  <c r="L746" i="80"/>
  <c r="N746" i="80" s="1"/>
  <c r="L745" i="80"/>
  <c r="N745" i="80" s="1"/>
  <c r="L744" i="80"/>
  <c r="N744" i="80" s="1"/>
  <c r="K742" i="80"/>
  <c r="I742" i="80"/>
  <c r="H742" i="80"/>
  <c r="G742" i="80"/>
  <c r="F742" i="80"/>
  <c r="B742" i="80"/>
  <c r="K741" i="80"/>
  <c r="I741" i="80"/>
  <c r="H741" i="80"/>
  <c r="G741" i="80"/>
  <c r="F741" i="80"/>
  <c r="B741" i="80"/>
  <c r="K740" i="80"/>
  <c r="I740" i="80"/>
  <c r="H740" i="80"/>
  <c r="G740" i="80"/>
  <c r="F740" i="80"/>
  <c r="B740" i="80"/>
  <c r="K739" i="80"/>
  <c r="I739" i="80"/>
  <c r="H739" i="80"/>
  <c r="G739" i="80"/>
  <c r="F739" i="80"/>
  <c r="B739" i="80"/>
  <c r="K738" i="80"/>
  <c r="I738" i="80"/>
  <c r="H738" i="80"/>
  <c r="G738" i="80"/>
  <c r="F738" i="80"/>
  <c r="B738" i="80"/>
  <c r="K737" i="80"/>
  <c r="I737" i="80"/>
  <c r="H737" i="80"/>
  <c r="G737" i="80"/>
  <c r="F737" i="80"/>
  <c r="B737" i="80"/>
  <c r="K736" i="80"/>
  <c r="I736" i="80"/>
  <c r="H736" i="80"/>
  <c r="G736" i="80"/>
  <c r="F736" i="80"/>
  <c r="B736" i="80"/>
  <c r="K735" i="80"/>
  <c r="I735" i="80"/>
  <c r="H735" i="80"/>
  <c r="G735" i="80"/>
  <c r="F735" i="80"/>
  <c r="B735" i="80"/>
  <c r="K734" i="80"/>
  <c r="I734" i="80"/>
  <c r="H734" i="80"/>
  <c r="G734" i="80"/>
  <c r="F734" i="80"/>
  <c r="B734" i="80"/>
  <c r="K733" i="80"/>
  <c r="I733" i="80"/>
  <c r="H733" i="80"/>
  <c r="G733" i="80"/>
  <c r="F733" i="80"/>
  <c r="B733" i="80"/>
  <c r="K732" i="80"/>
  <c r="I732" i="80"/>
  <c r="H732" i="80"/>
  <c r="G732" i="80"/>
  <c r="F732" i="80"/>
  <c r="B732" i="80"/>
  <c r="K731" i="80"/>
  <c r="I731" i="80"/>
  <c r="H731" i="80"/>
  <c r="G731" i="80"/>
  <c r="F731" i="80"/>
  <c r="B731" i="80"/>
  <c r="K730" i="80"/>
  <c r="I730" i="80"/>
  <c r="H730" i="80"/>
  <c r="G730" i="80"/>
  <c r="F730" i="80"/>
  <c r="B730" i="80"/>
  <c r="K729" i="80"/>
  <c r="I729" i="80"/>
  <c r="H729" i="80"/>
  <c r="G729" i="80"/>
  <c r="F729" i="80"/>
  <c r="B729" i="80"/>
  <c r="K728" i="80"/>
  <c r="I728" i="80"/>
  <c r="H728" i="80"/>
  <c r="G728" i="80"/>
  <c r="F728" i="80"/>
  <c r="B728" i="80"/>
  <c r="L727" i="80"/>
  <c r="N727" i="80" s="1"/>
  <c r="L726" i="80"/>
  <c r="N726" i="80" s="1"/>
  <c r="L725" i="80"/>
  <c r="N725" i="80" s="1"/>
  <c r="K723" i="80"/>
  <c r="I723" i="80"/>
  <c r="H723" i="80"/>
  <c r="G723" i="80"/>
  <c r="F723" i="80"/>
  <c r="B723" i="80"/>
  <c r="K722" i="80"/>
  <c r="I722" i="80"/>
  <c r="H722" i="80"/>
  <c r="G722" i="80"/>
  <c r="F722" i="80"/>
  <c r="B722" i="80"/>
  <c r="K721" i="80"/>
  <c r="I721" i="80"/>
  <c r="H721" i="80"/>
  <c r="G721" i="80"/>
  <c r="F721" i="80"/>
  <c r="B721" i="80"/>
  <c r="K720" i="80"/>
  <c r="I720" i="80"/>
  <c r="H720" i="80"/>
  <c r="G720" i="80"/>
  <c r="F720" i="80"/>
  <c r="B720" i="80"/>
  <c r="K719" i="80"/>
  <c r="I719" i="80"/>
  <c r="H719" i="80"/>
  <c r="G719" i="80"/>
  <c r="F719" i="80"/>
  <c r="B719" i="80"/>
  <c r="K718" i="80"/>
  <c r="I718" i="80"/>
  <c r="H718" i="80"/>
  <c r="G718" i="80"/>
  <c r="F718" i="80"/>
  <c r="B718" i="80"/>
  <c r="K717" i="80"/>
  <c r="I717" i="80"/>
  <c r="H717" i="80"/>
  <c r="G717" i="80"/>
  <c r="F717" i="80"/>
  <c r="B717" i="80"/>
  <c r="K716" i="80"/>
  <c r="I716" i="80"/>
  <c r="H716" i="80"/>
  <c r="G716" i="80"/>
  <c r="F716" i="80"/>
  <c r="B716" i="80"/>
  <c r="K715" i="80"/>
  <c r="I715" i="80"/>
  <c r="H715" i="80"/>
  <c r="G715" i="80"/>
  <c r="F715" i="80"/>
  <c r="B715" i="80"/>
  <c r="K714" i="80"/>
  <c r="I714" i="80"/>
  <c r="H714" i="80"/>
  <c r="G714" i="80"/>
  <c r="F714" i="80"/>
  <c r="B714" i="80"/>
  <c r="K713" i="80"/>
  <c r="I713" i="80"/>
  <c r="H713" i="80"/>
  <c r="G713" i="80"/>
  <c r="F713" i="80"/>
  <c r="B713" i="80"/>
  <c r="K712" i="80"/>
  <c r="I712" i="80"/>
  <c r="H712" i="80"/>
  <c r="G712" i="80"/>
  <c r="F712" i="80"/>
  <c r="B712" i="80"/>
  <c r="K711" i="80"/>
  <c r="I711" i="80"/>
  <c r="H711" i="80"/>
  <c r="G711" i="80"/>
  <c r="F711" i="80"/>
  <c r="B711" i="80"/>
  <c r="K710" i="80"/>
  <c r="I710" i="80"/>
  <c r="H710" i="80"/>
  <c r="G710" i="80"/>
  <c r="F710" i="80"/>
  <c r="B710" i="80"/>
  <c r="K709" i="80"/>
  <c r="I709" i="80"/>
  <c r="H709" i="80"/>
  <c r="G709" i="80"/>
  <c r="F709" i="80"/>
  <c r="B709" i="80"/>
  <c r="L708" i="80"/>
  <c r="N708" i="80" s="1"/>
  <c r="L707" i="80"/>
  <c r="N707" i="80" s="1"/>
  <c r="L706" i="80"/>
  <c r="N706" i="80" s="1"/>
  <c r="K704" i="80"/>
  <c r="I704" i="80"/>
  <c r="H704" i="80"/>
  <c r="G704" i="80"/>
  <c r="F704" i="80"/>
  <c r="B704" i="80"/>
  <c r="K703" i="80"/>
  <c r="I703" i="80"/>
  <c r="H703" i="80"/>
  <c r="G703" i="80"/>
  <c r="F703" i="80"/>
  <c r="B703" i="80"/>
  <c r="K702" i="80"/>
  <c r="I702" i="80"/>
  <c r="H702" i="80"/>
  <c r="G702" i="80"/>
  <c r="F702" i="80"/>
  <c r="B702" i="80"/>
  <c r="K701" i="80"/>
  <c r="I701" i="80"/>
  <c r="H701" i="80"/>
  <c r="G701" i="80"/>
  <c r="F701" i="80"/>
  <c r="B701" i="80"/>
  <c r="K700" i="80"/>
  <c r="I700" i="80"/>
  <c r="H700" i="80"/>
  <c r="G700" i="80"/>
  <c r="F700" i="80"/>
  <c r="B700" i="80"/>
  <c r="K699" i="80"/>
  <c r="I699" i="80"/>
  <c r="H699" i="80"/>
  <c r="G699" i="80"/>
  <c r="F699" i="80"/>
  <c r="B699" i="80"/>
  <c r="K698" i="80"/>
  <c r="I698" i="80"/>
  <c r="H698" i="80"/>
  <c r="G698" i="80"/>
  <c r="F698" i="80"/>
  <c r="B698" i="80"/>
  <c r="K697" i="80"/>
  <c r="I697" i="80"/>
  <c r="H697" i="80"/>
  <c r="G697" i="80"/>
  <c r="F697" i="80"/>
  <c r="B697" i="80"/>
  <c r="K696" i="80"/>
  <c r="I696" i="80"/>
  <c r="H696" i="80"/>
  <c r="G696" i="80"/>
  <c r="F696" i="80"/>
  <c r="B696" i="80"/>
  <c r="K695" i="80"/>
  <c r="I695" i="80"/>
  <c r="H695" i="80"/>
  <c r="G695" i="80"/>
  <c r="F695" i="80"/>
  <c r="B695" i="80"/>
  <c r="K694" i="80"/>
  <c r="I694" i="80"/>
  <c r="H694" i="80"/>
  <c r="G694" i="80"/>
  <c r="F694" i="80"/>
  <c r="B694" i="80"/>
  <c r="K693" i="80"/>
  <c r="I693" i="80"/>
  <c r="H693" i="80"/>
  <c r="G693" i="80"/>
  <c r="F693" i="80"/>
  <c r="B693" i="80"/>
  <c r="K692" i="80"/>
  <c r="I692" i="80"/>
  <c r="H692" i="80"/>
  <c r="G692" i="80"/>
  <c r="F692" i="80"/>
  <c r="B692" i="80"/>
  <c r="K691" i="80"/>
  <c r="I691" i="80"/>
  <c r="H691" i="80"/>
  <c r="G691" i="80"/>
  <c r="F691" i="80"/>
  <c r="B691" i="80"/>
  <c r="K690" i="80"/>
  <c r="I690" i="80"/>
  <c r="H690" i="80"/>
  <c r="G690" i="80"/>
  <c r="F690" i="80"/>
  <c r="B690" i="80"/>
  <c r="L689" i="80"/>
  <c r="N689" i="80" s="1"/>
  <c r="L688" i="80"/>
  <c r="N688" i="80" s="1"/>
  <c r="L687" i="80"/>
  <c r="N687" i="80" s="1"/>
  <c r="B677" i="80"/>
  <c r="J674" i="80"/>
  <c r="H674" i="80"/>
  <c r="G674" i="80"/>
  <c r="F674" i="80"/>
  <c r="E674" i="80"/>
  <c r="B674" i="80"/>
  <c r="J673" i="80"/>
  <c r="H673" i="80"/>
  <c r="G673" i="80"/>
  <c r="F673" i="80"/>
  <c r="E673" i="80"/>
  <c r="B673" i="80"/>
  <c r="J672" i="80"/>
  <c r="H672" i="80"/>
  <c r="G672" i="80"/>
  <c r="F672" i="80"/>
  <c r="E672" i="80"/>
  <c r="B672" i="80"/>
  <c r="J671" i="80"/>
  <c r="J677" i="80" s="1"/>
  <c r="H671" i="80"/>
  <c r="G671" i="80"/>
  <c r="G677" i="80" s="1"/>
  <c r="F671" i="80"/>
  <c r="F677" i="80" s="1"/>
  <c r="E671" i="80"/>
  <c r="E677" i="80" s="1"/>
  <c r="B671" i="80"/>
  <c r="J670" i="80"/>
  <c r="J676" i="80" s="1"/>
  <c r="H670" i="80"/>
  <c r="G670" i="80"/>
  <c r="G676" i="80" s="1"/>
  <c r="F670" i="80"/>
  <c r="F676" i="80" s="1"/>
  <c r="E670" i="80"/>
  <c r="E676" i="80" s="1"/>
  <c r="B670" i="80"/>
  <c r="B676" i="80" s="1"/>
  <c r="J669" i="80"/>
  <c r="J675" i="80" s="1"/>
  <c r="H669" i="80"/>
  <c r="G669" i="80"/>
  <c r="G675" i="80" s="1"/>
  <c r="F669" i="80"/>
  <c r="F675" i="80" s="1"/>
  <c r="E669" i="80"/>
  <c r="E675" i="80" s="1"/>
  <c r="B669" i="80"/>
  <c r="B675" i="80" s="1"/>
  <c r="K668" i="80"/>
  <c r="M668" i="80" s="1"/>
  <c r="K667" i="80"/>
  <c r="M667" i="80" s="1"/>
  <c r="M666" i="80"/>
  <c r="K666" i="80"/>
  <c r="K618" i="80"/>
  <c r="I618" i="80"/>
  <c r="H618" i="80"/>
  <c r="G618" i="80"/>
  <c r="F618" i="80"/>
  <c r="B618" i="80"/>
  <c r="K617" i="80"/>
  <c r="I617" i="80"/>
  <c r="H617" i="80"/>
  <c r="G617" i="80"/>
  <c r="F617" i="80"/>
  <c r="B617" i="80"/>
  <c r="K616" i="80"/>
  <c r="I616" i="80"/>
  <c r="H616" i="80"/>
  <c r="G616" i="80"/>
  <c r="F616" i="80"/>
  <c r="B616" i="80"/>
  <c r="K615" i="80"/>
  <c r="I615" i="80"/>
  <c r="H615" i="80"/>
  <c r="G615" i="80"/>
  <c r="F615" i="80"/>
  <c r="B615" i="80"/>
  <c r="K614" i="80"/>
  <c r="I614" i="80"/>
  <c r="H614" i="80"/>
  <c r="G614" i="80"/>
  <c r="F614" i="80"/>
  <c r="B614" i="80"/>
  <c r="K613" i="80"/>
  <c r="I613" i="80"/>
  <c r="H613" i="80"/>
  <c r="G613" i="80"/>
  <c r="F613" i="80"/>
  <c r="B613" i="80"/>
  <c r="K612" i="80"/>
  <c r="I612" i="80"/>
  <c r="H612" i="80"/>
  <c r="G612" i="80"/>
  <c r="F612" i="80"/>
  <c r="B612" i="80"/>
  <c r="K611" i="80"/>
  <c r="I611" i="80"/>
  <c r="H611" i="80"/>
  <c r="G611" i="80"/>
  <c r="F611" i="80"/>
  <c r="B611" i="80"/>
  <c r="K610" i="80"/>
  <c r="I610" i="80"/>
  <c r="H610" i="80"/>
  <c r="G610" i="80"/>
  <c r="F610" i="80"/>
  <c r="B610" i="80"/>
  <c r="K609" i="80"/>
  <c r="I609" i="80"/>
  <c r="H609" i="80"/>
  <c r="G609" i="80"/>
  <c r="F609" i="80"/>
  <c r="B609" i="80"/>
  <c r="K608" i="80"/>
  <c r="I608" i="80"/>
  <c r="H608" i="80"/>
  <c r="G608" i="80"/>
  <c r="F608" i="80"/>
  <c r="B608" i="80"/>
  <c r="K607" i="80"/>
  <c r="I607" i="80"/>
  <c r="H607" i="80"/>
  <c r="G607" i="80"/>
  <c r="F607" i="80"/>
  <c r="B607" i="80"/>
  <c r="K606" i="80"/>
  <c r="I606" i="80"/>
  <c r="H606" i="80"/>
  <c r="G606" i="80"/>
  <c r="F606" i="80"/>
  <c r="B606" i="80"/>
  <c r="K605" i="80"/>
  <c r="I605" i="80"/>
  <c r="H605" i="80"/>
  <c r="G605" i="80"/>
  <c r="F605" i="80"/>
  <c r="B605" i="80"/>
  <c r="K604" i="80"/>
  <c r="I604" i="80"/>
  <c r="H604" i="80"/>
  <c r="G604" i="80"/>
  <c r="F604" i="80"/>
  <c r="B604" i="80"/>
  <c r="L603" i="80"/>
  <c r="N603" i="80" s="1"/>
  <c r="L602" i="80"/>
  <c r="N602" i="80" s="1"/>
  <c r="L601" i="80"/>
  <c r="N601" i="80" s="1"/>
  <c r="K599" i="80"/>
  <c r="I599" i="80"/>
  <c r="H599" i="80"/>
  <c r="G599" i="80"/>
  <c r="F599" i="80"/>
  <c r="B599" i="80"/>
  <c r="K598" i="80"/>
  <c r="I598" i="80"/>
  <c r="H598" i="80"/>
  <c r="G598" i="80"/>
  <c r="F598" i="80"/>
  <c r="B598" i="80"/>
  <c r="K597" i="80"/>
  <c r="I597" i="80"/>
  <c r="H597" i="80"/>
  <c r="G597" i="80"/>
  <c r="F597" i="80"/>
  <c r="B597" i="80"/>
  <c r="K596" i="80"/>
  <c r="I596" i="80"/>
  <c r="H596" i="80"/>
  <c r="G596" i="80"/>
  <c r="F596" i="80"/>
  <c r="B596" i="80"/>
  <c r="K595" i="80"/>
  <c r="I595" i="80"/>
  <c r="H595" i="80"/>
  <c r="G595" i="80"/>
  <c r="F595" i="80"/>
  <c r="B595" i="80"/>
  <c r="K594" i="80"/>
  <c r="I594" i="80"/>
  <c r="H594" i="80"/>
  <c r="G594" i="80"/>
  <c r="F594" i="80"/>
  <c r="B594" i="80"/>
  <c r="K593" i="80"/>
  <c r="I593" i="80"/>
  <c r="H593" i="80"/>
  <c r="G593" i="80"/>
  <c r="F593" i="80"/>
  <c r="B593" i="80"/>
  <c r="K592" i="80"/>
  <c r="I592" i="80"/>
  <c r="H592" i="80"/>
  <c r="G592" i="80"/>
  <c r="F592" i="80"/>
  <c r="B592" i="80"/>
  <c r="K591" i="80"/>
  <c r="I591" i="80"/>
  <c r="H591" i="80"/>
  <c r="G591" i="80"/>
  <c r="F591" i="80"/>
  <c r="B591" i="80"/>
  <c r="K590" i="80"/>
  <c r="I590" i="80"/>
  <c r="H590" i="80"/>
  <c r="G590" i="80"/>
  <c r="F590" i="80"/>
  <c r="B590" i="80"/>
  <c r="K589" i="80"/>
  <c r="I589" i="80"/>
  <c r="H589" i="80"/>
  <c r="G589" i="80"/>
  <c r="F589" i="80"/>
  <c r="B589" i="80"/>
  <c r="K588" i="80"/>
  <c r="I588" i="80"/>
  <c r="H588" i="80"/>
  <c r="G588" i="80"/>
  <c r="F588" i="80"/>
  <c r="B588" i="80"/>
  <c r="K587" i="80"/>
  <c r="I587" i="80"/>
  <c r="H587" i="80"/>
  <c r="G587" i="80"/>
  <c r="F587" i="80"/>
  <c r="B587" i="80"/>
  <c r="K586" i="80"/>
  <c r="I586" i="80"/>
  <c r="H586" i="80"/>
  <c r="G586" i="80"/>
  <c r="F586" i="80"/>
  <c r="B586" i="80"/>
  <c r="K585" i="80"/>
  <c r="I585" i="80"/>
  <c r="H585" i="80"/>
  <c r="G585" i="80"/>
  <c r="F585" i="80"/>
  <c r="B585" i="80"/>
  <c r="L584" i="80"/>
  <c r="N584" i="80" s="1"/>
  <c r="L583" i="80"/>
  <c r="N583" i="80" s="1"/>
  <c r="L582" i="80"/>
  <c r="N582" i="80" s="1"/>
  <c r="K580" i="80"/>
  <c r="I580" i="80"/>
  <c r="H580" i="80"/>
  <c r="G580" i="80"/>
  <c r="F580" i="80"/>
  <c r="B580" i="80"/>
  <c r="K579" i="80"/>
  <c r="I579" i="80"/>
  <c r="H579" i="80"/>
  <c r="G579" i="80"/>
  <c r="F579" i="80"/>
  <c r="B579" i="80"/>
  <c r="K578" i="80"/>
  <c r="I578" i="80"/>
  <c r="H578" i="80"/>
  <c r="G578" i="80"/>
  <c r="F578" i="80"/>
  <c r="B578" i="80"/>
  <c r="K577" i="80"/>
  <c r="I577" i="80"/>
  <c r="H577" i="80"/>
  <c r="G577" i="80"/>
  <c r="F577" i="80"/>
  <c r="B577" i="80"/>
  <c r="K576" i="80"/>
  <c r="I576" i="80"/>
  <c r="H576" i="80"/>
  <c r="G576" i="80"/>
  <c r="F576" i="80"/>
  <c r="B576" i="80"/>
  <c r="K575" i="80"/>
  <c r="I575" i="80"/>
  <c r="H575" i="80"/>
  <c r="G575" i="80"/>
  <c r="F575" i="80"/>
  <c r="B575" i="80"/>
  <c r="K574" i="80"/>
  <c r="I574" i="80"/>
  <c r="H574" i="80"/>
  <c r="G574" i="80"/>
  <c r="F574" i="80"/>
  <c r="B574" i="80"/>
  <c r="K573" i="80"/>
  <c r="I573" i="80"/>
  <c r="H573" i="80"/>
  <c r="G573" i="80"/>
  <c r="F573" i="80"/>
  <c r="B573" i="80"/>
  <c r="K572" i="80"/>
  <c r="I572" i="80"/>
  <c r="H572" i="80"/>
  <c r="G572" i="80"/>
  <c r="F572" i="80"/>
  <c r="B572" i="80"/>
  <c r="K571" i="80"/>
  <c r="I571" i="80"/>
  <c r="H571" i="80"/>
  <c r="G571" i="80"/>
  <c r="F571" i="80"/>
  <c r="B571" i="80"/>
  <c r="K570" i="80"/>
  <c r="I570" i="80"/>
  <c r="H570" i="80"/>
  <c r="G570" i="80"/>
  <c r="F570" i="80"/>
  <c r="B570" i="80"/>
  <c r="K569" i="80"/>
  <c r="I569" i="80"/>
  <c r="H569" i="80"/>
  <c r="G569" i="80"/>
  <c r="F569" i="80"/>
  <c r="B569" i="80"/>
  <c r="K568" i="80"/>
  <c r="I568" i="80"/>
  <c r="H568" i="80"/>
  <c r="G568" i="80"/>
  <c r="F568" i="80"/>
  <c r="B568" i="80"/>
  <c r="K567" i="80"/>
  <c r="I567" i="80"/>
  <c r="H567" i="80"/>
  <c r="G567" i="80"/>
  <c r="F567" i="80"/>
  <c r="B567" i="80"/>
  <c r="K566" i="80"/>
  <c r="I566" i="80"/>
  <c r="H566" i="80"/>
  <c r="G566" i="80"/>
  <c r="F566" i="80"/>
  <c r="B566" i="80"/>
  <c r="L565" i="80"/>
  <c r="N565" i="80" s="1"/>
  <c r="L564" i="80"/>
  <c r="N564" i="80" s="1"/>
  <c r="L563" i="80"/>
  <c r="N563" i="80" s="1"/>
  <c r="K561" i="80"/>
  <c r="I561" i="80"/>
  <c r="H561" i="80"/>
  <c r="G561" i="80"/>
  <c r="F561" i="80"/>
  <c r="B561" i="80"/>
  <c r="K560" i="80"/>
  <c r="I560" i="80"/>
  <c r="H560" i="80"/>
  <c r="G560" i="80"/>
  <c r="F560" i="80"/>
  <c r="B560" i="80"/>
  <c r="K559" i="80"/>
  <c r="I559" i="80"/>
  <c r="H559" i="80"/>
  <c r="G559" i="80"/>
  <c r="F559" i="80"/>
  <c r="B559" i="80"/>
  <c r="K558" i="80"/>
  <c r="I558" i="80"/>
  <c r="H558" i="80"/>
  <c r="G558" i="80"/>
  <c r="F558" i="80"/>
  <c r="B558" i="80"/>
  <c r="K557" i="80"/>
  <c r="I557" i="80"/>
  <c r="H557" i="80"/>
  <c r="G557" i="80"/>
  <c r="F557" i="80"/>
  <c r="B557" i="80"/>
  <c r="K556" i="80"/>
  <c r="I556" i="80"/>
  <c r="H556" i="80"/>
  <c r="G556" i="80"/>
  <c r="F556" i="80"/>
  <c r="B556" i="80"/>
  <c r="K555" i="80"/>
  <c r="I555" i="80"/>
  <c r="H555" i="80"/>
  <c r="G555" i="80"/>
  <c r="F555" i="80"/>
  <c r="B555" i="80"/>
  <c r="K554" i="80"/>
  <c r="I554" i="80"/>
  <c r="H554" i="80"/>
  <c r="G554" i="80"/>
  <c r="F554" i="80"/>
  <c r="B554" i="80"/>
  <c r="K553" i="80"/>
  <c r="I553" i="80"/>
  <c r="H553" i="80"/>
  <c r="G553" i="80"/>
  <c r="F553" i="80"/>
  <c r="B553" i="80"/>
  <c r="K552" i="80"/>
  <c r="I552" i="80"/>
  <c r="H552" i="80"/>
  <c r="G552" i="80"/>
  <c r="F552" i="80"/>
  <c r="B552" i="80"/>
  <c r="K551" i="80"/>
  <c r="I551" i="80"/>
  <c r="H551" i="80"/>
  <c r="G551" i="80"/>
  <c r="F551" i="80"/>
  <c r="B551" i="80"/>
  <c r="K550" i="80"/>
  <c r="I550" i="80"/>
  <c r="H550" i="80"/>
  <c r="G550" i="80"/>
  <c r="F550" i="80"/>
  <c r="B550" i="80"/>
  <c r="K549" i="80"/>
  <c r="I549" i="80"/>
  <c r="H549" i="80"/>
  <c r="G549" i="80"/>
  <c r="F549" i="80"/>
  <c r="B549" i="80"/>
  <c r="K548" i="80"/>
  <c r="I548" i="80"/>
  <c r="H548" i="80"/>
  <c r="G548" i="80"/>
  <c r="F548" i="80"/>
  <c r="B548" i="80"/>
  <c r="K547" i="80"/>
  <c r="I547" i="80"/>
  <c r="H547" i="80"/>
  <c r="G547" i="80"/>
  <c r="F547" i="80"/>
  <c r="B547" i="80"/>
  <c r="L546" i="80"/>
  <c r="N546" i="80" s="1"/>
  <c r="L545" i="80"/>
  <c r="N545" i="80" s="1"/>
  <c r="L544" i="80"/>
  <c r="N544" i="80" s="1"/>
  <c r="K542" i="80"/>
  <c r="I542" i="80"/>
  <c r="H542" i="80"/>
  <c r="G542" i="80"/>
  <c r="F542" i="80"/>
  <c r="B542" i="80"/>
  <c r="K541" i="80"/>
  <c r="I541" i="80"/>
  <c r="H541" i="80"/>
  <c r="G541" i="80"/>
  <c r="F541" i="80"/>
  <c r="B541" i="80"/>
  <c r="K540" i="80"/>
  <c r="I540" i="80"/>
  <c r="H540" i="80"/>
  <c r="G540" i="80"/>
  <c r="F540" i="80"/>
  <c r="B540" i="80"/>
  <c r="K539" i="80"/>
  <c r="I539" i="80"/>
  <c r="H539" i="80"/>
  <c r="G539" i="80"/>
  <c r="F539" i="80"/>
  <c r="B539" i="80"/>
  <c r="K538" i="80"/>
  <c r="I538" i="80"/>
  <c r="H538" i="80"/>
  <c r="G538" i="80"/>
  <c r="F538" i="80"/>
  <c r="B538" i="80"/>
  <c r="K537" i="80"/>
  <c r="I537" i="80"/>
  <c r="H537" i="80"/>
  <c r="G537" i="80"/>
  <c r="F537" i="80"/>
  <c r="B537" i="80"/>
  <c r="K536" i="80"/>
  <c r="I536" i="80"/>
  <c r="H536" i="80"/>
  <c r="G536" i="80"/>
  <c r="F536" i="80"/>
  <c r="B536" i="80"/>
  <c r="K535" i="80"/>
  <c r="I535" i="80"/>
  <c r="H535" i="80"/>
  <c r="G535" i="80"/>
  <c r="F535" i="80"/>
  <c r="B535" i="80"/>
  <c r="K534" i="80"/>
  <c r="I534" i="80"/>
  <c r="H534" i="80"/>
  <c r="G534" i="80"/>
  <c r="F534" i="80"/>
  <c r="B534" i="80"/>
  <c r="K533" i="80"/>
  <c r="I533" i="80"/>
  <c r="H533" i="80"/>
  <c r="G533" i="80"/>
  <c r="F533" i="80"/>
  <c r="B533" i="80"/>
  <c r="K532" i="80"/>
  <c r="I532" i="80"/>
  <c r="H532" i="80"/>
  <c r="G532" i="80"/>
  <c r="F532" i="80"/>
  <c r="B532" i="80"/>
  <c r="K531" i="80"/>
  <c r="I531" i="80"/>
  <c r="H531" i="80"/>
  <c r="G531" i="80"/>
  <c r="F531" i="80"/>
  <c r="B531" i="80"/>
  <c r="K530" i="80"/>
  <c r="I530" i="80"/>
  <c r="H530" i="80"/>
  <c r="G530" i="80"/>
  <c r="F530" i="80"/>
  <c r="B530" i="80"/>
  <c r="K529" i="80"/>
  <c r="I529" i="80"/>
  <c r="H529" i="80"/>
  <c r="G529" i="80"/>
  <c r="F529" i="80"/>
  <c r="B529" i="80"/>
  <c r="K528" i="80"/>
  <c r="I528" i="80"/>
  <c r="H528" i="80"/>
  <c r="G528" i="80"/>
  <c r="F528" i="80"/>
  <c r="B528" i="80"/>
  <c r="L527" i="80"/>
  <c r="N527" i="80" s="1"/>
  <c r="L526" i="80"/>
  <c r="N526" i="80" s="1"/>
  <c r="L525" i="80"/>
  <c r="N525" i="80" s="1"/>
  <c r="K523" i="80"/>
  <c r="I523" i="80"/>
  <c r="H523" i="80"/>
  <c r="G523" i="80"/>
  <c r="F523" i="80"/>
  <c r="B523" i="80"/>
  <c r="K522" i="80"/>
  <c r="I522" i="80"/>
  <c r="H522" i="80"/>
  <c r="G522" i="80"/>
  <c r="F522" i="80"/>
  <c r="B522" i="80"/>
  <c r="K521" i="80"/>
  <c r="I521" i="80"/>
  <c r="H521" i="80"/>
  <c r="G521" i="80"/>
  <c r="F521" i="80"/>
  <c r="B521" i="80"/>
  <c r="K520" i="80"/>
  <c r="I520" i="80"/>
  <c r="H520" i="80"/>
  <c r="G520" i="80"/>
  <c r="F520" i="80"/>
  <c r="B520" i="80"/>
  <c r="K519" i="80"/>
  <c r="I519" i="80"/>
  <c r="H519" i="80"/>
  <c r="G519" i="80"/>
  <c r="F519" i="80"/>
  <c r="B519" i="80"/>
  <c r="K518" i="80"/>
  <c r="I518" i="80"/>
  <c r="H518" i="80"/>
  <c r="G518" i="80"/>
  <c r="F518" i="80"/>
  <c r="B518" i="80"/>
  <c r="K517" i="80"/>
  <c r="I517" i="80"/>
  <c r="H517" i="80"/>
  <c r="G517" i="80"/>
  <c r="F517" i="80"/>
  <c r="B517" i="80"/>
  <c r="K516" i="80"/>
  <c r="I516" i="80"/>
  <c r="H516" i="80"/>
  <c r="G516" i="80"/>
  <c r="F516" i="80"/>
  <c r="B516" i="80"/>
  <c r="K515" i="80"/>
  <c r="I515" i="80"/>
  <c r="H515" i="80"/>
  <c r="G515" i="80"/>
  <c r="F515" i="80"/>
  <c r="B515" i="80"/>
  <c r="K514" i="80"/>
  <c r="I514" i="80"/>
  <c r="H514" i="80"/>
  <c r="G514" i="80"/>
  <c r="F514" i="80"/>
  <c r="B514" i="80"/>
  <c r="K513" i="80"/>
  <c r="I513" i="80"/>
  <c r="H513" i="80"/>
  <c r="G513" i="80"/>
  <c r="F513" i="80"/>
  <c r="B513" i="80"/>
  <c r="K512" i="80"/>
  <c r="I512" i="80"/>
  <c r="H512" i="80"/>
  <c r="G512" i="80"/>
  <c r="F512" i="80"/>
  <c r="B512" i="80"/>
  <c r="K511" i="80"/>
  <c r="I511" i="80"/>
  <c r="H511" i="80"/>
  <c r="G511" i="80"/>
  <c r="F511" i="80"/>
  <c r="B511" i="80"/>
  <c r="K510" i="80"/>
  <c r="I510" i="80"/>
  <c r="H510" i="80"/>
  <c r="G510" i="80"/>
  <c r="F510" i="80"/>
  <c r="B510" i="80"/>
  <c r="K509" i="80"/>
  <c r="I509" i="80"/>
  <c r="H509" i="80"/>
  <c r="G509" i="80"/>
  <c r="F509" i="80"/>
  <c r="B509" i="80"/>
  <c r="L508" i="80"/>
  <c r="N508" i="80" s="1"/>
  <c r="L507" i="80"/>
  <c r="N507" i="80" s="1"/>
  <c r="L506" i="80"/>
  <c r="N506" i="80" s="1"/>
  <c r="K504" i="80"/>
  <c r="I504" i="80"/>
  <c r="H504" i="80"/>
  <c r="G504" i="80"/>
  <c r="F504" i="80"/>
  <c r="B504" i="80"/>
  <c r="K503" i="80"/>
  <c r="I503" i="80"/>
  <c r="H503" i="80"/>
  <c r="G503" i="80"/>
  <c r="F503" i="80"/>
  <c r="B503" i="80"/>
  <c r="K502" i="80"/>
  <c r="I502" i="80"/>
  <c r="H502" i="80"/>
  <c r="G502" i="80"/>
  <c r="F502" i="80"/>
  <c r="B502" i="80"/>
  <c r="K501" i="80"/>
  <c r="I501" i="80"/>
  <c r="H501" i="80"/>
  <c r="G501" i="80"/>
  <c r="F501" i="80"/>
  <c r="B501" i="80"/>
  <c r="K500" i="80"/>
  <c r="I500" i="80"/>
  <c r="H500" i="80"/>
  <c r="G500" i="80"/>
  <c r="F500" i="80"/>
  <c r="B500" i="80"/>
  <c r="K499" i="80"/>
  <c r="I499" i="80"/>
  <c r="H499" i="80"/>
  <c r="G499" i="80"/>
  <c r="F499" i="80"/>
  <c r="B499" i="80"/>
  <c r="K498" i="80"/>
  <c r="I498" i="80"/>
  <c r="H498" i="80"/>
  <c r="G498" i="80"/>
  <c r="F498" i="80"/>
  <c r="B498" i="80"/>
  <c r="K497" i="80"/>
  <c r="I497" i="80"/>
  <c r="H497" i="80"/>
  <c r="G497" i="80"/>
  <c r="F497" i="80"/>
  <c r="B497" i="80"/>
  <c r="K496" i="80"/>
  <c r="I496" i="80"/>
  <c r="H496" i="80"/>
  <c r="G496" i="80"/>
  <c r="F496" i="80"/>
  <c r="B496" i="80"/>
  <c r="K495" i="80"/>
  <c r="I495" i="80"/>
  <c r="H495" i="80"/>
  <c r="G495" i="80"/>
  <c r="F495" i="80"/>
  <c r="B495" i="80"/>
  <c r="K494" i="80"/>
  <c r="I494" i="80"/>
  <c r="H494" i="80"/>
  <c r="G494" i="80"/>
  <c r="F494" i="80"/>
  <c r="B494" i="80"/>
  <c r="K493" i="80"/>
  <c r="I493" i="80"/>
  <c r="H493" i="80"/>
  <c r="G493" i="80"/>
  <c r="F493" i="80"/>
  <c r="B493" i="80"/>
  <c r="K492" i="80"/>
  <c r="I492" i="80"/>
  <c r="H492" i="80"/>
  <c r="G492" i="80"/>
  <c r="F492" i="80"/>
  <c r="B492" i="80"/>
  <c r="K491" i="80"/>
  <c r="I491" i="80"/>
  <c r="H491" i="80"/>
  <c r="G491" i="80"/>
  <c r="F491" i="80"/>
  <c r="B491" i="80"/>
  <c r="K490" i="80"/>
  <c r="I490" i="80"/>
  <c r="H490" i="80"/>
  <c r="G490" i="80"/>
  <c r="F490" i="80"/>
  <c r="B490" i="80"/>
  <c r="L489" i="80"/>
  <c r="N489" i="80" s="1"/>
  <c r="L488" i="80"/>
  <c r="N488" i="80" s="1"/>
  <c r="L487" i="80"/>
  <c r="N487" i="80" s="1"/>
  <c r="K485" i="80"/>
  <c r="I485" i="80"/>
  <c r="H485" i="80"/>
  <c r="G485" i="80"/>
  <c r="F485" i="80"/>
  <c r="B485" i="80"/>
  <c r="K484" i="80"/>
  <c r="I484" i="80"/>
  <c r="H484" i="80"/>
  <c r="G484" i="80"/>
  <c r="F484" i="80"/>
  <c r="B484" i="80"/>
  <c r="K483" i="80"/>
  <c r="I483" i="80"/>
  <c r="H483" i="80"/>
  <c r="G483" i="80"/>
  <c r="F483" i="80"/>
  <c r="B483" i="80"/>
  <c r="K482" i="80"/>
  <c r="I482" i="80"/>
  <c r="H482" i="80"/>
  <c r="G482" i="80"/>
  <c r="F482" i="80"/>
  <c r="B482" i="80"/>
  <c r="K481" i="80"/>
  <c r="I481" i="80"/>
  <c r="H481" i="80"/>
  <c r="G481" i="80"/>
  <c r="F481" i="80"/>
  <c r="B481" i="80"/>
  <c r="K480" i="80"/>
  <c r="I480" i="80"/>
  <c r="H480" i="80"/>
  <c r="G480" i="80"/>
  <c r="F480" i="80"/>
  <c r="B480" i="80"/>
  <c r="K479" i="80"/>
  <c r="I479" i="80"/>
  <c r="H479" i="80"/>
  <c r="G479" i="80"/>
  <c r="F479" i="80"/>
  <c r="B479" i="80"/>
  <c r="K478" i="80"/>
  <c r="I478" i="80"/>
  <c r="H478" i="80"/>
  <c r="G478" i="80"/>
  <c r="F478" i="80"/>
  <c r="B478" i="80"/>
  <c r="K477" i="80"/>
  <c r="I477" i="80"/>
  <c r="H477" i="80"/>
  <c r="G477" i="80"/>
  <c r="F477" i="80"/>
  <c r="B477" i="80"/>
  <c r="K476" i="80"/>
  <c r="I476" i="80"/>
  <c r="H476" i="80"/>
  <c r="G476" i="80"/>
  <c r="F476" i="80"/>
  <c r="B476" i="80"/>
  <c r="K475" i="80"/>
  <c r="I475" i="80"/>
  <c r="H475" i="80"/>
  <c r="G475" i="80"/>
  <c r="F475" i="80"/>
  <c r="B475" i="80"/>
  <c r="K474" i="80"/>
  <c r="I474" i="80"/>
  <c r="H474" i="80"/>
  <c r="G474" i="80"/>
  <c r="F474" i="80"/>
  <c r="B474" i="80"/>
  <c r="K473" i="80"/>
  <c r="I473" i="80"/>
  <c r="H473" i="80"/>
  <c r="G473" i="80"/>
  <c r="F473" i="80"/>
  <c r="B473" i="80"/>
  <c r="K472" i="80"/>
  <c r="I472" i="80"/>
  <c r="H472" i="80"/>
  <c r="G472" i="80"/>
  <c r="F472" i="80"/>
  <c r="B472" i="80"/>
  <c r="K471" i="80"/>
  <c r="I471" i="80"/>
  <c r="H471" i="80"/>
  <c r="G471" i="80"/>
  <c r="F471" i="80"/>
  <c r="B471" i="80"/>
  <c r="L470" i="80"/>
  <c r="N470" i="80" s="1"/>
  <c r="L469" i="80"/>
  <c r="N469" i="80" s="1"/>
  <c r="L468" i="80"/>
  <c r="N468" i="80" s="1"/>
  <c r="J455" i="80"/>
  <c r="H455" i="80"/>
  <c r="G455" i="80"/>
  <c r="F455" i="80"/>
  <c r="E455" i="80"/>
  <c r="B455" i="80"/>
  <c r="J454" i="80"/>
  <c r="H454" i="80"/>
  <c r="G454" i="80"/>
  <c r="F454" i="80"/>
  <c r="E454" i="80"/>
  <c r="B454" i="80"/>
  <c r="J453" i="80"/>
  <c r="H453" i="80"/>
  <c r="G453" i="80"/>
  <c r="F453" i="80"/>
  <c r="E453" i="80"/>
  <c r="B453" i="80"/>
  <c r="J452" i="80"/>
  <c r="J458" i="80" s="1"/>
  <c r="H452" i="80"/>
  <c r="K452" i="80" s="1"/>
  <c r="M452" i="80" s="1"/>
  <c r="G452" i="80"/>
  <c r="G458" i="80" s="1"/>
  <c r="F452" i="80"/>
  <c r="F458" i="80" s="1"/>
  <c r="E452" i="80"/>
  <c r="E458" i="80" s="1"/>
  <c r="B452" i="80"/>
  <c r="B458" i="80" s="1"/>
  <c r="J451" i="80"/>
  <c r="J457" i="80" s="1"/>
  <c r="H451" i="80"/>
  <c r="G451" i="80"/>
  <c r="G457" i="80" s="1"/>
  <c r="F451" i="80"/>
  <c r="F457" i="80" s="1"/>
  <c r="E451" i="80"/>
  <c r="E457" i="80" s="1"/>
  <c r="B451" i="80"/>
  <c r="B457" i="80" s="1"/>
  <c r="J450" i="80"/>
  <c r="J456" i="80" s="1"/>
  <c r="H450" i="80"/>
  <c r="H456" i="80" s="1"/>
  <c r="G450" i="80"/>
  <c r="G456" i="80" s="1"/>
  <c r="F450" i="80"/>
  <c r="F456" i="80" s="1"/>
  <c r="E450" i="80"/>
  <c r="E456" i="80" s="1"/>
  <c r="B450" i="80"/>
  <c r="B456" i="80" s="1"/>
  <c r="K449" i="80"/>
  <c r="M449" i="80" s="1"/>
  <c r="K448" i="80"/>
  <c r="M448" i="80" s="1"/>
  <c r="K447" i="80"/>
  <c r="M447" i="80" s="1"/>
  <c r="K399" i="80"/>
  <c r="I399" i="80"/>
  <c r="H399" i="80"/>
  <c r="G399" i="80"/>
  <c r="F399" i="80"/>
  <c r="B399" i="80"/>
  <c r="K398" i="80"/>
  <c r="I398" i="80"/>
  <c r="H398" i="80"/>
  <c r="G398" i="80"/>
  <c r="F398" i="80"/>
  <c r="B398" i="80"/>
  <c r="K397" i="80"/>
  <c r="I397" i="80"/>
  <c r="H397" i="80"/>
  <c r="G397" i="80"/>
  <c r="F397" i="80"/>
  <c r="B397" i="80"/>
  <c r="K396" i="80"/>
  <c r="I396" i="80"/>
  <c r="H396" i="80"/>
  <c r="G396" i="80"/>
  <c r="F396" i="80"/>
  <c r="B396" i="80"/>
  <c r="K395" i="80"/>
  <c r="I395" i="80"/>
  <c r="H395" i="80"/>
  <c r="G395" i="80"/>
  <c r="F395" i="80"/>
  <c r="B395" i="80"/>
  <c r="K394" i="80"/>
  <c r="I394" i="80"/>
  <c r="H394" i="80"/>
  <c r="G394" i="80"/>
  <c r="F394" i="80"/>
  <c r="B394" i="80"/>
  <c r="K393" i="80"/>
  <c r="I393" i="80"/>
  <c r="H393" i="80"/>
  <c r="G393" i="80"/>
  <c r="F393" i="80"/>
  <c r="B393" i="80"/>
  <c r="K392" i="80"/>
  <c r="I392" i="80"/>
  <c r="H392" i="80"/>
  <c r="G392" i="80"/>
  <c r="F392" i="80"/>
  <c r="B392" i="80"/>
  <c r="K391" i="80"/>
  <c r="I391" i="80"/>
  <c r="H391" i="80"/>
  <c r="G391" i="80"/>
  <c r="F391" i="80"/>
  <c r="B391" i="80"/>
  <c r="K390" i="80"/>
  <c r="I390" i="80"/>
  <c r="H390" i="80"/>
  <c r="G390" i="80"/>
  <c r="F390" i="80"/>
  <c r="B390" i="80"/>
  <c r="K389" i="80"/>
  <c r="I389" i="80"/>
  <c r="H389" i="80"/>
  <c r="G389" i="80"/>
  <c r="F389" i="80"/>
  <c r="B389" i="80"/>
  <c r="K388" i="80"/>
  <c r="I388" i="80"/>
  <c r="H388" i="80"/>
  <c r="G388" i="80"/>
  <c r="F388" i="80"/>
  <c r="B388" i="80"/>
  <c r="K387" i="80"/>
  <c r="I387" i="80"/>
  <c r="H387" i="80"/>
  <c r="G387" i="80"/>
  <c r="F387" i="80"/>
  <c r="B387" i="80"/>
  <c r="K386" i="80"/>
  <c r="I386" i="80"/>
  <c r="H386" i="80"/>
  <c r="G386" i="80"/>
  <c r="F386" i="80"/>
  <c r="B386" i="80"/>
  <c r="K385" i="80"/>
  <c r="I385" i="80"/>
  <c r="H385" i="80"/>
  <c r="G385" i="80"/>
  <c r="F385" i="80"/>
  <c r="B385" i="80"/>
  <c r="L384" i="80"/>
  <c r="N384" i="80" s="1"/>
  <c r="L383" i="80"/>
  <c r="N383" i="80" s="1"/>
  <c r="L382" i="80"/>
  <c r="N382" i="80" s="1"/>
  <c r="K380" i="80"/>
  <c r="I380" i="80"/>
  <c r="H380" i="80"/>
  <c r="G380" i="80"/>
  <c r="F380" i="80"/>
  <c r="B380" i="80"/>
  <c r="K379" i="80"/>
  <c r="I379" i="80"/>
  <c r="H379" i="80"/>
  <c r="G379" i="80"/>
  <c r="F379" i="80"/>
  <c r="B379" i="80"/>
  <c r="K378" i="80"/>
  <c r="I378" i="80"/>
  <c r="H378" i="80"/>
  <c r="G378" i="80"/>
  <c r="F378" i="80"/>
  <c r="B378" i="80"/>
  <c r="K377" i="80"/>
  <c r="I377" i="80"/>
  <c r="H377" i="80"/>
  <c r="G377" i="80"/>
  <c r="F377" i="80"/>
  <c r="B377" i="80"/>
  <c r="K376" i="80"/>
  <c r="I376" i="80"/>
  <c r="H376" i="80"/>
  <c r="G376" i="80"/>
  <c r="F376" i="80"/>
  <c r="B376" i="80"/>
  <c r="K375" i="80"/>
  <c r="I375" i="80"/>
  <c r="H375" i="80"/>
  <c r="G375" i="80"/>
  <c r="F375" i="80"/>
  <c r="B375" i="80"/>
  <c r="K374" i="80"/>
  <c r="I374" i="80"/>
  <c r="H374" i="80"/>
  <c r="G374" i="80"/>
  <c r="F374" i="80"/>
  <c r="B374" i="80"/>
  <c r="K373" i="80"/>
  <c r="I373" i="80"/>
  <c r="H373" i="80"/>
  <c r="G373" i="80"/>
  <c r="F373" i="80"/>
  <c r="B373" i="80"/>
  <c r="K372" i="80"/>
  <c r="I372" i="80"/>
  <c r="H372" i="80"/>
  <c r="G372" i="80"/>
  <c r="F372" i="80"/>
  <c r="B372" i="80"/>
  <c r="K371" i="80"/>
  <c r="I371" i="80"/>
  <c r="H371" i="80"/>
  <c r="G371" i="80"/>
  <c r="F371" i="80"/>
  <c r="B371" i="80"/>
  <c r="K370" i="80"/>
  <c r="I370" i="80"/>
  <c r="H370" i="80"/>
  <c r="G370" i="80"/>
  <c r="F370" i="80"/>
  <c r="B370" i="80"/>
  <c r="K369" i="80"/>
  <c r="I369" i="80"/>
  <c r="H369" i="80"/>
  <c r="G369" i="80"/>
  <c r="F369" i="80"/>
  <c r="B369" i="80"/>
  <c r="K368" i="80"/>
  <c r="I368" i="80"/>
  <c r="H368" i="80"/>
  <c r="G368" i="80"/>
  <c r="F368" i="80"/>
  <c r="B368" i="80"/>
  <c r="K367" i="80"/>
  <c r="I367" i="80"/>
  <c r="H367" i="80"/>
  <c r="G367" i="80"/>
  <c r="F367" i="80"/>
  <c r="B367" i="80"/>
  <c r="K366" i="80"/>
  <c r="I366" i="80"/>
  <c r="H366" i="80"/>
  <c r="G366" i="80"/>
  <c r="F366" i="80"/>
  <c r="B366" i="80"/>
  <c r="L365" i="80"/>
  <c r="N365" i="80" s="1"/>
  <c r="L364" i="80"/>
  <c r="N364" i="80" s="1"/>
  <c r="L363" i="80"/>
  <c r="N363" i="80" s="1"/>
  <c r="K361" i="80"/>
  <c r="I361" i="80"/>
  <c r="H361" i="80"/>
  <c r="G361" i="80"/>
  <c r="F361" i="80"/>
  <c r="B361" i="80"/>
  <c r="K360" i="80"/>
  <c r="I360" i="80"/>
  <c r="H360" i="80"/>
  <c r="G360" i="80"/>
  <c r="F360" i="80"/>
  <c r="B360" i="80"/>
  <c r="K359" i="80"/>
  <c r="I359" i="80"/>
  <c r="H359" i="80"/>
  <c r="G359" i="80"/>
  <c r="F359" i="80"/>
  <c r="B359" i="80"/>
  <c r="K358" i="80"/>
  <c r="I358" i="80"/>
  <c r="H358" i="80"/>
  <c r="G358" i="80"/>
  <c r="F358" i="80"/>
  <c r="B358" i="80"/>
  <c r="K357" i="80"/>
  <c r="I357" i="80"/>
  <c r="H357" i="80"/>
  <c r="G357" i="80"/>
  <c r="F357" i="80"/>
  <c r="B357" i="80"/>
  <c r="K356" i="80"/>
  <c r="I356" i="80"/>
  <c r="H356" i="80"/>
  <c r="G356" i="80"/>
  <c r="F356" i="80"/>
  <c r="B356" i="80"/>
  <c r="K355" i="80"/>
  <c r="I355" i="80"/>
  <c r="H355" i="80"/>
  <c r="G355" i="80"/>
  <c r="F355" i="80"/>
  <c r="B355" i="80"/>
  <c r="K354" i="80"/>
  <c r="I354" i="80"/>
  <c r="H354" i="80"/>
  <c r="G354" i="80"/>
  <c r="F354" i="80"/>
  <c r="B354" i="80"/>
  <c r="K353" i="80"/>
  <c r="I353" i="80"/>
  <c r="H353" i="80"/>
  <c r="G353" i="80"/>
  <c r="F353" i="80"/>
  <c r="B353" i="80"/>
  <c r="K352" i="80"/>
  <c r="I352" i="80"/>
  <c r="H352" i="80"/>
  <c r="G352" i="80"/>
  <c r="F352" i="80"/>
  <c r="B352" i="80"/>
  <c r="K351" i="80"/>
  <c r="I351" i="80"/>
  <c r="H351" i="80"/>
  <c r="G351" i="80"/>
  <c r="F351" i="80"/>
  <c r="B351" i="80"/>
  <c r="K350" i="80"/>
  <c r="I350" i="80"/>
  <c r="H350" i="80"/>
  <c r="G350" i="80"/>
  <c r="F350" i="80"/>
  <c r="B350" i="80"/>
  <c r="K349" i="80"/>
  <c r="I349" i="80"/>
  <c r="H349" i="80"/>
  <c r="G349" i="80"/>
  <c r="F349" i="80"/>
  <c r="B349" i="80"/>
  <c r="K348" i="80"/>
  <c r="I348" i="80"/>
  <c r="H348" i="80"/>
  <c r="G348" i="80"/>
  <c r="F348" i="80"/>
  <c r="B348" i="80"/>
  <c r="K347" i="80"/>
  <c r="I347" i="80"/>
  <c r="H347" i="80"/>
  <c r="G347" i="80"/>
  <c r="F347" i="80"/>
  <c r="B347" i="80"/>
  <c r="L346" i="80"/>
  <c r="N346" i="80" s="1"/>
  <c r="L345" i="80"/>
  <c r="N345" i="80" s="1"/>
  <c r="L344" i="80"/>
  <c r="N344" i="80" s="1"/>
  <c r="K342" i="80"/>
  <c r="I342" i="80"/>
  <c r="H342" i="80"/>
  <c r="G342" i="80"/>
  <c r="F342" i="80"/>
  <c r="B342" i="80"/>
  <c r="K341" i="80"/>
  <c r="I341" i="80"/>
  <c r="H341" i="80"/>
  <c r="G341" i="80"/>
  <c r="F341" i="80"/>
  <c r="B341" i="80"/>
  <c r="K340" i="80"/>
  <c r="I340" i="80"/>
  <c r="H340" i="80"/>
  <c r="G340" i="80"/>
  <c r="F340" i="80"/>
  <c r="B340" i="80"/>
  <c r="K339" i="80"/>
  <c r="I339" i="80"/>
  <c r="H339" i="80"/>
  <c r="G339" i="80"/>
  <c r="F339" i="80"/>
  <c r="B339" i="80"/>
  <c r="K338" i="80"/>
  <c r="I338" i="80"/>
  <c r="H338" i="80"/>
  <c r="G338" i="80"/>
  <c r="F338" i="80"/>
  <c r="B338" i="80"/>
  <c r="K337" i="80"/>
  <c r="I337" i="80"/>
  <c r="H337" i="80"/>
  <c r="G337" i="80"/>
  <c r="F337" i="80"/>
  <c r="B337" i="80"/>
  <c r="K336" i="80"/>
  <c r="I336" i="80"/>
  <c r="H336" i="80"/>
  <c r="G336" i="80"/>
  <c r="F336" i="80"/>
  <c r="B336" i="80"/>
  <c r="K335" i="80"/>
  <c r="I335" i="80"/>
  <c r="H335" i="80"/>
  <c r="G335" i="80"/>
  <c r="F335" i="80"/>
  <c r="B335" i="80"/>
  <c r="K334" i="80"/>
  <c r="I334" i="80"/>
  <c r="H334" i="80"/>
  <c r="G334" i="80"/>
  <c r="F334" i="80"/>
  <c r="B334" i="80"/>
  <c r="K333" i="80"/>
  <c r="I333" i="80"/>
  <c r="H333" i="80"/>
  <c r="G333" i="80"/>
  <c r="F333" i="80"/>
  <c r="B333" i="80"/>
  <c r="K332" i="80"/>
  <c r="I332" i="80"/>
  <c r="H332" i="80"/>
  <c r="G332" i="80"/>
  <c r="F332" i="80"/>
  <c r="B332" i="80"/>
  <c r="K331" i="80"/>
  <c r="I331" i="80"/>
  <c r="H331" i="80"/>
  <c r="G331" i="80"/>
  <c r="F331" i="80"/>
  <c r="B331" i="80"/>
  <c r="K330" i="80"/>
  <c r="I330" i="80"/>
  <c r="H330" i="80"/>
  <c r="G330" i="80"/>
  <c r="F330" i="80"/>
  <c r="B330" i="80"/>
  <c r="K329" i="80"/>
  <c r="I329" i="80"/>
  <c r="H329" i="80"/>
  <c r="G329" i="80"/>
  <c r="F329" i="80"/>
  <c r="B329" i="80"/>
  <c r="K328" i="80"/>
  <c r="I328" i="80"/>
  <c r="H328" i="80"/>
  <c r="G328" i="80"/>
  <c r="F328" i="80"/>
  <c r="B328" i="80"/>
  <c r="L327" i="80"/>
  <c r="N327" i="80" s="1"/>
  <c r="L326" i="80"/>
  <c r="N326" i="80" s="1"/>
  <c r="L325" i="80"/>
  <c r="N325" i="80" s="1"/>
  <c r="K323" i="80"/>
  <c r="I323" i="80"/>
  <c r="H323" i="80"/>
  <c r="G323" i="80"/>
  <c r="F323" i="80"/>
  <c r="B323" i="80"/>
  <c r="K322" i="80"/>
  <c r="I322" i="80"/>
  <c r="H322" i="80"/>
  <c r="G322" i="80"/>
  <c r="F322" i="80"/>
  <c r="B322" i="80"/>
  <c r="K321" i="80"/>
  <c r="I321" i="80"/>
  <c r="H321" i="80"/>
  <c r="G321" i="80"/>
  <c r="F321" i="80"/>
  <c r="B321" i="80"/>
  <c r="K320" i="80"/>
  <c r="I320" i="80"/>
  <c r="H320" i="80"/>
  <c r="G320" i="80"/>
  <c r="F320" i="80"/>
  <c r="B320" i="80"/>
  <c r="K319" i="80"/>
  <c r="I319" i="80"/>
  <c r="H319" i="80"/>
  <c r="G319" i="80"/>
  <c r="F319" i="80"/>
  <c r="B319" i="80"/>
  <c r="K318" i="80"/>
  <c r="I318" i="80"/>
  <c r="H318" i="80"/>
  <c r="G318" i="80"/>
  <c r="F318" i="80"/>
  <c r="B318" i="80"/>
  <c r="K317" i="80"/>
  <c r="I317" i="80"/>
  <c r="H317" i="80"/>
  <c r="G317" i="80"/>
  <c r="F317" i="80"/>
  <c r="B317" i="80"/>
  <c r="K316" i="80"/>
  <c r="I316" i="80"/>
  <c r="H316" i="80"/>
  <c r="G316" i="80"/>
  <c r="F316" i="80"/>
  <c r="B316" i="80"/>
  <c r="K315" i="80"/>
  <c r="I315" i="80"/>
  <c r="H315" i="80"/>
  <c r="G315" i="80"/>
  <c r="F315" i="80"/>
  <c r="B315" i="80"/>
  <c r="K314" i="80"/>
  <c r="I314" i="80"/>
  <c r="H314" i="80"/>
  <c r="G314" i="80"/>
  <c r="F314" i="80"/>
  <c r="B314" i="80"/>
  <c r="K313" i="80"/>
  <c r="I313" i="80"/>
  <c r="H313" i="80"/>
  <c r="G313" i="80"/>
  <c r="F313" i="80"/>
  <c r="B313" i="80"/>
  <c r="K312" i="80"/>
  <c r="I312" i="80"/>
  <c r="H312" i="80"/>
  <c r="G312" i="80"/>
  <c r="F312" i="80"/>
  <c r="B312" i="80"/>
  <c r="K311" i="80"/>
  <c r="I311" i="80"/>
  <c r="H311" i="80"/>
  <c r="G311" i="80"/>
  <c r="F311" i="80"/>
  <c r="B311" i="80"/>
  <c r="K310" i="80"/>
  <c r="I310" i="80"/>
  <c r="H310" i="80"/>
  <c r="G310" i="80"/>
  <c r="F310" i="80"/>
  <c r="B310" i="80"/>
  <c r="K309" i="80"/>
  <c r="I309" i="80"/>
  <c r="H309" i="80"/>
  <c r="G309" i="80"/>
  <c r="F309" i="80"/>
  <c r="B309" i="80"/>
  <c r="L308" i="80"/>
  <c r="N308" i="80" s="1"/>
  <c r="L307" i="80"/>
  <c r="N307" i="80" s="1"/>
  <c r="L306" i="80"/>
  <c r="N306" i="80" s="1"/>
  <c r="K304" i="80"/>
  <c r="I304" i="80"/>
  <c r="H304" i="80"/>
  <c r="G304" i="80"/>
  <c r="F304" i="80"/>
  <c r="B304" i="80"/>
  <c r="K303" i="80"/>
  <c r="I303" i="80"/>
  <c r="H303" i="80"/>
  <c r="G303" i="80"/>
  <c r="F303" i="80"/>
  <c r="B303" i="80"/>
  <c r="K302" i="80"/>
  <c r="I302" i="80"/>
  <c r="H302" i="80"/>
  <c r="G302" i="80"/>
  <c r="F302" i="80"/>
  <c r="B302" i="80"/>
  <c r="K301" i="80"/>
  <c r="I301" i="80"/>
  <c r="H301" i="80"/>
  <c r="G301" i="80"/>
  <c r="F301" i="80"/>
  <c r="B301" i="80"/>
  <c r="K300" i="80"/>
  <c r="I300" i="80"/>
  <c r="H300" i="80"/>
  <c r="G300" i="80"/>
  <c r="F300" i="80"/>
  <c r="B300" i="80"/>
  <c r="K299" i="80"/>
  <c r="I299" i="80"/>
  <c r="H299" i="80"/>
  <c r="G299" i="80"/>
  <c r="F299" i="80"/>
  <c r="B299" i="80"/>
  <c r="K298" i="80"/>
  <c r="I298" i="80"/>
  <c r="H298" i="80"/>
  <c r="G298" i="80"/>
  <c r="F298" i="80"/>
  <c r="B298" i="80"/>
  <c r="K297" i="80"/>
  <c r="I297" i="80"/>
  <c r="H297" i="80"/>
  <c r="G297" i="80"/>
  <c r="F297" i="80"/>
  <c r="B297" i="80"/>
  <c r="K296" i="80"/>
  <c r="I296" i="80"/>
  <c r="H296" i="80"/>
  <c r="G296" i="80"/>
  <c r="F296" i="80"/>
  <c r="B296" i="80"/>
  <c r="K295" i="80"/>
  <c r="I295" i="80"/>
  <c r="H295" i="80"/>
  <c r="G295" i="80"/>
  <c r="F295" i="80"/>
  <c r="B295" i="80"/>
  <c r="K294" i="80"/>
  <c r="I294" i="80"/>
  <c r="H294" i="80"/>
  <c r="G294" i="80"/>
  <c r="F294" i="80"/>
  <c r="B294" i="80"/>
  <c r="K293" i="80"/>
  <c r="I293" i="80"/>
  <c r="H293" i="80"/>
  <c r="G293" i="80"/>
  <c r="F293" i="80"/>
  <c r="B293" i="80"/>
  <c r="K292" i="80"/>
  <c r="I292" i="80"/>
  <c r="H292" i="80"/>
  <c r="G292" i="80"/>
  <c r="F292" i="80"/>
  <c r="B292" i="80"/>
  <c r="K291" i="80"/>
  <c r="I291" i="80"/>
  <c r="H291" i="80"/>
  <c r="G291" i="80"/>
  <c r="F291" i="80"/>
  <c r="B291" i="80"/>
  <c r="K290" i="80"/>
  <c r="I290" i="80"/>
  <c r="H290" i="80"/>
  <c r="G290" i="80"/>
  <c r="F290" i="80"/>
  <c r="B290" i="80"/>
  <c r="L289" i="80"/>
  <c r="N289" i="80" s="1"/>
  <c r="L288" i="80"/>
  <c r="N288" i="80" s="1"/>
  <c r="L287" i="80"/>
  <c r="N287" i="80" s="1"/>
  <c r="K285" i="80"/>
  <c r="I285" i="80"/>
  <c r="H285" i="80"/>
  <c r="G285" i="80"/>
  <c r="F285" i="80"/>
  <c r="B285" i="80"/>
  <c r="K284" i="80"/>
  <c r="I284" i="80"/>
  <c r="H284" i="80"/>
  <c r="G284" i="80"/>
  <c r="F284" i="80"/>
  <c r="B284" i="80"/>
  <c r="K283" i="80"/>
  <c r="I283" i="80"/>
  <c r="H283" i="80"/>
  <c r="G283" i="80"/>
  <c r="F283" i="80"/>
  <c r="B283" i="80"/>
  <c r="K282" i="80"/>
  <c r="I282" i="80"/>
  <c r="H282" i="80"/>
  <c r="G282" i="80"/>
  <c r="F282" i="80"/>
  <c r="B282" i="80"/>
  <c r="K281" i="80"/>
  <c r="I281" i="80"/>
  <c r="H281" i="80"/>
  <c r="G281" i="80"/>
  <c r="F281" i="80"/>
  <c r="B281" i="80"/>
  <c r="K280" i="80"/>
  <c r="I280" i="80"/>
  <c r="H280" i="80"/>
  <c r="G280" i="80"/>
  <c r="F280" i="80"/>
  <c r="B280" i="80"/>
  <c r="K279" i="80"/>
  <c r="I279" i="80"/>
  <c r="H279" i="80"/>
  <c r="G279" i="80"/>
  <c r="F279" i="80"/>
  <c r="B279" i="80"/>
  <c r="K278" i="80"/>
  <c r="I278" i="80"/>
  <c r="H278" i="80"/>
  <c r="G278" i="80"/>
  <c r="F278" i="80"/>
  <c r="B278" i="80"/>
  <c r="K277" i="80"/>
  <c r="I277" i="80"/>
  <c r="H277" i="80"/>
  <c r="G277" i="80"/>
  <c r="F277" i="80"/>
  <c r="B277" i="80"/>
  <c r="K276" i="80"/>
  <c r="I276" i="80"/>
  <c r="H276" i="80"/>
  <c r="G276" i="80"/>
  <c r="F276" i="80"/>
  <c r="B276" i="80"/>
  <c r="K275" i="80"/>
  <c r="I275" i="80"/>
  <c r="H275" i="80"/>
  <c r="G275" i="80"/>
  <c r="F275" i="80"/>
  <c r="B275" i="80"/>
  <c r="K274" i="80"/>
  <c r="I274" i="80"/>
  <c r="H274" i="80"/>
  <c r="G274" i="80"/>
  <c r="F274" i="80"/>
  <c r="B274" i="80"/>
  <c r="K273" i="80"/>
  <c r="I273" i="80"/>
  <c r="H273" i="80"/>
  <c r="G273" i="80"/>
  <c r="F273" i="80"/>
  <c r="B273" i="80"/>
  <c r="K272" i="80"/>
  <c r="I272" i="80"/>
  <c r="H272" i="80"/>
  <c r="G272" i="80"/>
  <c r="F272" i="80"/>
  <c r="B272" i="80"/>
  <c r="K271" i="80"/>
  <c r="I271" i="80"/>
  <c r="H271" i="80"/>
  <c r="G271" i="80"/>
  <c r="F271" i="80"/>
  <c r="B271" i="80"/>
  <c r="L270" i="80"/>
  <c r="N270" i="80" s="1"/>
  <c r="L269" i="80"/>
  <c r="N269" i="80" s="1"/>
  <c r="L268" i="80"/>
  <c r="N268" i="80" s="1"/>
  <c r="K266" i="80"/>
  <c r="I266" i="80"/>
  <c r="H266" i="80"/>
  <c r="G266" i="80"/>
  <c r="F266" i="80"/>
  <c r="B266" i="80"/>
  <c r="K265" i="80"/>
  <c r="I265" i="80"/>
  <c r="H265" i="80"/>
  <c r="G265" i="80"/>
  <c r="F265" i="80"/>
  <c r="B265" i="80"/>
  <c r="K264" i="80"/>
  <c r="I264" i="80"/>
  <c r="H264" i="80"/>
  <c r="G264" i="80"/>
  <c r="F264" i="80"/>
  <c r="B264" i="80"/>
  <c r="K263" i="80"/>
  <c r="I263" i="80"/>
  <c r="H263" i="80"/>
  <c r="G263" i="80"/>
  <c r="F263" i="80"/>
  <c r="B263" i="80"/>
  <c r="K262" i="80"/>
  <c r="I262" i="80"/>
  <c r="H262" i="80"/>
  <c r="G262" i="80"/>
  <c r="F262" i="80"/>
  <c r="B262" i="80"/>
  <c r="K261" i="80"/>
  <c r="I261" i="80"/>
  <c r="H261" i="80"/>
  <c r="G261" i="80"/>
  <c r="F261" i="80"/>
  <c r="B261" i="80"/>
  <c r="K260" i="80"/>
  <c r="I260" i="80"/>
  <c r="H260" i="80"/>
  <c r="G260" i="80"/>
  <c r="F260" i="80"/>
  <c r="B260" i="80"/>
  <c r="K259" i="80"/>
  <c r="I259" i="80"/>
  <c r="H259" i="80"/>
  <c r="G259" i="80"/>
  <c r="F259" i="80"/>
  <c r="B259" i="80"/>
  <c r="K258" i="80"/>
  <c r="I258" i="80"/>
  <c r="H258" i="80"/>
  <c r="G258" i="80"/>
  <c r="F258" i="80"/>
  <c r="B258" i="80"/>
  <c r="K257" i="80"/>
  <c r="I257" i="80"/>
  <c r="H257" i="80"/>
  <c r="G257" i="80"/>
  <c r="F257" i="80"/>
  <c r="B257" i="80"/>
  <c r="K256" i="80"/>
  <c r="I256" i="80"/>
  <c r="H256" i="80"/>
  <c r="G256" i="80"/>
  <c r="F256" i="80"/>
  <c r="B256" i="80"/>
  <c r="K255" i="80"/>
  <c r="I255" i="80"/>
  <c r="H255" i="80"/>
  <c r="G255" i="80"/>
  <c r="F255" i="80"/>
  <c r="B255" i="80"/>
  <c r="K254" i="80"/>
  <c r="I254" i="80"/>
  <c r="H254" i="80"/>
  <c r="G254" i="80"/>
  <c r="F254" i="80"/>
  <c r="B254" i="80"/>
  <c r="K253" i="80"/>
  <c r="I253" i="80"/>
  <c r="H253" i="80"/>
  <c r="G253" i="80"/>
  <c r="F253" i="80"/>
  <c r="B253" i="80"/>
  <c r="K252" i="80"/>
  <c r="I252" i="80"/>
  <c r="H252" i="80"/>
  <c r="G252" i="80"/>
  <c r="F252" i="80"/>
  <c r="B252" i="80"/>
  <c r="L251" i="80"/>
  <c r="N251" i="80" s="1"/>
  <c r="L250" i="80"/>
  <c r="N250" i="80" s="1"/>
  <c r="L249" i="80"/>
  <c r="N249" i="80" s="1"/>
  <c r="H239" i="80"/>
  <c r="B239" i="80"/>
  <c r="H237" i="80"/>
  <c r="J236" i="80"/>
  <c r="H236" i="80"/>
  <c r="G236" i="80"/>
  <c r="F236" i="80"/>
  <c r="E236" i="80"/>
  <c r="B236" i="80"/>
  <c r="J235" i="80"/>
  <c r="H235" i="80"/>
  <c r="G235" i="80"/>
  <c r="F235" i="80"/>
  <c r="E235" i="80"/>
  <c r="B235" i="80"/>
  <c r="J234" i="80"/>
  <c r="H234" i="80"/>
  <c r="G234" i="80"/>
  <c r="F234" i="80"/>
  <c r="E234" i="80"/>
  <c r="B234" i="80"/>
  <c r="J233" i="80"/>
  <c r="J239" i="80" s="1"/>
  <c r="H233" i="80"/>
  <c r="G233" i="80"/>
  <c r="G239" i="80" s="1"/>
  <c r="F233" i="80"/>
  <c r="F239" i="80" s="1"/>
  <c r="E233" i="80"/>
  <c r="E239" i="80" s="1"/>
  <c r="B233" i="80"/>
  <c r="J232" i="80"/>
  <c r="J238" i="80" s="1"/>
  <c r="H232" i="80"/>
  <c r="H238" i="80" s="1"/>
  <c r="G232" i="80"/>
  <c r="G238" i="80" s="1"/>
  <c r="F232" i="80"/>
  <c r="F238" i="80" s="1"/>
  <c r="E232" i="80"/>
  <c r="E238" i="80" s="1"/>
  <c r="B232" i="80"/>
  <c r="B238" i="80" s="1"/>
  <c r="J231" i="80"/>
  <c r="J237" i="80" s="1"/>
  <c r="H231" i="80"/>
  <c r="G231" i="80"/>
  <c r="G237" i="80" s="1"/>
  <c r="F231" i="80"/>
  <c r="F237" i="80" s="1"/>
  <c r="E231" i="80"/>
  <c r="E237" i="80" s="1"/>
  <c r="B231" i="80"/>
  <c r="B237" i="80" s="1"/>
  <c r="K230" i="80"/>
  <c r="M230" i="80" s="1"/>
  <c r="K229" i="80"/>
  <c r="M229" i="80" s="1"/>
  <c r="K228" i="80"/>
  <c r="M228" i="80" s="1"/>
  <c r="K180" i="80"/>
  <c r="I180" i="80"/>
  <c r="H180" i="80"/>
  <c r="G180" i="80"/>
  <c r="F180" i="80"/>
  <c r="B180" i="80"/>
  <c r="K179" i="80"/>
  <c r="I179" i="80"/>
  <c r="H179" i="80"/>
  <c r="G179" i="80"/>
  <c r="F179" i="80"/>
  <c r="B179" i="80"/>
  <c r="K178" i="80"/>
  <c r="I178" i="80"/>
  <c r="H178" i="80"/>
  <c r="G178" i="80"/>
  <c r="F178" i="80"/>
  <c r="B178" i="80"/>
  <c r="K177" i="80"/>
  <c r="I177" i="80"/>
  <c r="H177" i="80"/>
  <c r="G177" i="80"/>
  <c r="F177" i="80"/>
  <c r="B177" i="80"/>
  <c r="K176" i="80"/>
  <c r="I176" i="80"/>
  <c r="H176" i="80"/>
  <c r="G176" i="80"/>
  <c r="F176" i="80"/>
  <c r="B176" i="80"/>
  <c r="K175" i="80"/>
  <c r="I175" i="80"/>
  <c r="H175" i="80"/>
  <c r="G175" i="80"/>
  <c r="F175" i="80"/>
  <c r="B175" i="80"/>
  <c r="K174" i="80"/>
  <c r="I174" i="80"/>
  <c r="H174" i="80"/>
  <c r="G174" i="80"/>
  <c r="F174" i="80"/>
  <c r="B174" i="80"/>
  <c r="K173" i="80"/>
  <c r="I173" i="80"/>
  <c r="H173" i="80"/>
  <c r="G173" i="80"/>
  <c r="F173" i="80"/>
  <c r="B173" i="80"/>
  <c r="K172" i="80"/>
  <c r="I172" i="80"/>
  <c r="H172" i="80"/>
  <c r="G172" i="80"/>
  <c r="F172" i="80"/>
  <c r="B172" i="80"/>
  <c r="K171" i="80"/>
  <c r="I171" i="80"/>
  <c r="H171" i="80"/>
  <c r="G171" i="80"/>
  <c r="F171" i="80"/>
  <c r="B171" i="80"/>
  <c r="K170" i="80"/>
  <c r="I170" i="80"/>
  <c r="H170" i="80"/>
  <c r="G170" i="80"/>
  <c r="F170" i="80"/>
  <c r="B170" i="80"/>
  <c r="K169" i="80"/>
  <c r="I169" i="80"/>
  <c r="H169" i="80"/>
  <c r="G169" i="80"/>
  <c r="F169" i="80"/>
  <c r="B169" i="80"/>
  <c r="K168" i="80"/>
  <c r="I168" i="80"/>
  <c r="H168" i="80"/>
  <c r="G168" i="80"/>
  <c r="F168" i="80"/>
  <c r="B168" i="80"/>
  <c r="K167" i="80"/>
  <c r="I167" i="80"/>
  <c r="H167" i="80"/>
  <c r="G167" i="80"/>
  <c r="F167" i="80"/>
  <c r="B167" i="80"/>
  <c r="K166" i="80"/>
  <c r="I166" i="80"/>
  <c r="H166" i="80"/>
  <c r="G166" i="80"/>
  <c r="F166" i="80"/>
  <c r="B166" i="80"/>
  <c r="L165" i="80"/>
  <c r="N165" i="80" s="1"/>
  <c r="L164" i="80"/>
  <c r="N164" i="80" s="1"/>
  <c r="L163" i="80"/>
  <c r="N163" i="80" s="1"/>
  <c r="K161" i="80"/>
  <c r="I161" i="80"/>
  <c r="H161" i="80"/>
  <c r="G161" i="80"/>
  <c r="F161" i="80"/>
  <c r="B161" i="80"/>
  <c r="K160" i="80"/>
  <c r="I160" i="80"/>
  <c r="H160" i="80"/>
  <c r="G160" i="80"/>
  <c r="F160" i="80"/>
  <c r="B160" i="80"/>
  <c r="K159" i="80"/>
  <c r="I159" i="80"/>
  <c r="H159" i="80"/>
  <c r="G159" i="80"/>
  <c r="F159" i="80"/>
  <c r="B159" i="80"/>
  <c r="K158" i="80"/>
  <c r="I158" i="80"/>
  <c r="H158" i="80"/>
  <c r="G158" i="80"/>
  <c r="F158" i="80"/>
  <c r="B158" i="80"/>
  <c r="K157" i="80"/>
  <c r="I157" i="80"/>
  <c r="H157" i="80"/>
  <c r="G157" i="80"/>
  <c r="F157" i="80"/>
  <c r="B157" i="80"/>
  <c r="K156" i="80"/>
  <c r="I156" i="80"/>
  <c r="H156" i="80"/>
  <c r="G156" i="80"/>
  <c r="F156" i="80"/>
  <c r="B156" i="80"/>
  <c r="K155" i="80"/>
  <c r="I155" i="80"/>
  <c r="H155" i="80"/>
  <c r="G155" i="80"/>
  <c r="F155" i="80"/>
  <c r="B155" i="80"/>
  <c r="K154" i="80"/>
  <c r="I154" i="80"/>
  <c r="H154" i="80"/>
  <c r="G154" i="80"/>
  <c r="F154" i="80"/>
  <c r="B154" i="80"/>
  <c r="K153" i="80"/>
  <c r="I153" i="80"/>
  <c r="H153" i="80"/>
  <c r="G153" i="80"/>
  <c r="F153" i="80"/>
  <c r="B153" i="80"/>
  <c r="K152" i="80"/>
  <c r="I152" i="80"/>
  <c r="H152" i="80"/>
  <c r="G152" i="80"/>
  <c r="F152" i="80"/>
  <c r="B152" i="80"/>
  <c r="K151" i="80"/>
  <c r="I151" i="80"/>
  <c r="H151" i="80"/>
  <c r="G151" i="80"/>
  <c r="F151" i="80"/>
  <c r="B151" i="80"/>
  <c r="K150" i="80"/>
  <c r="I150" i="80"/>
  <c r="H150" i="80"/>
  <c r="G150" i="80"/>
  <c r="F150" i="80"/>
  <c r="B150" i="80"/>
  <c r="K149" i="80"/>
  <c r="I149" i="80"/>
  <c r="H149" i="80"/>
  <c r="G149" i="80"/>
  <c r="F149" i="80"/>
  <c r="B149" i="80"/>
  <c r="K148" i="80"/>
  <c r="I148" i="80"/>
  <c r="H148" i="80"/>
  <c r="G148" i="80"/>
  <c r="F148" i="80"/>
  <c r="B148" i="80"/>
  <c r="K147" i="80"/>
  <c r="I147" i="80"/>
  <c r="H147" i="80"/>
  <c r="G147" i="80"/>
  <c r="F147" i="80"/>
  <c r="B147" i="80"/>
  <c r="L146" i="80"/>
  <c r="N146" i="80" s="1"/>
  <c r="L145" i="80"/>
  <c r="N145" i="80" s="1"/>
  <c r="N144" i="80"/>
  <c r="L144" i="80"/>
  <c r="K142" i="80"/>
  <c r="I142" i="80"/>
  <c r="H142" i="80"/>
  <c r="G142" i="80"/>
  <c r="F142" i="80"/>
  <c r="B142" i="80"/>
  <c r="K141" i="80"/>
  <c r="I141" i="80"/>
  <c r="H141" i="80"/>
  <c r="G141" i="80"/>
  <c r="F141" i="80"/>
  <c r="B141" i="80"/>
  <c r="K140" i="80"/>
  <c r="I140" i="80"/>
  <c r="H140" i="80"/>
  <c r="G140" i="80"/>
  <c r="F140" i="80"/>
  <c r="B140" i="80"/>
  <c r="K139" i="80"/>
  <c r="I139" i="80"/>
  <c r="H139" i="80"/>
  <c r="G139" i="80"/>
  <c r="F139" i="80"/>
  <c r="B139" i="80"/>
  <c r="K138" i="80"/>
  <c r="I138" i="80"/>
  <c r="H138" i="80"/>
  <c r="G138" i="80"/>
  <c r="F138" i="80"/>
  <c r="B138" i="80"/>
  <c r="K137" i="80"/>
  <c r="I137" i="80"/>
  <c r="H137" i="80"/>
  <c r="G137" i="80"/>
  <c r="F137" i="80"/>
  <c r="B137" i="80"/>
  <c r="K136" i="80"/>
  <c r="I136" i="80"/>
  <c r="H136" i="80"/>
  <c r="G136" i="80"/>
  <c r="F136" i="80"/>
  <c r="B136" i="80"/>
  <c r="K135" i="80"/>
  <c r="I135" i="80"/>
  <c r="H135" i="80"/>
  <c r="G135" i="80"/>
  <c r="F135" i="80"/>
  <c r="B135" i="80"/>
  <c r="K134" i="80"/>
  <c r="I134" i="80"/>
  <c r="H134" i="80"/>
  <c r="G134" i="80"/>
  <c r="F134" i="80"/>
  <c r="B134" i="80"/>
  <c r="K133" i="80"/>
  <c r="I133" i="80"/>
  <c r="H133" i="80"/>
  <c r="G133" i="80"/>
  <c r="F133" i="80"/>
  <c r="B133" i="80"/>
  <c r="K132" i="80"/>
  <c r="I132" i="80"/>
  <c r="H132" i="80"/>
  <c r="G132" i="80"/>
  <c r="F132" i="80"/>
  <c r="B132" i="80"/>
  <c r="K131" i="80"/>
  <c r="I131" i="80"/>
  <c r="H131" i="80"/>
  <c r="G131" i="80"/>
  <c r="F131" i="80"/>
  <c r="B131" i="80"/>
  <c r="K130" i="80"/>
  <c r="I130" i="80"/>
  <c r="H130" i="80"/>
  <c r="G130" i="80"/>
  <c r="F130" i="80"/>
  <c r="B130" i="80"/>
  <c r="K129" i="80"/>
  <c r="I129" i="80"/>
  <c r="H129" i="80"/>
  <c r="G129" i="80"/>
  <c r="F129" i="80"/>
  <c r="B129" i="80"/>
  <c r="K128" i="80"/>
  <c r="I128" i="80"/>
  <c r="H128" i="80"/>
  <c r="G128" i="80"/>
  <c r="F128" i="80"/>
  <c r="B128" i="80"/>
  <c r="L127" i="80"/>
  <c r="N127" i="80" s="1"/>
  <c r="L126" i="80"/>
  <c r="N126" i="80" s="1"/>
  <c r="L125" i="80"/>
  <c r="N125" i="80" s="1"/>
  <c r="K123" i="80"/>
  <c r="I123" i="80"/>
  <c r="H123" i="80"/>
  <c r="G123" i="80"/>
  <c r="F123" i="80"/>
  <c r="B123" i="80"/>
  <c r="K122" i="80"/>
  <c r="I122" i="80"/>
  <c r="H122" i="80"/>
  <c r="G122" i="80"/>
  <c r="F122" i="80"/>
  <c r="B122" i="80"/>
  <c r="K121" i="80"/>
  <c r="I121" i="80"/>
  <c r="H121" i="80"/>
  <c r="G121" i="80"/>
  <c r="F121" i="80"/>
  <c r="B121" i="80"/>
  <c r="K120" i="80"/>
  <c r="I120" i="80"/>
  <c r="H120" i="80"/>
  <c r="G120" i="80"/>
  <c r="F120" i="80"/>
  <c r="B120" i="80"/>
  <c r="K119" i="80"/>
  <c r="I119" i="80"/>
  <c r="H119" i="80"/>
  <c r="G119" i="80"/>
  <c r="F119" i="80"/>
  <c r="B119" i="80"/>
  <c r="K118" i="80"/>
  <c r="I118" i="80"/>
  <c r="H118" i="80"/>
  <c r="G118" i="80"/>
  <c r="F118" i="80"/>
  <c r="B118" i="80"/>
  <c r="K117" i="80"/>
  <c r="I117" i="80"/>
  <c r="H117" i="80"/>
  <c r="G117" i="80"/>
  <c r="F117" i="80"/>
  <c r="B117" i="80"/>
  <c r="K116" i="80"/>
  <c r="I116" i="80"/>
  <c r="H116" i="80"/>
  <c r="G116" i="80"/>
  <c r="F116" i="80"/>
  <c r="B116" i="80"/>
  <c r="K115" i="80"/>
  <c r="I115" i="80"/>
  <c r="H115" i="80"/>
  <c r="G115" i="80"/>
  <c r="F115" i="80"/>
  <c r="B115" i="80"/>
  <c r="K114" i="80"/>
  <c r="I114" i="80"/>
  <c r="H114" i="80"/>
  <c r="G114" i="80"/>
  <c r="F114" i="80"/>
  <c r="B114" i="80"/>
  <c r="K113" i="80"/>
  <c r="I113" i="80"/>
  <c r="H113" i="80"/>
  <c r="G113" i="80"/>
  <c r="F113" i="80"/>
  <c r="B113" i="80"/>
  <c r="K112" i="80"/>
  <c r="I112" i="80"/>
  <c r="H112" i="80"/>
  <c r="G112" i="80"/>
  <c r="F112" i="80"/>
  <c r="B112" i="80"/>
  <c r="K111" i="80"/>
  <c r="I111" i="80"/>
  <c r="H111" i="80"/>
  <c r="G111" i="80"/>
  <c r="F111" i="80"/>
  <c r="B111" i="80"/>
  <c r="K110" i="80"/>
  <c r="I110" i="80"/>
  <c r="H110" i="80"/>
  <c r="G110" i="80"/>
  <c r="F110" i="80"/>
  <c r="B110" i="80"/>
  <c r="K109" i="80"/>
  <c r="I109" i="80"/>
  <c r="H109" i="80"/>
  <c r="G109" i="80"/>
  <c r="F109" i="80"/>
  <c r="B109" i="80"/>
  <c r="L108" i="80"/>
  <c r="N108" i="80" s="1"/>
  <c r="L107" i="80"/>
  <c r="N107" i="80" s="1"/>
  <c r="L106" i="80"/>
  <c r="N106" i="80" s="1"/>
  <c r="K104" i="80"/>
  <c r="I104" i="80"/>
  <c r="H104" i="80"/>
  <c r="G104" i="80"/>
  <c r="F104" i="80"/>
  <c r="B104" i="80"/>
  <c r="K103" i="80"/>
  <c r="I103" i="80"/>
  <c r="H103" i="80"/>
  <c r="G103" i="80"/>
  <c r="F103" i="80"/>
  <c r="B103" i="80"/>
  <c r="K102" i="80"/>
  <c r="I102" i="80"/>
  <c r="H102" i="80"/>
  <c r="G102" i="80"/>
  <c r="F102" i="80"/>
  <c r="B102" i="80"/>
  <c r="K101" i="80"/>
  <c r="I101" i="80"/>
  <c r="H101" i="80"/>
  <c r="G101" i="80"/>
  <c r="F101" i="80"/>
  <c r="B101" i="80"/>
  <c r="K100" i="80"/>
  <c r="I100" i="80"/>
  <c r="H100" i="80"/>
  <c r="G100" i="80"/>
  <c r="F100" i="80"/>
  <c r="B100" i="80"/>
  <c r="K99" i="80"/>
  <c r="I99" i="80"/>
  <c r="H99" i="80"/>
  <c r="G99" i="80"/>
  <c r="F99" i="80"/>
  <c r="B99" i="80"/>
  <c r="K98" i="80"/>
  <c r="I98" i="80"/>
  <c r="H98" i="80"/>
  <c r="G98" i="80"/>
  <c r="F98" i="80"/>
  <c r="B98" i="80"/>
  <c r="K97" i="80"/>
  <c r="I97" i="80"/>
  <c r="H97" i="80"/>
  <c r="G97" i="80"/>
  <c r="F97" i="80"/>
  <c r="B97" i="80"/>
  <c r="K96" i="80"/>
  <c r="I96" i="80"/>
  <c r="H96" i="80"/>
  <c r="G96" i="80"/>
  <c r="F96" i="80"/>
  <c r="B96" i="80"/>
  <c r="K95" i="80"/>
  <c r="I95" i="80"/>
  <c r="H95" i="80"/>
  <c r="G95" i="80"/>
  <c r="F95" i="80"/>
  <c r="B95" i="80"/>
  <c r="K94" i="80"/>
  <c r="I94" i="80"/>
  <c r="H94" i="80"/>
  <c r="G94" i="80"/>
  <c r="F94" i="80"/>
  <c r="B94" i="80"/>
  <c r="K93" i="80"/>
  <c r="I93" i="80"/>
  <c r="H93" i="80"/>
  <c r="G93" i="80"/>
  <c r="F93" i="80"/>
  <c r="B93" i="80"/>
  <c r="K92" i="80"/>
  <c r="I92" i="80"/>
  <c r="H92" i="80"/>
  <c r="G92" i="80"/>
  <c r="F92" i="80"/>
  <c r="B92" i="80"/>
  <c r="K91" i="80"/>
  <c r="I91" i="80"/>
  <c r="H91" i="80"/>
  <c r="G91" i="80"/>
  <c r="F91" i="80"/>
  <c r="B91" i="80"/>
  <c r="K90" i="80"/>
  <c r="I90" i="80"/>
  <c r="H90" i="80"/>
  <c r="G90" i="80"/>
  <c r="F90" i="80"/>
  <c r="B90" i="80"/>
  <c r="L89" i="80"/>
  <c r="N89" i="80" s="1"/>
  <c r="L88" i="80"/>
  <c r="N88" i="80" s="1"/>
  <c r="L87" i="80"/>
  <c r="N87" i="80" s="1"/>
  <c r="K85" i="80"/>
  <c r="I85" i="80"/>
  <c r="H85" i="80"/>
  <c r="G85" i="80"/>
  <c r="F85" i="80"/>
  <c r="B85" i="80"/>
  <c r="K84" i="80"/>
  <c r="I84" i="80"/>
  <c r="H84" i="80"/>
  <c r="G84" i="80"/>
  <c r="F84" i="80"/>
  <c r="B84" i="80"/>
  <c r="K83" i="80"/>
  <c r="I83" i="80"/>
  <c r="H83" i="80"/>
  <c r="G83" i="80"/>
  <c r="F83" i="80"/>
  <c r="B83" i="80"/>
  <c r="K82" i="80"/>
  <c r="I82" i="80"/>
  <c r="H82" i="80"/>
  <c r="G82" i="80"/>
  <c r="F82" i="80"/>
  <c r="B82" i="80"/>
  <c r="K81" i="80"/>
  <c r="I81" i="80"/>
  <c r="H81" i="80"/>
  <c r="G81" i="80"/>
  <c r="F81" i="80"/>
  <c r="B81" i="80"/>
  <c r="K80" i="80"/>
  <c r="I80" i="80"/>
  <c r="H80" i="80"/>
  <c r="G80" i="80"/>
  <c r="F80" i="80"/>
  <c r="B80" i="80"/>
  <c r="K79" i="80"/>
  <c r="I79" i="80"/>
  <c r="H79" i="80"/>
  <c r="G79" i="80"/>
  <c r="F79" i="80"/>
  <c r="B79" i="80"/>
  <c r="K78" i="80"/>
  <c r="I78" i="80"/>
  <c r="H78" i="80"/>
  <c r="G78" i="80"/>
  <c r="F78" i="80"/>
  <c r="B78" i="80"/>
  <c r="K77" i="80"/>
  <c r="I77" i="80"/>
  <c r="H77" i="80"/>
  <c r="G77" i="80"/>
  <c r="F77" i="80"/>
  <c r="B77" i="80"/>
  <c r="K76" i="80"/>
  <c r="I76" i="80"/>
  <c r="H76" i="80"/>
  <c r="G76" i="80"/>
  <c r="F76" i="80"/>
  <c r="B76" i="80"/>
  <c r="K75" i="80"/>
  <c r="I75" i="80"/>
  <c r="H75" i="80"/>
  <c r="G75" i="80"/>
  <c r="F75" i="80"/>
  <c r="B75" i="80"/>
  <c r="K74" i="80"/>
  <c r="I74" i="80"/>
  <c r="H74" i="80"/>
  <c r="G74" i="80"/>
  <c r="F74" i="80"/>
  <c r="B74" i="80"/>
  <c r="K73" i="80"/>
  <c r="I73" i="80"/>
  <c r="H73" i="80"/>
  <c r="G73" i="80"/>
  <c r="F73" i="80"/>
  <c r="B73" i="80"/>
  <c r="K72" i="80"/>
  <c r="I72" i="80"/>
  <c r="H72" i="80"/>
  <c r="G72" i="80"/>
  <c r="F72" i="80"/>
  <c r="B72" i="80"/>
  <c r="K71" i="80"/>
  <c r="I71" i="80"/>
  <c r="H71" i="80"/>
  <c r="G71" i="80"/>
  <c r="F71" i="80"/>
  <c r="B71" i="80"/>
  <c r="L70" i="80"/>
  <c r="N70" i="80" s="1"/>
  <c r="L69" i="80"/>
  <c r="N69" i="80" s="1"/>
  <c r="L68" i="80"/>
  <c r="N68" i="80" s="1"/>
  <c r="K66" i="80"/>
  <c r="I66" i="80"/>
  <c r="H66" i="80"/>
  <c r="G66" i="80"/>
  <c r="F66" i="80"/>
  <c r="B66" i="80"/>
  <c r="K65" i="80"/>
  <c r="I65" i="80"/>
  <c r="H65" i="80"/>
  <c r="G65" i="80"/>
  <c r="F65" i="80"/>
  <c r="B65" i="80"/>
  <c r="K64" i="80"/>
  <c r="I64" i="80"/>
  <c r="H64" i="80"/>
  <c r="G64" i="80"/>
  <c r="F64" i="80"/>
  <c r="B64" i="80"/>
  <c r="K63" i="80"/>
  <c r="I63" i="80"/>
  <c r="H63" i="80"/>
  <c r="G63" i="80"/>
  <c r="F63" i="80"/>
  <c r="B63" i="80"/>
  <c r="K62" i="80"/>
  <c r="I62" i="80"/>
  <c r="H62" i="80"/>
  <c r="G62" i="80"/>
  <c r="F62" i="80"/>
  <c r="B62" i="80"/>
  <c r="K61" i="80"/>
  <c r="I61" i="80"/>
  <c r="H61" i="80"/>
  <c r="G61" i="80"/>
  <c r="F61" i="80"/>
  <c r="B61" i="80"/>
  <c r="K60" i="80"/>
  <c r="I60" i="80"/>
  <c r="H60" i="80"/>
  <c r="G60" i="80"/>
  <c r="F60" i="80"/>
  <c r="B60" i="80"/>
  <c r="K59" i="80"/>
  <c r="I59" i="80"/>
  <c r="H59" i="80"/>
  <c r="G59" i="80"/>
  <c r="F59" i="80"/>
  <c r="B59" i="80"/>
  <c r="K58" i="80"/>
  <c r="I58" i="80"/>
  <c r="H58" i="80"/>
  <c r="G58" i="80"/>
  <c r="F58" i="80"/>
  <c r="B58" i="80"/>
  <c r="K57" i="80"/>
  <c r="I57" i="80"/>
  <c r="H57" i="80"/>
  <c r="G57" i="80"/>
  <c r="F57" i="80"/>
  <c r="B57" i="80"/>
  <c r="K56" i="80"/>
  <c r="I56" i="80"/>
  <c r="H56" i="80"/>
  <c r="G56" i="80"/>
  <c r="F56" i="80"/>
  <c r="B56" i="80"/>
  <c r="K55" i="80"/>
  <c r="I55" i="80"/>
  <c r="H55" i="80"/>
  <c r="G55" i="80"/>
  <c r="F55" i="80"/>
  <c r="B55" i="80"/>
  <c r="K54" i="80"/>
  <c r="I54" i="80"/>
  <c r="H54" i="80"/>
  <c r="G54" i="80"/>
  <c r="F54" i="80"/>
  <c r="B54" i="80"/>
  <c r="K53" i="80"/>
  <c r="I53" i="80"/>
  <c r="H53" i="80"/>
  <c r="G53" i="80"/>
  <c r="F53" i="80"/>
  <c r="B53" i="80"/>
  <c r="K52" i="80"/>
  <c r="I52" i="80"/>
  <c r="H52" i="80"/>
  <c r="G52" i="80"/>
  <c r="F52" i="80"/>
  <c r="B52" i="80"/>
  <c r="L51" i="80"/>
  <c r="N51" i="80" s="1"/>
  <c r="L50" i="80"/>
  <c r="N50" i="80" s="1"/>
  <c r="L49" i="80"/>
  <c r="N49" i="80" s="1"/>
  <c r="K47" i="80"/>
  <c r="I47" i="80"/>
  <c r="H47" i="80"/>
  <c r="G47" i="80"/>
  <c r="F47" i="80"/>
  <c r="B47" i="80"/>
  <c r="K46" i="80"/>
  <c r="I46" i="80"/>
  <c r="H46" i="80"/>
  <c r="G46" i="80"/>
  <c r="F46" i="80"/>
  <c r="B46" i="80"/>
  <c r="K45" i="80"/>
  <c r="I45" i="80"/>
  <c r="H45" i="80"/>
  <c r="G45" i="80"/>
  <c r="F45" i="80"/>
  <c r="B45" i="80"/>
  <c r="K44" i="80"/>
  <c r="I44" i="80"/>
  <c r="H44" i="80"/>
  <c r="G44" i="80"/>
  <c r="F44" i="80"/>
  <c r="B44" i="80"/>
  <c r="K43" i="80"/>
  <c r="I43" i="80"/>
  <c r="H43" i="80"/>
  <c r="G43" i="80"/>
  <c r="F43" i="80"/>
  <c r="B43" i="80"/>
  <c r="K42" i="80"/>
  <c r="I42" i="80"/>
  <c r="H42" i="80"/>
  <c r="G42" i="80"/>
  <c r="F42" i="80"/>
  <c r="B42" i="80"/>
  <c r="K41" i="80"/>
  <c r="I41" i="80"/>
  <c r="H41" i="80"/>
  <c r="G41" i="80"/>
  <c r="F41" i="80"/>
  <c r="B41" i="80"/>
  <c r="K40" i="80"/>
  <c r="I40" i="80"/>
  <c r="H40" i="80"/>
  <c r="G40" i="80"/>
  <c r="F40" i="80"/>
  <c r="B40" i="80"/>
  <c r="K39" i="80"/>
  <c r="I39" i="80"/>
  <c r="H39" i="80"/>
  <c r="G39" i="80"/>
  <c r="F39" i="80"/>
  <c r="B39" i="80"/>
  <c r="K38" i="80"/>
  <c r="I38" i="80"/>
  <c r="H38" i="80"/>
  <c r="G38" i="80"/>
  <c r="F38" i="80"/>
  <c r="B38" i="80"/>
  <c r="K37" i="80"/>
  <c r="I37" i="80"/>
  <c r="H37" i="80"/>
  <c r="G37" i="80"/>
  <c r="F37" i="80"/>
  <c r="B37" i="80"/>
  <c r="K36" i="80"/>
  <c r="I36" i="80"/>
  <c r="H36" i="80"/>
  <c r="G36" i="80"/>
  <c r="F36" i="80"/>
  <c r="B36" i="80"/>
  <c r="K35" i="80"/>
  <c r="I35" i="80"/>
  <c r="H35" i="80"/>
  <c r="G35" i="80"/>
  <c r="F35" i="80"/>
  <c r="B35" i="80"/>
  <c r="K34" i="80"/>
  <c r="I34" i="80"/>
  <c r="H34" i="80"/>
  <c r="G34" i="80"/>
  <c r="F34" i="80"/>
  <c r="B34" i="80"/>
  <c r="K33" i="80"/>
  <c r="I33" i="80"/>
  <c r="H33" i="80"/>
  <c r="G33" i="80"/>
  <c r="F33" i="80"/>
  <c r="B33" i="80"/>
  <c r="L32" i="80"/>
  <c r="N32" i="80" s="1"/>
  <c r="L31" i="80"/>
  <c r="N31" i="80" s="1"/>
  <c r="L30" i="80"/>
  <c r="N30" i="80" s="1"/>
  <c r="J17" i="80"/>
  <c r="H17" i="80"/>
  <c r="G17" i="80"/>
  <c r="F17" i="80"/>
  <c r="E17" i="80"/>
  <c r="B17" i="80"/>
  <c r="J16" i="80"/>
  <c r="H16" i="80"/>
  <c r="G16" i="80"/>
  <c r="F16" i="80"/>
  <c r="E16" i="80"/>
  <c r="B16" i="80"/>
  <c r="J15" i="80"/>
  <c r="H15" i="80"/>
  <c r="G15" i="80"/>
  <c r="F15" i="80"/>
  <c r="E15" i="80"/>
  <c r="B15" i="80"/>
  <c r="J14" i="80"/>
  <c r="J20" i="80" s="1"/>
  <c r="H14" i="80"/>
  <c r="H20" i="80" s="1"/>
  <c r="G14" i="80"/>
  <c r="G20" i="80" s="1"/>
  <c r="F14" i="80"/>
  <c r="F20" i="80" s="1"/>
  <c r="E14" i="80"/>
  <c r="E20" i="80" s="1"/>
  <c r="B14" i="80"/>
  <c r="B20" i="80" s="1"/>
  <c r="J13" i="80"/>
  <c r="J19" i="80" s="1"/>
  <c r="H13" i="80"/>
  <c r="H19" i="80" s="1"/>
  <c r="G13" i="80"/>
  <c r="G19" i="80" s="1"/>
  <c r="F13" i="80"/>
  <c r="F19" i="80" s="1"/>
  <c r="E13" i="80"/>
  <c r="E19" i="80" s="1"/>
  <c r="B13" i="80"/>
  <c r="B19" i="80" s="1"/>
  <c r="J12" i="80"/>
  <c r="J18" i="80" s="1"/>
  <c r="H12" i="80"/>
  <c r="H18" i="80" s="1"/>
  <c r="G12" i="80"/>
  <c r="G18" i="80" s="1"/>
  <c r="F12" i="80"/>
  <c r="F18" i="80" s="1"/>
  <c r="E12" i="80"/>
  <c r="E18" i="80" s="1"/>
  <c r="B12" i="80"/>
  <c r="B18" i="80" s="1"/>
  <c r="K11" i="80"/>
  <c r="M11" i="80" s="1"/>
  <c r="K10" i="80"/>
  <c r="M10" i="80" s="1"/>
  <c r="K9" i="80"/>
  <c r="M9" i="80" s="1"/>
  <c r="K618" i="28"/>
  <c r="I618" i="28"/>
  <c r="H618" i="28"/>
  <c r="G618" i="28"/>
  <c r="F618" i="28"/>
  <c r="B618" i="28"/>
  <c r="K617" i="28"/>
  <c r="I617" i="28"/>
  <c r="H617" i="28"/>
  <c r="G617" i="28"/>
  <c r="F617" i="28"/>
  <c r="B617" i="28"/>
  <c r="K616" i="28"/>
  <c r="I616" i="28"/>
  <c r="H616" i="28"/>
  <c r="G616" i="28"/>
  <c r="F616" i="28"/>
  <c r="B616" i="28"/>
  <c r="K615" i="28"/>
  <c r="I615" i="28"/>
  <c r="H615" i="28"/>
  <c r="G615" i="28"/>
  <c r="F615" i="28"/>
  <c r="B615" i="28"/>
  <c r="K614" i="28"/>
  <c r="I614" i="28"/>
  <c r="H614" i="28"/>
  <c r="G614" i="28"/>
  <c r="F614" i="28"/>
  <c r="B614" i="28"/>
  <c r="K613" i="28"/>
  <c r="I613" i="28"/>
  <c r="H613" i="28"/>
  <c r="G613" i="28"/>
  <c r="F613" i="28"/>
  <c r="B613" i="28"/>
  <c r="K612" i="28"/>
  <c r="I612" i="28"/>
  <c r="H612" i="28"/>
  <c r="G612" i="28"/>
  <c r="F612" i="28"/>
  <c r="B612" i="28"/>
  <c r="K611" i="28"/>
  <c r="I611" i="28"/>
  <c r="H611" i="28"/>
  <c r="G611" i="28"/>
  <c r="F611" i="28"/>
  <c r="B611" i="28"/>
  <c r="K610" i="28"/>
  <c r="I610" i="28"/>
  <c r="H610" i="28"/>
  <c r="G610" i="28"/>
  <c r="F610" i="28"/>
  <c r="B610" i="28"/>
  <c r="K609" i="28"/>
  <c r="I609" i="28"/>
  <c r="H609" i="28"/>
  <c r="G609" i="28"/>
  <c r="F609" i="28"/>
  <c r="B609" i="28"/>
  <c r="K608" i="28"/>
  <c r="I608" i="28"/>
  <c r="H608" i="28"/>
  <c r="G608" i="28"/>
  <c r="F608" i="28"/>
  <c r="B608" i="28"/>
  <c r="K607" i="28"/>
  <c r="I607" i="28"/>
  <c r="H607" i="28"/>
  <c r="G607" i="28"/>
  <c r="F607" i="28"/>
  <c r="B607" i="28"/>
  <c r="K606" i="28"/>
  <c r="I606" i="28"/>
  <c r="H606" i="28"/>
  <c r="G606" i="28"/>
  <c r="F606" i="28"/>
  <c r="B606" i="28"/>
  <c r="K605" i="28"/>
  <c r="I605" i="28"/>
  <c r="H605" i="28"/>
  <c r="G605" i="28"/>
  <c r="F605" i="28"/>
  <c r="B605" i="28"/>
  <c r="K604" i="28"/>
  <c r="I604" i="28"/>
  <c r="H604" i="28"/>
  <c r="G604" i="28"/>
  <c r="F604" i="28"/>
  <c r="B604" i="28"/>
  <c r="L603" i="28"/>
  <c r="N603" i="28" s="1"/>
  <c r="L602" i="28"/>
  <c r="N602" i="28" s="1"/>
  <c r="L601" i="28"/>
  <c r="N601" i="28" s="1"/>
  <c r="K599" i="28"/>
  <c r="I599" i="28"/>
  <c r="H599" i="28"/>
  <c r="G599" i="28"/>
  <c r="F599" i="28"/>
  <c r="B599" i="28"/>
  <c r="K598" i="28"/>
  <c r="I598" i="28"/>
  <c r="H598" i="28"/>
  <c r="G598" i="28"/>
  <c r="F598" i="28"/>
  <c r="B598" i="28"/>
  <c r="K597" i="28"/>
  <c r="I597" i="28"/>
  <c r="H597" i="28"/>
  <c r="G597" i="28"/>
  <c r="F597" i="28"/>
  <c r="B597" i="28"/>
  <c r="K596" i="28"/>
  <c r="I596" i="28"/>
  <c r="H596" i="28"/>
  <c r="G596" i="28"/>
  <c r="F596" i="28"/>
  <c r="B596" i="28"/>
  <c r="K595" i="28"/>
  <c r="I595" i="28"/>
  <c r="H595" i="28"/>
  <c r="G595" i="28"/>
  <c r="F595" i="28"/>
  <c r="B595" i="28"/>
  <c r="K594" i="28"/>
  <c r="I594" i="28"/>
  <c r="H594" i="28"/>
  <c r="G594" i="28"/>
  <c r="F594" i="28"/>
  <c r="B594" i="28"/>
  <c r="K593" i="28"/>
  <c r="I593" i="28"/>
  <c r="H593" i="28"/>
  <c r="G593" i="28"/>
  <c r="F593" i="28"/>
  <c r="B593" i="28"/>
  <c r="K592" i="28"/>
  <c r="I592" i="28"/>
  <c r="H592" i="28"/>
  <c r="G592" i="28"/>
  <c r="F592" i="28"/>
  <c r="B592" i="28"/>
  <c r="K591" i="28"/>
  <c r="I591" i="28"/>
  <c r="H591" i="28"/>
  <c r="G591" i="28"/>
  <c r="F591" i="28"/>
  <c r="B591" i="28"/>
  <c r="K590" i="28"/>
  <c r="I590" i="28"/>
  <c r="H590" i="28"/>
  <c r="G590" i="28"/>
  <c r="F590" i="28"/>
  <c r="B590" i="28"/>
  <c r="K589" i="28"/>
  <c r="I589" i="28"/>
  <c r="H589" i="28"/>
  <c r="G589" i="28"/>
  <c r="F589" i="28"/>
  <c r="B589" i="28"/>
  <c r="K588" i="28"/>
  <c r="I588" i="28"/>
  <c r="H588" i="28"/>
  <c r="G588" i="28"/>
  <c r="F588" i="28"/>
  <c r="B588" i="28"/>
  <c r="K587" i="28"/>
  <c r="I587" i="28"/>
  <c r="H587" i="28"/>
  <c r="G587" i="28"/>
  <c r="F587" i="28"/>
  <c r="B587" i="28"/>
  <c r="K586" i="28"/>
  <c r="I586" i="28"/>
  <c r="H586" i="28"/>
  <c r="G586" i="28"/>
  <c r="F586" i="28"/>
  <c r="B586" i="28"/>
  <c r="K585" i="28"/>
  <c r="I585" i="28"/>
  <c r="H585" i="28"/>
  <c r="G585" i="28"/>
  <c r="F585" i="28"/>
  <c r="B585" i="28"/>
  <c r="L584" i="28"/>
  <c r="N584" i="28" s="1"/>
  <c r="L583" i="28"/>
  <c r="N583" i="28" s="1"/>
  <c r="L582" i="28"/>
  <c r="N582" i="28" s="1"/>
  <c r="K580" i="28"/>
  <c r="I580" i="28"/>
  <c r="H580" i="28"/>
  <c r="G580" i="28"/>
  <c r="F580" i="28"/>
  <c r="B580" i="28"/>
  <c r="K579" i="28"/>
  <c r="I579" i="28"/>
  <c r="H579" i="28"/>
  <c r="G579" i="28"/>
  <c r="F579" i="28"/>
  <c r="B579" i="28"/>
  <c r="K578" i="28"/>
  <c r="I578" i="28"/>
  <c r="H578" i="28"/>
  <c r="G578" i="28"/>
  <c r="F578" i="28"/>
  <c r="B578" i="28"/>
  <c r="K577" i="28"/>
  <c r="I577" i="28"/>
  <c r="H577" i="28"/>
  <c r="G577" i="28"/>
  <c r="F577" i="28"/>
  <c r="B577" i="28"/>
  <c r="K576" i="28"/>
  <c r="I576" i="28"/>
  <c r="H576" i="28"/>
  <c r="G576" i="28"/>
  <c r="F576" i="28"/>
  <c r="B576" i="28"/>
  <c r="K575" i="28"/>
  <c r="I575" i="28"/>
  <c r="H575" i="28"/>
  <c r="G575" i="28"/>
  <c r="F575" i="28"/>
  <c r="B575" i="28"/>
  <c r="K574" i="28"/>
  <c r="I574" i="28"/>
  <c r="H574" i="28"/>
  <c r="G574" i="28"/>
  <c r="F574" i="28"/>
  <c r="B574" i="28"/>
  <c r="K573" i="28"/>
  <c r="I573" i="28"/>
  <c r="H573" i="28"/>
  <c r="G573" i="28"/>
  <c r="F573" i="28"/>
  <c r="B573" i="28"/>
  <c r="K572" i="28"/>
  <c r="I572" i="28"/>
  <c r="H572" i="28"/>
  <c r="G572" i="28"/>
  <c r="F572" i="28"/>
  <c r="B572" i="28"/>
  <c r="K571" i="28"/>
  <c r="I571" i="28"/>
  <c r="H571" i="28"/>
  <c r="G571" i="28"/>
  <c r="F571" i="28"/>
  <c r="B571" i="28"/>
  <c r="K570" i="28"/>
  <c r="I570" i="28"/>
  <c r="H570" i="28"/>
  <c r="G570" i="28"/>
  <c r="F570" i="28"/>
  <c r="B570" i="28"/>
  <c r="K569" i="28"/>
  <c r="I569" i="28"/>
  <c r="H569" i="28"/>
  <c r="G569" i="28"/>
  <c r="F569" i="28"/>
  <c r="B569" i="28"/>
  <c r="K568" i="28"/>
  <c r="I568" i="28"/>
  <c r="H568" i="28"/>
  <c r="G568" i="28"/>
  <c r="F568" i="28"/>
  <c r="B568" i="28"/>
  <c r="K567" i="28"/>
  <c r="I567" i="28"/>
  <c r="H567" i="28"/>
  <c r="G567" i="28"/>
  <c r="F567" i="28"/>
  <c r="B567" i="28"/>
  <c r="K566" i="28"/>
  <c r="I566" i="28"/>
  <c r="H566" i="28"/>
  <c r="G566" i="28"/>
  <c r="F566" i="28"/>
  <c r="B566" i="28"/>
  <c r="L565" i="28"/>
  <c r="N565" i="28" s="1"/>
  <c r="L564" i="28"/>
  <c r="N564" i="28" s="1"/>
  <c r="L563" i="28"/>
  <c r="N563" i="28" s="1"/>
  <c r="K561" i="28"/>
  <c r="I561" i="28"/>
  <c r="H561" i="28"/>
  <c r="G561" i="28"/>
  <c r="F561" i="28"/>
  <c r="B561" i="28"/>
  <c r="K560" i="28"/>
  <c r="I560" i="28"/>
  <c r="H560" i="28"/>
  <c r="G560" i="28"/>
  <c r="F560" i="28"/>
  <c r="B560" i="28"/>
  <c r="K559" i="28"/>
  <c r="I559" i="28"/>
  <c r="H559" i="28"/>
  <c r="G559" i="28"/>
  <c r="F559" i="28"/>
  <c r="B559" i="28"/>
  <c r="K558" i="28"/>
  <c r="I558" i="28"/>
  <c r="H558" i="28"/>
  <c r="G558" i="28"/>
  <c r="F558" i="28"/>
  <c r="B558" i="28"/>
  <c r="K557" i="28"/>
  <c r="I557" i="28"/>
  <c r="H557" i="28"/>
  <c r="G557" i="28"/>
  <c r="F557" i="28"/>
  <c r="B557" i="28"/>
  <c r="K556" i="28"/>
  <c r="I556" i="28"/>
  <c r="H556" i="28"/>
  <c r="G556" i="28"/>
  <c r="F556" i="28"/>
  <c r="B556" i="28"/>
  <c r="K555" i="28"/>
  <c r="I555" i="28"/>
  <c r="H555" i="28"/>
  <c r="G555" i="28"/>
  <c r="F555" i="28"/>
  <c r="B555" i="28"/>
  <c r="K554" i="28"/>
  <c r="I554" i="28"/>
  <c r="H554" i="28"/>
  <c r="G554" i="28"/>
  <c r="F554" i="28"/>
  <c r="B554" i="28"/>
  <c r="K553" i="28"/>
  <c r="I553" i="28"/>
  <c r="H553" i="28"/>
  <c r="G553" i="28"/>
  <c r="F553" i="28"/>
  <c r="B553" i="28"/>
  <c r="K552" i="28"/>
  <c r="I552" i="28"/>
  <c r="H552" i="28"/>
  <c r="G552" i="28"/>
  <c r="F552" i="28"/>
  <c r="B552" i="28"/>
  <c r="K551" i="28"/>
  <c r="I551" i="28"/>
  <c r="H551" i="28"/>
  <c r="G551" i="28"/>
  <c r="F551" i="28"/>
  <c r="B551" i="28"/>
  <c r="K550" i="28"/>
  <c r="I550" i="28"/>
  <c r="H550" i="28"/>
  <c r="G550" i="28"/>
  <c r="F550" i="28"/>
  <c r="B550" i="28"/>
  <c r="K549" i="28"/>
  <c r="I549" i="28"/>
  <c r="H549" i="28"/>
  <c r="G549" i="28"/>
  <c r="F549" i="28"/>
  <c r="B549" i="28"/>
  <c r="K548" i="28"/>
  <c r="I548" i="28"/>
  <c r="H548" i="28"/>
  <c r="G548" i="28"/>
  <c r="F548" i="28"/>
  <c r="B548" i="28"/>
  <c r="K547" i="28"/>
  <c r="I547" i="28"/>
  <c r="H547" i="28"/>
  <c r="G547" i="28"/>
  <c r="F547" i="28"/>
  <c r="B547" i="28"/>
  <c r="L546" i="28"/>
  <c r="N546" i="28" s="1"/>
  <c r="L545" i="28"/>
  <c r="N545" i="28" s="1"/>
  <c r="L544" i="28"/>
  <c r="N544" i="28" s="1"/>
  <c r="K542" i="28"/>
  <c r="I542" i="28"/>
  <c r="H542" i="28"/>
  <c r="G542" i="28"/>
  <c r="F542" i="28"/>
  <c r="B542" i="28"/>
  <c r="K541" i="28"/>
  <c r="I541" i="28"/>
  <c r="H541" i="28"/>
  <c r="G541" i="28"/>
  <c r="F541" i="28"/>
  <c r="B541" i="28"/>
  <c r="K540" i="28"/>
  <c r="I540" i="28"/>
  <c r="H540" i="28"/>
  <c r="G540" i="28"/>
  <c r="F540" i="28"/>
  <c r="B540" i="28"/>
  <c r="K539" i="28"/>
  <c r="I539" i="28"/>
  <c r="H539" i="28"/>
  <c r="G539" i="28"/>
  <c r="F539" i="28"/>
  <c r="B539" i="28"/>
  <c r="K538" i="28"/>
  <c r="I538" i="28"/>
  <c r="H538" i="28"/>
  <c r="G538" i="28"/>
  <c r="F538" i="28"/>
  <c r="B538" i="28"/>
  <c r="K537" i="28"/>
  <c r="I537" i="28"/>
  <c r="H537" i="28"/>
  <c r="G537" i="28"/>
  <c r="F537" i="28"/>
  <c r="B537" i="28"/>
  <c r="K536" i="28"/>
  <c r="I536" i="28"/>
  <c r="H536" i="28"/>
  <c r="G536" i="28"/>
  <c r="F536" i="28"/>
  <c r="B536" i="28"/>
  <c r="K535" i="28"/>
  <c r="I535" i="28"/>
  <c r="H535" i="28"/>
  <c r="G535" i="28"/>
  <c r="F535" i="28"/>
  <c r="B535" i="28"/>
  <c r="K534" i="28"/>
  <c r="I534" i="28"/>
  <c r="H534" i="28"/>
  <c r="G534" i="28"/>
  <c r="F534" i="28"/>
  <c r="B534" i="28"/>
  <c r="K533" i="28"/>
  <c r="I533" i="28"/>
  <c r="H533" i="28"/>
  <c r="G533" i="28"/>
  <c r="F533" i="28"/>
  <c r="B533" i="28"/>
  <c r="K532" i="28"/>
  <c r="I532" i="28"/>
  <c r="H532" i="28"/>
  <c r="G532" i="28"/>
  <c r="F532" i="28"/>
  <c r="B532" i="28"/>
  <c r="K531" i="28"/>
  <c r="I531" i="28"/>
  <c r="H531" i="28"/>
  <c r="G531" i="28"/>
  <c r="F531" i="28"/>
  <c r="B531" i="28"/>
  <c r="K530" i="28"/>
  <c r="I530" i="28"/>
  <c r="H530" i="28"/>
  <c r="G530" i="28"/>
  <c r="F530" i="28"/>
  <c r="B530" i="28"/>
  <c r="K529" i="28"/>
  <c r="I529" i="28"/>
  <c r="H529" i="28"/>
  <c r="G529" i="28"/>
  <c r="F529" i="28"/>
  <c r="B529" i="28"/>
  <c r="K528" i="28"/>
  <c r="I528" i="28"/>
  <c r="H528" i="28"/>
  <c r="G528" i="28"/>
  <c r="F528" i="28"/>
  <c r="B528" i="28"/>
  <c r="L527" i="28"/>
  <c r="N527" i="28" s="1"/>
  <c r="L526" i="28"/>
  <c r="N526" i="28" s="1"/>
  <c r="L525" i="28"/>
  <c r="N525" i="28" s="1"/>
  <c r="K523" i="28"/>
  <c r="I523" i="28"/>
  <c r="H523" i="28"/>
  <c r="G523" i="28"/>
  <c r="F523" i="28"/>
  <c r="B523" i="28"/>
  <c r="K522" i="28"/>
  <c r="I522" i="28"/>
  <c r="H522" i="28"/>
  <c r="G522" i="28"/>
  <c r="F522" i="28"/>
  <c r="B522" i="28"/>
  <c r="K521" i="28"/>
  <c r="I521" i="28"/>
  <c r="H521" i="28"/>
  <c r="G521" i="28"/>
  <c r="F521" i="28"/>
  <c r="B521" i="28"/>
  <c r="K520" i="28"/>
  <c r="I520" i="28"/>
  <c r="H520" i="28"/>
  <c r="G520" i="28"/>
  <c r="F520" i="28"/>
  <c r="B520" i="28"/>
  <c r="K519" i="28"/>
  <c r="I519" i="28"/>
  <c r="H519" i="28"/>
  <c r="G519" i="28"/>
  <c r="F519" i="28"/>
  <c r="B519" i="28"/>
  <c r="K518" i="28"/>
  <c r="I518" i="28"/>
  <c r="H518" i="28"/>
  <c r="G518" i="28"/>
  <c r="F518" i="28"/>
  <c r="B518" i="28"/>
  <c r="K517" i="28"/>
  <c r="I517" i="28"/>
  <c r="H517" i="28"/>
  <c r="G517" i="28"/>
  <c r="F517" i="28"/>
  <c r="B517" i="28"/>
  <c r="K516" i="28"/>
  <c r="I516" i="28"/>
  <c r="H516" i="28"/>
  <c r="G516" i="28"/>
  <c r="F516" i="28"/>
  <c r="B516" i="28"/>
  <c r="K515" i="28"/>
  <c r="I515" i="28"/>
  <c r="H515" i="28"/>
  <c r="G515" i="28"/>
  <c r="F515" i="28"/>
  <c r="B515" i="28"/>
  <c r="K514" i="28"/>
  <c r="I514" i="28"/>
  <c r="H514" i="28"/>
  <c r="G514" i="28"/>
  <c r="F514" i="28"/>
  <c r="B514" i="28"/>
  <c r="K513" i="28"/>
  <c r="I513" i="28"/>
  <c r="H513" i="28"/>
  <c r="G513" i="28"/>
  <c r="F513" i="28"/>
  <c r="B513" i="28"/>
  <c r="K512" i="28"/>
  <c r="I512" i="28"/>
  <c r="G512" i="28"/>
  <c r="F512" i="28"/>
  <c r="B512" i="28"/>
  <c r="K511" i="28"/>
  <c r="I511" i="28"/>
  <c r="H511" i="28"/>
  <c r="G511" i="28"/>
  <c r="F511" i="28"/>
  <c r="B511" i="28"/>
  <c r="K510" i="28"/>
  <c r="I510" i="28"/>
  <c r="H510" i="28"/>
  <c r="G510" i="28"/>
  <c r="F510" i="28"/>
  <c r="B510" i="28"/>
  <c r="K509" i="28"/>
  <c r="I509" i="28"/>
  <c r="H509" i="28"/>
  <c r="G509" i="28"/>
  <c r="F509" i="28"/>
  <c r="B509" i="28"/>
  <c r="L508" i="28"/>
  <c r="N508" i="28" s="1"/>
  <c r="L507" i="28"/>
  <c r="N507" i="28" s="1"/>
  <c r="L506" i="28"/>
  <c r="N506" i="28" s="1"/>
  <c r="K504" i="28"/>
  <c r="I504" i="28"/>
  <c r="H504" i="28"/>
  <c r="G504" i="28"/>
  <c r="F504" i="28"/>
  <c r="B504" i="28"/>
  <c r="K503" i="28"/>
  <c r="I503" i="28"/>
  <c r="H503" i="28"/>
  <c r="G503" i="28"/>
  <c r="F503" i="28"/>
  <c r="B503" i="28"/>
  <c r="K502" i="28"/>
  <c r="I502" i="28"/>
  <c r="H502" i="28"/>
  <c r="G502" i="28"/>
  <c r="F502" i="28"/>
  <c r="B502" i="28"/>
  <c r="K501" i="28"/>
  <c r="I501" i="28"/>
  <c r="H501" i="28"/>
  <c r="G501" i="28"/>
  <c r="F501" i="28"/>
  <c r="B501" i="28"/>
  <c r="K500" i="28"/>
  <c r="I500" i="28"/>
  <c r="H500" i="28"/>
  <c r="G500" i="28"/>
  <c r="F500" i="28"/>
  <c r="B500" i="28"/>
  <c r="K499" i="28"/>
  <c r="I499" i="28"/>
  <c r="H499" i="28"/>
  <c r="G499" i="28"/>
  <c r="F499" i="28"/>
  <c r="B499" i="28"/>
  <c r="K498" i="28"/>
  <c r="I498" i="28"/>
  <c r="H498" i="28"/>
  <c r="G498" i="28"/>
  <c r="F498" i="28"/>
  <c r="B498" i="28"/>
  <c r="K497" i="28"/>
  <c r="I497" i="28"/>
  <c r="H497" i="28"/>
  <c r="G497" i="28"/>
  <c r="F497" i="28"/>
  <c r="B497" i="28"/>
  <c r="K496" i="28"/>
  <c r="I496" i="28"/>
  <c r="H496" i="28"/>
  <c r="G496" i="28"/>
  <c r="F496" i="28"/>
  <c r="B496" i="28"/>
  <c r="K495" i="28"/>
  <c r="I495" i="28"/>
  <c r="H495" i="28"/>
  <c r="G495" i="28"/>
  <c r="F495" i="28"/>
  <c r="B495" i="28"/>
  <c r="K494" i="28"/>
  <c r="I494" i="28"/>
  <c r="H494" i="28"/>
  <c r="G494" i="28"/>
  <c r="F494" i="28"/>
  <c r="B494" i="28"/>
  <c r="K493" i="28"/>
  <c r="I493" i="28"/>
  <c r="H493" i="28"/>
  <c r="G493" i="28"/>
  <c r="F493" i="28"/>
  <c r="B493" i="28"/>
  <c r="K492" i="28"/>
  <c r="I492" i="28"/>
  <c r="H492" i="28"/>
  <c r="G492" i="28"/>
  <c r="F492" i="28"/>
  <c r="B492" i="28"/>
  <c r="K491" i="28"/>
  <c r="I491" i="28"/>
  <c r="H491" i="28"/>
  <c r="G491" i="28"/>
  <c r="F491" i="28"/>
  <c r="B491" i="28"/>
  <c r="K490" i="28"/>
  <c r="I490" i="28"/>
  <c r="H490" i="28"/>
  <c r="G490" i="28"/>
  <c r="F490" i="28"/>
  <c r="B490" i="28"/>
  <c r="L489" i="28"/>
  <c r="N489" i="28" s="1"/>
  <c r="L488" i="28"/>
  <c r="N488" i="28" s="1"/>
  <c r="L487" i="28"/>
  <c r="N487" i="28" s="1"/>
  <c r="K485" i="28"/>
  <c r="I485" i="28"/>
  <c r="H485" i="28"/>
  <c r="G485" i="28"/>
  <c r="F485" i="28"/>
  <c r="B485" i="28"/>
  <c r="K484" i="28"/>
  <c r="I484" i="28"/>
  <c r="H484" i="28"/>
  <c r="G484" i="28"/>
  <c r="F484" i="28"/>
  <c r="B484" i="28"/>
  <c r="K483" i="28"/>
  <c r="I483" i="28"/>
  <c r="H483" i="28"/>
  <c r="G483" i="28"/>
  <c r="F483" i="28"/>
  <c r="B483" i="28"/>
  <c r="K482" i="28"/>
  <c r="I482" i="28"/>
  <c r="H482" i="28"/>
  <c r="G482" i="28"/>
  <c r="F482" i="28"/>
  <c r="B482" i="28"/>
  <c r="K481" i="28"/>
  <c r="I481" i="28"/>
  <c r="H481" i="28"/>
  <c r="G481" i="28"/>
  <c r="F481" i="28"/>
  <c r="B481" i="28"/>
  <c r="K480" i="28"/>
  <c r="I480" i="28"/>
  <c r="H480" i="28"/>
  <c r="G480" i="28"/>
  <c r="F480" i="28"/>
  <c r="B480" i="28"/>
  <c r="K479" i="28"/>
  <c r="I479" i="28"/>
  <c r="H479" i="28"/>
  <c r="G479" i="28"/>
  <c r="F479" i="28"/>
  <c r="B479" i="28"/>
  <c r="K478" i="28"/>
  <c r="I478" i="28"/>
  <c r="H478" i="28"/>
  <c r="G478" i="28"/>
  <c r="F478" i="28"/>
  <c r="B478" i="28"/>
  <c r="K477" i="28"/>
  <c r="I477" i="28"/>
  <c r="H477" i="28"/>
  <c r="G477" i="28"/>
  <c r="F477" i="28"/>
  <c r="B477" i="28"/>
  <c r="K476" i="28"/>
  <c r="I476" i="28"/>
  <c r="H476" i="28"/>
  <c r="G476" i="28"/>
  <c r="F476" i="28"/>
  <c r="B476" i="28"/>
  <c r="K475" i="28"/>
  <c r="I475" i="28"/>
  <c r="H475" i="28"/>
  <c r="G475" i="28"/>
  <c r="F475" i="28"/>
  <c r="B475" i="28"/>
  <c r="K474" i="28"/>
  <c r="I474" i="28"/>
  <c r="H474" i="28"/>
  <c r="G474" i="28"/>
  <c r="F474" i="28"/>
  <c r="B474" i="28"/>
  <c r="K473" i="28"/>
  <c r="I473" i="28"/>
  <c r="H473" i="28"/>
  <c r="G473" i="28"/>
  <c r="F473" i="28"/>
  <c r="B473" i="28"/>
  <c r="K472" i="28"/>
  <c r="I472" i="28"/>
  <c r="H472" i="28"/>
  <c r="G472" i="28"/>
  <c r="F472" i="28"/>
  <c r="B472" i="28"/>
  <c r="K471" i="28"/>
  <c r="I471" i="28"/>
  <c r="H471" i="28"/>
  <c r="G471" i="28"/>
  <c r="F471" i="28"/>
  <c r="B471" i="28"/>
  <c r="L470" i="28"/>
  <c r="N470" i="28" s="1"/>
  <c r="L469" i="28"/>
  <c r="N469" i="28" s="1"/>
  <c r="L468" i="28"/>
  <c r="N468" i="28" s="1"/>
  <c r="J455" i="28"/>
  <c r="H455" i="28"/>
  <c r="G455" i="28"/>
  <c r="F455" i="28"/>
  <c r="E455" i="28"/>
  <c r="B455" i="28"/>
  <c r="J454" i="28"/>
  <c r="H454" i="28"/>
  <c r="G454" i="28"/>
  <c r="F454" i="28"/>
  <c r="E454" i="28"/>
  <c r="B454" i="28"/>
  <c r="J453" i="28"/>
  <c r="H453" i="28"/>
  <c r="G453" i="28"/>
  <c r="F453" i="28"/>
  <c r="E453" i="28"/>
  <c r="B453" i="28"/>
  <c r="J452" i="28"/>
  <c r="J458" i="28" s="1"/>
  <c r="H452" i="28"/>
  <c r="G452" i="28"/>
  <c r="G458" i="28" s="1"/>
  <c r="F452" i="28"/>
  <c r="F458" i="28" s="1"/>
  <c r="E452" i="28"/>
  <c r="E458" i="28" s="1"/>
  <c r="B452" i="28"/>
  <c r="B458" i="28" s="1"/>
  <c r="J451" i="28"/>
  <c r="J457" i="28" s="1"/>
  <c r="H451" i="28"/>
  <c r="G451" i="28"/>
  <c r="G457" i="28" s="1"/>
  <c r="F451" i="28"/>
  <c r="F457" i="28" s="1"/>
  <c r="E451" i="28"/>
  <c r="E457" i="28" s="1"/>
  <c r="B451" i="28"/>
  <c r="B457" i="28" s="1"/>
  <c r="J450" i="28"/>
  <c r="J456" i="28" s="1"/>
  <c r="H450" i="28"/>
  <c r="G450" i="28"/>
  <c r="G456" i="28" s="1"/>
  <c r="F450" i="28"/>
  <c r="F456" i="28" s="1"/>
  <c r="E450" i="28"/>
  <c r="E456" i="28" s="1"/>
  <c r="B450" i="28"/>
  <c r="B456" i="28" s="1"/>
  <c r="K449" i="28"/>
  <c r="M449" i="28" s="1"/>
  <c r="K448" i="28"/>
  <c r="M448" i="28" s="1"/>
  <c r="K447" i="28"/>
  <c r="M447" i="28" s="1"/>
  <c r="K399" i="28"/>
  <c r="I399" i="28"/>
  <c r="H399" i="28"/>
  <c r="G399" i="28"/>
  <c r="F399" i="28"/>
  <c r="B399" i="28"/>
  <c r="K398" i="28"/>
  <c r="I398" i="28"/>
  <c r="H398" i="28"/>
  <c r="G398" i="28"/>
  <c r="F398" i="28"/>
  <c r="B398" i="28"/>
  <c r="K397" i="28"/>
  <c r="I397" i="28"/>
  <c r="H397" i="28"/>
  <c r="G397" i="28"/>
  <c r="F397" i="28"/>
  <c r="B397" i="28"/>
  <c r="K396" i="28"/>
  <c r="I396" i="28"/>
  <c r="H396" i="28"/>
  <c r="G396" i="28"/>
  <c r="F396" i="28"/>
  <c r="B396" i="28"/>
  <c r="K395" i="28"/>
  <c r="I395" i="28"/>
  <c r="H395" i="28"/>
  <c r="G395" i="28"/>
  <c r="F395" i="28"/>
  <c r="B395" i="28"/>
  <c r="K394" i="28"/>
  <c r="I394" i="28"/>
  <c r="H394" i="28"/>
  <c r="G394" i="28"/>
  <c r="F394" i="28"/>
  <c r="B394" i="28"/>
  <c r="K393" i="28"/>
  <c r="I393" i="28"/>
  <c r="H393" i="28"/>
  <c r="G393" i="28"/>
  <c r="F393" i="28"/>
  <c r="B393" i="28"/>
  <c r="K392" i="28"/>
  <c r="I392" i="28"/>
  <c r="H392" i="28"/>
  <c r="G392" i="28"/>
  <c r="F392" i="28"/>
  <c r="B392" i="28"/>
  <c r="K391" i="28"/>
  <c r="I391" i="28"/>
  <c r="H391" i="28"/>
  <c r="G391" i="28"/>
  <c r="F391" i="28"/>
  <c r="B391" i="28"/>
  <c r="K390" i="28"/>
  <c r="I390" i="28"/>
  <c r="H390" i="28"/>
  <c r="G390" i="28"/>
  <c r="F390" i="28"/>
  <c r="B390" i="28"/>
  <c r="K389" i="28"/>
  <c r="I389" i="28"/>
  <c r="H389" i="28"/>
  <c r="G389" i="28"/>
  <c r="F389" i="28"/>
  <c r="B389" i="28"/>
  <c r="K388" i="28"/>
  <c r="I388" i="28"/>
  <c r="H388" i="28"/>
  <c r="G388" i="28"/>
  <c r="F388" i="28"/>
  <c r="B388" i="28"/>
  <c r="K387" i="28"/>
  <c r="I387" i="28"/>
  <c r="H387" i="28"/>
  <c r="G387" i="28"/>
  <c r="F387" i="28"/>
  <c r="B387" i="28"/>
  <c r="K386" i="28"/>
  <c r="I386" i="28"/>
  <c r="H386" i="28"/>
  <c r="G386" i="28"/>
  <c r="F386" i="28"/>
  <c r="B386" i="28"/>
  <c r="K385" i="28"/>
  <c r="I385" i="28"/>
  <c r="H385" i="28"/>
  <c r="G385" i="28"/>
  <c r="F385" i="28"/>
  <c r="B385" i="28"/>
  <c r="L384" i="28"/>
  <c r="N384" i="28" s="1"/>
  <c r="L383" i="28"/>
  <c r="N383" i="28" s="1"/>
  <c r="L382" i="28"/>
  <c r="N382" i="28" s="1"/>
  <c r="K380" i="28"/>
  <c r="I380" i="28"/>
  <c r="H380" i="28"/>
  <c r="G380" i="28"/>
  <c r="F380" i="28"/>
  <c r="B380" i="28"/>
  <c r="K379" i="28"/>
  <c r="I379" i="28"/>
  <c r="H379" i="28"/>
  <c r="G379" i="28"/>
  <c r="F379" i="28"/>
  <c r="B379" i="28"/>
  <c r="K378" i="28"/>
  <c r="I378" i="28"/>
  <c r="H378" i="28"/>
  <c r="G378" i="28"/>
  <c r="F378" i="28"/>
  <c r="B378" i="28"/>
  <c r="K377" i="28"/>
  <c r="I377" i="28"/>
  <c r="H377" i="28"/>
  <c r="G377" i="28"/>
  <c r="F377" i="28"/>
  <c r="B377" i="28"/>
  <c r="K376" i="28"/>
  <c r="I376" i="28"/>
  <c r="H376" i="28"/>
  <c r="G376" i="28"/>
  <c r="F376" i="28"/>
  <c r="B376" i="28"/>
  <c r="K375" i="28"/>
  <c r="I375" i="28"/>
  <c r="H375" i="28"/>
  <c r="G375" i="28"/>
  <c r="F375" i="28"/>
  <c r="B375" i="28"/>
  <c r="K374" i="28"/>
  <c r="I374" i="28"/>
  <c r="H374" i="28"/>
  <c r="G374" i="28"/>
  <c r="F374" i="28"/>
  <c r="B374" i="28"/>
  <c r="K373" i="28"/>
  <c r="I373" i="28"/>
  <c r="H373" i="28"/>
  <c r="G373" i="28"/>
  <c r="F373" i="28"/>
  <c r="B373" i="28"/>
  <c r="K372" i="28"/>
  <c r="I372" i="28"/>
  <c r="H372" i="28"/>
  <c r="G372" i="28"/>
  <c r="F372" i="28"/>
  <c r="B372" i="28"/>
  <c r="K371" i="28"/>
  <c r="I371" i="28"/>
  <c r="H371" i="28"/>
  <c r="G371" i="28"/>
  <c r="F371" i="28"/>
  <c r="B371" i="28"/>
  <c r="K370" i="28"/>
  <c r="I370" i="28"/>
  <c r="H370" i="28"/>
  <c r="G370" i="28"/>
  <c r="F370" i="28"/>
  <c r="B370" i="28"/>
  <c r="K369" i="28"/>
  <c r="I369" i="28"/>
  <c r="H369" i="28"/>
  <c r="G369" i="28"/>
  <c r="F369" i="28"/>
  <c r="B369" i="28"/>
  <c r="K368" i="28"/>
  <c r="I368" i="28"/>
  <c r="H368" i="28"/>
  <c r="G368" i="28"/>
  <c r="F368" i="28"/>
  <c r="B368" i="28"/>
  <c r="K367" i="28"/>
  <c r="I367" i="28"/>
  <c r="H367" i="28"/>
  <c r="G367" i="28"/>
  <c r="F367" i="28"/>
  <c r="B367" i="28"/>
  <c r="K366" i="28"/>
  <c r="I366" i="28"/>
  <c r="H366" i="28"/>
  <c r="G366" i="28"/>
  <c r="F366" i="28"/>
  <c r="B366" i="28"/>
  <c r="L365" i="28"/>
  <c r="N365" i="28" s="1"/>
  <c r="L364" i="28"/>
  <c r="N364" i="28" s="1"/>
  <c r="L363" i="28"/>
  <c r="N363" i="28" s="1"/>
  <c r="K361" i="28"/>
  <c r="I361" i="28"/>
  <c r="H361" i="28"/>
  <c r="G361" i="28"/>
  <c r="F361" i="28"/>
  <c r="B361" i="28"/>
  <c r="K360" i="28"/>
  <c r="I360" i="28"/>
  <c r="H360" i="28"/>
  <c r="G360" i="28"/>
  <c r="F360" i="28"/>
  <c r="B360" i="28"/>
  <c r="K359" i="28"/>
  <c r="I359" i="28"/>
  <c r="H359" i="28"/>
  <c r="G359" i="28"/>
  <c r="F359" i="28"/>
  <c r="B359" i="28"/>
  <c r="K358" i="28"/>
  <c r="I358" i="28"/>
  <c r="H358" i="28"/>
  <c r="G358" i="28"/>
  <c r="F358" i="28"/>
  <c r="B358" i="28"/>
  <c r="K357" i="28"/>
  <c r="I357" i="28"/>
  <c r="H357" i="28"/>
  <c r="G357" i="28"/>
  <c r="F357" i="28"/>
  <c r="B357" i="28"/>
  <c r="K356" i="28"/>
  <c r="I356" i="28"/>
  <c r="H356" i="28"/>
  <c r="G356" i="28"/>
  <c r="F356" i="28"/>
  <c r="B356" i="28"/>
  <c r="K355" i="28"/>
  <c r="I355" i="28"/>
  <c r="H355" i="28"/>
  <c r="G355" i="28"/>
  <c r="F355" i="28"/>
  <c r="B355" i="28"/>
  <c r="K354" i="28"/>
  <c r="I354" i="28"/>
  <c r="H354" i="28"/>
  <c r="G354" i="28"/>
  <c r="F354" i="28"/>
  <c r="B354" i="28"/>
  <c r="K353" i="28"/>
  <c r="I353" i="28"/>
  <c r="H353" i="28"/>
  <c r="G353" i="28"/>
  <c r="F353" i="28"/>
  <c r="B353" i="28"/>
  <c r="K352" i="28"/>
  <c r="I352" i="28"/>
  <c r="H352" i="28"/>
  <c r="G352" i="28"/>
  <c r="F352" i="28"/>
  <c r="B352" i="28"/>
  <c r="K351" i="28"/>
  <c r="I351" i="28"/>
  <c r="H351" i="28"/>
  <c r="G351" i="28"/>
  <c r="F351" i="28"/>
  <c r="B351" i="28"/>
  <c r="K350" i="28"/>
  <c r="I350" i="28"/>
  <c r="H350" i="28"/>
  <c r="G350" i="28"/>
  <c r="F350" i="28"/>
  <c r="B350" i="28"/>
  <c r="K349" i="28"/>
  <c r="I349" i="28"/>
  <c r="H349" i="28"/>
  <c r="G349" i="28"/>
  <c r="F349" i="28"/>
  <c r="B349" i="28"/>
  <c r="K348" i="28"/>
  <c r="I348" i="28"/>
  <c r="H348" i="28"/>
  <c r="G348" i="28"/>
  <c r="F348" i="28"/>
  <c r="B348" i="28"/>
  <c r="K347" i="28"/>
  <c r="I347" i="28"/>
  <c r="H347" i="28"/>
  <c r="G347" i="28"/>
  <c r="F347" i="28"/>
  <c r="B347" i="28"/>
  <c r="L346" i="28"/>
  <c r="N346" i="28" s="1"/>
  <c r="L345" i="28"/>
  <c r="N345" i="28" s="1"/>
  <c r="L344" i="28"/>
  <c r="N344" i="28" s="1"/>
  <c r="K342" i="28"/>
  <c r="I342" i="28"/>
  <c r="H342" i="28"/>
  <c r="G342" i="28"/>
  <c r="F342" i="28"/>
  <c r="B342" i="28"/>
  <c r="K341" i="28"/>
  <c r="I341" i="28"/>
  <c r="H341" i="28"/>
  <c r="G341" i="28"/>
  <c r="F341" i="28"/>
  <c r="B341" i="28"/>
  <c r="K340" i="28"/>
  <c r="I340" i="28"/>
  <c r="H340" i="28"/>
  <c r="G340" i="28"/>
  <c r="F340" i="28"/>
  <c r="B340" i="28"/>
  <c r="K339" i="28"/>
  <c r="I339" i="28"/>
  <c r="H339" i="28"/>
  <c r="G339" i="28"/>
  <c r="F339" i="28"/>
  <c r="B339" i="28"/>
  <c r="K338" i="28"/>
  <c r="I338" i="28"/>
  <c r="H338" i="28"/>
  <c r="G338" i="28"/>
  <c r="F338" i="28"/>
  <c r="B338" i="28"/>
  <c r="K337" i="28"/>
  <c r="I337" i="28"/>
  <c r="H337" i="28"/>
  <c r="G337" i="28"/>
  <c r="F337" i="28"/>
  <c r="B337" i="28"/>
  <c r="K336" i="28"/>
  <c r="I336" i="28"/>
  <c r="H336" i="28"/>
  <c r="G336" i="28"/>
  <c r="F336" i="28"/>
  <c r="B336" i="28"/>
  <c r="K335" i="28"/>
  <c r="I335" i="28"/>
  <c r="H335" i="28"/>
  <c r="G335" i="28"/>
  <c r="F335" i="28"/>
  <c r="B335" i="28"/>
  <c r="K334" i="28"/>
  <c r="I334" i="28"/>
  <c r="H334" i="28"/>
  <c r="G334" i="28"/>
  <c r="F334" i="28"/>
  <c r="B334" i="28"/>
  <c r="K333" i="28"/>
  <c r="I333" i="28"/>
  <c r="H333" i="28"/>
  <c r="G333" i="28"/>
  <c r="F333" i="28"/>
  <c r="B333" i="28"/>
  <c r="K332" i="28"/>
  <c r="I332" i="28"/>
  <c r="H332" i="28"/>
  <c r="G332" i="28"/>
  <c r="F332" i="28"/>
  <c r="B332" i="28"/>
  <c r="K331" i="28"/>
  <c r="I331" i="28"/>
  <c r="H331" i="28"/>
  <c r="G331" i="28"/>
  <c r="F331" i="28"/>
  <c r="B331" i="28"/>
  <c r="K330" i="28"/>
  <c r="I330" i="28"/>
  <c r="H330" i="28"/>
  <c r="G330" i="28"/>
  <c r="F330" i="28"/>
  <c r="B330" i="28"/>
  <c r="K329" i="28"/>
  <c r="I329" i="28"/>
  <c r="H329" i="28"/>
  <c r="G329" i="28"/>
  <c r="F329" i="28"/>
  <c r="B329" i="28"/>
  <c r="K328" i="28"/>
  <c r="I328" i="28"/>
  <c r="H328" i="28"/>
  <c r="G328" i="28"/>
  <c r="F328" i="28"/>
  <c r="B328" i="28"/>
  <c r="L327" i="28"/>
  <c r="N327" i="28" s="1"/>
  <c r="L326" i="28"/>
  <c r="N326" i="28" s="1"/>
  <c r="L325" i="28"/>
  <c r="N325" i="28" s="1"/>
  <c r="K323" i="28"/>
  <c r="I323" i="28"/>
  <c r="H323" i="28"/>
  <c r="G323" i="28"/>
  <c r="F323" i="28"/>
  <c r="B323" i="28"/>
  <c r="K322" i="28"/>
  <c r="I322" i="28"/>
  <c r="H322" i="28"/>
  <c r="G322" i="28"/>
  <c r="F322" i="28"/>
  <c r="B322" i="28"/>
  <c r="K321" i="28"/>
  <c r="I321" i="28"/>
  <c r="H321" i="28"/>
  <c r="G321" i="28"/>
  <c r="F321" i="28"/>
  <c r="B321" i="28"/>
  <c r="K320" i="28"/>
  <c r="I320" i="28"/>
  <c r="H320" i="28"/>
  <c r="G320" i="28"/>
  <c r="F320" i="28"/>
  <c r="B320" i="28"/>
  <c r="K319" i="28"/>
  <c r="I319" i="28"/>
  <c r="H319" i="28"/>
  <c r="G319" i="28"/>
  <c r="F319" i="28"/>
  <c r="B319" i="28"/>
  <c r="K318" i="28"/>
  <c r="I318" i="28"/>
  <c r="H318" i="28"/>
  <c r="G318" i="28"/>
  <c r="F318" i="28"/>
  <c r="B318" i="28"/>
  <c r="K317" i="28"/>
  <c r="I317" i="28"/>
  <c r="H317" i="28"/>
  <c r="G317" i="28"/>
  <c r="F317" i="28"/>
  <c r="B317" i="28"/>
  <c r="K316" i="28"/>
  <c r="I316" i="28"/>
  <c r="H316" i="28"/>
  <c r="G316" i="28"/>
  <c r="F316" i="28"/>
  <c r="B316" i="28"/>
  <c r="K315" i="28"/>
  <c r="I315" i="28"/>
  <c r="H315" i="28"/>
  <c r="G315" i="28"/>
  <c r="F315" i="28"/>
  <c r="B315" i="28"/>
  <c r="K314" i="28"/>
  <c r="I314" i="28"/>
  <c r="H314" i="28"/>
  <c r="G314" i="28"/>
  <c r="F314" i="28"/>
  <c r="B314" i="28"/>
  <c r="K313" i="28"/>
  <c r="I313" i="28"/>
  <c r="H313" i="28"/>
  <c r="G313" i="28"/>
  <c r="F313" i="28"/>
  <c r="B313" i="28"/>
  <c r="K312" i="28"/>
  <c r="I312" i="28"/>
  <c r="H312" i="28"/>
  <c r="G312" i="28"/>
  <c r="F312" i="28"/>
  <c r="B312" i="28"/>
  <c r="K311" i="28"/>
  <c r="I311" i="28"/>
  <c r="H311" i="28"/>
  <c r="G311" i="28"/>
  <c r="F311" i="28"/>
  <c r="B311" i="28"/>
  <c r="K310" i="28"/>
  <c r="I310" i="28"/>
  <c r="H310" i="28"/>
  <c r="G310" i="28"/>
  <c r="F310" i="28"/>
  <c r="B310" i="28"/>
  <c r="K309" i="28"/>
  <c r="I309" i="28"/>
  <c r="H309" i="28"/>
  <c r="G309" i="28"/>
  <c r="F309" i="28"/>
  <c r="B309" i="28"/>
  <c r="L308" i="28"/>
  <c r="N308" i="28" s="1"/>
  <c r="L307" i="28"/>
  <c r="N307" i="28" s="1"/>
  <c r="L306" i="28"/>
  <c r="N306" i="28" s="1"/>
  <c r="K304" i="28"/>
  <c r="I304" i="28"/>
  <c r="H304" i="28"/>
  <c r="G304" i="28"/>
  <c r="F304" i="28"/>
  <c r="B304" i="28"/>
  <c r="K303" i="28"/>
  <c r="I303" i="28"/>
  <c r="H303" i="28"/>
  <c r="G303" i="28"/>
  <c r="F303" i="28"/>
  <c r="B303" i="28"/>
  <c r="K302" i="28"/>
  <c r="I302" i="28"/>
  <c r="H302" i="28"/>
  <c r="G302" i="28"/>
  <c r="F302" i="28"/>
  <c r="B302" i="28"/>
  <c r="K301" i="28"/>
  <c r="I301" i="28"/>
  <c r="H301" i="28"/>
  <c r="G301" i="28"/>
  <c r="F301" i="28"/>
  <c r="B301" i="28"/>
  <c r="K300" i="28"/>
  <c r="I300" i="28"/>
  <c r="H300" i="28"/>
  <c r="G300" i="28"/>
  <c r="F300" i="28"/>
  <c r="B300" i="28"/>
  <c r="K299" i="28"/>
  <c r="I299" i="28"/>
  <c r="H299" i="28"/>
  <c r="G299" i="28"/>
  <c r="F299" i="28"/>
  <c r="B299" i="28"/>
  <c r="K298" i="28"/>
  <c r="I298" i="28"/>
  <c r="H298" i="28"/>
  <c r="G298" i="28"/>
  <c r="F298" i="28"/>
  <c r="B298" i="28"/>
  <c r="K297" i="28"/>
  <c r="I297" i="28"/>
  <c r="H297" i="28"/>
  <c r="G297" i="28"/>
  <c r="F297" i="28"/>
  <c r="B297" i="28"/>
  <c r="K296" i="28"/>
  <c r="I296" i="28"/>
  <c r="H296" i="28"/>
  <c r="G296" i="28"/>
  <c r="F296" i="28"/>
  <c r="B296" i="28"/>
  <c r="K295" i="28"/>
  <c r="I295" i="28"/>
  <c r="H295" i="28"/>
  <c r="G295" i="28"/>
  <c r="F295" i="28"/>
  <c r="B295" i="28"/>
  <c r="K294" i="28"/>
  <c r="I294" i="28"/>
  <c r="H294" i="28"/>
  <c r="G294" i="28"/>
  <c r="F294" i="28"/>
  <c r="B294" i="28"/>
  <c r="K293" i="28"/>
  <c r="I293" i="28"/>
  <c r="H293" i="28"/>
  <c r="G293" i="28"/>
  <c r="F293" i="28"/>
  <c r="B293" i="28"/>
  <c r="K292" i="28"/>
  <c r="I292" i="28"/>
  <c r="H292" i="28"/>
  <c r="G292" i="28"/>
  <c r="F292" i="28"/>
  <c r="B292" i="28"/>
  <c r="K291" i="28"/>
  <c r="I291" i="28"/>
  <c r="H291" i="28"/>
  <c r="G291" i="28"/>
  <c r="F291" i="28"/>
  <c r="B291" i="28"/>
  <c r="K290" i="28"/>
  <c r="I290" i="28"/>
  <c r="H290" i="28"/>
  <c r="G290" i="28"/>
  <c r="F290" i="28"/>
  <c r="B290" i="28"/>
  <c r="L289" i="28"/>
  <c r="N289" i="28" s="1"/>
  <c r="L288" i="28"/>
  <c r="N288" i="28" s="1"/>
  <c r="L287" i="28"/>
  <c r="N287" i="28" s="1"/>
  <c r="K285" i="28"/>
  <c r="I285" i="28"/>
  <c r="H285" i="28"/>
  <c r="G285" i="28"/>
  <c r="F285" i="28"/>
  <c r="B285" i="28"/>
  <c r="K284" i="28"/>
  <c r="I284" i="28"/>
  <c r="H284" i="28"/>
  <c r="G284" i="28"/>
  <c r="F284" i="28"/>
  <c r="B284" i="28"/>
  <c r="K283" i="28"/>
  <c r="I283" i="28"/>
  <c r="H283" i="28"/>
  <c r="G283" i="28"/>
  <c r="F283" i="28"/>
  <c r="B283" i="28"/>
  <c r="K282" i="28"/>
  <c r="I282" i="28"/>
  <c r="H282" i="28"/>
  <c r="G282" i="28"/>
  <c r="F282" i="28"/>
  <c r="B282" i="28"/>
  <c r="K281" i="28"/>
  <c r="I281" i="28"/>
  <c r="H281" i="28"/>
  <c r="G281" i="28"/>
  <c r="F281" i="28"/>
  <c r="B281" i="28"/>
  <c r="K280" i="28"/>
  <c r="I280" i="28"/>
  <c r="H280" i="28"/>
  <c r="G280" i="28"/>
  <c r="F280" i="28"/>
  <c r="B280" i="28"/>
  <c r="K279" i="28"/>
  <c r="I279" i="28"/>
  <c r="H279" i="28"/>
  <c r="G279" i="28"/>
  <c r="F279" i="28"/>
  <c r="B279" i="28"/>
  <c r="K278" i="28"/>
  <c r="I278" i="28"/>
  <c r="H278" i="28"/>
  <c r="G278" i="28"/>
  <c r="F278" i="28"/>
  <c r="B278" i="28"/>
  <c r="K277" i="28"/>
  <c r="I277" i="28"/>
  <c r="H277" i="28"/>
  <c r="G277" i="28"/>
  <c r="F277" i="28"/>
  <c r="B277" i="28"/>
  <c r="K276" i="28"/>
  <c r="I276" i="28"/>
  <c r="H276" i="28"/>
  <c r="G276" i="28"/>
  <c r="F276" i="28"/>
  <c r="B276" i="28"/>
  <c r="K275" i="28"/>
  <c r="I275" i="28"/>
  <c r="H275" i="28"/>
  <c r="G275" i="28"/>
  <c r="F275" i="28"/>
  <c r="B275" i="28"/>
  <c r="K274" i="28"/>
  <c r="I274" i="28"/>
  <c r="H274" i="28"/>
  <c r="G274" i="28"/>
  <c r="F274" i="28"/>
  <c r="B274" i="28"/>
  <c r="K273" i="28"/>
  <c r="I273" i="28"/>
  <c r="H273" i="28"/>
  <c r="G273" i="28"/>
  <c r="F273" i="28"/>
  <c r="B273" i="28"/>
  <c r="K272" i="28"/>
  <c r="I272" i="28"/>
  <c r="H272" i="28"/>
  <c r="G272" i="28"/>
  <c r="F272" i="28"/>
  <c r="B272" i="28"/>
  <c r="K271" i="28"/>
  <c r="I271" i="28"/>
  <c r="H271" i="28"/>
  <c r="G271" i="28"/>
  <c r="F271" i="28"/>
  <c r="B271" i="28"/>
  <c r="L270" i="28"/>
  <c r="N270" i="28" s="1"/>
  <c r="L269" i="28"/>
  <c r="N269" i="28" s="1"/>
  <c r="L268" i="28"/>
  <c r="N268" i="28" s="1"/>
  <c r="K266" i="28"/>
  <c r="I266" i="28"/>
  <c r="H266" i="28"/>
  <c r="G266" i="28"/>
  <c r="F266" i="28"/>
  <c r="B266" i="28"/>
  <c r="K265" i="28"/>
  <c r="I265" i="28"/>
  <c r="H265" i="28"/>
  <c r="G265" i="28"/>
  <c r="F265" i="28"/>
  <c r="B265" i="28"/>
  <c r="K264" i="28"/>
  <c r="I264" i="28"/>
  <c r="H264" i="28"/>
  <c r="G264" i="28"/>
  <c r="F264" i="28"/>
  <c r="B264" i="28"/>
  <c r="K263" i="28"/>
  <c r="I263" i="28"/>
  <c r="H263" i="28"/>
  <c r="G263" i="28"/>
  <c r="F263" i="28"/>
  <c r="B263" i="28"/>
  <c r="K262" i="28"/>
  <c r="I262" i="28"/>
  <c r="H262" i="28"/>
  <c r="G262" i="28"/>
  <c r="F262" i="28"/>
  <c r="B262" i="28"/>
  <c r="K261" i="28"/>
  <c r="I261" i="28"/>
  <c r="H261" i="28"/>
  <c r="G261" i="28"/>
  <c r="F261" i="28"/>
  <c r="B261" i="28"/>
  <c r="K260" i="28"/>
  <c r="I260" i="28"/>
  <c r="H260" i="28"/>
  <c r="G260" i="28"/>
  <c r="F260" i="28"/>
  <c r="B260" i="28"/>
  <c r="K259" i="28"/>
  <c r="I259" i="28"/>
  <c r="H259" i="28"/>
  <c r="G259" i="28"/>
  <c r="F259" i="28"/>
  <c r="B259" i="28"/>
  <c r="K258" i="28"/>
  <c r="I258" i="28"/>
  <c r="H258" i="28"/>
  <c r="G258" i="28"/>
  <c r="F258" i="28"/>
  <c r="B258" i="28"/>
  <c r="K257" i="28"/>
  <c r="I257" i="28"/>
  <c r="H257" i="28"/>
  <c r="G257" i="28"/>
  <c r="F257" i="28"/>
  <c r="B257" i="28"/>
  <c r="K256" i="28"/>
  <c r="I256" i="28"/>
  <c r="H256" i="28"/>
  <c r="G256" i="28"/>
  <c r="F256" i="28"/>
  <c r="B256" i="28"/>
  <c r="K255" i="28"/>
  <c r="I255" i="28"/>
  <c r="H255" i="28"/>
  <c r="G255" i="28"/>
  <c r="F255" i="28"/>
  <c r="B255" i="28"/>
  <c r="K254" i="28"/>
  <c r="I254" i="28"/>
  <c r="H254" i="28"/>
  <c r="G254" i="28"/>
  <c r="F254" i="28"/>
  <c r="B254" i="28"/>
  <c r="K253" i="28"/>
  <c r="I253" i="28"/>
  <c r="H253" i="28"/>
  <c r="G253" i="28"/>
  <c r="F253" i="28"/>
  <c r="B253" i="28"/>
  <c r="K252" i="28"/>
  <c r="I252" i="28"/>
  <c r="H252" i="28"/>
  <c r="G252" i="28"/>
  <c r="F252" i="28"/>
  <c r="B252" i="28"/>
  <c r="L251" i="28"/>
  <c r="N251" i="28" s="1"/>
  <c r="L250" i="28"/>
  <c r="N250" i="28" s="1"/>
  <c r="L249" i="28"/>
  <c r="N249" i="28" s="1"/>
  <c r="J236" i="28"/>
  <c r="H236" i="28"/>
  <c r="G236" i="28"/>
  <c r="F236" i="28"/>
  <c r="E236" i="28"/>
  <c r="B236" i="28"/>
  <c r="J235" i="28"/>
  <c r="H235" i="28"/>
  <c r="G235" i="28"/>
  <c r="F235" i="28"/>
  <c r="E235" i="28"/>
  <c r="B235" i="28"/>
  <c r="J234" i="28"/>
  <c r="H234" i="28"/>
  <c r="G234" i="28"/>
  <c r="F234" i="28"/>
  <c r="E234" i="28"/>
  <c r="B234" i="28"/>
  <c r="J233" i="28"/>
  <c r="J239" i="28" s="1"/>
  <c r="H233" i="28"/>
  <c r="H239" i="28" s="1"/>
  <c r="G233" i="28"/>
  <c r="G239" i="28" s="1"/>
  <c r="F233" i="28"/>
  <c r="F239" i="28" s="1"/>
  <c r="E233" i="28"/>
  <c r="E239" i="28" s="1"/>
  <c r="B233" i="28"/>
  <c r="B239" i="28" s="1"/>
  <c r="J232" i="28"/>
  <c r="J238" i="28" s="1"/>
  <c r="H232" i="28"/>
  <c r="H238" i="28" s="1"/>
  <c r="G232" i="28"/>
  <c r="G238" i="28" s="1"/>
  <c r="F232" i="28"/>
  <c r="F238" i="28" s="1"/>
  <c r="E232" i="28"/>
  <c r="E238" i="28" s="1"/>
  <c r="B232" i="28"/>
  <c r="B238" i="28" s="1"/>
  <c r="J231" i="28"/>
  <c r="J237" i="28" s="1"/>
  <c r="H231" i="28"/>
  <c r="H237" i="28" s="1"/>
  <c r="G231" i="28"/>
  <c r="G237" i="28" s="1"/>
  <c r="F231" i="28"/>
  <c r="F237" i="28" s="1"/>
  <c r="E231" i="28"/>
  <c r="E237" i="28" s="1"/>
  <c r="B231" i="28"/>
  <c r="B237" i="28" s="1"/>
  <c r="K230" i="28"/>
  <c r="M230" i="28" s="1"/>
  <c r="K229" i="28"/>
  <c r="M229" i="28" s="1"/>
  <c r="K228" i="28"/>
  <c r="M228" i="28" s="1"/>
  <c r="K232" i="28" l="1"/>
  <c r="M232" i="28" s="1"/>
  <c r="K452" i="28"/>
  <c r="M452" i="28" s="1"/>
  <c r="I182" i="82"/>
  <c r="K182" i="82" s="1"/>
  <c r="I401" i="81"/>
  <c r="K401" i="81" s="1"/>
  <c r="K888" i="80"/>
  <c r="M888" i="80" s="1"/>
  <c r="K451" i="80"/>
  <c r="M451" i="80" s="1"/>
  <c r="K233" i="80"/>
  <c r="M233" i="80" s="1"/>
  <c r="K1108" i="80"/>
  <c r="M1108" i="80" s="1"/>
  <c r="K233" i="28"/>
  <c r="M233" i="28" s="1"/>
  <c r="K451" i="28"/>
  <c r="M451" i="28" s="1"/>
  <c r="K1107" i="80"/>
  <c r="M1107" i="80" s="1"/>
  <c r="K1326" i="80"/>
  <c r="M1326" i="80" s="1"/>
  <c r="K1327" i="80"/>
  <c r="M1327" i="80" s="1"/>
  <c r="K1328" i="80"/>
  <c r="M1328" i="80" s="1"/>
  <c r="K231" i="28"/>
  <c r="M231" i="28" s="1"/>
  <c r="K450" i="28"/>
  <c r="M450" i="28" s="1"/>
  <c r="K890" i="80"/>
  <c r="M890" i="80" s="1"/>
  <c r="I201" i="82"/>
  <c r="K201" i="82" s="1"/>
  <c r="I420" i="81"/>
  <c r="K420" i="81" s="1"/>
  <c r="A182" i="81"/>
  <c r="C182" i="81"/>
  <c r="F182" i="81"/>
  <c r="E182" i="81"/>
  <c r="H182" i="81"/>
  <c r="D201" i="81"/>
  <c r="E201" i="81"/>
  <c r="K1329" i="80"/>
  <c r="M1329" i="80" s="1"/>
  <c r="L1453" i="80"/>
  <c r="N1453" i="80" s="1"/>
  <c r="L1455" i="80"/>
  <c r="N1455" i="80" s="1"/>
  <c r="K1549" i="80"/>
  <c r="M1549" i="80" s="1"/>
  <c r="L1567" i="80"/>
  <c r="N1567" i="80" s="1"/>
  <c r="L1571" i="80"/>
  <c r="N1571" i="80" s="1"/>
  <c r="L1624" i="80"/>
  <c r="N1624" i="80" s="1"/>
  <c r="L1626" i="80"/>
  <c r="N1626" i="80" s="1"/>
  <c r="K1771" i="80"/>
  <c r="M1771" i="80" s="1"/>
  <c r="K1767" i="80"/>
  <c r="M1767" i="80" s="1"/>
  <c r="K1769" i="80"/>
  <c r="M1769" i="80" s="1"/>
  <c r="L1785" i="80"/>
  <c r="N1785" i="80" s="1"/>
  <c r="L1787" i="80"/>
  <c r="N1787" i="80" s="1"/>
  <c r="L1789" i="80"/>
  <c r="N1789" i="80" s="1"/>
  <c r="L1791" i="80"/>
  <c r="N1791" i="80" s="1"/>
  <c r="L1793" i="80"/>
  <c r="N1793" i="80" s="1"/>
  <c r="L1795" i="80"/>
  <c r="N1795" i="80" s="1"/>
  <c r="L1797" i="80"/>
  <c r="N1797" i="80" s="1"/>
  <c r="L1799" i="80"/>
  <c r="N1799" i="80" s="1"/>
  <c r="L1804" i="80"/>
  <c r="N1804" i="80" s="1"/>
  <c r="L1806" i="80"/>
  <c r="N1806" i="80" s="1"/>
  <c r="L1808" i="80"/>
  <c r="N1808" i="80" s="1"/>
  <c r="L1810" i="80"/>
  <c r="N1810" i="80" s="1"/>
  <c r="L1812" i="80"/>
  <c r="N1812" i="80" s="1"/>
  <c r="L1814" i="80"/>
  <c r="N1814" i="80" s="1"/>
  <c r="L1816" i="80"/>
  <c r="N1816" i="80" s="1"/>
  <c r="L1818" i="80"/>
  <c r="N1818" i="80" s="1"/>
  <c r="L1823" i="80"/>
  <c r="N1823" i="80" s="1"/>
  <c r="L1825" i="80"/>
  <c r="N1825" i="80" s="1"/>
  <c r="L1827" i="80"/>
  <c r="N1827" i="80" s="1"/>
  <c r="L1829" i="80"/>
  <c r="N1829" i="80" s="1"/>
  <c r="L1831" i="80"/>
  <c r="N1831" i="80" s="1"/>
  <c r="L1833" i="80"/>
  <c r="N1833" i="80" s="1"/>
  <c r="L1835" i="80"/>
  <c r="N1835" i="80" s="1"/>
  <c r="L1837" i="80"/>
  <c r="N1837" i="80" s="1"/>
  <c r="L1842" i="80"/>
  <c r="N1842" i="80" s="1"/>
  <c r="L1844" i="80"/>
  <c r="N1844" i="80" s="1"/>
  <c r="L1846" i="80"/>
  <c r="N1846" i="80" s="1"/>
  <c r="L1848" i="80"/>
  <c r="N1848" i="80" s="1"/>
  <c r="L1850" i="80"/>
  <c r="N1850" i="80" s="1"/>
  <c r="L1852" i="80"/>
  <c r="N1852" i="80" s="1"/>
  <c r="L1854" i="80"/>
  <c r="N1854" i="80" s="1"/>
  <c r="L1856" i="80"/>
  <c r="N1856" i="80" s="1"/>
  <c r="L1861" i="80"/>
  <c r="N1861" i="80" s="1"/>
  <c r="L1863" i="80"/>
  <c r="N1863" i="80" s="1"/>
  <c r="L1865" i="80"/>
  <c r="N1865" i="80" s="1"/>
  <c r="L1867" i="80"/>
  <c r="N1867" i="80" s="1"/>
  <c r="L1869" i="80"/>
  <c r="N1869" i="80" s="1"/>
  <c r="L1871" i="80"/>
  <c r="N1871" i="80" s="1"/>
  <c r="L1873" i="80"/>
  <c r="N1873" i="80" s="1"/>
  <c r="L1875" i="80"/>
  <c r="N1875" i="80" s="1"/>
  <c r="L1880" i="80"/>
  <c r="N1880" i="80" s="1"/>
  <c r="L1882" i="80"/>
  <c r="N1882" i="80" s="1"/>
  <c r="L1884" i="80"/>
  <c r="N1884" i="80" s="1"/>
  <c r="L1886" i="80"/>
  <c r="N1886" i="80" s="1"/>
  <c r="C201" i="81"/>
  <c r="B182" i="81"/>
  <c r="A201" i="81"/>
  <c r="F201" i="81"/>
  <c r="H201" i="81"/>
  <c r="B201" i="81"/>
  <c r="L1888" i="80"/>
  <c r="N1888" i="80" s="1"/>
  <c r="L1890" i="80"/>
  <c r="N1890" i="80" s="1"/>
  <c r="L1892" i="80"/>
  <c r="N1892" i="80" s="1"/>
  <c r="L1894" i="80"/>
  <c r="N1894" i="80" s="1"/>
  <c r="L1899" i="80"/>
  <c r="N1899" i="80" s="1"/>
  <c r="L1901" i="80"/>
  <c r="N1901" i="80" s="1"/>
  <c r="L1903" i="80"/>
  <c r="N1903" i="80" s="1"/>
  <c r="L1905" i="80"/>
  <c r="N1905" i="80" s="1"/>
  <c r="L1907" i="80"/>
  <c r="N1907" i="80" s="1"/>
  <c r="L1909" i="80"/>
  <c r="N1909" i="80" s="1"/>
  <c r="L1911" i="80"/>
  <c r="N1911" i="80" s="1"/>
  <c r="L1913" i="80"/>
  <c r="N1913" i="80" s="1"/>
  <c r="L1918" i="80"/>
  <c r="N1918" i="80" s="1"/>
  <c r="L1920" i="80"/>
  <c r="N1920" i="80" s="1"/>
  <c r="L1922" i="80"/>
  <c r="N1922" i="80" s="1"/>
  <c r="L1924" i="80"/>
  <c r="N1924" i="80" s="1"/>
  <c r="L1926" i="80"/>
  <c r="N1926" i="80" s="1"/>
  <c r="L1928" i="80"/>
  <c r="N1928" i="80" s="1"/>
  <c r="L1930" i="80"/>
  <c r="N1930" i="80" s="1"/>
  <c r="L1932" i="80"/>
  <c r="N1932" i="80" s="1"/>
  <c r="D182" i="81"/>
  <c r="K1552" i="80"/>
  <c r="M1552" i="80" s="1"/>
  <c r="L1366" i="80"/>
  <c r="N1366" i="80" s="1"/>
  <c r="L1456" i="80"/>
  <c r="N1456" i="80" s="1"/>
  <c r="K1553" i="80"/>
  <c r="M1553" i="80" s="1"/>
  <c r="K1548" i="80"/>
  <c r="M1548" i="80" s="1"/>
  <c r="K1550" i="80"/>
  <c r="M1550" i="80" s="1"/>
  <c r="L1566" i="80"/>
  <c r="N1566" i="80" s="1"/>
  <c r="L1625" i="80"/>
  <c r="N1625" i="80" s="1"/>
  <c r="L1627" i="80"/>
  <c r="N1627" i="80" s="1"/>
  <c r="L1631" i="80"/>
  <c r="N1631" i="80" s="1"/>
  <c r="L1713" i="80"/>
  <c r="N1713" i="80" s="1"/>
  <c r="K1770" i="80"/>
  <c r="M1770" i="80" s="1"/>
  <c r="K1772" i="80"/>
  <c r="M1772" i="80" s="1"/>
  <c r="K1768" i="80"/>
  <c r="M1768" i="80" s="1"/>
  <c r="L1786" i="80"/>
  <c r="N1786" i="80" s="1"/>
  <c r="L1788" i="80"/>
  <c r="N1788" i="80" s="1"/>
  <c r="L1790" i="80"/>
  <c r="N1790" i="80" s="1"/>
  <c r="L1792" i="80"/>
  <c r="N1792" i="80" s="1"/>
  <c r="L1794" i="80"/>
  <c r="N1794" i="80" s="1"/>
  <c r="L1796" i="80"/>
  <c r="N1796" i="80" s="1"/>
  <c r="L1798" i="80"/>
  <c r="N1798" i="80" s="1"/>
  <c r="L1805" i="80"/>
  <c r="N1805" i="80" s="1"/>
  <c r="L1807" i="80"/>
  <c r="N1807" i="80" s="1"/>
  <c r="L1809" i="80"/>
  <c r="N1809" i="80" s="1"/>
  <c r="L1811" i="80"/>
  <c r="N1811" i="80" s="1"/>
  <c r="L1813" i="80"/>
  <c r="N1813" i="80" s="1"/>
  <c r="L1815" i="80"/>
  <c r="N1815" i="80" s="1"/>
  <c r="L1817" i="80"/>
  <c r="N1817" i="80" s="1"/>
  <c r="L1824" i="80"/>
  <c r="N1824" i="80" s="1"/>
  <c r="L1826" i="80"/>
  <c r="N1826" i="80" s="1"/>
  <c r="L1828" i="80"/>
  <c r="N1828" i="80" s="1"/>
  <c r="L1830" i="80"/>
  <c r="N1830" i="80" s="1"/>
  <c r="L1832" i="80"/>
  <c r="N1832" i="80" s="1"/>
  <c r="L1834" i="80"/>
  <c r="N1834" i="80" s="1"/>
  <c r="L1836" i="80"/>
  <c r="N1836" i="80" s="1"/>
  <c r="L1843" i="80"/>
  <c r="N1843" i="80" s="1"/>
  <c r="L1845" i="80"/>
  <c r="N1845" i="80" s="1"/>
  <c r="L1847" i="80"/>
  <c r="N1847" i="80" s="1"/>
  <c r="L1849" i="80"/>
  <c r="N1849" i="80" s="1"/>
  <c r="L1851" i="80"/>
  <c r="N1851" i="80" s="1"/>
  <c r="L1853" i="80"/>
  <c r="N1853" i="80" s="1"/>
  <c r="L1855" i="80"/>
  <c r="N1855" i="80" s="1"/>
  <c r="L1862" i="80"/>
  <c r="N1862" i="80" s="1"/>
  <c r="L1864" i="80"/>
  <c r="N1864" i="80" s="1"/>
  <c r="L1866" i="80"/>
  <c r="N1866" i="80" s="1"/>
  <c r="L1868" i="80"/>
  <c r="N1868" i="80" s="1"/>
  <c r="L1870" i="80"/>
  <c r="N1870" i="80" s="1"/>
  <c r="L1872" i="80"/>
  <c r="N1872" i="80" s="1"/>
  <c r="L1874" i="80"/>
  <c r="N1874" i="80" s="1"/>
  <c r="L1881" i="80"/>
  <c r="N1881" i="80" s="1"/>
  <c r="L1883" i="80"/>
  <c r="N1883" i="80" s="1"/>
  <c r="L1885" i="80"/>
  <c r="N1885" i="80" s="1"/>
  <c r="L1887" i="80"/>
  <c r="N1887" i="80" s="1"/>
  <c r="L1889" i="80"/>
  <c r="N1889" i="80" s="1"/>
  <c r="L1891" i="80"/>
  <c r="N1891" i="80" s="1"/>
  <c r="L1893" i="80"/>
  <c r="N1893" i="80" s="1"/>
  <c r="L1900" i="80"/>
  <c r="N1900" i="80" s="1"/>
  <c r="L1902" i="80"/>
  <c r="N1902" i="80" s="1"/>
  <c r="L1904" i="80"/>
  <c r="N1904" i="80" s="1"/>
  <c r="L1906" i="80"/>
  <c r="N1906" i="80" s="1"/>
  <c r="L1908" i="80"/>
  <c r="N1908" i="80" s="1"/>
  <c r="L1910" i="80"/>
  <c r="N1910" i="80" s="1"/>
  <c r="L1912" i="80"/>
  <c r="N1912" i="80" s="1"/>
  <c r="L1919" i="80"/>
  <c r="N1919" i="80" s="1"/>
  <c r="L1921" i="80"/>
  <c r="N1921" i="80" s="1"/>
  <c r="L1923" i="80"/>
  <c r="N1923" i="80" s="1"/>
  <c r="L1925" i="80"/>
  <c r="N1925" i="80" s="1"/>
  <c r="L1927" i="80"/>
  <c r="N1927" i="80" s="1"/>
  <c r="L1929" i="80"/>
  <c r="N1929" i="80" s="1"/>
  <c r="L1188" i="80"/>
  <c r="N1188" i="80" s="1"/>
  <c r="L1190" i="80"/>
  <c r="N1190" i="80" s="1"/>
  <c r="L1194" i="80"/>
  <c r="N1194" i="80" s="1"/>
  <c r="L1662" i="80"/>
  <c r="N1662" i="80" s="1"/>
  <c r="L1674" i="80"/>
  <c r="N1674" i="80" s="1"/>
  <c r="L1704" i="80"/>
  <c r="N1704" i="80" s="1"/>
  <c r="L1712" i="80"/>
  <c r="N1712" i="80" s="1"/>
  <c r="L1577" i="80"/>
  <c r="N1577" i="80" s="1"/>
  <c r="L1579" i="80"/>
  <c r="N1579" i="80" s="1"/>
  <c r="L1605" i="80"/>
  <c r="N1605" i="80" s="1"/>
  <c r="L1607" i="80"/>
  <c r="N1607" i="80" s="1"/>
  <c r="L1609" i="80"/>
  <c r="N1609" i="80" s="1"/>
  <c r="L1611" i="80"/>
  <c r="N1611" i="80" s="1"/>
  <c r="L1613" i="80"/>
  <c r="N1613" i="80" s="1"/>
  <c r="L1615" i="80"/>
  <c r="N1615" i="80" s="1"/>
  <c r="L1617" i="80"/>
  <c r="N1617" i="80" s="1"/>
  <c r="L1633" i="80"/>
  <c r="N1633" i="80" s="1"/>
  <c r="L1635" i="80"/>
  <c r="N1635" i="80" s="1"/>
  <c r="L1664" i="80"/>
  <c r="N1664" i="80" s="1"/>
  <c r="L1666" i="80"/>
  <c r="N1666" i="80" s="1"/>
  <c r="L1668" i="80"/>
  <c r="N1668" i="80" s="1"/>
  <c r="L1670" i="80"/>
  <c r="N1670" i="80" s="1"/>
  <c r="L1699" i="80"/>
  <c r="N1699" i="80" s="1"/>
  <c r="L1705" i="80"/>
  <c r="N1705" i="80" s="1"/>
  <c r="L1707" i="80"/>
  <c r="N1707" i="80" s="1"/>
  <c r="L1931" i="80"/>
  <c r="N1931" i="80" s="1"/>
  <c r="L1598" i="80"/>
  <c r="N1598" i="80" s="1"/>
  <c r="L1604" i="80"/>
  <c r="N1604" i="80" s="1"/>
  <c r="L1606" i="80"/>
  <c r="N1606" i="80" s="1"/>
  <c r="L1608" i="80"/>
  <c r="N1608" i="80" s="1"/>
  <c r="L1610" i="80"/>
  <c r="N1610" i="80" s="1"/>
  <c r="L1612" i="80"/>
  <c r="N1612" i="80" s="1"/>
  <c r="L1614" i="80"/>
  <c r="N1614" i="80" s="1"/>
  <c r="L1616" i="80"/>
  <c r="N1616" i="80" s="1"/>
  <c r="L1623" i="80"/>
  <c r="N1623" i="80" s="1"/>
  <c r="L1632" i="80"/>
  <c r="N1632" i="80" s="1"/>
  <c r="L1634" i="80"/>
  <c r="N1634" i="80" s="1"/>
  <c r="L1663" i="80"/>
  <c r="N1663" i="80" s="1"/>
  <c r="L1665" i="80"/>
  <c r="N1665" i="80" s="1"/>
  <c r="L1675" i="80"/>
  <c r="N1675" i="80" s="1"/>
  <c r="L1700" i="80"/>
  <c r="N1700" i="80" s="1"/>
  <c r="L1706" i="80"/>
  <c r="N1706" i="80" s="1"/>
  <c r="L1708" i="80"/>
  <c r="N1708" i="80" s="1"/>
  <c r="K1551" i="80"/>
  <c r="M1551" i="80" s="1"/>
  <c r="L1372" i="80"/>
  <c r="N1372" i="80" s="1"/>
  <c r="L1374" i="80"/>
  <c r="N1374" i="80" s="1"/>
  <c r="L1380" i="80"/>
  <c r="N1380" i="80" s="1"/>
  <c r="L1405" i="80"/>
  <c r="N1405" i="80" s="1"/>
  <c r="L1411" i="80"/>
  <c r="N1411" i="80" s="1"/>
  <c r="L1413" i="80"/>
  <c r="N1413" i="80" s="1"/>
  <c r="L1423" i="80"/>
  <c r="N1423" i="80" s="1"/>
  <c r="L1425" i="80"/>
  <c r="N1425" i="80" s="1"/>
  <c r="L1427" i="80"/>
  <c r="N1427" i="80" s="1"/>
  <c r="L1429" i="80"/>
  <c r="N1429" i="80" s="1"/>
  <c r="L1442" i="80"/>
  <c r="N1442" i="80" s="1"/>
  <c r="L1444" i="80"/>
  <c r="N1444" i="80" s="1"/>
  <c r="L1450" i="80"/>
  <c r="N1450" i="80" s="1"/>
  <c r="L1452" i="80"/>
  <c r="N1452" i="80" s="1"/>
  <c r="L1575" i="80"/>
  <c r="N1575" i="80" s="1"/>
  <c r="L1585" i="80"/>
  <c r="N1585" i="80" s="1"/>
  <c r="L1587" i="80"/>
  <c r="N1587" i="80" s="1"/>
  <c r="L1589" i="80"/>
  <c r="N1589" i="80" s="1"/>
  <c r="L1591" i="80"/>
  <c r="N1591" i="80" s="1"/>
  <c r="L1593" i="80"/>
  <c r="N1593" i="80" s="1"/>
  <c r="L1595" i="80"/>
  <c r="N1595" i="80" s="1"/>
  <c r="L1597" i="80"/>
  <c r="N1597" i="80" s="1"/>
  <c r="L1599" i="80"/>
  <c r="N1599" i="80" s="1"/>
  <c r="L1629" i="80"/>
  <c r="N1629" i="80" s="1"/>
  <c r="L1636" i="80"/>
  <c r="N1636" i="80" s="1"/>
  <c r="L1661" i="80"/>
  <c r="N1661" i="80" s="1"/>
  <c r="L1424" i="80"/>
  <c r="N1424" i="80" s="1"/>
  <c r="L1426" i="80"/>
  <c r="N1426" i="80" s="1"/>
  <c r="L1428" i="80"/>
  <c r="N1428" i="80" s="1"/>
  <c r="L1569" i="80"/>
  <c r="N1569" i="80" s="1"/>
  <c r="L1572" i="80"/>
  <c r="N1572" i="80" s="1"/>
  <c r="L1574" i="80"/>
  <c r="N1574" i="80" s="1"/>
  <c r="L1580" i="80"/>
  <c r="N1580" i="80" s="1"/>
  <c r="L1586" i="80"/>
  <c r="N1586" i="80" s="1"/>
  <c r="L1588" i="80"/>
  <c r="N1588" i="80" s="1"/>
  <c r="L1590" i="80"/>
  <c r="N1590" i="80" s="1"/>
  <c r="L1592" i="80"/>
  <c r="N1592" i="80" s="1"/>
  <c r="L1594" i="80"/>
  <c r="N1594" i="80" s="1"/>
  <c r="L1596" i="80"/>
  <c r="N1596" i="80" s="1"/>
  <c r="L1628" i="80"/>
  <c r="N1628" i="80" s="1"/>
  <c r="L1630" i="80"/>
  <c r="N1630" i="80" s="1"/>
  <c r="L1637" i="80"/>
  <c r="N1637" i="80" s="1"/>
  <c r="L1667" i="80"/>
  <c r="N1667" i="80" s="1"/>
  <c r="L1669" i="80"/>
  <c r="N1669" i="80" s="1"/>
  <c r="L1671" i="80"/>
  <c r="N1671" i="80" s="1"/>
  <c r="L1673" i="80"/>
  <c r="N1673" i="80" s="1"/>
  <c r="L1701" i="80"/>
  <c r="N1701" i="80" s="1"/>
  <c r="L1703" i="80"/>
  <c r="N1703" i="80" s="1"/>
  <c r="L1710" i="80"/>
  <c r="N1710" i="80" s="1"/>
  <c r="K1764" i="80"/>
  <c r="M1764" i="80" s="1"/>
  <c r="K1765" i="80"/>
  <c r="M1765" i="80" s="1"/>
  <c r="K1766" i="80"/>
  <c r="M1766" i="80" s="1"/>
  <c r="L1672" i="80"/>
  <c r="N1672" i="80" s="1"/>
  <c r="L1680" i="80"/>
  <c r="N1680" i="80" s="1"/>
  <c r="L1682" i="80"/>
  <c r="N1682" i="80" s="1"/>
  <c r="L1684" i="80"/>
  <c r="N1684" i="80" s="1"/>
  <c r="L1686" i="80"/>
  <c r="N1686" i="80" s="1"/>
  <c r="L1688" i="80"/>
  <c r="N1688" i="80" s="1"/>
  <c r="L1690" i="80"/>
  <c r="N1690" i="80" s="1"/>
  <c r="L1692" i="80"/>
  <c r="N1692" i="80" s="1"/>
  <c r="L1694" i="80"/>
  <c r="N1694" i="80" s="1"/>
  <c r="L1702" i="80"/>
  <c r="N1702" i="80" s="1"/>
  <c r="L1709" i="80"/>
  <c r="N1709" i="80" s="1"/>
  <c r="L1711" i="80"/>
  <c r="N1711" i="80" s="1"/>
  <c r="K1330" i="80"/>
  <c r="M1330" i="80" s="1"/>
  <c r="L1348" i="80"/>
  <c r="N1348" i="80" s="1"/>
  <c r="L1350" i="80"/>
  <c r="N1350" i="80" s="1"/>
  <c r="L1352" i="80"/>
  <c r="N1352" i="80" s="1"/>
  <c r="L1354" i="80"/>
  <c r="N1354" i="80" s="1"/>
  <c r="L1356" i="80"/>
  <c r="N1356" i="80" s="1"/>
  <c r="L1358" i="80"/>
  <c r="N1358" i="80" s="1"/>
  <c r="L1370" i="80"/>
  <c r="N1370" i="80" s="1"/>
  <c r="L1378" i="80"/>
  <c r="N1378" i="80" s="1"/>
  <c r="L1409" i="80"/>
  <c r="N1409" i="80" s="1"/>
  <c r="L1417" i="80"/>
  <c r="N1417" i="80" s="1"/>
  <c r="L1448" i="80"/>
  <c r="N1448" i="80" s="1"/>
  <c r="L1568" i="80"/>
  <c r="N1568" i="80" s="1"/>
  <c r="L1570" i="80"/>
  <c r="N1570" i="80" s="1"/>
  <c r="L1618" i="80"/>
  <c r="N1618" i="80" s="1"/>
  <c r="L1681" i="80"/>
  <c r="N1681" i="80" s="1"/>
  <c r="L1683" i="80"/>
  <c r="N1683" i="80" s="1"/>
  <c r="L1685" i="80"/>
  <c r="N1685" i="80" s="1"/>
  <c r="L1687" i="80"/>
  <c r="N1687" i="80" s="1"/>
  <c r="L1689" i="80"/>
  <c r="N1689" i="80" s="1"/>
  <c r="L1691" i="80"/>
  <c r="N1691" i="80" s="1"/>
  <c r="L1693" i="80"/>
  <c r="N1693" i="80" s="1"/>
  <c r="L1347" i="80"/>
  <c r="N1347" i="80" s="1"/>
  <c r="L1349" i="80"/>
  <c r="N1349" i="80" s="1"/>
  <c r="L1351" i="80"/>
  <c r="N1351" i="80" s="1"/>
  <c r="L1353" i="80"/>
  <c r="N1353" i="80" s="1"/>
  <c r="L1355" i="80"/>
  <c r="N1355" i="80" s="1"/>
  <c r="L1357" i="80"/>
  <c r="N1357" i="80" s="1"/>
  <c r="L1367" i="80"/>
  <c r="N1367" i="80" s="1"/>
  <c r="L1369" i="80"/>
  <c r="N1369" i="80" s="1"/>
  <c r="L1375" i="80"/>
  <c r="N1375" i="80" s="1"/>
  <c r="L1377" i="80"/>
  <c r="N1377" i="80" s="1"/>
  <c r="L1406" i="80"/>
  <c r="N1406" i="80" s="1"/>
  <c r="L1408" i="80"/>
  <c r="N1408" i="80" s="1"/>
  <c r="L1414" i="80"/>
  <c r="N1414" i="80" s="1"/>
  <c r="L1416" i="80"/>
  <c r="N1416" i="80" s="1"/>
  <c r="L1445" i="80"/>
  <c r="N1445" i="80" s="1"/>
  <c r="L1447" i="80"/>
  <c r="N1447" i="80" s="1"/>
  <c r="L1573" i="80"/>
  <c r="N1573" i="80" s="1"/>
  <c r="L1576" i="80"/>
  <c r="N1576" i="80" s="1"/>
  <c r="L1578" i="80"/>
  <c r="N1578" i="80" s="1"/>
  <c r="L1368" i="80"/>
  <c r="N1368" i="80" s="1"/>
  <c r="L1371" i="80"/>
  <c r="N1371" i="80" s="1"/>
  <c r="L1373" i="80"/>
  <c r="N1373" i="80" s="1"/>
  <c r="L1393" i="80"/>
  <c r="N1393" i="80" s="1"/>
  <c r="L1395" i="80"/>
  <c r="N1395" i="80" s="1"/>
  <c r="L1397" i="80"/>
  <c r="N1397" i="80" s="1"/>
  <c r="L1399" i="80"/>
  <c r="N1399" i="80" s="1"/>
  <c r="L1407" i="80"/>
  <c r="N1407" i="80" s="1"/>
  <c r="L1410" i="80"/>
  <c r="N1410" i="80" s="1"/>
  <c r="L1412" i="80"/>
  <c r="N1412" i="80" s="1"/>
  <c r="L1446" i="80"/>
  <c r="N1446" i="80" s="1"/>
  <c r="L1449" i="80"/>
  <c r="N1449" i="80" s="1"/>
  <c r="L1451" i="80"/>
  <c r="N1451" i="80" s="1"/>
  <c r="L1461" i="80"/>
  <c r="N1461" i="80" s="1"/>
  <c r="L1463" i="80"/>
  <c r="N1463" i="80" s="1"/>
  <c r="L1465" i="80"/>
  <c r="N1465" i="80" s="1"/>
  <c r="L1467" i="80"/>
  <c r="N1467" i="80" s="1"/>
  <c r="L1469" i="80"/>
  <c r="N1469" i="80" s="1"/>
  <c r="L1471" i="80"/>
  <c r="N1471" i="80" s="1"/>
  <c r="L1473" i="80"/>
  <c r="N1473" i="80" s="1"/>
  <c r="L1475" i="80"/>
  <c r="N1475" i="80" s="1"/>
  <c r="L1481" i="80"/>
  <c r="N1481" i="80" s="1"/>
  <c r="L1483" i="80"/>
  <c r="N1483" i="80" s="1"/>
  <c r="L1485" i="80"/>
  <c r="N1485" i="80" s="1"/>
  <c r="L1487" i="80"/>
  <c r="N1487" i="80" s="1"/>
  <c r="L1489" i="80"/>
  <c r="N1489" i="80" s="1"/>
  <c r="L1491" i="80"/>
  <c r="N1491" i="80" s="1"/>
  <c r="L1493" i="80"/>
  <c r="N1493" i="80" s="1"/>
  <c r="L1643" i="80"/>
  <c r="N1643" i="80" s="1"/>
  <c r="L1645" i="80"/>
  <c r="N1645" i="80" s="1"/>
  <c r="L1647" i="80"/>
  <c r="N1647" i="80" s="1"/>
  <c r="L1649" i="80"/>
  <c r="N1649" i="80" s="1"/>
  <c r="L1651" i="80"/>
  <c r="N1651" i="80" s="1"/>
  <c r="L1653" i="80"/>
  <c r="N1653" i="80" s="1"/>
  <c r="L1655" i="80"/>
  <c r="N1655" i="80" s="1"/>
  <c r="K1331" i="80"/>
  <c r="M1331" i="80" s="1"/>
  <c r="L1376" i="80"/>
  <c r="N1376" i="80" s="1"/>
  <c r="L1379" i="80"/>
  <c r="N1379" i="80" s="1"/>
  <c r="L1394" i="80"/>
  <c r="N1394" i="80" s="1"/>
  <c r="L1396" i="80"/>
  <c r="N1396" i="80" s="1"/>
  <c r="L1398" i="80"/>
  <c r="N1398" i="80" s="1"/>
  <c r="L1404" i="80"/>
  <c r="N1404" i="80" s="1"/>
  <c r="L1415" i="80"/>
  <c r="N1415" i="80" s="1"/>
  <c r="L1418" i="80"/>
  <c r="N1418" i="80" s="1"/>
  <c r="L1443" i="80"/>
  <c r="N1443" i="80" s="1"/>
  <c r="L1454" i="80"/>
  <c r="N1454" i="80" s="1"/>
  <c r="L1462" i="80"/>
  <c r="N1462" i="80" s="1"/>
  <c r="L1464" i="80"/>
  <c r="N1464" i="80" s="1"/>
  <c r="L1466" i="80"/>
  <c r="N1466" i="80" s="1"/>
  <c r="L1468" i="80"/>
  <c r="N1468" i="80" s="1"/>
  <c r="L1470" i="80"/>
  <c r="N1470" i="80" s="1"/>
  <c r="L1472" i="80"/>
  <c r="N1472" i="80" s="1"/>
  <c r="L1474" i="80"/>
  <c r="N1474" i="80" s="1"/>
  <c r="L1480" i="80"/>
  <c r="N1480" i="80" s="1"/>
  <c r="L1482" i="80"/>
  <c r="N1482" i="80" s="1"/>
  <c r="L1484" i="80"/>
  <c r="N1484" i="80" s="1"/>
  <c r="L1486" i="80"/>
  <c r="N1486" i="80" s="1"/>
  <c r="L1488" i="80"/>
  <c r="N1488" i="80" s="1"/>
  <c r="L1490" i="80"/>
  <c r="N1490" i="80" s="1"/>
  <c r="L1492" i="80"/>
  <c r="N1492" i="80" s="1"/>
  <c r="L1642" i="80"/>
  <c r="N1642" i="80" s="1"/>
  <c r="L1644" i="80"/>
  <c r="N1644" i="80" s="1"/>
  <c r="L1646" i="80"/>
  <c r="N1646" i="80" s="1"/>
  <c r="L1648" i="80"/>
  <c r="N1648" i="80" s="1"/>
  <c r="L1650" i="80"/>
  <c r="N1650" i="80" s="1"/>
  <c r="L1652" i="80"/>
  <c r="N1652" i="80" s="1"/>
  <c r="L1654" i="80"/>
  <c r="N1654" i="80" s="1"/>
  <c r="L1656" i="80"/>
  <c r="N1656" i="80" s="1"/>
  <c r="L1494" i="80"/>
  <c r="N1494" i="80" s="1"/>
  <c r="K1110" i="80"/>
  <c r="M1110" i="80" s="1"/>
  <c r="L1198" i="80"/>
  <c r="N1198" i="80" s="1"/>
  <c r="L1225" i="80"/>
  <c r="N1225" i="80" s="1"/>
  <c r="L1233" i="80"/>
  <c r="N1233" i="80" s="1"/>
  <c r="K1332" i="80"/>
  <c r="M1332" i="80" s="1"/>
  <c r="K1333" i="80"/>
  <c r="M1333" i="80" s="1"/>
  <c r="K1334" i="80"/>
  <c r="M1334" i="80" s="1"/>
  <c r="L1360" i="80"/>
  <c r="N1360" i="80" s="1"/>
  <c r="L1385" i="80"/>
  <c r="N1385" i="80" s="1"/>
  <c r="L1387" i="80"/>
  <c r="N1387" i="80" s="1"/>
  <c r="L1389" i="80"/>
  <c r="N1389" i="80" s="1"/>
  <c r="L1391" i="80"/>
  <c r="N1391" i="80" s="1"/>
  <c r="L1431" i="80"/>
  <c r="N1431" i="80" s="1"/>
  <c r="L1433" i="80"/>
  <c r="N1433" i="80" s="1"/>
  <c r="L1435" i="80"/>
  <c r="N1435" i="80" s="1"/>
  <c r="L1437" i="80"/>
  <c r="N1437" i="80" s="1"/>
  <c r="K1115" i="80"/>
  <c r="M1115" i="80" s="1"/>
  <c r="L1199" i="80"/>
  <c r="N1199" i="80" s="1"/>
  <c r="L1224" i="80"/>
  <c r="N1224" i="80" s="1"/>
  <c r="L1226" i="80"/>
  <c r="N1226" i="80" s="1"/>
  <c r="L1228" i="80"/>
  <c r="N1228" i="80" s="1"/>
  <c r="L1359" i="80"/>
  <c r="N1359" i="80" s="1"/>
  <c r="L1361" i="80"/>
  <c r="N1361" i="80" s="1"/>
  <c r="L1386" i="80"/>
  <c r="N1386" i="80" s="1"/>
  <c r="L1388" i="80"/>
  <c r="N1388" i="80" s="1"/>
  <c r="L1390" i="80"/>
  <c r="N1390" i="80" s="1"/>
  <c r="L1392" i="80"/>
  <c r="N1392" i="80" s="1"/>
  <c r="L1430" i="80"/>
  <c r="N1430" i="80" s="1"/>
  <c r="L1432" i="80"/>
  <c r="N1432" i="80" s="1"/>
  <c r="L1434" i="80"/>
  <c r="N1434" i="80" s="1"/>
  <c r="L1436" i="80"/>
  <c r="N1436" i="80" s="1"/>
  <c r="L985" i="80"/>
  <c r="N985" i="80" s="1"/>
  <c r="L1024" i="80"/>
  <c r="N1024" i="80" s="1"/>
  <c r="L1032" i="80"/>
  <c r="N1032" i="80" s="1"/>
  <c r="K1111" i="80"/>
  <c r="M1111" i="80" s="1"/>
  <c r="L1129" i="80"/>
  <c r="N1129" i="80" s="1"/>
  <c r="L1131" i="80"/>
  <c r="N1131" i="80" s="1"/>
  <c r="L1133" i="80"/>
  <c r="N1133" i="80" s="1"/>
  <c r="L1135" i="80"/>
  <c r="N1135" i="80" s="1"/>
  <c r="L1137" i="80"/>
  <c r="N1137" i="80" s="1"/>
  <c r="L1141" i="80"/>
  <c r="N1141" i="80" s="1"/>
  <c r="L1147" i="80"/>
  <c r="N1147" i="80" s="1"/>
  <c r="L1149" i="80"/>
  <c r="N1149" i="80" s="1"/>
  <c r="L1151" i="80"/>
  <c r="N1151" i="80" s="1"/>
  <c r="L1153" i="80"/>
  <c r="N1153" i="80" s="1"/>
  <c r="L1155" i="80"/>
  <c r="N1155" i="80" s="1"/>
  <c r="L1157" i="80"/>
  <c r="N1157" i="80" s="1"/>
  <c r="L1159" i="80"/>
  <c r="N1159" i="80" s="1"/>
  <c r="L1161" i="80"/>
  <c r="N1161" i="80" s="1"/>
  <c r="L1185" i="80"/>
  <c r="N1185" i="80" s="1"/>
  <c r="L1187" i="80"/>
  <c r="N1187" i="80" s="1"/>
  <c r="L1189" i="80"/>
  <c r="N1189" i="80" s="1"/>
  <c r="L1237" i="80"/>
  <c r="N1237" i="80" s="1"/>
  <c r="L1242" i="80"/>
  <c r="N1242" i="80" s="1"/>
  <c r="L1244" i="80"/>
  <c r="N1244" i="80" s="1"/>
  <c r="L1246" i="80"/>
  <c r="N1246" i="80" s="1"/>
  <c r="L1248" i="80"/>
  <c r="N1248" i="80" s="1"/>
  <c r="L1250" i="80"/>
  <c r="N1250" i="80" s="1"/>
  <c r="L1252" i="80"/>
  <c r="N1252" i="80" s="1"/>
  <c r="L1254" i="80"/>
  <c r="N1254" i="80" s="1"/>
  <c r="L1256" i="80"/>
  <c r="N1256" i="80" s="1"/>
  <c r="L1266" i="80"/>
  <c r="N1266" i="80" s="1"/>
  <c r="L1268" i="80"/>
  <c r="N1268" i="80" s="1"/>
  <c r="L1270" i="80"/>
  <c r="N1270" i="80" s="1"/>
  <c r="L1272" i="80"/>
  <c r="N1272" i="80" s="1"/>
  <c r="L1274" i="80"/>
  <c r="N1274" i="80" s="1"/>
  <c r="L1166" i="80"/>
  <c r="N1166" i="80" s="1"/>
  <c r="L1168" i="80"/>
  <c r="N1168" i="80" s="1"/>
  <c r="L1170" i="80"/>
  <c r="N1170" i="80" s="1"/>
  <c r="L1172" i="80"/>
  <c r="N1172" i="80" s="1"/>
  <c r="L1174" i="80"/>
  <c r="N1174" i="80" s="1"/>
  <c r="L1176" i="80"/>
  <c r="N1176" i="80" s="1"/>
  <c r="L1178" i="80"/>
  <c r="N1178" i="80" s="1"/>
  <c r="L1180" i="80"/>
  <c r="N1180" i="80" s="1"/>
  <c r="L1186" i="80"/>
  <c r="N1186" i="80" s="1"/>
  <c r="L1223" i="80"/>
  <c r="N1223" i="80" s="1"/>
  <c r="L1227" i="80"/>
  <c r="N1227" i="80" s="1"/>
  <c r="L1229" i="80"/>
  <c r="N1229" i="80" s="1"/>
  <c r="L1261" i="80"/>
  <c r="N1261" i="80" s="1"/>
  <c r="L1263" i="80"/>
  <c r="N1263" i="80" s="1"/>
  <c r="L1265" i="80"/>
  <c r="N1265" i="80" s="1"/>
  <c r="L1267" i="80"/>
  <c r="N1267" i="80" s="1"/>
  <c r="L1269" i="80"/>
  <c r="N1269" i="80" s="1"/>
  <c r="L1271" i="80"/>
  <c r="N1271" i="80" s="1"/>
  <c r="L1273" i="80"/>
  <c r="N1273" i="80" s="1"/>
  <c r="L1275" i="80"/>
  <c r="N1275" i="80" s="1"/>
  <c r="K1113" i="80"/>
  <c r="M1113" i="80" s="1"/>
  <c r="L1138" i="80"/>
  <c r="N1138" i="80" s="1"/>
  <c r="L1148" i="80"/>
  <c r="N1148" i="80" s="1"/>
  <c r="L1150" i="80"/>
  <c r="N1150" i="80" s="1"/>
  <c r="L1152" i="80"/>
  <c r="N1152" i="80" s="1"/>
  <c r="L1154" i="80"/>
  <c r="N1154" i="80" s="1"/>
  <c r="L1156" i="80"/>
  <c r="N1156" i="80" s="1"/>
  <c r="L1158" i="80"/>
  <c r="N1158" i="80" s="1"/>
  <c r="L1160" i="80"/>
  <c r="N1160" i="80" s="1"/>
  <c r="L1191" i="80"/>
  <c r="N1191" i="80" s="1"/>
  <c r="L1193" i="80"/>
  <c r="N1193" i="80" s="1"/>
  <c r="L1230" i="80"/>
  <c r="N1230" i="80" s="1"/>
  <c r="L1232" i="80"/>
  <c r="N1232" i="80" s="1"/>
  <c r="L1262" i="80"/>
  <c r="N1262" i="80" s="1"/>
  <c r="L1264" i="80"/>
  <c r="N1264" i="80" s="1"/>
  <c r="L955" i="80"/>
  <c r="N955" i="80" s="1"/>
  <c r="L959" i="80"/>
  <c r="N959" i="80" s="1"/>
  <c r="L994" i="80"/>
  <c r="N994" i="80" s="1"/>
  <c r="L998" i="80"/>
  <c r="N998" i="80" s="1"/>
  <c r="K1112" i="80"/>
  <c r="M1112" i="80" s="1"/>
  <c r="L1192" i="80"/>
  <c r="N1192" i="80" s="1"/>
  <c r="L1195" i="80"/>
  <c r="N1195" i="80" s="1"/>
  <c r="L1197" i="80"/>
  <c r="N1197" i="80" s="1"/>
  <c r="L1231" i="80"/>
  <c r="N1231" i="80" s="1"/>
  <c r="L1234" i="80"/>
  <c r="N1234" i="80" s="1"/>
  <c r="L1236" i="80"/>
  <c r="N1236" i="80" s="1"/>
  <c r="K892" i="80"/>
  <c r="M892" i="80" s="1"/>
  <c r="L909" i="80"/>
  <c r="N909" i="80" s="1"/>
  <c r="L911" i="80"/>
  <c r="N911" i="80" s="1"/>
  <c r="L913" i="80"/>
  <c r="N913" i="80" s="1"/>
  <c r="L915" i="80"/>
  <c r="N915" i="80" s="1"/>
  <c r="L948" i="80"/>
  <c r="N948" i="80" s="1"/>
  <c r="L950" i="80"/>
  <c r="N950" i="80" s="1"/>
  <c r="L952" i="80"/>
  <c r="N952" i="80" s="1"/>
  <c r="L954" i="80"/>
  <c r="N954" i="80" s="1"/>
  <c r="L1169" i="80"/>
  <c r="N1169" i="80" s="1"/>
  <c r="L1171" i="80"/>
  <c r="N1171" i="80" s="1"/>
  <c r="L1173" i="80"/>
  <c r="N1173" i="80" s="1"/>
  <c r="L1175" i="80"/>
  <c r="N1175" i="80" s="1"/>
  <c r="L1177" i="80"/>
  <c r="N1177" i="80" s="1"/>
  <c r="L1179" i="80"/>
  <c r="N1179" i="80" s="1"/>
  <c r="L1196" i="80"/>
  <c r="N1196" i="80" s="1"/>
  <c r="L1235" i="80"/>
  <c r="N1235" i="80" s="1"/>
  <c r="L1243" i="80"/>
  <c r="N1243" i="80" s="1"/>
  <c r="L1245" i="80"/>
  <c r="N1245" i="80" s="1"/>
  <c r="L1247" i="80"/>
  <c r="N1247" i="80" s="1"/>
  <c r="L1249" i="80"/>
  <c r="N1249" i="80" s="1"/>
  <c r="L1251" i="80"/>
  <c r="N1251" i="80" s="1"/>
  <c r="L1253" i="80"/>
  <c r="N1253" i="80" s="1"/>
  <c r="L1255" i="80"/>
  <c r="N1255" i="80" s="1"/>
  <c r="L916" i="80"/>
  <c r="N916" i="80" s="1"/>
  <c r="L920" i="80"/>
  <c r="N920" i="80" s="1"/>
  <c r="K1114" i="80"/>
  <c r="M1114" i="80" s="1"/>
  <c r="L1140" i="80"/>
  <c r="N1140" i="80" s="1"/>
  <c r="L1142" i="80"/>
  <c r="N1142" i="80" s="1"/>
  <c r="L1167" i="80"/>
  <c r="N1167" i="80" s="1"/>
  <c r="L1204" i="80"/>
  <c r="N1204" i="80" s="1"/>
  <c r="L1206" i="80"/>
  <c r="N1206" i="80" s="1"/>
  <c r="L1208" i="80"/>
  <c r="N1208" i="80" s="1"/>
  <c r="L1210" i="80"/>
  <c r="N1210" i="80" s="1"/>
  <c r="L1212" i="80"/>
  <c r="N1212" i="80" s="1"/>
  <c r="L1214" i="80"/>
  <c r="N1214" i="80" s="1"/>
  <c r="L1216" i="80"/>
  <c r="N1216" i="80" s="1"/>
  <c r="L1218" i="80"/>
  <c r="N1218" i="80" s="1"/>
  <c r="L923" i="80"/>
  <c r="N923" i="80" s="1"/>
  <c r="L987" i="80"/>
  <c r="N987" i="80" s="1"/>
  <c r="L989" i="80"/>
  <c r="N989" i="80" s="1"/>
  <c r="L991" i="80"/>
  <c r="N991" i="80" s="1"/>
  <c r="L993" i="80"/>
  <c r="N993" i="80" s="1"/>
  <c r="L1026" i="80"/>
  <c r="N1026" i="80" s="1"/>
  <c r="L1028" i="80"/>
  <c r="N1028" i="80" s="1"/>
  <c r="L1030" i="80"/>
  <c r="N1030" i="80" s="1"/>
  <c r="L1033" i="80"/>
  <c r="N1033" i="80" s="1"/>
  <c r="L1037" i="80"/>
  <c r="N1037" i="80" s="1"/>
  <c r="L1139" i="80"/>
  <c r="N1139" i="80" s="1"/>
  <c r="L1205" i="80"/>
  <c r="N1205" i="80" s="1"/>
  <c r="L1207" i="80"/>
  <c r="N1207" i="80" s="1"/>
  <c r="L1209" i="80"/>
  <c r="N1209" i="80" s="1"/>
  <c r="L1211" i="80"/>
  <c r="N1211" i="80" s="1"/>
  <c r="L1213" i="80"/>
  <c r="N1213" i="80" s="1"/>
  <c r="L1215" i="80"/>
  <c r="N1215" i="80" s="1"/>
  <c r="L1217" i="80"/>
  <c r="N1217" i="80" s="1"/>
  <c r="K891" i="80"/>
  <c r="M891" i="80" s="1"/>
  <c r="L912" i="80"/>
  <c r="N912" i="80" s="1"/>
  <c r="L928" i="80"/>
  <c r="N928" i="80" s="1"/>
  <c r="L930" i="80"/>
  <c r="N930" i="80" s="1"/>
  <c r="L932" i="80"/>
  <c r="N932" i="80" s="1"/>
  <c r="L934" i="80"/>
  <c r="N934" i="80" s="1"/>
  <c r="L936" i="80"/>
  <c r="N936" i="80" s="1"/>
  <c r="L938" i="80"/>
  <c r="N938" i="80" s="1"/>
  <c r="L940" i="80"/>
  <c r="N940" i="80" s="1"/>
  <c r="L942" i="80"/>
  <c r="N942" i="80" s="1"/>
  <c r="L956" i="80"/>
  <c r="N956" i="80" s="1"/>
  <c r="L958" i="80"/>
  <c r="N958" i="80" s="1"/>
  <c r="L960" i="80"/>
  <c r="N960" i="80" s="1"/>
  <c r="L986" i="80"/>
  <c r="N986" i="80" s="1"/>
  <c r="L990" i="80"/>
  <c r="N990" i="80" s="1"/>
  <c r="L1004" i="80"/>
  <c r="N1004" i="80" s="1"/>
  <c r="L1034" i="80"/>
  <c r="N1034" i="80" s="1"/>
  <c r="L1036" i="80"/>
  <c r="N1036" i="80" s="1"/>
  <c r="L1042" i="80"/>
  <c r="N1042" i="80" s="1"/>
  <c r="L1044" i="80"/>
  <c r="N1044" i="80" s="1"/>
  <c r="L1046" i="80"/>
  <c r="N1046" i="80" s="1"/>
  <c r="L1048" i="80"/>
  <c r="N1048" i="80" s="1"/>
  <c r="L1050" i="80"/>
  <c r="N1050" i="80" s="1"/>
  <c r="L1052" i="80"/>
  <c r="N1052" i="80" s="1"/>
  <c r="L1054" i="80"/>
  <c r="N1054" i="80" s="1"/>
  <c r="L1056" i="80"/>
  <c r="N1056" i="80" s="1"/>
  <c r="L1130" i="80"/>
  <c r="N1130" i="80" s="1"/>
  <c r="L1134" i="80"/>
  <c r="N1134" i="80" s="1"/>
  <c r="K894" i="80"/>
  <c r="M894" i="80" s="1"/>
  <c r="L917" i="80"/>
  <c r="N917" i="80" s="1"/>
  <c r="L919" i="80"/>
  <c r="N919" i="80" s="1"/>
  <c r="L921" i="80"/>
  <c r="N921" i="80" s="1"/>
  <c r="L947" i="80"/>
  <c r="N947" i="80" s="1"/>
  <c r="L951" i="80"/>
  <c r="N951" i="80" s="1"/>
  <c r="L995" i="80"/>
  <c r="N995" i="80" s="1"/>
  <c r="L997" i="80"/>
  <c r="N997" i="80" s="1"/>
  <c r="L999" i="80"/>
  <c r="N999" i="80" s="1"/>
  <c r="L1025" i="80"/>
  <c r="N1025" i="80" s="1"/>
  <c r="L1029" i="80"/>
  <c r="N1029" i="80" s="1"/>
  <c r="L1043" i="80"/>
  <c r="N1043" i="80" s="1"/>
  <c r="L1045" i="80"/>
  <c r="N1045" i="80" s="1"/>
  <c r="L1047" i="80"/>
  <c r="N1047" i="80" s="1"/>
  <c r="L1049" i="80"/>
  <c r="N1049" i="80" s="1"/>
  <c r="L1051" i="80"/>
  <c r="N1051" i="80" s="1"/>
  <c r="L1053" i="80"/>
  <c r="N1053" i="80" s="1"/>
  <c r="L1055" i="80"/>
  <c r="N1055" i="80" s="1"/>
  <c r="L1128" i="80"/>
  <c r="N1128" i="80" s="1"/>
  <c r="L1132" i="80"/>
  <c r="N1132" i="80" s="1"/>
  <c r="L1136" i="80"/>
  <c r="N1136" i="80" s="1"/>
  <c r="L910" i="80"/>
  <c r="N910" i="80" s="1"/>
  <c r="L918" i="80"/>
  <c r="N918" i="80" s="1"/>
  <c r="L949" i="80"/>
  <c r="N949" i="80" s="1"/>
  <c r="L957" i="80"/>
  <c r="N957" i="80" s="1"/>
  <c r="L988" i="80"/>
  <c r="N988" i="80" s="1"/>
  <c r="L996" i="80"/>
  <c r="N996" i="80" s="1"/>
  <c r="L1027" i="80"/>
  <c r="N1027" i="80" s="1"/>
  <c r="L1035" i="80"/>
  <c r="N1035" i="80" s="1"/>
  <c r="L914" i="80"/>
  <c r="N914" i="80" s="1"/>
  <c r="L922" i="80"/>
  <c r="N922" i="80" s="1"/>
  <c r="L953" i="80"/>
  <c r="N953" i="80" s="1"/>
  <c r="L961" i="80"/>
  <c r="N961" i="80" s="1"/>
  <c r="L992" i="80"/>
  <c r="N992" i="80" s="1"/>
  <c r="L1007" i="80"/>
  <c r="N1007" i="80" s="1"/>
  <c r="L1009" i="80"/>
  <c r="N1009" i="80" s="1"/>
  <c r="L1011" i="80"/>
  <c r="N1011" i="80" s="1"/>
  <c r="L1013" i="80"/>
  <c r="N1013" i="80" s="1"/>
  <c r="L1015" i="80"/>
  <c r="N1015" i="80" s="1"/>
  <c r="L1017" i="80"/>
  <c r="N1017" i="80" s="1"/>
  <c r="L1023" i="80"/>
  <c r="N1023" i="80" s="1"/>
  <c r="L1031" i="80"/>
  <c r="N1031" i="80" s="1"/>
  <c r="L966" i="80"/>
  <c r="N966" i="80" s="1"/>
  <c r="L968" i="80"/>
  <c r="N968" i="80" s="1"/>
  <c r="L970" i="80"/>
  <c r="N970" i="80" s="1"/>
  <c r="L972" i="80"/>
  <c r="N972" i="80" s="1"/>
  <c r="L974" i="80"/>
  <c r="N974" i="80" s="1"/>
  <c r="L976" i="80"/>
  <c r="N976" i="80" s="1"/>
  <c r="L978" i="80"/>
  <c r="N978" i="80" s="1"/>
  <c r="L980" i="80"/>
  <c r="N980" i="80" s="1"/>
  <c r="L1005" i="80"/>
  <c r="N1005" i="80" s="1"/>
  <c r="K893" i="80"/>
  <c r="M893" i="80" s="1"/>
  <c r="L929" i="80"/>
  <c r="N929" i="80" s="1"/>
  <c r="L931" i="80"/>
  <c r="N931" i="80" s="1"/>
  <c r="L933" i="80"/>
  <c r="N933" i="80" s="1"/>
  <c r="L935" i="80"/>
  <c r="N935" i="80" s="1"/>
  <c r="L937" i="80"/>
  <c r="N937" i="80" s="1"/>
  <c r="L939" i="80"/>
  <c r="N939" i="80" s="1"/>
  <c r="L941" i="80"/>
  <c r="N941" i="80" s="1"/>
  <c r="L1006" i="80"/>
  <c r="N1006" i="80" s="1"/>
  <c r="L1008" i="80"/>
  <c r="N1008" i="80" s="1"/>
  <c r="L1010" i="80"/>
  <c r="N1010" i="80" s="1"/>
  <c r="L1012" i="80"/>
  <c r="N1012" i="80" s="1"/>
  <c r="L1014" i="80"/>
  <c r="N1014" i="80" s="1"/>
  <c r="L1016" i="80"/>
  <c r="N1016" i="80" s="1"/>
  <c r="L1018" i="80"/>
  <c r="N1018" i="80" s="1"/>
  <c r="L967" i="80"/>
  <c r="N967" i="80" s="1"/>
  <c r="L969" i="80"/>
  <c r="N969" i="80" s="1"/>
  <c r="L971" i="80"/>
  <c r="N971" i="80" s="1"/>
  <c r="L973" i="80"/>
  <c r="N973" i="80" s="1"/>
  <c r="L975" i="80"/>
  <c r="N975" i="80" s="1"/>
  <c r="L977" i="80"/>
  <c r="N977" i="80" s="1"/>
  <c r="L979" i="80"/>
  <c r="N979" i="80" s="1"/>
  <c r="L823" i="80"/>
  <c r="N823" i="80" s="1"/>
  <c r="L825" i="80"/>
  <c r="N825" i="80" s="1"/>
  <c r="L827" i="80"/>
  <c r="N827" i="80" s="1"/>
  <c r="L829" i="80"/>
  <c r="N829" i="80" s="1"/>
  <c r="L831" i="80"/>
  <c r="N831" i="80" s="1"/>
  <c r="L833" i="80"/>
  <c r="N833" i="80" s="1"/>
  <c r="L835" i="80"/>
  <c r="N835" i="80" s="1"/>
  <c r="L837" i="80"/>
  <c r="N837" i="80" s="1"/>
  <c r="K895" i="80"/>
  <c r="M895" i="80" s="1"/>
  <c r="K896" i="80"/>
  <c r="M896" i="80" s="1"/>
  <c r="L804" i="80"/>
  <c r="N804" i="80" s="1"/>
  <c r="L806" i="80"/>
  <c r="N806" i="80" s="1"/>
  <c r="L808" i="80"/>
  <c r="N808" i="80" s="1"/>
  <c r="L810" i="80"/>
  <c r="N810" i="80" s="1"/>
  <c r="L812" i="80"/>
  <c r="N812" i="80" s="1"/>
  <c r="L814" i="80"/>
  <c r="N814" i="80" s="1"/>
  <c r="L816" i="80"/>
  <c r="N816" i="80" s="1"/>
  <c r="L818" i="80"/>
  <c r="N818" i="80" s="1"/>
  <c r="L824" i="80"/>
  <c r="N824" i="80" s="1"/>
  <c r="L826" i="80"/>
  <c r="N826" i="80" s="1"/>
  <c r="L828" i="80"/>
  <c r="N828" i="80" s="1"/>
  <c r="L830" i="80"/>
  <c r="N830" i="80" s="1"/>
  <c r="L832" i="80"/>
  <c r="N832" i="80" s="1"/>
  <c r="L805" i="80"/>
  <c r="N805" i="80" s="1"/>
  <c r="L807" i="80"/>
  <c r="N807" i="80" s="1"/>
  <c r="L809" i="80"/>
  <c r="N809" i="80" s="1"/>
  <c r="L811" i="80"/>
  <c r="N811" i="80" s="1"/>
  <c r="L813" i="80"/>
  <c r="N813" i="80" s="1"/>
  <c r="L815" i="80"/>
  <c r="N815" i="80" s="1"/>
  <c r="L817" i="80"/>
  <c r="N817" i="80" s="1"/>
  <c r="L612" i="80"/>
  <c r="N612" i="80" s="1"/>
  <c r="L690" i="80"/>
  <c r="N690" i="80" s="1"/>
  <c r="L694" i="80"/>
  <c r="N694" i="80" s="1"/>
  <c r="L711" i="80"/>
  <c r="N711" i="80" s="1"/>
  <c r="L713" i="80"/>
  <c r="N713" i="80" s="1"/>
  <c r="L719" i="80"/>
  <c r="N719" i="80" s="1"/>
  <c r="L721" i="80"/>
  <c r="N721" i="80" s="1"/>
  <c r="L789" i="80"/>
  <c r="N789" i="80" s="1"/>
  <c r="L791" i="80"/>
  <c r="N791" i="80" s="1"/>
  <c r="L797" i="80"/>
  <c r="N797" i="80" s="1"/>
  <c r="L799" i="80"/>
  <c r="N799" i="80" s="1"/>
  <c r="L531" i="80"/>
  <c r="N531" i="80" s="1"/>
  <c r="L533" i="80"/>
  <c r="N533" i="80" s="1"/>
  <c r="L539" i="80"/>
  <c r="N539" i="80" s="1"/>
  <c r="L541" i="80"/>
  <c r="N541" i="80" s="1"/>
  <c r="L609" i="80"/>
  <c r="N609" i="80" s="1"/>
  <c r="L611" i="80"/>
  <c r="N611" i="80" s="1"/>
  <c r="L617" i="80"/>
  <c r="N617" i="80" s="1"/>
  <c r="L697" i="80"/>
  <c r="N697" i="80" s="1"/>
  <c r="L478" i="80"/>
  <c r="N478" i="80" s="1"/>
  <c r="L834" i="80"/>
  <c r="N834" i="80" s="1"/>
  <c r="L836" i="80"/>
  <c r="N836" i="80" s="1"/>
  <c r="L493" i="80"/>
  <c r="N493" i="80" s="1"/>
  <c r="L497" i="80"/>
  <c r="N497" i="80" s="1"/>
  <c r="L528" i="80"/>
  <c r="N528" i="80" s="1"/>
  <c r="L530" i="80"/>
  <c r="N530" i="80" s="1"/>
  <c r="L575" i="80"/>
  <c r="N575" i="80" s="1"/>
  <c r="L577" i="80"/>
  <c r="N577" i="80" s="1"/>
  <c r="L606" i="80"/>
  <c r="N606" i="80" s="1"/>
  <c r="L608" i="80"/>
  <c r="N608" i="80" s="1"/>
  <c r="L728" i="80"/>
  <c r="N728" i="80" s="1"/>
  <c r="L730" i="80"/>
  <c r="N730" i="80" s="1"/>
  <c r="L732" i="80"/>
  <c r="N732" i="80" s="1"/>
  <c r="L734" i="80"/>
  <c r="N734" i="80" s="1"/>
  <c r="L736" i="80"/>
  <c r="N736" i="80" s="1"/>
  <c r="L738" i="80"/>
  <c r="N738" i="80" s="1"/>
  <c r="L740" i="80"/>
  <c r="N740" i="80" s="1"/>
  <c r="L742" i="80"/>
  <c r="N742" i="80" s="1"/>
  <c r="L748" i="80"/>
  <c r="N748" i="80" s="1"/>
  <c r="L756" i="80"/>
  <c r="N756" i="80" s="1"/>
  <c r="L760" i="80"/>
  <c r="N760" i="80" s="1"/>
  <c r="L534" i="80"/>
  <c r="N534" i="80" s="1"/>
  <c r="L542" i="80"/>
  <c r="N542" i="80" s="1"/>
  <c r="L569" i="80"/>
  <c r="N569" i="80" s="1"/>
  <c r="L722" i="80"/>
  <c r="N722" i="80" s="1"/>
  <c r="L729" i="80"/>
  <c r="N729" i="80" s="1"/>
  <c r="L731" i="80"/>
  <c r="N731" i="80" s="1"/>
  <c r="L733" i="80"/>
  <c r="N733" i="80" s="1"/>
  <c r="L735" i="80"/>
  <c r="N735" i="80" s="1"/>
  <c r="L737" i="80"/>
  <c r="N737" i="80" s="1"/>
  <c r="L739" i="80"/>
  <c r="N739" i="80" s="1"/>
  <c r="L741" i="80"/>
  <c r="N741" i="80" s="1"/>
  <c r="L747" i="80"/>
  <c r="N747" i="80" s="1"/>
  <c r="L753" i="80"/>
  <c r="N753" i="80" s="1"/>
  <c r="L755" i="80"/>
  <c r="N755" i="80" s="1"/>
  <c r="L474" i="80"/>
  <c r="N474" i="80" s="1"/>
  <c r="L481" i="80"/>
  <c r="N481" i="80" s="1"/>
  <c r="L485" i="80"/>
  <c r="N485" i="80" s="1"/>
  <c r="L44" i="80"/>
  <c r="N44" i="80" s="1"/>
  <c r="L500" i="80"/>
  <c r="N500" i="80" s="1"/>
  <c r="L502" i="80"/>
  <c r="N502" i="80" s="1"/>
  <c r="L573" i="80"/>
  <c r="N573" i="80" s="1"/>
  <c r="L604" i="80"/>
  <c r="N604" i="80" s="1"/>
  <c r="L614" i="80"/>
  <c r="N614" i="80" s="1"/>
  <c r="L616" i="80"/>
  <c r="N616" i="80" s="1"/>
  <c r="L714" i="80"/>
  <c r="N714" i="80" s="1"/>
  <c r="L716" i="80"/>
  <c r="N716" i="80" s="1"/>
  <c r="L787" i="80"/>
  <c r="N787" i="80" s="1"/>
  <c r="L795" i="80"/>
  <c r="N795" i="80" s="1"/>
  <c r="L503" i="80"/>
  <c r="N503" i="80" s="1"/>
  <c r="L536" i="80"/>
  <c r="N536" i="80" s="1"/>
  <c r="L538" i="80"/>
  <c r="N538" i="80" s="1"/>
  <c r="L567" i="80"/>
  <c r="N567" i="80" s="1"/>
  <c r="L570" i="80"/>
  <c r="N570" i="80" s="1"/>
  <c r="L572" i="80"/>
  <c r="N572" i="80" s="1"/>
  <c r="L578" i="80"/>
  <c r="N578" i="80" s="1"/>
  <c r="L580" i="80"/>
  <c r="N580" i="80" s="1"/>
  <c r="L709" i="80"/>
  <c r="N709" i="80" s="1"/>
  <c r="L717" i="80"/>
  <c r="N717" i="80" s="1"/>
  <c r="L750" i="80"/>
  <c r="N750" i="80" s="1"/>
  <c r="L752" i="80"/>
  <c r="N752" i="80" s="1"/>
  <c r="L758" i="80"/>
  <c r="N758" i="80" s="1"/>
  <c r="L761" i="80"/>
  <c r="N761" i="80" s="1"/>
  <c r="L786" i="80"/>
  <c r="N786" i="80" s="1"/>
  <c r="L792" i="80"/>
  <c r="N792" i="80" s="1"/>
  <c r="L794" i="80"/>
  <c r="N794" i="80" s="1"/>
  <c r="L33" i="80"/>
  <c r="N33" i="80" s="1"/>
  <c r="L41" i="80"/>
  <c r="N41" i="80" s="1"/>
  <c r="L46" i="80"/>
  <c r="N46" i="80" s="1"/>
  <c r="L71" i="80"/>
  <c r="N71" i="80" s="1"/>
  <c r="L77" i="80"/>
  <c r="N77" i="80" s="1"/>
  <c r="L79" i="80"/>
  <c r="N79" i="80" s="1"/>
  <c r="L83" i="80"/>
  <c r="N83" i="80" s="1"/>
  <c r="L482" i="80"/>
  <c r="N482" i="80" s="1"/>
  <c r="L492" i="80"/>
  <c r="N492" i="80" s="1"/>
  <c r="L496" i="80"/>
  <c r="N496" i="80" s="1"/>
  <c r="L532" i="80"/>
  <c r="N532" i="80" s="1"/>
  <c r="L535" i="80"/>
  <c r="N535" i="80" s="1"/>
  <c r="L537" i="80"/>
  <c r="N537" i="80" s="1"/>
  <c r="L547" i="80"/>
  <c r="N547" i="80" s="1"/>
  <c r="L549" i="80"/>
  <c r="N549" i="80" s="1"/>
  <c r="L551" i="80"/>
  <c r="N551" i="80" s="1"/>
  <c r="L553" i="80"/>
  <c r="N553" i="80" s="1"/>
  <c r="L555" i="80"/>
  <c r="N555" i="80" s="1"/>
  <c r="L557" i="80"/>
  <c r="N557" i="80" s="1"/>
  <c r="L559" i="80"/>
  <c r="N559" i="80" s="1"/>
  <c r="L561" i="80"/>
  <c r="N561" i="80" s="1"/>
  <c r="L571" i="80"/>
  <c r="N571" i="80" s="1"/>
  <c r="L574" i="80"/>
  <c r="N574" i="80" s="1"/>
  <c r="L576" i="80"/>
  <c r="N576" i="80" s="1"/>
  <c r="L610" i="80"/>
  <c r="N610" i="80" s="1"/>
  <c r="L613" i="80"/>
  <c r="N613" i="80" s="1"/>
  <c r="L615" i="80"/>
  <c r="N615" i="80" s="1"/>
  <c r="L691" i="80"/>
  <c r="N691" i="80" s="1"/>
  <c r="L693" i="80"/>
  <c r="N693" i="80" s="1"/>
  <c r="L695" i="80"/>
  <c r="N695" i="80" s="1"/>
  <c r="L710" i="80"/>
  <c r="N710" i="80" s="1"/>
  <c r="L712" i="80"/>
  <c r="N712" i="80" s="1"/>
  <c r="L723" i="80"/>
  <c r="N723" i="80" s="1"/>
  <c r="L749" i="80"/>
  <c r="N749" i="80" s="1"/>
  <c r="L751" i="80"/>
  <c r="N751" i="80" s="1"/>
  <c r="L785" i="80"/>
  <c r="N785" i="80" s="1"/>
  <c r="L788" i="80"/>
  <c r="N788" i="80" s="1"/>
  <c r="L790" i="80"/>
  <c r="N790" i="80" s="1"/>
  <c r="K16" i="80"/>
  <c r="M16" i="80" s="1"/>
  <c r="L36" i="80"/>
  <c r="N36" i="80" s="1"/>
  <c r="L47" i="80"/>
  <c r="N47" i="80" s="1"/>
  <c r="L60" i="80"/>
  <c r="N60" i="80" s="1"/>
  <c r="L62" i="80"/>
  <c r="N62" i="80" s="1"/>
  <c r="L64" i="80"/>
  <c r="N64" i="80" s="1"/>
  <c r="L66" i="80"/>
  <c r="N66" i="80" s="1"/>
  <c r="L78" i="80"/>
  <c r="N78" i="80" s="1"/>
  <c r="L312" i="80"/>
  <c r="N312" i="80" s="1"/>
  <c r="L314" i="80"/>
  <c r="N314" i="80" s="1"/>
  <c r="L320" i="80"/>
  <c r="N320" i="80" s="1"/>
  <c r="L322" i="80"/>
  <c r="N322" i="80" s="1"/>
  <c r="L473" i="80"/>
  <c r="N473" i="80" s="1"/>
  <c r="L477" i="80"/>
  <c r="N477" i="80" s="1"/>
  <c r="L501" i="80"/>
  <c r="N501" i="80" s="1"/>
  <c r="L504" i="80"/>
  <c r="N504" i="80" s="1"/>
  <c r="L529" i="80"/>
  <c r="N529" i="80" s="1"/>
  <c r="L540" i="80"/>
  <c r="N540" i="80" s="1"/>
  <c r="L548" i="80"/>
  <c r="N548" i="80" s="1"/>
  <c r="L550" i="80"/>
  <c r="N550" i="80" s="1"/>
  <c r="L552" i="80"/>
  <c r="N552" i="80" s="1"/>
  <c r="L554" i="80"/>
  <c r="N554" i="80" s="1"/>
  <c r="L556" i="80"/>
  <c r="N556" i="80" s="1"/>
  <c r="L558" i="80"/>
  <c r="N558" i="80" s="1"/>
  <c r="L560" i="80"/>
  <c r="N560" i="80" s="1"/>
  <c r="L566" i="80"/>
  <c r="N566" i="80" s="1"/>
  <c r="L568" i="80"/>
  <c r="N568" i="80" s="1"/>
  <c r="L579" i="80"/>
  <c r="N579" i="80" s="1"/>
  <c r="L605" i="80"/>
  <c r="N605" i="80" s="1"/>
  <c r="L607" i="80"/>
  <c r="N607" i="80" s="1"/>
  <c r="L618" i="80"/>
  <c r="N618" i="80" s="1"/>
  <c r="L692" i="80"/>
  <c r="N692" i="80" s="1"/>
  <c r="L696" i="80"/>
  <c r="N696" i="80" s="1"/>
  <c r="L715" i="80"/>
  <c r="N715" i="80" s="1"/>
  <c r="L718" i="80"/>
  <c r="N718" i="80" s="1"/>
  <c r="L720" i="80"/>
  <c r="N720" i="80" s="1"/>
  <c r="L754" i="80"/>
  <c r="N754" i="80" s="1"/>
  <c r="L757" i="80"/>
  <c r="N757" i="80" s="1"/>
  <c r="L759" i="80"/>
  <c r="N759" i="80" s="1"/>
  <c r="L793" i="80"/>
  <c r="N793" i="80" s="1"/>
  <c r="L796" i="80"/>
  <c r="N796" i="80" s="1"/>
  <c r="L798" i="80"/>
  <c r="N798" i="80" s="1"/>
  <c r="K237" i="80"/>
  <c r="M237" i="80" s="1"/>
  <c r="K239" i="80"/>
  <c r="M239" i="80" s="1"/>
  <c r="L114" i="80"/>
  <c r="N114" i="80" s="1"/>
  <c r="L147" i="80"/>
  <c r="N147" i="80" s="1"/>
  <c r="L149" i="80"/>
  <c r="N149" i="80" s="1"/>
  <c r="L151" i="80"/>
  <c r="N151" i="80" s="1"/>
  <c r="L153" i="80"/>
  <c r="N153" i="80" s="1"/>
  <c r="K234" i="80"/>
  <c r="M234" i="80" s="1"/>
  <c r="L271" i="80"/>
  <c r="N271" i="80" s="1"/>
  <c r="L279" i="80"/>
  <c r="N279" i="80" s="1"/>
  <c r="L283" i="80"/>
  <c r="N283" i="80" s="1"/>
  <c r="L349" i="80"/>
  <c r="N349" i="80" s="1"/>
  <c r="L357" i="80"/>
  <c r="N357" i="80" s="1"/>
  <c r="L361" i="80"/>
  <c r="N361" i="80" s="1"/>
  <c r="K453" i="80"/>
  <c r="M453" i="80" s="1"/>
  <c r="K455" i="80"/>
  <c r="M455" i="80" s="1"/>
  <c r="L472" i="80"/>
  <c r="N472" i="80" s="1"/>
  <c r="L475" i="80"/>
  <c r="N475" i="80" s="1"/>
  <c r="L480" i="80"/>
  <c r="N480" i="80" s="1"/>
  <c r="L483" i="80"/>
  <c r="N483" i="80" s="1"/>
  <c r="L491" i="80"/>
  <c r="N491" i="80" s="1"/>
  <c r="L494" i="80"/>
  <c r="N494" i="80" s="1"/>
  <c r="L499" i="80"/>
  <c r="N499" i="80" s="1"/>
  <c r="L509" i="80"/>
  <c r="N509" i="80" s="1"/>
  <c r="L511" i="80"/>
  <c r="N511" i="80" s="1"/>
  <c r="L513" i="80"/>
  <c r="N513" i="80" s="1"/>
  <c r="L515" i="80"/>
  <c r="N515" i="80" s="1"/>
  <c r="L517" i="80"/>
  <c r="N517" i="80" s="1"/>
  <c r="L519" i="80"/>
  <c r="N519" i="80" s="1"/>
  <c r="L521" i="80"/>
  <c r="N521" i="80" s="1"/>
  <c r="L523" i="80"/>
  <c r="N523" i="80" s="1"/>
  <c r="L586" i="80"/>
  <c r="N586" i="80" s="1"/>
  <c r="L588" i="80"/>
  <c r="N588" i="80" s="1"/>
  <c r="L590" i="80"/>
  <c r="N590" i="80" s="1"/>
  <c r="L592" i="80"/>
  <c r="N592" i="80" s="1"/>
  <c r="L594" i="80"/>
  <c r="N594" i="80" s="1"/>
  <c r="L596" i="80"/>
  <c r="N596" i="80" s="1"/>
  <c r="L598" i="80"/>
  <c r="N598" i="80" s="1"/>
  <c r="K673" i="80"/>
  <c r="M673" i="80" s="1"/>
  <c r="L699" i="80"/>
  <c r="N699" i="80" s="1"/>
  <c r="L701" i="80"/>
  <c r="N701" i="80" s="1"/>
  <c r="L703" i="80"/>
  <c r="N703" i="80" s="1"/>
  <c r="L766" i="80"/>
  <c r="N766" i="80" s="1"/>
  <c r="L768" i="80"/>
  <c r="N768" i="80" s="1"/>
  <c r="L770" i="80"/>
  <c r="N770" i="80" s="1"/>
  <c r="L772" i="80"/>
  <c r="N772" i="80" s="1"/>
  <c r="L774" i="80"/>
  <c r="N774" i="80" s="1"/>
  <c r="L776" i="80"/>
  <c r="N776" i="80" s="1"/>
  <c r="L778" i="80"/>
  <c r="N778" i="80" s="1"/>
  <c r="L780" i="80"/>
  <c r="N780" i="80" s="1"/>
  <c r="L111" i="80"/>
  <c r="N111" i="80" s="1"/>
  <c r="L119" i="80"/>
  <c r="N119" i="80" s="1"/>
  <c r="L276" i="80"/>
  <c r="N276" i="80" s="1"/>
  <c r="L278" i="80"/>
  <c r="N278" i="80" s="1"/>
  <c r="L323" i="80"/>
  <c r="N323" i="80" s="1"/>
  <c r="L348" i="80"/>
  <c r="N348" i="80" s="1"/>
  <c r="L354" i="80"/>
  <c r="N354" i="80" s="1"/>
  <c r="L356" i="80"/>
  <c r="N356" i="80" s="1"/>
  <c r="K456" i="80"/>
  <c r="M456" i="80" s="1"/>
  <c r="K454" i="80"/>
  <c r="M454" i="80" s="1"/>
  <c r="L471" i="80"/>
  <c r="N471" i="80" s="1"/>
  <c r="L476" i="80"/>
  <c r="N476" i="80" s="1"/>
  <c r="L479" i="80"/>
  <c r="N479" i="80" s="1"/>
  <c r="L484" i="80"/>
  <c r="N484" i="80" s="1"/>
  <c r="L490" i="80"/>
  <c r="N490" i="80" s="1"/>
  <c r="L495" i="80"/>
  <c r="N495" i="80" s="1"/>
  <c r="L498" i="80"/>
  <c r="N498" i="80" s="1"/>
  <c r="L510" i="80"/>
  <c r="N510" i="80" s="1"/>
  <c r="L512" i="80"/>
  <c r="N512" i="80" s="1"/>
  <c r="L514" i="80"/>
  <c r="N514" i="80" s="1"/>
  <c r="L516" i="80"/>
  <c r="N516" i="80" s="1"/>
  <c r="L518" i="80"/>
  <c r="N518" i="80" s="1"/>
  <c r="L520" i="80"/>
  <c r="N520" i="80" s="1"/>
  <c r="L522" i="80"/>
  <c r="N522" i="80" s="1"/>
  <c r="L585" i="80"/>
  <c r="N585" i="80" s="1"/>
  <c r="L587" i="80"/>
  <c r="N587" i="80" s="1"/>
  <c r="L589" i="80"/>
  <c r="N589" i="80" s="1"/>
  <c r="L591" i="80"/>
  <c r="N591" i="80" s="1"/>
  <c r="L593" i="80"/>
  <c r="N593" i="80" s="1"/>
  <c r="L595" i="80"/>
  <c r="N595" i="80" s="1"/>
  <c r="L597" i="80"/>
  <c r="N597" i="80" s="1"/>
  <c r="L599" i="80"/>
  <c r="N599" i="80" s="1"/>
  <c r="K672" i="80"/>
  <c r="M672" i="80" s="1"/>
  <c r="K674" i="80"/>
  <c r="M674" i="80" s="1"/>
  <c r="L698" i="80"/>
  <c r="N698" i="80" s="1"/>
  <c r="L700" i="80"/>
  <c r="N700" i="80" s="1"/>
  <c r="L702" i="80"/>
  <c r="N702" i="80" s="1"/>
  <c r="L704" i="80"/>
  <c r="N704" i="80" s="1"/>
  <c r="L767" i="80"/>
  <c r="N767" i="80" s="1"/>
  <c r="L769" i="80"/>
  <c r="N769" i="80" s="1"/>
  <c r="L771" i="80"/>
  <c r="N771" i="80" s="1"/>
  <c r="L773" i="80"/>
  <c r="N773" i="80" s="1"/>
  <c r="L775" i="80"/>
  <c r="N775" i="80" s="1"/>
  <c r="L777" i="80"/>
  <c r="N777" i="80" s="1"/>
  <c r="L779" i="80"/>
  <c r="N779" i="80" s="1"/>
  <c r="H457" i="80"/>
  <c r="K457" i="80" s="1"/>
  <c r="M457" i="80" s="1"/>
  <c r="H458" i="80"/>
  <c r="K458" i="80" s="1"/>
  <c r="M458" i="80" s="1"/>
  <c r="L39" i="80"/>
  <c r="N39" i="80" s="1"/>
  <c r="L72" i="80"/>
  <c r="N72" i="80" s="1"/>
  <c r="L80" i="80"/>
  <c r="N80" i="80" s="1"/>
  <c r="L85" i="80"/>
  <c r="N85" i="80" s="1"/>
  <c r="L110" i="80"/>
  <c r="N110" i="80" s="1"/>
  <c r="L116" i="80"/>
  <c r="N116" i="80" s="1"/>
  <c r="L118" i="80"/>
  <c r="N118" i="80" s="1"/>
  <c r="L253" i="80"/>
  <c r="N253" i="80" s="1"/>
  <c r="L290" i="80"/>
  <c r="N290" i="80" s="1"/>
  <c r="L292" i="80"/>
  <c r="N292" i="80" s="1"/>
  <c r="L294" i="80"/>
  <c r="N294" i="80" s="1"/>
  <c r="L296" i="80"/>
  <c r="N296" i="80" s="1"/>
  <c r="L298" i="80"/>
  <c r="N298" i="80" s="1"/>
  <c r="L300" i="80"/>
  <c r="N300" i="80" s="1"/>
  <c r="L302" i="80"/>
  <c r="N302" i="80" s="1"/>
  <c r="L304" i="80"/>
  <c r="N304" i="80" s="1"/>
  <c r="L310" i="80"/>
  <c r="N310" i="80" s="1"/>
  <c r="L318" i="80"/>
  <c r="N318" i="80" s="1"/>
  <c r="L351" i="80"/>
  <c r="N351" i="80" s="1"/>
  <c r="L353" i="80"/>
  <c r="N353" i="80" s="1"/>
  <c r="L359" i="80"/>
  <c r="N359" i="80" s="1"/>
  <c r="L367" i="80"/>
  <c r="N367" i="80" s="1"/>
  <c r="L369" i="80"/>
  <c r="N369" i="80" s="1"/>
  <c r="L371" i="80"/>
  <c r="N371" i="80" s="1"/>
  <c r="L373" i="80"/>
  <c r="N373" i="80" s="1"/>
  <c r="L375" i="80"/>
  <c r="N375" i="80" s="1"/>
  <c r="L377" i="80"/>
  <c r="N377" i="80" s="1"/>
  <c r="L379" i="80"/>
  <c r="N379" i="80" s="1"/>
  <c r="L385" i="80"/>
  <c r="N385" i="80" s="1"/>
  <c r="L387" i="80"/>
  <c r="N387" i="80" s="1"/>
  <c r="L389" i="80"/>
  <c r="N389" i="80" s="1"/>
  <c r="L391" i="80"/>
  <c r="N391" i="80" s="1"/>
  <c r="L393" i="80"/>
  <c r="N393" i="80" s="1"/>
  <c r="L395" i="80"/>
  <c r="N395" i="80" s="1"/>
  <c r="L397" i="80"/>
  <c r="N397" i="80" s="1"/>
  <c r="L399" i="80"/>
  <c r="N399" i="80" s="1"/>
  <c r="H675" i="80"/>
  <c r="K675" i="80" s="1"/>
  <c r="M675" i="80" s="1"/>
  <c r="K669" i="80"/>
  <c r="M669" i="80" s="1"/>
  <c r="H677" i="80"/>
  <c r="K677" i="80" s="1"/>
  <c r="M677" i="80" s="1"/>
  <c r="K671" i="80"/>
  <c r="M671" i="80" s="1"/>
  <c r="K238" i="80"/>
  <c r="M238" i="80" s="1"/>
  <c r="K450" i="80"/>
  <c r="M450" i="80" s="1"/>
  <c r="L38" i="80"/>
  <c r="N38" i="80" s="1"/>
  <c r="L40" i="80"/>
  <c r="N40" i="80" s="1"/>
  <c r="L75" i="80"/>
  <c r="N75" i="80" s="1"/>
  <c r="L109" i="80"/>
  <c r="N109" i="80" s="1"/>
  <c r="L117" i="80"/>
  <c r="N117" i="80" s="1"/>
  <c r="K236" i="80"/>
  <c r="M236" i="80" s="1"/>
  <c r="L252" i="80"/>
  <c r="N252" i="80" s="1"/>
  <c r="L273" i="80"/>
  <c r="N273" i="80" s="1"/>
  <c r="L275" i="80"/>
  <c r="N275" i="80" s="1"/>
  <c r="L281" i="80"/>
  <c r="N281" i="80" s="1"/>
  <c r="L284" i="80"/>
  <c r="N284" i="80" s="1"/>
  <c r="L291" i="80"/>
  <c r="N291" i="80" s="1"/>
  <c r="L293" i="80"/>
  <c r="N293" i="80" s="1"/>
  <c r="L295" i="80"/>
  <c r="N295" i="80" s="1"/>
  <c r="L297" i="80"/>
  <c r="N297" i="80" s="1"/>
  <c r="L299" i="80"/>
  <c r="N299" i="80" s="1"/>
  <c r="L301" i="80"/>
  <c r="N301" i="80" s="1"/>
  <c r="L303" i="80"/>
  <c r="N303" i="80" s="1"/>
  <c r="L309" i="80"/>
  <c r="N309" i="80" s="1"/>
  <c r="L315" i="80"/>
  <c r="N315" i="80" s="1"/>
  <c r="L317" i="80"/>
  <c r="N317" i="80" s="1"/>
  <c r="L366" i="80"/>
  <c r="N366" i="80" s="1"/>
  <c r="L368" i="80"/>
  <c r="N368" i="80" s="1"/>
  <c r="L370" i="80"/>
  <c r="N370" i="80" s="1"/>
  <c r="L372" i="80"/>
  <c r="N372" i="80" s="1"/>
  <c r="L374" i="80"/>
  <c r="N374" i="80" s="1"/>
  <c r="L376" i="80"/>
  <c r="N376" i="80" s="1"/>
  <c r="L378" i="80"/>
  <c r="N378" i="80" s="1"/>
  <c r="L380" i="80"/>
  <c r="N380" i="80" s="1"/>
  <c r="L386" i="80"/>
  <c r="N386" i="80" s="1"/>
  <c r="L388" i="80"/>
  <c r="N388" i="80" s="1"/>
  <c r="L390" i="80"/>
  <c r="N390" i="80" s="1"/>
  <c r="L392" i="80"/>
  <c r="N392" i="80" s="1"/>
  <c r="L394" i="80"/>
  <c r="N394" i="80" s="1"/>
  <c r="L396" i="80"/>
  <c r="N396" i="80" s="1"/>
  <c r="L398" i="80"/>
  <c r="N398" i="80" s="1"/>
  <c r="K670" i="80"/>
  <c r="M670" i="80" s="1"/>
  <c r="H676" i="80"/>
  <c r="K676" i="80" s="1"/>
  <c r="M676" i="80" s="1"/>
  <c r="L35" i="80"/>
  <c r="N35" i="80" s="1"/>
  <c r="L37" i="80"/>
  <c r="N37" i="80" s="1"/>
  <c r="L42" i="80"/>
  <c r="N42" i="80" s="1"/>
  <c r="L74" i="80"/>
  <c r="N74" i="80" s="1"/>
  <c r="L76" i="80"/>
  <c r="N76" i="80" s="1"/>
  <c r="L81" i="80"/>
  <c r="N81" i="80" s="1"/>
  <c r="L113" i="80"/>
  <c r="N113" i="80" s="1"/>
  <c r="L115" i="80"/>
  <c r="N115" i="80" s="1"/>
  <c r="L120" i="80"/>
  <c r="N120" i="80" s="1"/>
  <c r="L122" i="80"/>
  <c r="N122" i="80" s="1"/>
  <c r="L128" i="80"/>
  <c r="N128" i="80" s="1"/>
  <c r="L130" i="80"/>
  <c r="N130" i="80" s="1"/>
  <c r="L132" i="80"/>
  <c r="N132" i="80" s="1"/>
  <c r="L134" i="80"/>
  <c r="N134" i="80" s="1"/>
  <c r="L136" i="80"/>
  <c r="N136" i="80" s="1"/>
  <c r="L138" i="80"/>
  <c r="N138" i="80" s="1"/>
  <c r="L140" i="80"/>
  <c r="N140" i="80" s="1"/>
  <c r="L142" i="80"/>
  <c r="N142" i="80" s="1"/>
  <c r="L272" i="80"/>
  <c r="N272" i="80" s="1"/>
  <c r="L274" i="80"/>
  <c r="N274" i="80" s="1"/>
  <c r="L285" i="80"/>
  <c r="N285" i="80" s="1"/>
  <c r="L311" i="80"/>
  <c r="N311" i="80" s="1"/>
  <c r="L313" i="80"/>
  <c r="N313" i="80" s="1"/>
  <c r="L347" i="80"/>
  <c r="N347" i="80" s="1"/>
  <c r="L350" i="80"/>
  <c r="N350" i="80" s="1"/>
  <c r="L352" i="80"/>
  <c r="N352" i="80" s="1"/>
  <c r="L34" i="80"/>
  <c r="N34" i="80" s="1"/>
  <c r="L43" i="80"/>
  <c r="N43" i="80" s="1"/>
  <c r="L45" i="80"/>
  <c r="N45" i="80" s="1"/>
  <c r="L55" i="80"/>
  <c r="N55" i="80" s="1"/>
  <c r="L57" i="80"/>
  <c r="N57" i="80" s="1"/>
  <c r="L73" i="80"/>
  <c r="N73" i="80" s="1"/>
  <c r="L82" i="80"/>
  <c r="N82" i="80" s="1"/>
  <c r="L84" i="80"/>
  <c r="N84" i="80" s="1"/>
  <c r="L90" i="80"/>
  <c r="N90" i="80" s="1"/>
  <c r="L92" i="80"/>
  <c r="N92" i="80" s="1"/>
  <c r="L94" i="80"/>
  <c r="N94" i="80" s="1"/>
  <c r="L96" i="80"/>
  <c r="N96" i="80" s="1"/>
  <c r="L98" i="80"/>
  <c r="N98" i="80" s="1"/>
  <c r="L100" i="80"/>
  <c r="N100" i="80" s="1"/>
  <c r="L102" i="80"/>
  <c r="N102" i="80" s="1"/>
  <c r="L104" i="80"/>
  <c r="N104" i="80" s="1"/>
  <c r="L112" i="80"/>
  <c r="N112" i="80" s="1"/>
  <c r="L121" i="80"/>
  <c r="N121" i="80" s="1"/>
  <c r="L123" i="80"/>
  <c r="N123" i="80" s="1"/>
  <c r="K235" i="80"/>
  <c r="M235" i="80" s="1"/>
  <c r="L277" i="80"/>
  <c r="N277" i="80" s="1"/>
  <c r="L280" i="80"/>
  <c r="N280" i="80" s="1"/>
  <c r="L282" i="80"/>
  <c r="N282" i="80" s="1"/>
  <c r="L316" i="80"/>
  <c r="N316" i="80" s="1"/>
  <c r="L319" i="80"/>
  <c r="N319" i="80" s="1"/>
  <c r="L321" i="80"/>
  <c r="N321" i="80" s="1"/>
  <c r="L355" i="80"/>
  <c r="N355" i="80" s="1"/>
  <c r="L358" i="80"/>
  <c r="N358" i="80" s="1"/>
  <c r="L360" i="80"/>
  <c r="N360" i="80" s="1"/>
  <c r="L59" i="80"/>
  <c r="N59" i="80" s="1"/>
  <c r="L61" i="80"/>
  <c r="N61" i="80" s="1"/>
  <c r="L63" i="80"/>
  <c r="N63" i="80" s="1"/>
  <c r="L65" i="80"/>
  <c r="N65" i="80" s="1"/>
  <c r="L155" i="80"/>
  <c r="N155" i="80" s="1"/>
  <c r="L157" i="80"/>
  <c r="N157" i="80" s="1"/>
  <c r="L159" i="80"/>
  <c r="N159" i="80" s="1"/>
  <c r="L161" i="80"/>
  <c r="N161" i="80" s="1"/>
  <c r="L166" i="80"/>
  <c r="N166" i="80" s="1"/>
  <c r="L168" i="80"/>
  <c r="N168" i="80" s="1"/>
  <c r="L170" i="80"/>
  <c r="N170" i="80" s="1"/>
  <c r="L172" i="80"/>
  <c r="N172" i="80" s="1"/>
  <c r="L174" i="80"/>
  <c r="N174" i="80" s="1"/>
  <c r="L176" i="80"/>
  <c r="N176" i="80" s="1"/>
  <c r="L178" i="80"/>
  <c r="N178" i="80" s="1"/>
  <c r="L180" i="80"/>
  <c r="N180" i="80" s="1"/>
  <c r="L255" i="80"/>
  <c r="N255" i="80" s="1"/>
  <c r="L257" i="80"/>
  <c r="N257" i="80" s="1"/>
  <c r="L259" i="80"/>
  <c r="N259" i="80" s="1"/>
  <c r="L261" i="80"/>
  <c r="N261" i="80" s="1"/>
  <c r="L263" i="80"/>
  <c r="N263" i="80" s="1"/>
  <c r="L265" i="80"/>
  <c r="N265" i="80" s="1"/>
  <c r="L328" i="80"/>
  <c r="N328" i="80" s="1"/>
  <c r="L330" i="80"/>
  <c r="N330" i="80" s="1"/>
  <c r="L332" i="80"/>
  <c r="N332" i="80" s="1"/>
  <c r="L334" i="80"/>
  <c r="N334" i="80" s="1"/>
  <c r="L336" i="80"/>
  <c r="N336" i="80" s="1"/>
  <c r="L338" i="80"/>
  <c r="N338" i="80" s="1"/>
  <c r="L340" i="80"/>
  <c r="N340" i="80" s="1"/>
  <c r="L342" i="80"/>
  <c r="N342" i="80" s="1"/>
  <c r="K15" i="80"/>
  <c r="M15" i="80" s="1"/>
  <c r="L91" i="80"/>
  <c r="N91" i="80" s="1"/>
  <c r="L93" i="80"/>
  <c r="N93" i="80" s="1"/>
  <c r="L95" i="80"/>
  <c r="N95" i="80" s="1"/>
  <c r="L97" i="80"/>
  <c r="N97" i="80" s="1"/>
  <c r="L99" i="80"/>
  <c r="N99" i="80" s="1"/>
  <c r="L101" i="80"/>
  <c r="N101" i="80" s="1"/>
  <c r="L103" i="80"/>
  <c r="N103" i="80" s="1"/>
  <c r="L148" i="80"/>
  <c r="N148" i="80" s="1"/>
  <c r="L150" i="80"/>
  <c r="N150" i="80" s="1"/>
  <c r="L152" i="80"/>
  <c r="N152" i="80" s="1"/>
  <c r="L154" i="80"/>
  <c r="N154" i="80" s="1"/>
  <c r="L156" i="80"/>
  <c r="N156" i="80" s="1"/>
  <c r="L158" i="80"/>
  <c r="N158" i="80" s="1"/>
  <c r="L160" i="80"/>
  <c r="N160" i="80" s="1"/>
  <c r="L167" i="80"/>
  <c r="N167" i="80" s="1"/>
  <c r="L169" i="80"/>
  <c r="N169" i="80" s="1"/>
  <c r="L171" i="80"/>
  <c r="N171" i="80" s="1"/>
  <c r="L173" i="80"/>
  <c r="N173" i="80" s="1"/>
  <c r="L175" i="80"/>
  <c r="N175" i="80" s="1"/>
  <c r="L177" i="80"/>
  <c r="N177" i="80" s="1"/>
  <c r="L179" i="80"/>
  <c r="N179" i="80" s="1"/>
  <c r="L254" i="80"/>
  <c r="N254" i="80" s="1"/>
  <c r="L256" i="80"/>
  <c r="N256" i="80" s="1"/>
  <c r="L258" i="80"/>
  <c r="N258" i="80" s="1"/>
  <c r="L260" i="80"/>
  <c r="N260" i="80" s="1"/>
  <c r="L262" i="80"/>
  <c r="N262" i="80" s="1"/>
  <c r="L264" i="80"/>
  <c r="N264" i="80" s="1"/>
  <c r="L266" i="80"/>
  <c r="N266" i="80" s="1"/>
  <c r="L329" i="80"/>
  <c r="N329" i="80" s="1"/>
  <c r="L331" i="80"/>
  <c r="N331" i="80" s="1"/>
  <c r="L333" i="80"/>
  <c r="N333" i="80" s="1"/>
  <c r="L335" i="80"/>
  <c r="N335" i="80" s="1"/>
  <c r="L337" i="80"/>
  <c r="N337" i="80" s="1"/>
  <c r="L339" i="80"/>
  <c r="N339" i="80" s="1"/>
  <c r="L341" i="80"/>
  <c r="N341" i="80" s="1"/>
  <c r="L54" i="80"/>
  <c r="N54" i="80" s="1"/>
  <c r="L56" i="80"/>
  <c r="N56" i="80" s="1"/>
  <c r="L58" i="80"/>
  <c r="N58" i="80" s="1"/>
  <c r="L129" i="80"/>
  <c r="N129" i="80" s="1"/>
  <c r="L131" i="80"/>
  <c r="N131" i="80" s="1"/>
  <c r="L133" i="80"/>
  <c r="N133" i="80" s="1"/>
  <c r="L135" i="80"/>
  <c r="N135" i="80" s="1"/>
  <c r="L137" i="80"/>
  <c r="N137" i="80" s="1"/>
  <c r="L139" i="80"/>
  <c r="N139" i="80" s="1"/>
  <c r="L141" i="80"/>
  <c r="N141" i="80" s="1"/>
  <c r="L529" i="28"/>
  <c r="N529" i="28" s="1"/>
  <c r="K12" i="80"/>
  <c r="M12" i="80" s="1"/>
  <c r="K13" i="80"/>
  <c r="M13" i="80" s="1"/>
  <c r="K14" i="80"/>
  <c r="M14" i="80" s="1"/>
  <c r="K17" i="80"/>
  <c r="M17" i="80" s="1"/>
  <c r="L53" i="80"/>
  <c r="N53" i="80" s="1"/>
  <c r="K18" i="80"/>
  <c r="M18" i="80" s="1"/>
  <c r="K19" i="80"/>
  <c r="M19" i="80" s="1"/>
  <c r="K20" i="80"/>
  <c r="M20" i="80" s="1"/>
  <c r="L52" i="80"/>
  <c r="N52" i="80" s="1"/>
  <c r="K231" i="80"/>
  <c r="M231" i="80" s="1"/>
  <c r="K232" i="80"/>
  <c r="M232" i="80" s="1"/>
  <c r="L478" i="28"/>
  <c r="N478" i="28" s="1"/>
  <c r="L482" i="28"/>
  <c r="N482" i="28" s="1"/>
  <c r="L531" i="28"/>
  <c r="N531" i="28" s="1"/>
  <c r="L533" i="28"/>
  <c r="N533" i="28" s="1"/>
  <c r="L539" i="28"/>
  <c r="N539" i="28" s="1"/>
  <c r="L541" i="28"/>
  <c r="N541" i="28" s="1"/>
  <c r="L568" i="28"/>
  <c r="N568" i="28" s="1"/>
  <c r="L609" i="28"/>
  <c r="N609" i="28" s="1"/>
  <c r="L611" i="28"/>
  <c r="N611" i="28" s="1"/>
  <c r="L617" i="28"/>
  <c r="N617" i="28" s="1"/>
  <c r="L502" i="28"/>
  <c r="N502" i="28" s="1"/>
  <c r="L610" i="28"/>
  <c r="N610" i="28" s="1"/>
  <c r="L616" i="28"/>
  <c r="N616" i="28" s="1"/>
  <c r="L618" i="28"/>
  <c r="N618" i="28" s="1"/>
  <c r="L471" i="28"/>
  <c r="N471" i="28" s="1"/>
  <c r="L475" i="28"/>
  <c r="N475" i="28" s="1"/>
  <c r="L477" i="28"/>
  <c r="N477" i="28" s="1"/>
  <c r="L472" i="28"/>
  <c r="N472" i="28" s="1"/>
  <c r="L476" i="28"/>
  <c r="N476" i="28" s="1"/>
  <c r="L576" i="28"/>
  <c r="N576" i="28" s="1"/>
  <c r="L497" i="28"/>
  <c r="N497" i="28" s="1"/>
  <c r="L499" i="28"/>
  <c r="N499" i="28" s="1"/>
  <c r="L501" i="28"/>
  <c r="N501" i="28" s="1"/>
  <c r="L503" i="28"/>
  <c r="N503" i="28" s="1"/>
  <c r="L604" i="28"/>
  <c r="N604" i="28" s="1"/>
  <c r="L608" i="28"/>
  <c r="N608" i="28" s="1"/>
  <c r="L481" i="28"/>
  <c r="N481" i="28" s="1"/>
  <c r="L485" i="28"/>
  <c r="N485" i="28" s="1"/>
  <c r="L532" i="28"/>
  <c r="N532" i="28" s="1"/>
  <c r="L540" i="28"/>
  <c r="N540" i="28" s="1"/>
  <c r="K454" i="28"/>
  <c r="M454" i="28" s="1"/>
  <c r="L493" i="28"/>
  <c r="N493" i="28" s="1"/>
  <c r="L534" i="28"/>
  <c r="N534" i="28" s="1"/>
  <c r="L542" i="28"/>
  <c r="N542" i="28" s="1"/>
  <c r="L570" i="28"/>
  <c r="N570" i="28" s="1"/>
  <c r="L572" i="28"/>
  <c r="N572" i="28" s="1"/>
  <c r="L578" i="28"/>
  <c r="N578" i="28" s="1"/>
  <c r="L580" i="28"/>
  <c r="N580" i="28" s="1"/>
  <c r="L605" i="28"/>
  <c r="N605" i="28" s="1"/>
  <c r="L607" i="28"/>
  <c r="N607" i="28" s="1"/>
  <c r="L615" i="28"/>
  <c r="N615" i="28" s="1"/>
  <c r="K453" i="28"/>
  <c r="M453" i="28" s="1"/>
  <c r="K455" i="28"/>
  <c r="M455" i="28" s="1"/>
  <c r="L492" i="28"/>
  <c r="N492" i="28" s="1"/>
  <c r="L496" i="28"/>
  <c r="N496" i="28" s="1"/>
  <c r="L504" i="28"/>
  <c r="N504" i="28" s="1"/>
  <c r="L537" i="28"/>
  <c r="N537" i="28" s="1"/>
  <c r="L571" i="28"/>
  <c r="N571" i="28" s="1"/>
  <c r="L577" i="28"/>
  <c r="N577" i="28" s="1"/>
  <c r="L579" i="28"/>
  <c r="N579" i="28" s="1"/>
  <c r="L606" i="28"/>
  <c r="N606" i="28" s="1"/>
  <c r="L347" i="28"/>
  <c r="N347" i="28" s="1"/>
  <c r="L349" i="28"/>
  <c r="N349" i="28" s="1"/>
  <c r="L351" i="28"/>
  <c r="N351" i="28" s="1"/>
  <c r="L353" i="28"/>
  <c r="N353" i="28" s="1"/>
  <c r="L355" i="28"/>
  <c r="N355" i="28" s="1"/>
  <c r="L357" i="28"/>
  <c r="N357" i="28" s="1"/>
  <c r="L359" i="28"/>
  <c r="N359" i="28" s="1"/>
  <c r="L473" i="28"/>
  <c r="N473" i="28" s="1"/>
  <c r="L479" i="28"/>
  <c r="N479" i="28" s="1"/>
  <c r="L483" i="28"/>
  <c r="N483" i="28" s="1"/>
  <c r="L491" i="28"/>
  <c r="N491" i="28" s="1"/>
  <c r="L495" i="28"/>
  <c r="N495" i="28" s="1"/>
  <c r="L500" i="28"/>
  <c r="N500" i="28" s="1"/>
  <c r="L536" i="28"/>
  <c r="N536" i="28" s="1"/>
  <c r="L538" i="28"/>
  <c r="N538" i="28" s="1"/>
  <c r="L548" i="28"/>
  <c r="N548" i="28" s="1"/>
  <c r="L550" i="28"/>
  <c r="N550" i="28" s="1"/>
  <c r="L552" i="28"/>
  <c r="N552" i="28" s="1"/>
  <c r="L554" i="28"/>
  <c r="N554" i="28" s="1"/>
  <c r="L556" i="28"/>
  <c r="N556" i="28" s="1"/>
  <c r="L558" i="28"/>
  <c r="N558" i="28" s="1"/>
  <c r="L560" i="28"/>
  <c r="N560" i="28" s="1"/>
  <c r="L566" i="28"/>
  <c r="N566" i="28" s="1"/>
  <c r="L573" i="28"/>
  <c r="N573" i="28" s="1"/>
  <c r="L575" i="28"/>
  <c r="N575" i="28" s="1"/>
  <c r="L585" i="28"/>
  <c r="N585" i="28" s="1"/>
  <c r="L587" i="28"/>
  <c r="N587" i="28" s="1"/>
  <c r="L589" i="28"/>
  <c r="N589" i="28" s="1"/>
  <c r="L591" i="28"/>
  <c r="N591" i="28" s="1"/>
  <c r="L593" i="28"/>
  <c r="N593" i="28" s="1"/>
  <c r="L595" i="28"/>
  <c r="N595" i="28" s="1"/>
  <c r="L597" i="28"/>
  <c r="N597" i="28" s="1"/>
  <c r="L599" i="28"/>
  <c r="N599" i="28" s="1"/>
  <c r="L613" i="28"/>
  <c r="N613" i="28" s="1"/>
  <c r="L304" i="28"/>
  <c r="N304" i="28" s="1"/>
  <c r="L370" i="28"/>
  <c r="N370" i="28" s="1"/>
  <c r="L372" i="28"/>
  <c r="N372" i="28" s="1"/>
  <c r="L374" i="28"/>
  <c r="N374" i="28" s="1"/>
  <c r="L376" i="28"/>
  <c r="N376" i="28" s="1"/>
  <c r="L474" i="28"/>
  <c r="N474" i="28" s="1"/>
  <c r="L480" i="28"/>
  <c r="N480" i="28" s="1"/>
  <c r="L484" i="28"/>
  <c r="N484" i="28" s="1"/>
  <c r="L490" i="28"/>
  <c r="N490" i="28" s="1"/>
  <c r="L494" i="28"/>
  <c r="N494" i="28" s="1"/>
  <c r="L510" i="28"/>
  <c r="N510" i="28" s="1"/>
  <c r="L512" i="28"/>
  <c r="N512" i="28" s="1"/>
  <c r="L514" i="28"/>
  <c r="N514" i="28" s="1"/>
  <c r="L516" i="28"/>
  <c r="N516" i="28" s="1"/>
  <c r="L518" i="28"/>
  <c r="N518" i="28" s="1"/>
  <c r="L520" i="28"/>
  <c r="N520" i="28" s="1"/>
  <c r="L522" i="28"/>
  <c r="N522" i="28" s="1"/>
  <c r="L528" i="28"/>
  <c r="N528" i="28" s="1"/>
  <c r="L530" i="28"/>
  <c r="N530" i="28" s="1"/>
  <c r="L535" i="28"/>
  <c r="N535" i="28" s="1"/>
  <c r="L567" i="28"/>
  <c r="N567" i="28" s="1"/>
  <c r="L569" i="28"/>
  <c r="N569" i="28" s="1"/>
  <c r="L574" i="28"/>
  <c r="N574" i="28" s="1"/>
  <c r="L612" i="28"/>
  <c r="N612" i="28" s="1"/>
  <c r="L614" i="28"/>
  <c r="N614" i="28" s="1"/>
  <c r="L264" i="28"/>
  <c r="N264" i="28" s="1"/>
  <c r="L509" i="28"/>
  <c r="N509" i="28" s="1"/>
  <c r="L511" i="28"/>
  <c r="N511" i="28" s="1"/>
  <c r="L513" i="28"/>
  <c r="N513" i="28" s="1"/>
  <c r="L515" i="28"/>
  <c r="N515" i="28" s="1"/>
  <c r="L517" i="28"/>
  <c r="N517" i="28" s="1"/>
  <c r="L519" i="28"/>
  <c r="N519" i="28" s="1"/>
  <c r="L521" i="28"/>
  <c r="N521" i="28" s="1"/>
  <c r="L523" i="28"/>
  <c r="N523" i="28" s="1"/>
  <c r="L586" i="28"/>
  <c r="N586" i="28" s="1"/>
  <c r="L588" i="28"/>
  <c r="N588" i="28" s="1"/>
  <c r="L590" i="28"/>
  <c r="N590" i="28" s="1"/>
  <c r="L592" i="28"/>
  <c r="N592" i="28" s="1"/>
  <c r="L594" i="28"/>
  <c r="N594" i="28" s="1"/>
  <c r="L596" i="28"/>
  <c r="N596" i="28" s="1"/>
  <c r="L598" i="28"/>
  <c r="N598" i="28" s="1"/>
  <c r="L378" i="28"/>
  <c r="N378" i="28" s="1"/>
  <c r="L498" i="28"/>
  <c r="N498" i="28" s="1"/>
  <c r="L547" i="28"/>
  <c r="N547" i="28" s="1"/>
  <c r="L549" i="28"/>
  <c r="N549" i="28" s="1"/>
  <c r="L551" i="28"/>
  <c r="N551" i="28" s="1"/>
  <c r="L553" i="28"/>
  <c r="N553" i="28" s="1"/>
  <c r="L555" i="28"/>
  <c r="N555" i="28" s="1"/>
  <c r="L557" i="28"/>
  <c r="N557" i="28" s="1"/>
  <c r="L559" i="28"/>
  <c r="N559" i="28" s="1"/>
  <c r="L561" i="28"/>
  <c r="N561" i="28" s="1"/>
  <c r="L303" i="28"/>
  <c r="N303" i="28" s="1"/>
  <c r="H456" i="28"/>
  <c r="K456" i="28" s="1"/>
  <c r="M456" i="28" s="1"/>
  <c r="H457" i="28"/>
  <c r="K457" i="28" s="1"/>
  <c r="M457" i="28" s="1"/>
  <c r="H458" i="28"/>
  <c r="K458" i="28" s="1"/>
  <c r="M458" i="28" s="1"/>
  <c r="L371" i="28"/>
  <c r="N371" i="28" s="1"/>
  <c r="L373" i="28"/>
  <c r="N373" i="28" s="1"/>
  <c r="L375" i="28"/>
  <c r="N375" i="28" s="1"/>
  <c r="L377" i="28"/>
  <c r="N377" i="28" s="1"/>
  <c r="L379" i="28"/>
  <c r="N379" i="28" s="1"/>
  <c r="L385" i="28"/>
  <c r="N385" i="28" s="1"/>
  <c r="L387" i="28"/>
  <c r="N387" i="28" s="1"/>
  <c r="L389" i="28"/>
  <c r="N389" i="28" s="1"/>
  <c r="L391" i="28"/>
  <c r="N391" i="28" s="1"/>
  <c r="L393" i="28"/>
  <c r="N393" i="28" s="1"/>
  <c r="L395" i="28"/>
  <c r="N395" i="28" s="1"/>
  <c r="L397" i="28"/>
  <c r="N397" i="28" s="1"/>
  <c r="L399" i="28"/>
  <c r="N399" i="28" s="1"/>
  <c r="L330" i="28"/>
  <c r="N330" i="28" s="1"/>
  <c r="L338" i="28"/>
  <c r="N338" i="28" s="1"/>
  <c r="L342" i="28"/>
  <c r="N342" i="28" s="1"/>
  <c r="L361" i="28"/>
  <c r="N361" i="28" s="1"/>
  <c r="L259" i="28"/>
  <c r="N259" i="28" s="1"/>
  <c r="L265" i="28"/>
  <c r="N265" i="28" s="1"/>
  <c r="L252" i="28"/>
  <c r="N252" i="28" s="1"/>
  <c r="L262" i="28"/>
  <c r="N262" i="28" s="1"/>
  <c r="L293" i="28"/>
  <c r="N293" i="28" s="1"/>
  <c r="L295" i="28"/>
  <c r="N295" i="28" s="1"/>
  <c r="L301" i="28"/>
  <c r="N301" i="28" s="1"/>
  <c r="L272" i="28"/>
  <c r="N272" i="28" s="1"/>
  <c r="L274" i="28"/>
  <c r="N274" i="28" s="1"/>
  <c r="L276" i="28"/>
  <c r="N276" i="28" s="1"/>
  <c r="L278" i="28"/>
  <c r="N278" i="28" s="1"/>
  <c r="L280" i="28"/>
  <c r="N280" i="28" s="1"/>
  <c r="L282" i="28"/>
  <c r="N282" i="28" s="1"/>
  <c r="L284" i="28"/>
  <c r="N284" i="28" s="1"/>
  <c r="L290" i="28"/>
  <c r="N290" i="28" s="1"/>
  <c r="L296" i="28"/>
  <c r="N296" i="28" s="1"/>
  <c r="L298" i="28"/>
  <c r="N298" i="28" s="1"/>
  <c r="L369" i="28"/>
  <c r="N369" i="28" s="1"/>
  <c r="L256" i="28"/>
  <c r="N256" i="28" s="1"/>
  <c r="L260" i="28"/>
  <c r="N260" i="28" s="1"/>
  <c r="L329" i="28"/>
  <c r="N329" i="28" s="1"/>
  <c r="L335" i="28"/>
  <c r="N335" i="28" s="1"/>
  <c r="L337" i="28"/>
  <c r="N337" i="28" s="1"/>
  <c r="L271" i="28"/>
  <c r="N271" i="28" s="1"/>
  <c r="L273" i="28"/>
  <c r="N273" i="28" s="1"/>
  <c r="L275" i="28"/>
  <c r="N275" i="28" s="1"/>
  <c r="L277" i="28"/>
  <c r="N277" i="28" s="1"/>
  <c r="L279" i="28"/>
  <c r="N279" i="28" s="1"/>
  <c r="L281" i="28"/>
  <c r="N281" i="28" s="1"/>
  <c r="L283" i="28"/>
  <c r="N283" i="28" s="1"/>
  <c r="L285" i="28"/>
  <c r="N285" i="28" s="1"/>
  <c r="L291" i="28"/>
  <c r="N291" i="28" s="1"/>
  <c r="L299" i="28"/>
  <c r="N299" i="28" s="1"/>
  <c r="L332" i="28"/>
  <c r="N332" i="28" s="1"/>
  <c r="L334" i="28"/>
  <c r="N334" i="28" s="1"/>
  <c r="L340" i="28"/>
  <c r="N340" i="28" s="1"/>
  <c r="K238" i="28"/>
  <c r="M238" i="28" s="1"/>
  <c r="L258" i="28"/>
  <c r="N258" i="28" s="1"/>
  <c r="L261" i="28"/>
  <c r="N261" i="28" s="1"/>
  <c r="L263" i="28"/>
  <c r="N263" i="28" s="1"/>
  <c r="L297" i="28"/>
  <c r="N297" i="28" s="1"/>
  <c r="L300" i="28"/>
  <c r="N300" i="28" s="1"/>
  <c r="L302" i="28"/>
  <c r="N302" i="28" s="1"/>
  <c r="L336" i="28"/>
  <c r="N336" i="28" s="1"/>
  <c r="L339" i="28"/>
  <c r="N339" i="28" s="1"/>
  <c r="L341" i="28"/>
  <c r="N341" i="28" s="1"/>
  <c r="L348" i="28"/>
  <c r="N348" i="28" s="1"/>
  <c r="L350" i="28"/>
  <c r="N350" i="28" s="1"/>
  <c r="L352" i="28"/>
  <c r="N352" i="28" s="1"/>
  <c r="L354" i="28"/>
  <c r="N354" i="28" s="1"/>
  <c r="L356" i="28"/>
  <c r="N356" i="28" s="1"/>
  <c r="L358" i="28"/>
  <c r="N358" i="28" s="1"/>
  <c r="L360" i="28"/>
  <c r="N360" i="28" s="1"/>
  <c r="L366" i="28"/>
  <c r="N366" i="28" s="1"/>
  <c r="L368" i="28"/>
  <c r="N368" i="28" s="1"/>
  <c r="L386" i="28"/>
  <c r="N386" i="28" s="1"/>
  <c r="L388" i="28"/>
  <c r="N388" i="28" s="1"/>
  <c r="L390" i="28"/>
  <c r="N390" i="28" s="1"/>
  <c r="L392" i="28"/>
  <c r="N392" i="28" s="1"/>
  <c r="L394" i="28"/>
  <c r="N394" i="28" s="1"/>
  <c r="L396" i="28"/>
  <c r="N396" i="28" s="1"/>
  <c r="L398" i="28"/>
  <c r="N398" i="28" s="1"/>
  <c r="K234" i="28"/>
  <c r="M234" i="28" s="1"/>
  <c r="L257" i="28"/>
  <c r="N257" i="28" s="1"/>
  <c r="L266" i="28"/>
  <c r="N266" i="28" s="1"/>
  <c r="L292" i="28"/>
  <c r="N292" i="28" s="1"/>
  <c r="L294" i="28"/>
  <c r="N294" i="28" s="1"/>
  <c r="L328" i="28"/>
  <c r="N328" i="28" s="1"/>
  <c r="L331" i="28"/>
  <c r="N331" i="28" s="1"/>
  <c r="L333" i="28"/>
  <c r="N333" i="28" s="1"/>
  <c r="L367" i="28"/>
  <c r="N367" i="28" s="1"/>
  <c r="L380" i="28"/>
  <c r="N380" i="28" s="1"/>
  <c r="K237" i="28"/>
  <c r="M237" i="28" s="1"/>
  <c r="K235" i="28"/>
  <c r="M235" i="28" s="1"/>
  <c r="L254" i="28"/>
  <c r="N254" i="28" s="1"/>
  <c r="L309" i="28"/>
  <c r="N309" i="28" s="1"/>
  <c r="L311" i="28"/>
  <c r="N311" i="28" s="1"/>
  <c r="L313" i="28"/>
  <c r="N313" i="28" s="1"/>
  <c r="L315" i="28"/>
  <c r="N315" i="28" s="1"/>
  <c r="L317" i="28"/>
  <c r="N317" i="28" s="1"/>
  <c r="L319" i="28"/>
  <c r="N319" i="28" s="1"/>
  <c r="L321" i="28"/>
  <c r="N321" i="28" s="1"/>
  <c r="L323" i="28"/>
  <c r="N323" i="28" s="1"/>
  <c r="K239" i="28"/>
  <c r="M239" i="28" s="1"/>
  <c r="K236" i="28"/>
  <c r="M236" i="28" s="1"/>
  <c r="L253" i="28"/>
  <c r="N253" i="28" s="1"/>
  <c r="L255" i="28"/>
  <c r="N255" i="28" s="1"/>
  <c r="L310" i="28"/>
  <c r="N310" i="28" s="1"/>
  <c r="L312" i="28"/>
  <c r="N312" i="28" s="1"/>
  <c r="L314" i="28"/>
  <c r="N314" i="28" s="1"/>
  <c r="L316" i="28"/>
  <c r="N316" i="28" s="1"/>
  <c r="L318" i="28"/>
  <c r="N318" i="28" s="1"/>
  <c r="L320" i="28"/>
  <c r="N320" i="28" s="1"/>
  <c r="L322" i="28"/>
  <c r="N322" i="28" s="1"/>
  <c r="A4" i="70"/>
  <c r="A5" i="70"/>
  <c r="A6" i="70"/>
  <c r="A3" i="70"/>
  <c r="I182" i="81" l="1"/>
  <c r="K182" i="81" s="1"/>
  <c r="A1953" i="80"/>
  <c r="G1934" i="80"/>
  <c r="K1953" i="80"/>
  <c r="F1934" i="80"/>
  <c r="B1934" i="80"/>
  <c r="B1953" i="80"/>
  <c r="H1934" i="80"/>
  <c r="I1953" i="80"/>
  <c r="G1953" i="80"/>
  <c r="F1953" i="80"/>
  <c r="K1934" i="80"/>
  <c r="H1953" i="80"/>
  <c r="I1934" i="80"/>
  <c r="A1934" i="80"/>
  <c r="I201" i="81"/>
  <c r="K201" i="81" s="1"/>
  <c r="H1515" i="80"/>
  <c r="F1515" i="80"/>
  <c r="K1496" i="80"/>
  <c r="G1515" i="80"/>
  <c r="I1496" i="80"/>
  <c r="I1515" i="80"/>
  <c r="B1496" i="80"/>
  <c r="A1496" i="80"/>
  <c r="F1496" i="80"/>
  <c r="G1496" i="80"/>
  <c r="H1496" i="80"/>
  <c r="A1515" i="80"/>
  <c r="B1515" i="80"/>
  <c r="K1515" i="80"/>
  <c r="H1734" i="80"/>
  <c r="F1715" i="80"/>
  <c r="B1734" i="80"/>
  <c r="K1734" i="80"/>
  <c r="B1715" i="80"/>
  <c r="I1734" i="80"/>
  <c r="A1715" i="80"/>
  <c r="I1715" i="80"/>
  <c r="G1715" i="80"/>
  <c r="H1715" i="80"/>
  <c r="A1734" i="80"/>
  <c r="K1715" i="80"/>
  <c r="F1734" i="80"/>
  <c r="G1734" i="80"/>
  <c r="F1058" i="80"/>
  <c r="H1058" i="80"/>
  <c r="G1058" i="80"/>
  <c r="H1296" i="80"/>
  <c r="A1077" i="80"/>
  <c r="H1077" i="80"/>
  <c r="B1296" i="80"/>
  <c r="K1296" i="80"/>
  <c r="B1277" i="80"/>
  <c r="I1058" i="80"/>
  <c r="I1296" i="80"/>
  <c r="A1277" i="80"/>
  <c r="I1277" i="80"/>
  <c r="F1277" i="80"/>
  <c r="G1277" i="80"/>
  <c r="H1277" i="80"/>
  <c r="A1296" i="80"/>
  <c r="K1277" i="80"/>
  <c r="F1296" i="80"/>
  <c r="G1296" i="80"/>
  <c r="K1058" i="80"/>
  <c r="F1077" i="80"/>
  <c r="G1077" i="80"/>
  <c r="B1077" i="80"/>
  <c r="K1077" i="80"/>
  <c r="B1058" i="80"/>
  <c r="I1077" i="80"/>
  <c r="A1058" i="80"/>
  <c r="A620" i="80"/>
  <c r="A839" i="80"/>
  <c r="H639" i="80"/>
  <c r="H858" i="80"/>
  <c r="K839" i="80"/>
  <c r="G858" i="80"/>
  <c r="G639" i="80"/>
  <c r="I858" i="80"/>
  <c r="I839" i="80"/>
  <c r="K620" i="80"/>
  <c r="I620" i="80"/>
  <c r="F858" i="80"/>
  <c r="F639" i="80"/>
  <c r="A420" i="80"/>
  <c r="B839" i="80"/>
  <c r="I639" i="80"/>
  <c r="G401" i="80"/>
  <c r="F839" i="80"/>
  <c r="G839" i="80"/>
  <c r="H839" i="80"/>
  <c r="A858" i="80"/>
  <c r="B639" i="80"/>
  <c r="K639" i="80"/>
  <c r="B620" i="80"/>
  <c r="F620" i="80"/>
  <c r="G201" i="80"/>
  <c r="B858" i="80"/>
  <c r="K858" i="80"/>
  <c r="G620" i="80"/>
  <c r="H620" i="80"/>
  <c r="A639" i="80"/>
  <c r="I201" i="80"/>
  <c r="H401" i="80"/>
  <c r="F401" i="80"/>
  <c r="K201" i="80"/>
  <c r="I401" i="80"/>
  <c r="K401" i="80"/>
  <c r="F420" i="80"/>
  <c r="G420" i="80"/>
  <c r="H420" i="80"/>
  <c r="A201" i="80"/>
  <c r="B420" i="80"/>
  <c r="K420" i="80"/>
  <c r="B401" i="80"/>
  <c r="F201" i="80"/>
  <c r="H201" i="80"/>
  <c r="I420" i="80"/>
  <c r="A401" i="80"/>
  <c r="H182" i="80"/>
  <c r="B201" i="80"/>
  <c r="B182" i="80"/>
  <c r="F182" i="80"/>
  <c r="G182" i="80"/>
  <c r="A182" i="80"/>
  <c r="I182" i="80"/>
  <c r="K182" i="80"/>
  <c r="K620" i="28"/>
  <c r="B620" i="28"/>
  <c r="A401" i="28"/>
  <c r="K639" i="28"/>
  <c r="F620" i="28"/>
  <c r="A639" i="28"/>
  <c r="B639" i="28"/>
  <c r="F639" i="28"/>
  <c r="G639" i="28"/>
  <c r="H639" i="28"/>
  <c r="I639" i="28"/>
  <c r="A620" i="28"/>
  <c r="I620" i="28"/>
  <c r="G620" i="28"/>
  <c r="H620" i="28"/>
  <c r="H401" i="28"/>
  <c r="I420" i="28"/>
  <c r="A420" i="28"/>
  <c r="F401" i="28"/>
  <c r="G401" i="28"/>
  <c r="H420" i="28"/>
  <c r="B401" i="28"/>
  <c r="F420" i="28"/>
  <c r="I401" i="28"/>
  <c r="K401" i="28"/>
  <c r="G420" i="28"/>
  <c r="B420" i="28"/>
  <c r="K420" i="28"/>
  <c r="E12" i="28"/>
  <c r="E18" i="28" s="1"/>
  <c r="E13" i="28"/>
  <c r="E19" i="28" s="1"/>
  <c r="E14" i="28"/>
  <c r="E20" i="28" s="1"/>
  <c r="E15" i="28"/>
  <c r="E16" i="28"/>
  <c r="E17" i="28"/>
  <c r="L420" i="80" l="1"/>
  <c r="N420" i="80" s="1"/>
  <c r="L620" i="28"/>
  <c r="N620" i="28" s="1"/>
  <c r="L1715" i="80"/>
  <c r="N1715" i="80" s="1"/>
  <c r="L1934" i="80"/>
  <c r="N1934" i="80" s="1"/>
  <c r="L1953" i="80"/>
  <c r="N1953" i="80" s="1"/>
  <c r="L1496" i="80"/>
  <c r="N1496" i="80" s="1"/>
  <c r="L201" i="80"/>
  <c r="N201" i="80" s="1"/>
  <c r="L1515" i="80"/>
  <c r="N1515" i="80" s="1"/>
  <c r="L1734" i="80"/>
  <c r="N1734" i="80" s="1"/>
  <c r="L639" i="80"/>
  <c r="N639" i="80" s="1"/>
  <c r="L1077" i="80"/>
  <c r="N1077" i="80" s="1"/>
  <c r="L1058" i="80"/>
  <c r="N1058" i="80" s="1"/>
  <c r="L1277" i="80"/>
  <c r="N1277" i="80" s="1"/>
  <c r="L1296" i="80"/>
  <c r="N1296" i="80" s="1"/>
  <c r="L839" i="80"/>
  <c r="N839" i="80" s="1"/>
  <c r="L401" i="80"/>
  <c r="N401" i="80" s="1"/>
  <c r="L620" i="80"/>
  <c r="N620" i="80" s="1"/>
  <c r="L858" i="80"/>
  <c r="N858" i="80" s="1"/>
  <c r="L182" i="80"/>
  <c r="N182" i="80" s="1"/>
  <c r="L401" i="28"/>
  <c r="N401" i="28" s="1"/>
  <c r="L639" i="28"/>
  <c r="N639" i="28" s="1"/>
  <c r="L420" i="28"/>
  <c r="N420" i="28" s="1"/>
  <c r="H13" i="28"/>
  <c r="H14" i="28"/>
  <c r="H12" i="28"/>
  <c r="J14" i="28"/>
  <c r="J13" i="28"/>
  <c r="J12" i="28"/>
  <c r="F12" i="28"/>
  <c r="G12" i="28"/>
  <c r="F13" i="28"/>
  <c r="G13" i="28"/>
  <c r="F14" i="28"/>
  <c r="G14" i="28"/>
  <c r="B14" i="28"/>
  <c r="B13" i="28"/>
  <c r="B12" i="28"/>
  <c r="K3" i="70" l="1"/>
  <c r="L3" i="70" s="1"/>
  <c r="M3" i="70" l="1"/>
  <c r="Q3" i="70" l="1"/>
  <c r="S3" i="70" s="1"/>
  <c r="W3" i="70" s="1"/>
  <c r="N3" i="70"/>
  <c r="AA3" i="70" s="1"/>
  <c r="X3" i="70" l="1"/>
  <c r="Y3" i="70"/>
  <c r="R3" i="70"/>
  <c r="J17" i="28"/>
  <c r="Z3" i="70" l="1"/>
  <c r="AC3" i="70" s="1"/>
  <c r="K4" i="70"/>
  <c r="T3" i="70"/>
  <c r="AB3" i="70" s="1"/>
  <c r="M4" i="70" l="1"/>
  <c r="L4" i="70"/>
  <c r="Q4" i="70" l="1"/>
  <c r="S4" i="70" s="1"/>
  <c r="W4" i="70" s="1"/>
  <c r="N4" i="70"/>
  <c r="AA4" i="70" s="1"/>
  <c r="B4" i="70"/>
  <c r="X4" i="70" l="1"/>
  <c r="Y4" i="70"/>
  <c r="R4" i="70"/>
  <c r="Z4" i="70" l="1"/>
  <c r="AC4" i="70" s="1"/>
  <c r="K5" i="70"/>
  <c r="T4" i="70"/>
  <c r="AB4" i="70" s="1"/>
  <c r="C4" i="70"/>
  <c r="D4" i="70"/>
  <c r="E4" i="70" l="1"/>
  <c r="M5" i="70"/>
  <c r="L5" i="70"/>
  <c r="B16" i="28"/>
  <c r="F16" i="28"/>
  <c r="G16" i="28"/>
  <c r="H16" i="28"/>
  <c r="J16" i="28"/>
  <c r="B17" i="28"/>
  <c r="F17" i="28"/>
  <c r="G17" i="28"/>
  <c r="H17" i="28"/>
  <c r="B18" i="28"/>
  <c r="F18" i="28"/>
  <c r="G18" i="28"/>
  <c r="H18" i="28"/>
  <c r="J18" i="28"/>
  <c r="B19" i="28"/>
  <c r="F19" i="28"/>
  <c r="G19" i="28"/>
  <c r="H19" i="28"/>
  <c r="J19" i="28"/>
  <c r="B20" i="28"/>
  <c r="F20" i="28"/>
  <c r="G20" i="28"/>
  <c r="H20" i="28"/>
  <c r="J20" i="28"/>
  <c r="Q5" i="70" l="1"/>
  <c r="S5" i="70" s="1"/>
  <c r="W5" i="70" s="1"/>
  <c r="N5" i="70"/>
  <c r="AA5" i="70" s="1"/>
  <c r="H123" i="28"/>
  <c r="H122" i="28"/>
  <c r="H121" i="28"/>
  <c r="H120" i="28"/>
  <c r="H119" i="28"/>
  <c r="H118" i="28"/>
  <c r="H117" i="28"/>
  <c r="H116" i="28"/>
  <c r="H115" i="28"/>
  <c r="H114" i="28"/>
  <c r="H113" i="28"/>
  <c r="H112" i="28"/>
  <c r="H111" i="28"/>
  <c r="H110" i="28"/>
  <c r="H109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K33" i="28"/>
  <c r="I33" i="28"/>
  <c r="K34" i="28"/>
  <c r="I34" i="28"/>
  <c r="K35" i="28"/>
  <c r="I35" i="28"/>
  <c r="K36" i="28"/>
  <c r="I36" i="28"/>
  <c r="K37" i="28"/>
  <c r="I37" i="28"/>
  <c r="K38" i="28"/>
  <c r="I38" i="28"/>
  <c r="K39" i="28"/>
  <c r="I39" i="28"/>
  <c r="K40" i="28"/>
  <c r="I40" i="28"/>
  <c r="K41" i="28"/>
  <c r="I41" i="28"/>
  <c r="K42" i="28"/>
  <c r="I42" i="28"/>
  <c r="K43" i="28"/>
  <c r="I43" i="28"/>
  <c r="K44" i="28"/>
  <c r="I44" i="28"/>
  <c r="K45" i="28"/>
  <c r="I45" i="28"/>
  <c r="K46" i="28"/>
  <c r="I46" i="28"/>
  <c r="K47" i="28"/>
  <c r="I47" i="28"/>
  <c r="K52" i="28"/>
  <c r="I52" i="28"/>
  <c r="K53" i="28"/>
  <c r="I53" i="28"/>
  <c r="K54" i="28"/>
  <c r="I54" i="28"/>
  <c r="K55" i="28"/>
  <c r="I55" i="28"/>
  <c r="K56" i="28"/>
  <c r="I56" i="28"/>
  <c r="K57" i="28"/>
  <c r="I57" i="28"/>
  <c r="K58" i="28"/>
  <c r="I58" i="28"/>
  <c r="K59" i="28"/>
  <c r="I59" i="28"/>
  <c r="K60" i="28"/>
  <c r="I60" i="28"/>
  <c r="K61" i="28"/>
  <c r="I61" i="28"/>
  <c r="K62" i="28"/>
  <c r="I62" i="28"/>
  <c r="K63" i="28"/>
  <c r="I63" i="28"/>
  <c r="K64" i="28"/>
  <c r="I64" i="28"/>
  <c r="K65" i="28"/>
  <c r="I65" i="28"/>
  <c r="K66" i="28"/>
  <c r="I66" i="28"/>
  <c r="K71" i="28"/>
  <c r="I71" i="28"/>
  <c r="K72" i="28"/>
  <c r="I72" i="28"/>
  <c r="K73" i="28"/>
  <c r="I73" i="28"/>
  <c r="K74" i="28"/>
  <c r="I74" i="28"/>
  <c r="K75" i="28"/>
  <c r="I75" i="28"/>
  <c r="K76" i="28"/>
  <c r="I76" i="28"/>
  <c r="K77" i="28"/>
  <c r="I77" i="28"/>
  <c r="K78" i="28"/>
  <c r="I78" i="28"/>
  <c r="K79" i="28"/>
  <c r="I79" i="28"/>
  <c r="K80" i="28"/>
  <c r="I80" i="28"/>
  <c r="K81" i="28"/>
  <c r="I81" i="28"/>
  <c r="K82" i="28"/>
  <c r="I82" i="28"/>
  <c r="K83" i="28"/>
  <c r="I83" i="28"/>
  <c r="K84" i="28"/>
  <c r="I84" i="28"/>
  <c r="K85" i="28"/>
  <c r="I85" i="28"/>
  <c r="K90" i="28"/>
  <c r="I90" i="28"/>
  <c r="K91" i="28"/>
  <c r="I91" i="28"/>
  <c r="K92" i="28"/>
  <c r="I92" i="28"/>
  <c r="K93" i="28"/>
  <c r="I93" i="28"/>
  <c r="K94" i="28"/>
  <c r="I94" i="28"/>
  <c r="K95" i="28"/>
  <c r="I95" i="28"/>
  <c r="K96" i="28"/>
  <c r="I96" i="28"/>
  <c r="K97" i="28"/>
  <c r="I97" i="28"/>
  <c r="K98" i="28"/>
  <c r="I98" i="28"/>
  <c r="K99" i="28"/>
  <c r="I99" i="28"/>
  <c r="K100" i="28"/>
  <c r="I100" i="28"/>
  <c r="K101" i="28"/>
  <c r="I101" i="28"/>
  <c r="K102" i="28"/>
  <c r="I102" i="28"/>
  <c r="K103" i="28"/>
  <c r="I103" i="28"/>
  <c r="K104" i="28"/>
  <c r="I104" i="28"/>
  <c r="K109" i="28"/>
  <c r="I109" i="28"/>
  <c r="K110" i="28"/>
  <c r="I110" i="28"/>
  <c r="K111" i="28"/>
  <c r="I111" i="28"/>
  <c r="K112" i="28"/>
  <c r="I112" i="28"/>
  <c r="K113" i="28"/>
  <c r="I113" i="28"/>
  <c r="K114" i="28"/>
  <c r="I114" i="28"/>
  <c r="K115" i="28"/>
  <c r="I115" i="28"/>
  <c r="K116" i="28"/>
  <c r="I116" i="28"/>
  <c r="K117" i="28"/>
  <c r="I117" i="28"/>
  <c r="K118" i="28"/>
  <c r="I118" i="28"/>
  <c r="K119" i="28"/>
  <c r="I119" i="28"/>
  <c r="K120" i="28"/>
  <c r="I120" i="28"/>
  <c r="K121" i="28"/>
  <c r="I121" i="28"/>
  <c r="K122" i="28"/>
  <c r="I122" i="28"/>
  <c r="K123" i="28"/>
  <c r="I123" i="28"/>
  <c r="K128" i="28"/>
  <c r="I128" i="28"/>
  <c r="K129" i="28"/>
  <c r="I129" i="28"/>
  <c r="K130" i="28"/>
  <c r="I130" i="28"/>
  <c r="K131" i="28"/>
  <c r="I131" i="28"/>
  <c r="K132" i="28"/>
  <c r="I132" i="28"/>
  <c r="K133" i="28"/>
  <c r="I133" i="28"/>
  <c r="K134" i="28"/>
  <c r="I134" i="28"/>
  <c r="K135" i="28"/>
  <c r="I135" i="28"/>
  <c r="K136" i="28"/>
  <c r="I136" i="28"/>
  <c r="K137" i="28"/>
  <c r="I137" i="28"/>
  <c r="K138" i="28"/>
  <c r="I138" i="28"/>
  <c r="K139" i="28"/>
  <c r="I139" i="28"/>
  <c r="K140" i="28"/>
  <c r="I140" i="28"/>
  <c r="K141" i="28"/>
  <c r="I141" i="28"/>
  <c r="K142" i="28"/>
  <c r="I142" i="28"/>
  <c r="K147" i="28"/>
  <c r="I147" i="28"/>
  <c r="K148" i="28"/>
  <c r="I148" i="28"/>
  <c r="K149" i="28"/>
  <c r="I149" i="28"/>
  <c r="K150" i="28"/>
  <c r="I150" i="28"/>
  <c r="K151" i="28"/>
  <c r="I151" i="28"/>
  <c r="K152" i="28"/>
  <c r="I152" i="28"/>
  <c r="K153" i="28"/>
  <c r="I153" i="28"/>
  <c r="K154" i="28"/>
  <c r="I154" i="28"/>
  <c r="K155" i="28"/>
  <c r="I155" i="28"/>
  <c r="K156" i="28"/>
  <c r="I156" i="28"/>
  <c r="K157" i="28"/>
  <c r="I157" i="28"/>
  <c r="K158" i="28"/>
  <c r="I158" i="28"/>
  <c r="K159" i="28"/>
  <c r="I159" i="28"/>
  <c r="K160" i="28"/>
  <c r="I160" i="28"/>
  <c r="K161" i="28"/>
  <c r="I161" i="28"/>
  <c r="K166" i="28"/>
  <c r="I166" i="28"/>
  <c r="K167" i="28"/>
  <c r="I167" i="28"/>
  <c r="K168" i="28"/>
  <c r="I168" i="28"/>
  <c r="K169" i="28"/>
  <c r="I169" i="28"/>
  <c r="K170" i="28"/>
  <c r="I170" i="28"/>
  <c r="K171" i="28"/>
  <c r="I171" i="28"/>
  <c r="K172" i="28"/>
  <c r="I172" i="28"/>
  <c r="K173" i="28"/>
  <c r="I173" i="28"/>
  <c r="K174" i="28"/>
  <c r="I174" i="28"/>
  <c r="K175" i="28"/>
  <c r="I175" i="28"/>
  <c r="K176" i="28"/>
  <c r="I176" i="28"/>
  <c r="K177" i="28"/>
  <c r="I177" i="28"/>
  <c r="K178" i="28"/>
  <c r="I178" i="28"/>
  <c r="K179" i="28"/>
  <c r="I179" i="28"/>
  <c r="K180" i="28"/>
  <c r="I180" i="28"/>
  <c r="G180" i="28"/>
  <c r="F180" i="28"/>
  <c r="B180" i="28"/>
  <c r="G179" i="28"/>
  <c r="F179" i="28"/>
  <c r="B179" i="28"/>
  <c r="G178" i="28"/>
  <c r="F178" i="28"/>
  <c r="B178" i="28"/>
  <c r="G177" i="28"/>
  <c r="F177" i="28"/>
  <c r="B177" i="28"/>
  <c r="G176" i="28"/>
  <c r="F176" i="28"/>
  <c r="B176" i="28"/>
  <c r="G175" i="28"/>
  <c r="F175" i="28"/>
  <c r="B175" i="28"/>
  <c r="G174" i="28"/>
  <c r="F174" i="28"/>
  <c r="B174" i="28"/>
  <c r="G173" i="28"/>
  <c r="F173" i="28"/>
  <c r="B173" i="28"/>
  <c r="G172" i="28"/>
  <c r="F172" i="28"/>
  <c r="B172" i="28"/>
  <c r="G171" i="28"/>
  <c r="F171" i="28"/>
  <c r="B171" i="28"/>
  <c r="G170" i="28"/>
  <c r="F170" i="28"/>
  <c r="B170" i="28"/>
  <c r="G169" i="28"/>
  <c r="F169" i="28"/>
  <c r="B169" i="28"/>
  <c r="G168" i="28"/>
  <c r="F168" i="28"/>
  <c r="B168" i="28"/>
  <c r="G167" i="28"/>
  <c r="F167" i="28"/>
  <c r="B167" i="28"/>
  <c r="G166" i="28"/>
  <c r="F166" i="28"/>
  <c r="B166" i="28"/>
  <c r="G161" i="28"/>
  <c r="F161" i="28"/>
  <c r="B161" i="28"/>
  <c r="G160" i="28"/>
  <c r="F160" i="28"/>
  <c r="B160" i="28"/>
  <c r="G159" i="28"/>
  <c r="F159" i="28"/>
  <c r="B159" i="28"/>
  <c r="G158" i="28"/>
  <c r="F158" i="28"/>
  <c r="B158" i="28"/>
  <c r="G157" i="28"/>
  <c r="F157" i="28"/>
  <c r="B157" i="28"/>
  <c r="G156" i="28"/>
  <c r="F156" i="28"/>
  <c r="B156" i="28"/>
  <c r="G155" i="28"/>
  <c r="F155" i="28"/>
  <c r="B155" i="28"/>
  <c r="G154" i="28"/>
  <c r="F154" i="28"/>
  <c r="B154" i="28"/>
  <c r="G153" i="28"/>
  <c r="F153" i="28"/>
  <c r="B153" i="28"/>
  <c r="G152" i="28"/>
  <c r="F152" i="28"/>
  <c r="B152" i="28"/>
  <c r="G151" i="28"/>
  <c r="F151" i="28"/>
  <c r="B151" i="28"/>
  <c r="G150" i="28"/>
  <c r="F150" i="28"/>
  <c r="B150" i="28"/>
  <c r="G149" i="28"/>
  <c r="F149" i="28"/>
  <c r="B149" i="28"/>
  <c r="G148" i="28"/>
  <c r="F148" i="28"/>
  <c r="B148" i="28"/>
  <c r="G147" i="28"/>
  <c r="F147" i="28"/>
  <c r="B147" i="28"/>
  <c r="G142" i="28"/>
  <c r="F142" i="28"/>
  <c r="B142" i="28"/>
  <c r="G141" i="28"/>
  <c r="F141" i="28"/>
  <c r="B141" i="28"/>
  <c r="G140" i="28"/>
  <c r="F140" i="28"/>
  <c r="B140" i="28"/>
  <c r="G139" i="28"/>
  <c r="F139" i="28"/>
  <c r="B139" i="28"/>
  <c r="G138" i="28"/>
  <c r="F138" i="28"/>
  <c r="B138" i="28"/>
  <c r="G137" i="28"/>
  <c r="F137" i="28"/>
  <c r="B137" i="28"/>
  <c r="G136" i="28"/>
  <c r="F136" i="28"/>
  <c r="B136" i="28"/>
  <c r="G135" i="28"/>
  <c r="F135" i="28"/>
  <c r="B135" i="28"/>
  <c r="G134" i="28"/>
  <c r="F134" i="28"/>
  <c r="B134" i="28"/>
  <c r="G133" i="28"/>
  <c r="F133" i="28"/>
  <c r="B133" i="28"/>
  <c r="G132" i="28"/>
  <c r="F132" i="28"/>
  <c r="B132" i="28"/>
  <c r="G131" i="28"/>
  <c r="F131" i="28"/>
  <c r="B131" i="28"/>
  <c r="G130" i="28"/>
  <c r="F130" i="28"/>
  <c r="B130" i="28"/>
  <c r="G129" i="28"/>
  <c r="F129" i="28"/>
  <c r="B129" i="28"/>
  <c r="G128" i="28"/>
  <c r="F128" i="28"/>
  <c r="B128" i="28"/>
  <c r="G123" i="28"/>
  <c r="F123" i="28"/>
  <c r="B123" i="28"/>
  <c r="G122" i="28"/>
  <c r="F122" i="28"/>
  <c r="B122" i="28"/>
  <c r="G121" i="28"/>
  <c r="F121" i="28"/>
  <c r="B121" i="28"/>
  <c r="G120" i="28"/>
  <c r="F120" i="28"/>
  <c r="B120" i="28"/>
  <c r="G119" i="28"/>
  <c r="F119" i="28"/>
  <c r="B119" i="28"/>
  <c r="G118" i="28"/>
  <c r="F118" i="28"/>
  <c r="B118" i="28"/>
  <c r="G117" i="28"/>
  <c r="F117" i="28"/>
  <c r="B117" i="28"/>
  <c r="G116" i="28"/>
  <c r="F116" i="28"/>
  <c r="B116" i="28"/>
  <c r="G115" i="28"/>
  <c r="F115" i="28"/>
  <c r="B115" i="28"/>
  <c r="G114" i="28"/>
  <c r="F114" i="28"/>
  <c r="B114" i="28"/>
  <c r="G113" i="28"/>
  <c r="F113" i="28"/>
  <c r="B113" i="28"/>
  <c r="G112" i="28"/>
  <c r="F112" i="28"/>
  <c r="B112" i="28"/>
  <c r="G111" i="28"/>
  <c r="F111" i="28"/>
  <c r="B111" i="28"/>
  <c r="G110" i="28"/>
  <c r="F110" i="28"/>
  <c r="B110" i="28"/>
  <c r="G109" i="28"/>
  <c r="F109" i="28"/>
  <c r="B109" i="28"/>
  <c r="G104" i="28"/>
  <c r="F104" i="28"/>
  <c r="B104" i="28"/>
  <c r="G103" i="28"/>
  <c r="F103" i="28"/>
  <c r="B103" i="28"/>
  <c r="G102" i="28"/>
  <c r="F102" i="28"/>
  <c r="B102" i="28"/>
  <c r="G101" i="28"/>
  <c r="F101" i="28"/>
  <c r="B101" i="28"/>
  <c r="G100" i="28"/>
  <c r="F100" i="28"/>
  <c r="B100" i="28"/>
  <c r="G99" i="28"/>
  <c r="F99" i="28"/>
  <c r="B99" i="28"/>
  <c r="G98" i="28"/>
  <c r="F98" i="28"/>
  <c r="B98" i="28"/>
  <c r="G97" i="28"/>
  <c r="F97" i="28"/>
  <c r="B97" i="28"/>
  <c r="G96" i="28"/>
  <c r="F96" i="28"/>
  <c r="B96" i="28"/>
  <c r="G95" i="28"/>
  <c r="F95" i="28"/>
  <c r="B95" i="28"/>
  <c r="G94" i="28"/>
  <c r="F94" i="28"/>
  <c r="B94" i="28"/>
  <c r="G93" i="28"/>
  <c r="F93" i="28"/>
  <c r="B93" i="28"/>
  <c r="G92" i="28"/>
  <c r="F92" i="28"/>
  <c r="B92" i="28"/>
  <c r="G91" i="28"/>
  <c r="F91" i="28"/>
  <c r="B91" i="28"/>
  <c r="G90" i="28"/>
  <c r="F90" i="28"/>
  <c r="B90" i="28"/>
  <c r="G85" i="28"/>
  <c r="F85" i="28"/>
  <c r="B85" i="28"/>
  <c r="G84" i="28"/>
  <c r="F84" i="28"/>
  <c r="B84" i="28"/>
  <c r="G83" i="28"/>
  <c r="F83" i="28"/>
  <c r="B83" i="28"/>
  <c r="G82" i="28"/>
  <c r="F82" i="28"/>
  <c r="B82" i="28"/>
  <c r="G81" i="28"/>
  <c r="F81" i="28"/>
  <c r="B81" i="28"/>
  <c r="G80" i="28"/>
  <c r="F80" i="28"/>
  <c r="B80" i="28"/>
  <c r="G79" i="28"/>
  <c r="F79" i="28"/>
  <c r="B79" i="28"/>
  <c r="G78" i="28"/>
  <c r="F78" i="28"/>
  <c r="B78" i="28"/>
  <c r="G77" i="28"/>
  <c r="F77" i="28"/>
  <c r="B77" i="28"/>
  <c r="G76" i="28"/>
  <c r="F76" i="28"/>
  <c r="B76" i="28"/>
  <c r="G75" i="28"/>
  <c r="F75" i="28"/>
  <c r="B75" i="28"/>
  <c r="G74" i="28"/>
  <c r="F74" i="28"/>
  <c r="B74" i="28"/>
  <c r="G73" i="28"/>
  <c r="F73" i="28"/>
  <c r="B73" i="28"/>
  <c r="G72" i="28"/>
  <c r="F72" i="28"/>
  <c r="B72" i="28"/>
  <c r="G71" i="28"/>
  <c r="F71" i="28"/>
  <c r="B71" i="28"/>
  <c r="G66" i="28"/>
  <c r="F66" i="28"/>
  <c r="B66" i="28"/>
  <c r="G65" i="28"/>
  <c r="F65" i="28"/>
  <c r="B65" i="28"/>
  <c r="G64" i="28"/>
  <c r="F64" i="28"/>
  <c r="B64" i="28"/>
  <c r="G63" i="28"/>
  <c r="F63" i="28"/>
  <c r="B63" i="28"/>
  <c r="G62" i="28"/>
  <c r="F62" i="28"/>
  <c r="B62" i="28"/>
  <c r="G61" i="28"/>
  <c r="F61" i="28"/>
  <c r="B61" i="28"/>
  <c r="G60" i="28"/>
  <c r="F60" i="28"/>
  <c r="B60" i="28"/>
  <c r="G59" i="28"/>
  <c r="F59" i="28"/>
  <c r="B59" i="28"/>
  <c r="G58" i="28"/>
  <c r="F58" i="28"/>
  <c r="B58" i="28"/>
  <c r="G57" i="28"/>
  <c r="F57" i="28"/>
  <c r="B57" i="28"/>
  <c r="G56" i="28"/>
  <c r="F56" i="28"/>
  <c r="B56" i="28"/>
  <c r="G55" i="28"/>
  <c r="F55" i="28"/>
  <c r="B55" i="28"/>
  <c r="G54" i="28"/>
  <c r="F54" i="28"/>
  <c r="B54" i="28"/>
  <c r="G53" i="28"/>
  <c r="F53" i="28"/>
  <c r="B53" i="28"/>
  <c r="G52" i="28"/>
  <c r="F52" i="28"/>
  <c r="B5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15" i="28"/>
  <c r="L49" i="28"/>
  <c r="N49" i="28" s="1"/>
  <c r="L50" i="28"/>
  <c r="N50" i="28" s="1"/>
  <c r="L51" i="28"/>
  <c r="N51" i="28" s="1"/>
  <c r="L68" i="28"/>
  <c r="N68" i="28" s="1"/>
  <c r="L69" i="28"/>
  <c r="N69" i="28" s="1"/>
  <c r="L70" i="28"/>
  <c r="N70" i="28" s="1"/>
  <c r="L87" i="28"/>
  <c r="N87" i="28" s="1"/>
  <c r="L88" i="28"/>
  <c r="N88" i="28" s="1"/>
  <c r="L89" i="28"/>
  <c r="N89" i="28" s="1"/>
  <c r="L106" i="28"/>
  <c r="N106" i="28" s="1"/>
  <c r="L107" i="28"/>
  <c r="N107" i="28" s="1"/>
  <c r="L108" i="28"/>
  <c r="N108" i="28" s="1"/>
  <c r="L125" i="28"/>
  <c r="N125" i="28" s="1"/>
  <c r="L126" i="28"/>
  <c r="N126" i="28" s="1"/>
  <c r="L127" i="28"/>
  <c r="N127" i="28" s="1"/>
  <c r="L144" i="28"/>
  <c r="N144" i="28" s="1"/>
  <c r="L145" i="28"/>
  <c r="N145" i="28" s="1"/>
  <c r="L146" i="28"/>
  <c r="N146" i="28" s="1"/>
  <c r="L163" i="28"/>
  <c r="N163" i="28" s="1"/>
  <c r="L164" i="28"/>
  <c r="N164" i="28" s="1"/>
  <c r="L165" i="28"/>
  <c r="N165" i="28" s="1"/>
  <c r="L30" i="28"/>
  <c r="N30" i="28" s="1"/>
  <c r="L31" i="28"/>
  <c r="N31" i="28" s="1"/>
  <c r="L32" i="28"/>
  <c r="N32" i="28" s="1"/>
  <c r="K10" i="28"/>
  <c r="M10" i="28" s="1"/>
  <c r="K11" i="28"/>
  <c r="M11" i="28" s="1"/>
  <c r="K12" i="28"/>
  <c r="M12" i="28" s="1"/>
  <c r="J15" i="28"/>
  <c r="H15" i="28"/>
  <c r="K9" i="28"/>
  <c r="M9" i="28" s="1"/>
  <c r="H104" i="28"/>
  <c r="H103" i="28"/>
  <c r="H102" i="28"/>
  <c r="H101" i="28"/>
  <c r="H100" i="28"/>
  <c r="H99" i="28"/>
  <c r="H98" i="28"/>
  <c r="H97" i="28"/>
  <c r="H96" i="28"/>
  <c r="H95" i="28"/>
  <c r="H94" i="28"/>
  <c r="H93" i="28"/>
  <c r="H92" i="28"/>
  <c r="H91" i="28"/>
  <c r="H90" i="28"/>
  <c r="F15" i="28"/>
  <c r="B15" i="28"/>
  <c r="H45" i="28"/>
  <c r="H180" i="28"/>
  <c r="H179" i="28"/>
  <c r="H178" i="28"/>
  <c r="H177" i="28"/>
  <c r="H176" i="28"/>
  <c r="H175" i="28"/>
  <c r="H174" i="28"/>
  <c r="H173" i="28"/>
  <c r="H172" i="28"/>
  <c r="H171" i="28"/>
  <c r="H170" i="28"/>
  <c r="H169" i="28"/>
  <c r="H168" i="28"/>
  <c r="H167" i="28"/>
  <c r="H166" i="28"/>
  <c r="H161" i="28"/>
  <c r="H160" i="28"/>
  <c r="H159" i="28"/>
  <c r="H158" i="28"/>
  <c r="H157" i="28"/>
  <c r="H156" i="28"/>
  <c r="H155" i="28"/>
  <c r="H154" i="28"/>
  <c r="H153" i="28"/>
  <c r="H152" i="28"/>
  <c r="H151" i="28"/>
  <c r="H150" i="28"/>
  <c r="H149" i="28"/>
  <c r="H148" i="28"/>
  <c r="H147" i="28"/>
  <c r="H142" i="28"/>
  <c r="H141" i="28"/>
  <c r="H140" i="28"/>
  <c r="H139" i="28"/>
  <c r="H138" i="28"/>
  <c r="H137" i="28"/>
  <c r="H136" i="28"/>
  <c r="H135" i="28"/>
  <c r="H134" i="28"/>
  <c r="H133" i="28"/>
  <c r="H132" i="28"/>
  <c r="H131" i="28"/>
  <c r="H130" i="28"/>
  <c r="H129" i="28"/>
  <c r="H128" i="28"/>
  <c r="H85" i="28"/>
  <c r="H84" i="28"/>
  <c r="H83" i="28"/>
  <c r="H82" i="28"/>
  <c r="H81" i="28"/>
  <c r="H80" i="28"/>
  <c r="H79" i="28"/>
  <c r="H78" i="28"/>
  <c r="H77" i="28"/>
  <c r="H76" i="28"/>
  <c r="H75" i="28"/>
  <c r="H74" i="28"/>
  <c r="H73" i="28"/>
  <c r="H72" i="28"/>
  <c r="H71" i="28"/>
  <c r="H47" i="28"/>
  <c r="H46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F47" i="28"/>
  <c r="B47" i="28"/>
  <c r="F46" i="28"/>
  <c r="B46" i="28"/>
  <c r="F45" i="28"/>
  <c r="B45" i="28"/>
  <c r="F44" i="28"/>
  <c r="B44" i="28"/>
  <c r="F43" i="28"/>
  <c r="B43" i="28"/>
  <c r="F42" i="28"/>
  <c r="B42" i="28"/>
  <c r="F41" i="28"/>
  <c r="B41" i="28"/>
  <c r="F40" i="28"/>
  <c r="B40" i="28"/>
  <c r="F39" i="28"/>
  <c r="B39" i="28"/>
  <c r="F38" i="28"/>
  <c r="B38" i="28"/>
  <c r="F37" i="28"/>
  <c r="B37" i="28"/>
  <c r="F36" i="28"/>
  <c r="B36" i="28"/>
  <c r="F35" i="28"/>
  <c r="B35" i="28"/>
  <c r="F34" i="28"/>
  <c r="B34" i="28"/>
  <c r="F33" i="28"/>
  <c r="B33" i="28"/>
  <c r="B3" i="70"/>
  <c r="B5" i="70"/>
  <c r="X5" i="70" l="1"/>
  <c r="Y5" i="70"/>
  <c r="R5" i="70"/>
  <c r="L176" i="28"/>
  <c r="N176" i="28" s="1"/>
  <c r="L156" i="28"/>
  <c r="N156" i="28" s="1"/>
  <c r="K13" i="28"/>
  <c r="M13" i="28" s="1"/>
  <c r="K18" i="28"/>
  <c r="M18" i="28" s="1"/>
  <c r="K19" i="28"/>
  <c r="M19" i="28" s="1"/>
  <c r="L168" i="28"/>
  <c r="N168" i="28" s="1"/>
  <c r="L148" i="28"/>
  <c r="N148" i="28" s="1"/>
  <c r="L116" i="28"/>
  <c r="N116" i="28" s="1"/>
  <c r="L96" i="28"/>
  <c r="N96" i="28" s="1"/>
  <c r="L84" i="28"/>
  <c r="N84" i="28" s="1"/>
  <c r="L76" i="28"/>
  <c r="N76" i="28" s="1"/>
  <c r="L141" i="28"/>
  <c r="N141" i="28" s="1"/>
  <c r="L133" i="28"/>
  <c r="N133" i="28" s="1"/>
  <c r="L117" i="28"/>
  <c r="N117" i="28" s="1"/>
  <c r="L113" i="28"/>
  <c r="N113" i="28" s="1"/>
  <c r="K14" i="28"/>
  <c r="M14" i="28" s="1"/>
  <c r="K15" i="28"/>
  <c r="M15" i="28" s="1"/>
  <c r="L170" i="28"/>
  <c r="N170" i="28" s="1"/>
  <c r="L158" i="28"/>
  <c r="N158" i="28" s="1"/>
  <c r="L66" i="28"/>
  <c r="N66" i="28" s="1"/>
  <c r="L62" i="28"/>
  <c r="N62" i="28" s="1"/>
  <c r="L58" i="28"/>
  <c r="N58" i="28" s="1"/>
  <c r="L54" i="28"/>
  <c r="N54" i="28" s="1"/>
  <c r="L46" i="28"/>
  <c r="N46" i="28" s="1"/>
  <c r="L42" i="28"/>
  <c r="N42" i="28" s="1"/>
  <c r="L38" i="28"/>
  <c r="N38" i="28" s="1"/>
  <c r="L34" i="28"/>
  <c r="N34" i="28" s="1"/>
  <c r="L52" i="28"/>
  <c r="N52" i="28" s="1"/>
  <c r="L44" i="28"/>
  <c r="N44" i="28" s="1"/>
  <c r="L40" i="28"/>
  <c r="N40" i="28" s="1"/>
  <c r="L36" i="28"/>
  <c r="N36" i="28" s="1"/>
  <c r="L169" i="28"/>
  <c r="N169" i="28" s="1"/>
  <c r="L157" i="28"/>
  <c r="N157" i="28" s="1"/>
  <c r="L178" i="28"/>
  <c r="N178" i="28" s="1"/>
  <c r="L150" i="28"/>
  <c r="N150" i="28" s="1"/>
  <c r="L110" i="28"/>
  <c r="N110" i="28" s="1"/>
  <c r="L167" i="28"/>
  <c r="N167" i="28" s="1"/>
  <c r="L159" i="28"/>
  <c r="N159" i="28" s="1"/>
  <c r="L63" i="28"/>
  <c r="N63" i="28" s="1"/>
  <c r="L55" i="28"/>
  <c r="N55" i="28" s="1"/>
  <c r="L47" i="28"/>
  <c r="N47" i="28" s="1"/>
  <c r="L43" i="28"/>
  <c r="N43" i="28" s="1"/>
  <c r="L177" i="28"/>
  <c r="N177" i="28" s="1"/>
  <c r="L104" i="28"/>
  <c r="N104" i="28" s="1"/>
  <c r="L65" i="28"/>
  <c r="N65" i="28" s="1"/>
  <c r="L57" i="28"/>
  <c r="N57" i="28" s="1"/>
  <c r="L45" i="28"/>
  <c r="N45" i="28" s="1"/>
  <c r="L41" i="28"/>
  <c r="N41" i="28" s="1"/>
  <c r="L33" i="28"/>
  <c r="N33" i="28" s="1"/>
  <c r="K16" i="28"/>
  <c r="M16" i="28" s="1"/>
  <c r="L97" i="28"/>
  <c r="N97" i="28" s="1"/>
  <c r="L85" i="28"/>
  <c r="N85" i="28" s="1"/>
  <c r="L77" i="28"/>
  <c r="N77" i="28" s="1"/>
  <c r="L102" i="28"/>
  <c r="N102" i="28" s="1"/>
  <c r="L90" i="28"/>
  <c r="N90" i="28" s="1"/>
  <c r="L78" i="28"/>
  <c r="N78" i="28" s="1"/>
  <c r="L147" i="28"/>
  <c r="N147" i="28" s="1"/>
  <c r="L135" i="28"/>
  <c r="N135" i="28" s="1"/>
  <c r="L131" i="28"/>
  <c r="N131" i="28" s="1"/>
  <c r="L123" i="28"/>
  <c r="N123" i="28" s="1"/>
  <c r="L83" i="28"/>
  <c r="N83" i="28" s="1"/>
  <c r="L79" i="28"/>
  <c r="N79" i="28" s="1"/>
  <c r="L75" i="28"/>
  <c r="N75" i="28" s="1"/>
  <c r="L92" i="28"/>
  <c r="N92" i="28" s="1"/>
  <c r="K17" i="28"/>
  <c r="M17" i="28" s="1"/>
  <c r="L172" i="28"/>
  <c r="N172" i="28" s="1"/>
  <c r="L155" i="28"/>
  <c r="N155" i="28" s="1"/>
  <c r="L64" i="28"/>
  <c r="N64" i="28" s="1"/>
  <c r="L56" i="28"/>
  <c r="N56" i="28" s="1"/>
  <c r="L136" i="28"/>
  <c r="N136" i="28" s="1"/>
  <c r="L132" i="28"/>
  <c r="N132" i="28" s="1"/>
  <c r="L128" i="28"/>
  <c r="N128" i="28" s="1"/>
  <c r="L120" i="28"/>
  <c r="N120" i="28" s="1"/>
  <c r="L112" i="28"/>
  <c r="N112" i="28" s="1"/>
  <c r="L149" i="28"/>
  <c r="N149" i="28" s="1"/>
  <c r="L137" i="28"/>
  <c r="N137" i="28" s="1"/>
  <c r="L129" i="28"/>
  <c r="N129" i="28" s="1"/>
  <c r="L109" i="28"/>
  <c r="N109" i="28" s="1"/>
  <c r="L37" i="28"/>
  <c r="N37" i="28" s="1"/>
  <c r="L153" i="28"/>
  <c r="N153" i="28" s="1"/>
  <c r="L142" i="28"/>
  <c r="N142" i="28" s="1"/>
  <c r="L138" i="28"/>
  <c r="N138" i="28" s="1"/>
  <c r="L134" i="28"/>
  <c r="N134" i="28" s="1"/>
  <c r="L130" i="28"/>
  <c r="N130" i="28" s="1"/>
  <c r="L122" i="28"/>
  <c r="N122" i="28" s="1"/>
  <c r="L118" i="28"/>
  <c r="N118" i="28" s="1"/>
  <c r="L114" i="28"/>
  <c r="N114" i="28" s="1"/>
  <c r="L98" i="28"/>
  <c r="N98" i="28" s="1"/>
  <c r="L161" i="28"/>
  <c r="N161" i="28" s="1"/>
  <c r="L140" i="28"/>
  <c r="N140" i="28" s="1"/>
  <c r="L81" i="28"/>
  <c r="N81" i="28" s="1"/>
  <c r="L60" i="28"/>
  <c r="N60" i="28" s="1"/>
  <c r="L166" i="28"/>
  <c r="N166" i="28" s="1"/>
  <c r="L103" i="28"/>
  <c r="N103" i="28" s="1"/>
  <c r="L82" i="28"/>
  <c r="N82" i="28" s="1"/>
  <c r="L61" i="28"/>
  <c r="N61" i="28" s="1"/>
  <c r="L173" i="28"/>
  <c r="N173" i="28" s="1"/>
  <c r="L152" i="28"/>
  <c r="N152" i="28" s="1"/>
  <c r="L93" i="28"/>
  <c r="N93" i="28" s="1"/>
  <c r="L72" i="28"/>
  <c r="N72" i="28" s="1"/>
  <c r="L180" i="28"/>
  <c r="N180" i="28" s="1"/>
  <c r="L174" i="28"/>
  <c r="N174" i="28" s="1"/>
  <c r="L121" i="28"/>
  <c r="N121" i="28" s="1"/>
  <c r="L115" i="28"/>
  <c r="N115" i="28" s="1"/>
  <c r="L111" i="28"/>
  <c r="N111" i="28" s="1"/>
  <c r="L100" i="28"/>
  <c r="N100" i="28" s="1"/>
  <c r="L94" i="28"/>
  <c r="N94" i="28" s="1"/>
  <c r="L73" i="28"/>
  <c r="N73" i="28" s="1"/>
  <c r="L35" i="28"/>
  <c r="N35" i="28" s="1"/>
  <c r="L175" i="28"/>
  <c r="N175" i="28" s="1"/>
  <c r="L171" i="28"/>
  <c r="N171" i="28" s="1"/>
  <c r="L160" i="28"/>
  <c r="N160" i="28" s="1"/>
  <c r="L154" i="28"/>
  <c r="N154" i="28" s="1"/>
  <c r="L101" i="28"/>
  <c r="N101" i="28" s="1"/>
  <c r="L95" i="28"/>
  <c r="N95" i="28" s="1"/>
  <c r="L91" i="28"/>
  <c r="N91" i="28" s="1"/>
  <c r="L80" i="28"/>
  <c r="N80" i="28" s="1"/>
  <c r="L74" i="28"/>
  <c r="N74" i="28" s="1"/>
  <c r="L53" i="28"/>
  <c r="N53" i="28" s="1"/>
  <c r="L119" i="28"/>
  <c r="N119" i="28" s="1"/>
  <c r="L39" i="28"/>
  <c r="N39" i="28" s="1"/>
  <c r="L151" i="28"/>
  <c r="N151" i="28" s="1"/>
  <c r="L71" i="28"/>
  <c r="N71" i="28" s="1"/>
  <c r="L179" i="28"/>
  <c r="N179" i="28" s="1"/>
  <c r="L99" i="28"/>
  <c r="N99" i="28" s="1"/>
  <c r="L139" i="28"/>
  <c r="N139" i="28" s="1"/>
  <c r="L59" i="28"/>
  <c r="N59" i="28" s="1"/>
  <c r="K20" i="28"/>
  <c r="M20" i="28" s="1"/>
  <c r="K201" i="28" l="1"/>
  <c r="I201" i="28"/>
  <c r="H201" i="28"/>
  <c r="G201" i="28"/>
  <c r="F201" i="28"/>
  <c r="B201" i="28"/>
  <c r="A201" i="28"/>
  <c r="K182" i="28"/>
  <c r="I182" i="28"/>
  <c r="H182" i="28"/>
  <c r="G182" i="28"/>
  <c r="F182" i="28"/>
  <c r="B182" i="28"/>
  <c r="A182" i="28"/>
  <c r="Z5" i="70"/>
  <c r="AC5" i="70" s="1"/>
  <c r="K6" i="70"/>
  <c r="T5" i="70"/>
  <c r="AB5" i="70" s="1"/>
  <c r="D5" i="70"/>
  <c r="C5" i="70"/>
  <c r="C3" i="70"/>
  <c r="D3" i="70"/>
  <c r="E5" i="70" l="1"/>
  <c r="M6" i="70"/>
  <c r="L6" i="70"/>
  <c r="E3" i="70"/>
  <c r="L182" i="28"/>
  <c r="N182" i="28" s="1"/>
  <c r="L201" i="28"/>
  <c r="N201" i="28" s="1"/>
  <c r="Q6" i="70" l="1"/>
  <c r="S6" i="70" s="1"/>
  <c r="W6" i="70" s="1"/>
  <c r="N6" i="70"/>
  <c r="AA6" i="70" s="1"/>
  <c r="B6" i="70"/>
  <c r="X6" i="70" l="1"/>
  <c r="Y6" i="70"/>
  <c r="Z6" i="70" s="1"/>
  <c r="T6" i="70"/>
  <c r="R6" i="70"/>
  <c r="AC6" i="70" l="1"/>
  <c r="AB6" i="70"/>
  <c r="C6" i="70"/>
  <c r="D6" i="70"/>
  <c r="E6" i="70" l="1"/>
  <c r="B7" i="70" l="1"/>
  <c r="C7" i="70" l="1"/>
  <c r="E7" i="70" l="1"/>
  <c r="D7" i="70" l="1"/>
</calcChain>
</file>

<file path=xl/sharedStrings.xml><?xml version="1.0" encoding="utf-8"?>
<sst xmlns="http://schemas.openxmlformats.org/spreadsheetml/2006/main" count="3597" uniqueCount="182">
  <si>
    <t>Date</t>
  </si>
  <si>
    <t>Traffic Channel</t>
  </si>
  <si>
    <t>Channel</t>
  </si>
  <si>
    <t>Ambient Temperature (°C)</t>
  </si>
  <si>
    <t>Liquid Temperature (°C)</t>
  </si>
  <si>
    <t>Front</t>
  </si>
  <si>
    <t>Rear</t>
  </si>
  <si>
    <t>Left Edge</t>
  </si>
  <si>
    <t>Top</t>
  </si>
  <si>
    <t>Bottom</t>
  </si>
  <si>
    <t>Right Edge</t>
    <phoneticPr fontId="1" type="noConversion"/>
  </si>
  <si>
    <t>Right Touch</t>
    <phoneticPr fontId="1" type="noConversion"/>
  </si>
  <si>
    <t>Left Touch</t>
    <phoneticPr fontId="1" type="noConversion"/>
  </si>
  <si>
    <t>Right Tilt</t>
    <phoneticPr fontId="1" type="noConversion"/>
  </si>
  <si>
    <t>EUT 
Position</t>
    <phoneticPr fontId="1" type="noConversion"/>
  </si>
  <si>
    <t>Measure
Power 
(dBm)</t>
    <phoneticPr fontId="1" type="noConversion"/>
  </si>
  <si>
    <t>Measure
10 g SAR
(W/kg)</t>
    <phoneticPr fontId="1" type="noConversion"/>
  </si>
  <si>
    <t>Tune-Up Limit
(dBm)</t>
    <phoneticPr fontId="1" type="noConversion"/>
  </si>
  <si>
    <t>Frequency
(MHz)</t>
    <phoneticPr fontId="1" type="noConversion"/>
  </si>
  <si>
    <t>Distance
(㎜)</t>
    <phoneticPr fontId="1" type="noConversion"/>
  </si>
  <si>
    <t>Scaling SAR 
(W/kg)</t>
    <phoneticPr fontId="1" type="noConversion"/>
  </si>
  <si>
    <t>Left Tilt</t>
    <phoneticPr fontId="1" type="noConversion"/>
  </si>
  <si>
    <t>Mid</t>
    <phoneticPr fontId="1" type="noConversion"/>
  </si>
  <si>
    <t>Additional Test With Earphone</t>
    <phoneticPr fontId="1" type="noConversion"/>
  </si>
  <si>
    <t>Additional Test Limb SAR</t>
    <phoneticPr fontId="1" type="noConversion"/>
  </si>
  <si>
    <t>RCV Back-Off</t>
    <phoneticPr fontId="1" type="noConversion"/>
  </si>
  <si>
    <t>Basic Test</t>
    <phoneticPr fontId="1" type="noConversion"/>
  </si>
  <si>
    <t>Earjack Back-Off</t>
    <phoneticPr fontId="1" type="noConversion"/>
  </si>
  <si>
    <t>Gripsensor Back-Off</t>
    <phoneticPr fontId="1" type="noConversion"/>
  </si>
  <si>
    <t>Proximity sensor + RCV Back-Off</t>
    <phoneticPr fontId="1" type="noConversion"/>
  </si>
  <si>
    <t>Hotspot Back-Off</t>
    <phoneticPr fontId="1" type="noConversion"/>
  </si>
  <si>
    <t>USB Back-Off</t>
    <phoneticPr fontId="1" type="noConversion"/>
  </si>
  <si>
    <t>Proximity sensor</t>
    <phoneticPr fontId="1" type="noConversion"/>
  </si>
  <si>
    <t>Mode</t>
  </si>
  <si>
    <t>Mode</t>
    <phoneticPr fontId="1" type="noConversion"/>
  </si>
  <si>
    <t>channel</t>
    <phoneticPr fontId="1" type="noConversion"/>
  </si>
  <si>
    <t>GSM max</t>
    <phoneticPr fontId="1" type="noConversion"/>
  </si>
  <si>
    <t>WCMDA</t>
    <phoneticPr fontId="1" type="noConversion"/>
  </si>
  <si>
    <t>LTE TDD</t>
    <phoneticPr fontId="1" type="noConversion"/>
  </si>
  <si>
    <t>GSM</t>
    <phoneticPr fontId="1" type="noConversion"/>
  </si>
  <si>
    <t>WCDMA</t>
    <phoneticPr fontId="1" type="noConversion"/>
  </si>
  <si>
    <t>Mid</t>
  </si>
  <si>
    <t>Mid</t>
    <phoneticPr fontId="1" type="noConversion"/>
  </si>
  <si>
    <t>Mid</t>
    <phoneticPr fontId="1" type="noConversion"/>
  </si>
  <si>
    <t>Mid</t>
    <phoneticPr fontId="1" type="noConversion"/>
  </si>
  <si>
    <t>LTE FDD1</t>
    <phoneticPr fontId="1" type="noConversion"/>
  </si>
  <si>
    <t>LTE FDD2</t>
    <phoneticPr fontId="1" type="noConversion"/>
  </si>
  <si>
    <t>LTE FDD3</t>
    <phoneticPr fontId="1" type="noConversion"/>
  </si>
  <si>
    <t>LTE FDD4</t>
    <phoneticPr fontId="1" type="noConversion"/>
  </si>
  <si>
    <t>AS</t>
    <phoneticPr fontId="1" type="noConversion"/>
  </si>
  <si>
    <t>AS_GSM</t>
    <phoneticPr fontId="1" type="noConversion"/>
  </si>
  <si>
    <t>AS_WCDMA</t>
    <phoneticPr fontId="1" type="noConversion"/>
  </si>
  <si>
    <t>AS_LTE FDD1</t>
    <phoneticPr fontId="1" type="noConversion"/>
  </si>
  <si>
    <t>AS_LTE FDD2</t>
    <phoneticPr fontId="1" type="noConversion"/>
  </si>
  <si>
    <t>AS_LTE FDD3</t>
    <phoneticPr fontId="1" type="noConversion"/>
  </si>
  <si>
    <t>AS_LTE FDD4</t>
    <phoneticPr fontId="1" type="noConversion"/>
  </si>
  <si>
    <t>AS_LTE TDD</t>
    <phoneticPr fontId="1" type="noConversion"/>
  </si>
  <si>
    <t>Right Edge</t>
    <phoneticPr fontId="1" type="noConversion"/>
  </si>
  <si>
    <t>Band</t>
    <phoneticPr fontId="1" type="noConversion"/>
  </si>
  <si>
    <t>Head</t>
    <phoneticPr fontId="1" type="noConversion"/>
  </si>
  <si>
    <t>Body</t>
    <phoneticPr fontId="1" type="noConversion"/>
  </si>
  <si>
    <t>HPUE</t>
    <phoneticPr fontId="1" type="noConversion"/>
  </si>
  <si>
    <t>Mid</t>
    <phoneticPr fontId="1" type="noConversion"/>
  </si>
  <si>
    <t>Mid</t>
    <phoneticPr fontId="1" type="noConversion"/>
  </si>
  <si>
    <t>Head</t>
    <phoneticPr fontId="1" type="noConversion"/>
  </si>
  <si>
    <t>Mid</t>
    <phoneticPr fontId="1" type="noConversion"/>
  </si>
  <si>
    <t xml:space="preserve">EGSM 900 </t>
    <phoneticPr fontId="1" type="noConversion"/>
  </si>
  <si>
    <t>DCS 1800</t>
    <phoneticPr fontId="1" type="noConversion"/>
  </si>
  <si>
    <t>PCS 1900</t>
    <phoneticPr fontId="1" type="noConversion"/>
  </si>
  <si>
    <t>Head</t>
    <phoneticPr fontId="1" type="noConversion"/>
  </si>
  <si>
    <t>시작 행</t>
    <phoneticPr fontId="1" type="noConversion"/>
  </si>
  <si>
    <t>마지막 행</t>
    <phoneticPr fontId="1" type="noConversion"/>
  </si>
  <si>
    <t>Band</t>
    <phoneticPr fontId="1" type="noConversion"/>
  </si>
  <si>
    <t>Body</t>
    <phoneticPr fontId="1" type="noConversion"/>
  </si>
  <si>
    <t>Sheet</t>
    <phoneticPr fontId="1" type="noConversion"/>
  </si>
  <si>
    <t>-1</t>
    <phoneticPr fontId="1" type="noConversion"/>
  </si>
  <si>
    <t>G</t>
    <phoneticPr fontId="1" type="noConversion"/>
  </si>
  <si>
    <t>Limb</t>
  </si>
  <si>
    <t>Limb</t>
    <phoneticPr fontId="1" type="noConversion"/>
  </si>
  <si>
    <t>Head</t>
    <phoneticPr fontId="1" type="noConversion"/>
  </si>
  <si>
    <t>Body</t>
    <phoneticPr fontId="1" type="noConversion"/>
  </si>
  <si>
    <t>Limb</t>
    <phoneticPr fontId="1" type="noConversion"/>
  </si>
  <si>
    <t>Test Plot</t>
    <phoneticPr fontId="1" type="noConversion"/>
  </si>
  <si>
    <t>합계</t>
    <phoneticPr fontId="1" type="noConversion"/>
  </si>
  <si>
    <t>Scaling Factor</t>
    <phoneticPr fontId="1" type="noConversion"/>
  </si>
  <si>
    <t>Power</t>
  </si>
  <si>
    <t>Duty cycle</t>
  </si>
  <si>
    <t>WLAN 2.4 GHz Head SAR Ant1</t>
    <phoneticPr fontId="1" type="noConversion"/>
  </si>
  <si>
    <t>WLAN 2.4 GHz Body SAR Ant1</t>
    <phoneticPr fontId="1" type="noConversion"/>
  </si>
  <si>
    <t>Mode</t>
    <phoneticPr fontId="1" type="noConversion"/>
  </si>
  <si>
    <t>802.11b</t>
    <phoneticPr fontId="1" type="noConversion"/>
  </si>
  <si>
    <t>Data Rate</t>
    <phoneticPr fontId="1" type="noConversion"/>
  </si>
  <si>
    <t>5.5 Mbps</t>
    <phoneticPr fontId="1" type="noConversion"/>
  </si>
  <si>
    <t>2 Mbps</t>
    <phoneticPr fontId="1" type="noConversion"/>
  </si>
  <si>
    <t>11 Mbps</t>
    <phoneticPr fontId="1" type="noConversion"/>
  </si>
  <si>
    <t>802.11g</t>
    <phoneticPr fontId="1" type="noConversion"/>
  </si>
  <si>
    <t>1 Mbps</t>
    <phoneticPr fontId="1" type="noConversion"/>
  </si>
  <si>
    <t>6 Mbps</t>
    <phoneticPr fontId="1" type="noConversion"/>
  </si>
  <si>
    <t>9 Mbps</t>
    <phoneticPr fontId="1" type="noConversion"/>
  </si>
  <si>
    <t>12 Mbps</t>
    <phoneticPr fontId="1" type="noConversion"/>
  </si>
  <si>
    <t>18 Mbps</t>
    <phoneticPr fontId="1" type="noConversion"/>
  </si>
  <si>
    <t>24 Mbps</t>
    <phoneticPr fontId="1" type="noConversion"/>
  </si>
  <si>
    <t>36 Mbps</t>
    <phoneticPr fontId="1" type="noConversion"/>
  </si>
  <si>
    <t>48 Mbps</t>
    <phoneticPr fontId="1" type="noConversion"/>
  </si>
  <si>
    <t>54 Mbps</t>
    <phoneticPr fontId="1" type="noConversion"/>
  </si>
  <si>
    <t>802.11n_HT20</t>
    <phoneticPr fontId="1" type="noConversion"/>
  </si>
  <si>
    <t>MCS 0</t>
  </si>
  <si>
    <t>MCS 1</t>
  </si>
  <si>
    <t>MCS 2</t>
  </si>
  <si>
    <t>MCS 3</t>
  </si>
  <si>
    <t>MCS 4</t>
  </si>
  <si>
    <t>MCS 5</t>
  </si>
  <si>
    <t>MCS 6</t>
  </si>
  <si>
    <t>MCS 7</t>
  </si>
  <si>
    <t>802.11n_HT40</t>
    <phoneticPr fontId="1" type="noConversion"/>
  </si>
  <si>
    <t>MCS 8</t>
  </si>
  <si>
    <t>MCS 9</t>
  </si>
  <si>
    <t>Tx (On+Off)</t>
    <phoneticPr fontId="1" type="noConversion"/>
  </si>
  <si>
    <t>Duty Cycle</t>
    <phoneticPr fontId="1" type="noConversion"/>
  </si>
  <si>
    <t>Tx (On)</t>
    <phoneticPr fontId="1" type="noConversion"/>
  </si>
  <si>
    <t>Ant 1</t>
    <phoneticPr fontId="1" type="noConversion"/>
  </si>
  <si>
    <t>Tx (On) /
Tx (On+Off)</t>
    <phoneticPr fontId="1" type="noConversion"/>
  </si>
  <si>
    <t>MCS 0</t>
    <phoneticPr fontId="1" type="noConversion"/>
  </si>
  <si>
    <t>MCS 1</t>
    <phoneticPr fontId="1" type="noConversion"/>
  </si>
  <si>
    <t>MCS 2</t>
    <phoneticPr fontId="1" type="noConversion"/>
  </si>
  <si>
    <t>MCS 3</t>
    <phoneticPr fontId="1" type="noConversion"/>
  </si>
  <si>
    <t>MCS 4</t>
    <phoneticPr fontId="1" type="noConversion"/>
  </si>
  <si>
    <t>MCS 5</t>
    <phoneticPr fontId="1" type="noConversion"/>
  </si>
  <si>
    <t>MCS 6</t>
    <phoneticPr fontId="1" type="noConversion"/>
  </si>
  <si>
    <t>MCS 7</t>
    <phoneticPr fontId="1" type="noConversion"/>
  </si>
  <si>
    <t>802.11a</t>
    <phoneticPr fontId="1" type="noConversion"/>
  </si>
  <si>
    <t>802.11ac_VHT20</t>
    <phoneticPr fontId="1" type="noConversion"/>
  </si>
  <si>
    <t>802.11ac_VHT40</t>
    <phoneticPr fontId="1" type="noConversion"/>
  </si>
  <si>
    <t>802.11ac_VHT80</t>
    <phoneticPr fontId="1" type="noConversion"/>
  </si>
  <si>
    <t>MCS 8</t>
    <phoneticPr fontId="1" type="noConversion"/>
  </si>
  <si>
    <t>MCS 9</t>
    <phoneticPr fontId="1" type="noConversion"/>
  </si>
  <si>
    <t>MCS 10</t>
    <phoneticPr fontId="1" type="noConversion"/>
  </si>
  <si>
    <t>MCS 11</t>
    <phoneticPr fontId="1" type="noConversion"/>
  </si>
  <si>
    <t>MCS 12</t>
    <phoneticPr fontId="1" type="noConversion"/>
  </si>
  <si>
    <t>MCS 13</t>
    <phoneticPr fontId="1" type="noConversion"/>
  </si>
  <si>
    <t>MCS 14</t>
    <phoneticPr fontId="1" type="noConversion"/>
  </si>
  <si>
    <t>MCS 15</t>
    <phoneticPr fontId="1" type="noConversion"/>
  </si>
  <si>
    <t>802.11ac_VHT160</t>
    <phoneticPr fontId="1" type="noConversion"/>
  </si>
  <si>
    <t>Ant 2</t>
    <phoneticPr fontId="1" type="noConversion"/>
  </si>
  <si>
    <t>Ant 1 + Ant2</t>
    <phoneticPr fontId="1" type="noConversion"/>
  </si>
  <si>
    <t>Data Rate</t>
    <phoneticPr fontId="1" type="noConversion"/>
  </si>
  <si>
    <t>Data Rate</t>
    <phoneticPr fontId="1" type="noConversion"/>
  </si>
  <si>
    <t>Data Rate</t>
    <phoneticPr fontId="1" type="noConversion"/>
  </si>
  <si>
    <t>WLAN Ant1</t>
    <phoneticPr fontId="1" type="noConversion"/>
  </si>
  <si>
    <t>WLAN Ant1</t>
    <phoneticPr fontId="1" type="noConversion"/>
  </si>
  <si>
    <t>H</t>
    <phoneticPr fontId="1" type="noConversion"/>
  </si>
  <si>
    <t>WLAN 2.4 GHz Ant1</t>
    <phoneticPr fontId="1" type="noConversion"/>
  </si>
  <si>
    <t>Tone</t>
    <phoneticPr fontId="1" type="noConversion"/>
  </si>
  <si>
    <t>RU</t>
    <phoneticPr fontId="1" type="noConversion"/>
  </si>
  <si>
    <t>WLAN 2.4 GHz Head SAR Ant2</t>
    <phoneticPr fontId="1" type="noConversion"/>
  </si>
  <si>
    <t>WLAN 2.4 GHz Body SAR Ant2</t>
    <phoneticPr fontId="1" type="noConversion"/>
  </si>
  <si>
    <t>WLAN 2.4 GHz Head SAR Ant1+2</t>
    <phoneticPr fontId="1" type="noConversion"/>
  </si>
  <si>
    <t>WLAN 2.4 GHz Body SAR Ant1+2</t>
    <phoneticPr fontId="1" type="noConversion"/>
  </si>
  <si>
    <t>WLAN 5.2 GHz Head SAR Ant1</t>
    <phoneticPr fontId="1" type="noConversion"/>
  </si>
  <si>
    <t>WLAN 5.2 GHz Body SAR Ant2</t>
    <phoneticPr fontId="1" type="noConversion"/>
  </si>
  <si>
    <t>WLAN 5.2 GHz Head SAR Ant1+2</t>
    <phoneticPr fontId="1" type="noConversion"/>
  </si>
  <si>
    <t>WLAN 5.5 GHz Head SAR Ant1</t>
    <phoneticPr fontId="1" type="noConversion"/>
  </si>
  <si>
    <t>WLAN 5.5 GHz Body SAR Ant1</t>
    <phoneticPr fontId="1" type="noConversion"/>
  </si>
  <si>
    <t>WLAN 5.5 GHz Head SAR Ant2</t>
    <phoneticPr fontId="1" type="noConversion"/>
  </si>
  <si>
    <t>WLAN 5.5 GHz Body SAR Ant2</t>
    <phoneticPr fontId="1" type="noConversion"/>
  </si>
  <si>
    <t>WLAN 5.2 GHz Body SAR Ant1</t>
    <phoneticPr fontId="1" type="noConversion"/>
  </si>
  <si>
    <t>WLAN 5.2 GHz Head SAR Ant2</t>
    <phoneticPr fontId="1" type="noConversion"/>
  </si>
  <si>
    <t>WLAN 5.2 GHz Body SAR Ant1+2</t>
    <phoneticPr fontId="1" type="noConversion"/>
  </si>
  <si>
    <t>WLAN 5.5 GHz Head SAR Ant1+2</t>
    <phoneticPr fontId="1" type="noConversion"/>
  </si>
  <si>
    <t>WLAN 5.5 GHz Body SAR Ant1+2</t>
    <phoneticPr fontId="1" type="noConversion"/>
  </si>
  <si>
    <t>WLAN 5.8 GHz Head SAR Ant1</t>
    <phoneticPr fontId="1" type="noConversion"/>
  </si>
  <si>
    <t>WLAN 5.8 GHz Head SAR Ant2</t>
    <phoneticPr fontId="1" type="noConversion"/>
  </si>
  <si>
    <t>WLAN 5.8 GHz Head SAR Ant1+2</t>
    <phoneticPr fontId="1" type="noConversion"/>
  </si>
  <si>
    <t>WLAN 5.8+A2184 GHz Body SAR Ant1+2</t>
    <phoneticPr fontId="1" type="noConversion"/>
  </si>
  <si>
    <t>WLAN 5.8 GHz Body SAR Ant2</t>
    <phoneticPr fontId="1" type="noConversion"/>
  </si>
  <si>
    <t>WLAN 5.8 GHz Body SAR Ant1</t>
    <phoneticPr fontId="1" type="noConversion"/>
  </si>
  <si>
    <t>Bluetooth Head SAR</t>
    <phoneticPr fontId="1" type="noConversion"/>
  </si>
  <si>
    <t>Bluetooth Body SAR</t>
    <phoneticPr fontId="1" type="noConversion"/>
  </si>
  <si>
    <t>Bluetooth Low Energy Head SAR</t>
    <phoneticPr fontId="1" type="noConversion"/>
  </si>
  <si>
    <t>Bluetooth Low Energy Body SAR</t>
    <phoneticPr fontId="1" type="noConversion"/>
  </si>
  <si>
    <t>Ant+ Head SAR</t>
    <phoneticPr fontId="1" type="noConversion"/>
  </si>
  <si>
    <t>Ant+ Body SAR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</si>
</sst>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272">
    <xf numFmtId="0" fontId="0" fillId="0" borderId="0">
      <alignment vertical="center"/>
    </xf>
    <xf numFmtId="0" fontId="5" fillId="0" borderId="0" applyBorder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11" fillId="0" borderId="0"/>
    <xf numFmtId="0" fontId="11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5" fillId="0" borderId="0">
      <alignment vertical="center"/>
    </xf>
    <xf numFmtId="0" fontId="10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5" fillId="0" borderId="0">
      <alignment vertical="center"/>
    </xf>
    <xf numFmtId="0" fontId="5" fillId="0" borderId="0">
      <alignment vertical="center"/>
    </xf>
    <xf numFmtId="0" fontId="11" fillId="0" borderId="0"/>
    <xf numFmtId="0" fontId="10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11" fillId="0" borderId="0"/>
    <xf numFmtId="0" fontId="11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8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>
      <alignment vertical="center"/>
    </xf>
    <xf numFmtId="0" fontId="6" fillId="0" borderId="7" xfId="0" applyFont="1" applyFill="1" applyBorder="1">
      <alignment vertical="center"/>
    </xf>
    <xf numFmtId="0" fontId="6" fillId="0" borderId="4" xfId="0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6" fillId="0" borderId="2" xfId="0" applyFont="1" applyFill="1" applyBorder="1">
      <alignment vertical="center"/>
    </xf>
    <xf numFmtId="14" fontId="6" fillId="0" borderId="3" xfId="0" applyNumberFormat="1" applyFont="1" applyFill="1" applyBorder="1" applyAlignment="1">
      <alignment horizontal="center" vertical="center"/>
    </xf>
    <xf numFmtId="0" fontId="4" fillId="0" borderId="7" xfId="0" applyFont="1" applyFill="1" applyBorder="1">
      <alignment vertical="center"/>
    </xf>
    <xf numFmtId="0" fontId="4" fillId="0" borderId="3" xfId="0" applyFont="1" applyFill="1" applyBorder="1" applyAlignment="1">
      <alignment horizontal="center" vertical="center" wrapText="1"/>
    </xf>
    <xf numFmtId="0" fontId="9" fillId="0" borderId="3" xfId="0" applyNumberFormat="1" applyFont="1" applyFill="1" applyBorder="1" applyAlignment="1">
      <alignment horizontal="center" vertical="center" wrapText="1"/>
    </xf>
    <xf numFmtId="2" fontId="9" fillId="0" borderId="3" xfId="0" applyNumberFormat="1" applyFont="1" applyFill="1" applyBorder="1" applyAlignment="1">
      <alignment horizontal="center" vertical="center" wrapText="1"/>
    </xf>
    <xf numFmtId="177" fontId="4" fillId="0" borderId="3" xfId="0" applyNumberFormat="1" applyFont="1" applyFill="1" applyBorder="1" applyAlignment="1">
      <alignment horizontal="center" vertical="center" wrapText="1"/>
    </xf>
    <xf numFmtId="177" fontId="6" fillId="0" borderId="3" xfId="0" applyNumberFormat="1" applyFont="1" applyFill="1" applyBorder="1" applyAlignment="1">
      <alignment horizontal="center" vertical="center" wrapText="1"/>
    </xf>
    <xf numFmtId="177" fontId="9" fillId="0" borderId="3" xfId="0" applyNumberFormat="1" applyFont="1" applyFill="1" applyBorder="1" applyAlignment="1">
      <alignment horizontal="center" vertical="center" wrapText="1"/>
    </xf>
    <xf numFmtId="1" fontId="9" fillId="0" borderId="3" xfId="0" applyNumberFormat="1" applyFont="1" applyFill="1" applyBorder="1" applyAlignment="1">
      <alignment horizontal="center" vertical="center" wrapText="1"/>
    </xf>
    <xf numFmtId="0" fontId="6" fillId="0" borderId="2" xfId="0" applyFont="1" applyBorder="1">
      <alignment vertical="center"/>
    </xf>
    <xf numFmtId="2" fontId="4" fillId="0" borderId="3" xfId="0" applyNumberFormat="1" applyFont="1" applyFill="1" applyBorder="1" applyAlignment="1">
      <alignment horizontal="center" vertical="center" wrapText="1"/>
    </xf>
    <xf numFmtId="1" fontId="4" fillId="0" borderId="3" xfId="0" applyNumberFormat="1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4" borderId="3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6" fillId="0" borderId="7" xfId="0" applyFont="1" applyFill="1" applyBorder="1">
      <alignment vertical="center"/>
    </xf>
    <xf numFmtId="0" fontId="6" fillId="0" borderId="4" xfId="0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9" fillId="0" borderId="3" xfId="0" applyNumberFormat="1" applyFont="1" applyFill="1" applyBorder="1" applyAlignment="1">
      <alignment horizontal="center" vertical="center" wrapText="1"/>
    </xf>
    <xf numFmtId="0" fontId="4" fillId="0" borderId="3" xfId="0" applyNumberFormat="1" applyFont="1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0" fillId="0" borderId="3" xfId="0" applyFill="1" applyBorder="1">
      <alignment vertical="center"/>
    </xf>
    <xf numFmtId="0" fontId="0" fillId="0" borderId="3" xfId="0" applyBorder="1" applyAlignment="1">
      <alignment horizontal="center" vertical="center" wrapText="1"/>
    </xf>
    <xf numFmtId="0" fontId="0" fillId="6" borderId="3" xfId="0" applyFill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>
      <alignment vertical="center"/>
    </xf>
    <xf numFmtId="0" fontId="0" fillId="4" borderId="3" xfId="0" applyFill="1" applyBorder="1" applyAlignment="1">
      <alignment horizontal="center" vertical="center" wrapText="1"/>
    </xf>
    <xf numFmtId="0" fontId="2" fillId="0" borderId="2" xfId="0" applyFont="1" applyBorder="1">
      <alignment vertical="center"/>
    </xf>
    <xf numFmtId="0" fontId="6" fillId="0" borderId="20" xfId="0" applyFont="1" applyFill="1" applyBorder="1">
      <alignment vertical="center"/>
    </xf>
    <xf numFmtId="0" fontId="6" fillId="0" borderId="20" xfId="0" applyFont="1" applyBorder="1">
      <alignment vertical="center"/>
    </xf>
    <xf numFmtId="0" fontId="6" fillId="0" borderId="3" xfId="0" applyFont="1" applyBorder="1">
      <alignment vertical="center"/>
    </xf>
    <xf numFmtId="0" fontId="8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justify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vertical="center"/>
    </xf>
    <xf numFmtId="0" fontId="7" fillId="0" borderId="3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left" vertical="center" wrapText="1"/>
    </xf>
    <xf numFmtId="0" fontId="7" fillId="0" borderId="13" xfId="0" applyFont="1" applyFill="1" applyBorder="1" applyAlignment="1">
      <alignment horizontal="left" vertical="center" wrapText="1"/>
    </xf>
    <xf numFmtId="0" fontId="7" fillId="0" borderId="14" xfId="0" applyFont="1" applyFill="1" applyBorder="1" applyAlignment="1">
      <alignment horizontal="left" vertical="center" wrapText="1"/>
    </xf>
    <xf numFmtId="0" fontId="7" fillId="0" borderId="15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0" borderId="16" xfId="0" applyFont="1" applyFill="1" applyBorder="1" applyAlignment="1">
      <alignment horizontal="left" vertical="center" wrapText="1"/>
    </xf>
    <xf numFmtId="0" fontId="7" fillId="0" borderId="17" xfId="0" applyFont="1" applyFill="1" applyBorder="1" applyAlignment="1">
      <alignment horizontal="left" vertical="center" wrapText="1"/>
    </xf>
    <xf numFmtId="0" fontId="7" fillId="0" borderId="18" xfId="0" applyFont="1" applyFill="1" applyBorder="1" applyAlignment="1">
      <alignment horizontal="left" vertical="center" wrapText="1"/>
    </xf>
    <xf numFmtId="0" fontId="7" fillId="0" borderId="19" xfId="0" applyFont="1" applyFill="1" applyBorder="1" applyAlignment="1">
      <alignment horizontal="left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6" fillId="0" borderId="10" xfId="0" applyFont="1" applyFill="1" applyBorder="1" applyAlignment="1">
      <alignment horizontal="left" vertical="center" wrapText="1"/>
    </xf>
    <xf numFmtId="0" fontId="4" fillId="0" borderId="11" xfId="0" applyFont="1" applyFill="1" applyBorder="1" applyAlignment="1">
      <alignment horizontal="left" vertical="center" wrapText="1"/>
    </xf>
    <xf numFmtId="0" fontId="4" fillId="0" borderId="9" xfId="0" applyFont="1" applyFill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/>
    </xf>
  </cellXfs>
  <cellStyles count="1272">
    <cellStyle name="Excel Built-in Normal" xfId="15" xr:uid="{00000000-0005-0000-0000-000000000000}"/>
    <cellStyle name="Normal 2 2 10 2" xfId="586" xr:uid="{00000000-0005-0000-0000-000001000000}"/>
    <cellStyle name="표준" xfId="0" builtinId="0"/>
    <cellStyle name="표준 10" xfId="4" xr:uid="{00000000-0005-0000-0000-000003000000}"/>
    <cellStyle name="표준 10 10" xfId="251" xr:uid="{00000000-0005-0000-0000-000004000000}"/>
    <cellStyle name="표준 10 10 2" xfId="541" xr:uid="{00000000-0005-0000-0000-000005000000}"/>
    <cellStyle name="표준 10 11" xfId="266" xr:uid="{00000000-0005-0000-0000-000006000000}"/>
    <cellStyle name="표준 10 11 2" xfId="556" xr:uid="{00000000-0005-0000-0000-000007000000}"/>
    <cellStyle name="표준 10 12" xfId="299" xr:uid="{00000000-0005-0000-0000-000008000000}"/>
    <cellStyle name="표준 10 2" xfId="38" xr:uid="{00000000-0005-0000-0000-000009000000}"/>
    <cellStyle name="표준 10 2 2" xfId="160" xr:uid="{00000000-0005-0000-0000-00000A000000}"/>
    <cellStyle name="표준 10 2 2 2" xfId="450" xr:uid="{00000000-0005-0000-0000-00000B000000}"/>
    <cellStyle name="표준 10 2 3" xfId="68" xr:uid="{00000000-0005-0000-0000-00000C000000}"/>
    <cellStyle name="표준 10 2 3 2" xfId="358" xr:uid="{00000000-0005-0000-0000-00000D000000}"/>
    <cellStyle name="표준 10 2 4" xfId="281" xr:uid="{00000000-0005-0000-0000-00000E000000}"/>
    <cellStyle name="표준 10 2 4 2" xfId="571" xr:uid="{00000000-0005-0000-0000-00000F000000}"/>
    <cellStyle name="표준 10 2 5" xfId="328" xr:uid="{00000000-0005-0000-0000-000010000000}"/>
    <cellStyle name="표준 10 3" xfId="83" xr:uid="{00000000-0005-0000-0000-000011000000}"/>
    <cellStyle name="표준 10 3 2" xfId="175" xr:uid="{00000000-0005-0000-0000-000012000000}"/>
    <cellStyle name="표준 10 3 2 2" xfId="465" xr:uid="{00000000-0005-0000-0000-000013000000}"/>
    <cellStyle name="표준 10 3 3" xfId="373" xr:uid="{00000000-0005-0000-0000-000014000000}"/>
    <cellStyle name="표준 10 4" xfId="98" xr:uid="{00000000-0005-0000-0000-000015000000}"/>
    <cellStyle name="표준 10 4 2" xfId="190" xr:uid="{00000000-0005-0000-0000-000016000000}"/>
    <cellStyle name="표준 10 4 2 2" xfId="480" xr:uid="{00000000-0005-0000-0000-000017000000}"/>
    <cellStyle name="표준 10 4 3" xfId="388" xr:uid="{00000000-0005-0000-0000-000018000000}"/>
    <cellStyle name="표준 10 5" xfId="113" xr:uid="{00000000-0005-0000-0000-000019000000}"/>
    <cellStyle name="표준 10 5 2" xfId="205" xr:uid="{00000000-0005-0000-0000-00001A000000}"/>
    <cellStyle name="표준 10 5 2 2" xfId="495" xr:uid="{00000000-0005-0000-0000-00001B000000}"/>
    <cellStyle name="표준 10 5 3" xfId="403" xr:uid="{00000000-0005-0000-0000-00001C000000}"/>
    <cellStyle name="표준 10 6" xfId="128" xr:uid="{00000000-0005-0000-0000-00001D000000}"/>
    <cellStyle name="표준 10 6 2" xfId="220" xr:uid="{00000000-0005-0000-0000-00001E000000}"/>
    <cellStyle name="표준 10 6 2 2" xfId="510" xr:uid="{00000000-0005-0000-0000-00001F000000}"/>
    <cellStyle name="표준 10 6 3" xfId="418" xr:uid="{00000000-0005-0000-0000-000020000000}"/>
    <cellStyle name="표준 10 7" xfId="145" xr:uid="{00000000-0005-0000-0000-000021000000}"/>
    <cellStyle name="표준 10 7 2" xfId="435" xr:uid="{00000000-0005-0000-0000-000022000000}"/>
    <cellStyle name="표준 10 8" xfId="53" xr:uid="{00000000-0005-0000-0000-000023000000}"/>
    <cellStyle name="표준 10 8 2" xfId="343" xr:uid="{00000000-0005-0000-0000-000024000000}"/>
    <cellStyle name="표준 10 9" xfId="236" xr:uid="{00000000-0005-0000-0000-000025000000}"/>
    <cellStyle name="표준 10 9 2" xfId="526" xr:uid="{00000000-0005-0000-0000-000026000000}"/>
    <cellStyle name="표준 11" xfId="144" xr:uid="{00000000-0005-0000-0000-000027000000}"/>
    <cellStyle name="표준 11 2" xfId="434" xr:uid="{00000000-0005-0000-0000-000028000000}"/>
    <cellStyle name="표준 12" xfId="143" xr:uid="{00000000-0005-0000-0000-000029000000}"/>
    <cellStyle name="표준 12 2" xfId="433" xr:uid="{00000000-0005-0000-0000-00002A000000}"/>
    <cellStyle name="표준 13" xfId="235" xr:uid="{00000000-0005-0000-0000-00002B000000}"/>
    <cellStyle name="표준 13 2" xfId="525" xr:uid="{00000000-0005-0000-0000-00002C000000}"/>
    <cellStyle name="표준 14" xfId="297" xr:uid="{00000000-0005-0000-0000-00002D000000}"/>
    <cellStyle name="표준 15" xfId="296" xr:uid="{00000000-0005-0000-0000-00002E000000}"/>
    <cellStyle name="표준 16" xfId="2" xr:uid="{00000000-0005-0000-0000-00002F000000}"/>
    <cellStyle name="표준 2" xfId="3" xr:uid="{00000000-0005-0000-0000-000030000000}"/>
    <cellStyle name="표준 2 2" xfId="1" xr:uid="{00000000-0005-0000-0000-000031000000}"/>
    <cellStyle name="표준 2 2 2" xfId="9" xr:uid="{00000000-0005-0000-0000-000032000000}"/>
    <cellStyle name="표준 2 2 2 2" xfId="304" xr:uid="{00000000-0005-0000-0000-000033000000}"/>
    <cellStyle name="표준 2 2 3" xfId="24" xr:uid="{00000000-0005-0000-0000-000034000000}"/>
    <cellStyle name="표준 2 2 3 2" xfId="37" xr:uid="{00000000-0005-0000-0000-000035000000}"/>
    <cellStyle name="표준 2 2 3 2 2" xfId="327" xr:uid="{00000000-0005-0000-0000-000036000000}"/>
    <cellStyle name="표준 2 2 3 3" xfId="314" xr:uid="{00000000-0005-0000-0000-000037000000}"/>
    <cellStyle name="표준 2 2 4" xfId="301" xr:uid="{00000000-0005-0000-0000-000038000000}"/>
    <cellStyle name="표준 2 2 5" xfId="6" xr:uid="{00000000-0005-0000-0000-000039000000}"/>
    <cellStyle name="표준 2 3" xfId="11" xr:uid="{00000000-0005-0000-0000-00003A000000}"/>
    <cellStyle name="표준 2 3 2" xfId="17" xr:uid="{00000000-0005-0000-0000-00003B000000}"/>
    <cellStyle name="표준 2 3 2 10" xfId="239" xr:uid="{00000000-0005-0000-0000-00003C000000}"/>
    <cellStyle name="표준 2 3 2 10 2" xfId="529" xr:uid="{00000000-0005-0000-0000-00003D000000}"/>
    <cellStyle name="표준 2 3 2 11" xfId="254" xr:uid="{00000000-0005-0000-0000-00003E000000}"/>
    <cellStyle name="표준 2 3 2 11 2" xfId="544" xr:uid="{00000000-0005-0000-0000-00003F000000}"/>
    <cellStyle name="표준 2 3 2 12" xfId="269" xr:uid="{00000000-0005-0000-0000-000040000000}"/>
    <cellStyle name="표준 2 3 2 12 2" xfId="559" xr:uid="{00000000-0005-0000-0000-000041000000}"/>
    <cellStyle name="표준 2 3 2 13" xfId="309" xr:uid="{00000000-0005-0000-0000-000042000000}"/>
    <cellStyle name="표준 2 3 2 2" xfId="36" xr:uid="{00000000-0005-0000-0000-000043000000}"/>
    <cellStyle name="표준 2 3 2 2 10" xfId="265" xr:uid="{00000000-0005-0000-0000-000044000000}"/>
    <cellStyle name="표준 2 3 2 2 10 2" xfId="555" xr:uid="{00000000-0005-0000-0000-000045000000}"/>
    <cellStyle name="표준 2 3 2 2 11" xfId="280" xr:uid="{00000000-0005-0000-0000-000046000000}"/>
    <cellStyle name="표준 2 3 2 2 11 2" xfId="570" xr:uid="{00000000-0005-0000-0000-000047000000}"/>
    <cellStyle name="표준 2 3 2 2 12" xfId="326" xr:uid="{00000000-0005-0000-0000-000048000000}"/>
    <cellStyle name="표준 2 3 2 2 2" xfId="52" xr:uid="{00000000-0005-0000-0000-000049000000}"/>
    <cellStyle name="표준 2 3 2 2 2 2" xfId="174" xr:uid="{00000000-0005-0000-0000-00004A000000}"/>
    <cellStyle name="표준 2 3 2 2 2 2 2" xfId="464" xr:uid="{00000000-0005-0000-0000-00004B000000}"/>
    <cellStyle name="표준 2 3 2 2 2 3" xfId="82" xr:uid="{00000000-0005-0000-0000-00004C000000}"/>
    <cellStyle name="표준 2 3 2 2 2 3 2" xfId="372" xr:uid="{00000000-0005-0000-0000-00004D000000}"/>
    <cellStyle name="표준 2 3 2 2 2 4" xfId="295" xr:uid="{00000000-0005-0000-0000-00004E000000}"/>
    <cellStyle name="표준 2 3 2 2 2 4 2" xfId="585" xr:uid="{00000000-0005-0000-0000-00004F000000}"/>
    <cellStyle name="표준 2 3 2 2 2 5" xfId="342" xr:uid="{00000000-0005-0000-0000-000050000000}"/>
    <cellStyle name="표준 2 3 2 2 3" xfId="97" xr:uid="{00000000-0005-0000-0000-000051000000}"/>
    <cellStyle name="표준 2 3 2 2 3 2" xfId="189" xr:uid="{00000000-0005-0000-0000-000052000000}"/>
    <cellStyle name="표준 2 3 2 2 3 2 2" xfId="479" xr:uid="{00000000-0005-0000-0000-000053000000}"/>
    <cellStyle name="표준 2 3 2 2 3 3" xfId="387" xr:uid="{00000000-0005-0000-0000-000054000000}"/>
    <cellStyle name="표준 2 3 2 2 4" xfId="112" xr:uid="{00000000-0005-0000-0000-000055000000}"/>
    <cellStyle name="표준 2 3 2 2 4 2" xfId="204" xr:uid="{00000000-0005-0000-0000-000056000000}"/>
    <cellStyle name="표준 2 3 2 2 4 2 2" xfId="494" xr:uid="{00000000-0005-0000-0000-000057000000}"/>
    <cellStyle name="표준 2 3 2 2 4 3" xfId="402" xr:uid="{00000000-0005-0000-0000-000058000000}"/>
    <cellStyle name="표준 2 3 2 2 5" xfId="127" xr:uid="{00000000-0005-0000-0000-000059000000}"/>
    <cellStyle name="표준 2 3 2 2 5 2" xfId="219" xr:uid="{00000000-0005-0000-0000-00005A000000}"/>
    <cellStyle name="표준 2 3 2 2 5 2 2" xfId="509" xr:uid="{00000000-0005-0000-0000-00005B000000}"/>
    <cellStyle name="표준 2 3 2 2 5 3" xfId="417" xr:uid="{00000000-0005-0000-0000-00005C000000}"/>
    <cellStyle name="표준 2 3 2 2 6" xfId="142" xr:uid="{00000000-0005-0000-0000-00005D000000}"/>
    <cellStyle name="표준 2 3 2 2 6 2" xfId="234" xr:uid="{00000000-0005-0000-0000-00005E000000}"/>
    <cellStyle name="표준 2 3 2 2 6 2 2" xfId="524" xr:uid="{00000000-0005-0000-0000-00005F000000}"/>
    <cellStyle name="표준 2 3 2 2 6 3" xfId="432" xr:uid="{00000000-0005-0000-0000-000060000000}"/>
    <cellStyle name="표준 2 3 2 2 7" xfId="159" xr:uid="{00000000-0005-0000-0000-000061000000}"/>
    <cellStyle name="표준 2 3 2 2 7 2" xfId="449" xr:uid="{00000000-0005-0000-0000-000062000000}"/>
    <cellStyle name="표준 2 3 2 2 8" xfId="67" xr:uid="{00000000-0005-0000-0000-000063000000}"/>
    <cellStyle name="표준 2 3 2 2 8 2" xfId="357" xr:uid="{00000000-0005-0000-0000-000064000000}"/>
    <cellStyle name="표준 2 3 2 2 9" xfId="250" xr:uid="{00000000-0005-0000-0000-000065000000}"/>
    <cellStyle name="표준 2 3 2 2 9 2" xfId="540" xr:uid="{00000000-0005-0000-0000-000066000000}"/>
    <cellStyle name="표준 2 3 2 3" xfId="41" xr:uid="{00000000-0005-0000-0000-000067000000}"/>
    <cellStyle name="표준 2 3 2 3 2" xfId="163" xr:uid="{00000000-0005-0000-0000-000068000000}"/>
    <cellStyle name="표준 2 3 2 3 2 2" xfId="453" xr:uid="{00000000-0005-0000-0000-000069000000}"/>
    <cellStyle name="표준 2 3 2 3 3" xfId="71" xr:uid="{00000000-0005-0000-0000-00006A000000}"/>
    <cellStyle name="표준 2 3 2 3 3 2" xfId="361" xr:uid="{00000000-0005-0000-0000-00006B000000}"/>
    <cellStyle name="표준 2 3 2 3 4" xfId="284" xr:uid="{00000000-0005-0000-0000-00006C000000}"/>
    <cellStyle name="표준 2 3 2 3 4 2" xfId="574" xr:uid="{00000000-0005-0000-0000-00006D000000}"/>
    <cellStyle name="표준 2 3 2 3 5" xfId="331" xr:uid="{00000000-0005-0000-0000-00006E000000}"/>
    <cellStyle name="표준 2 3 2 4" xfId="86" xr:uid="{00000000-0005-0000-0000-00006F000000}"/>
    <cellStyle name="표준 2 3 2 4 2" xfId="178" xr:uid="{00000000-0005-0000-0000-000070000000}"/>
    <cellStyle name="표준 2 3 2 4 2 2" xfId="468" xr:uid="{00000000-0005-0000-0000-000071000000}"/>
    <cellStyle name="표준 2 3 2 4 3" xfId="376" xr:uid="{00000000-0005-0000-0000-000072000000}"/>
    <cellStyle name="표준 2 3 2 5" xfId="101" xr:uid="{00000000-0005-0000-0000-000073000000}"/>
    <cellStyle name="표준 2 3 2 5 2" xfId="193" xr:uid="{00000000-0005-0000-0000-000074000000}"/>
    <cellStyle name="표준 2 3 2 5 2 2" xfId="483" xr:uid="{00000000-0005-0000-0000-000075000000}"/>
    <cellStyle name="표준 2 3 2 5 3" xfId="391" xr:uid="{00000000-0005-0000-0000-000076000000}"/>
    <cellStyle name="표준 2 3 2 6" xfId="116" xr:uid="{00000000-0005-0000-0000-000077000000}"/>
    <cellStyle name="표준 2 3 2 6 2" xfId="208" xr:uid="{00000000-0005-0000-0000-000078000000}"/>
    <cellStyle name="표준 2 3 2 6 2 2" xfId="498" xr:uid="{00000000-0005-0000-0000-000079000000}"/>
    <cellStyle name="표준 2 3 2 6 3" xfId="406" xr:uid="{00000000-0005-0000-0000-00007A000000}"/>
    <cellStyle name="표준 2 3 2 7" xfId="131" xr:uid="{00000000-0005-0000-0000-00007B000000}"/>
    <cellStyle name="표준 2 3 2 7 2" xfId="223" xr:uid="{00000000-0005-0000-0000-00007C000000}"/>
    <cellStyle name="표준 2 3 2 7 2 2" xfId="513" xr:uid="{00000000-0005-0000-0000-00007D000000}"/>
    <cellStyle name="표준 2 3 2 7 3" xfId="421" xr:uid="{00000000-0005-0000-0000-00007E000000}"/>
    <cellStyle name="표준 2 3 2 8" xfId="148" xr:uid="{00000000-0005-0000-0000-00007F000000}"/>
    <cellStyle name="표준 2 3 2 8 2" xfId="438" xr:uid="{00000000-0005-0000-0000-000080000000}"/>
    <cellStyle name="표준 2 3 2 9" xfId="56" xr:uid="{00000000-0005-0000-0000-000081000000}"/>
    <cellStyle name="표준 2 3 2 9 2" xfId="346" xr:uid="{00000000-0005-0000-0000-000082000000}"/>
    <cellStyle name="표준 2 3 3" xfId="34" xr:uid="{00000000-0005-0000-0000-000083000000}"/>
    <cellStyle name="표준 2 3 3 2" xfId="324" xr:uid="{00000000-0005-0000-0000-000084000000}"/>
    <cellStyle name="표준 2 3 4" xfId="28" xr:uid="{00000000-0005-0000-0000-000085000000}"/>
    <cellStyle name="표준 2 3 4 10" xfId="259" xr:uid="{00000000-0005-0000-0000-000086000000}"/>
    <cellStyle name="표준 2 3 4 10 2" xfId="549" xr:uid="{00000000-0005-0000-0000-000087000000}"/>
    <cellStyle name="표준 2 3 4 11" xfId="274" xr:uid="{00000000-0005-0000-0000-000088000000}"/>
    <cellStyle name="표준 2 3 4 11 2" xfId="564" xr:uid="{00000000-0005-0000-0000-000089000000}"/>
    <cellStyle name="표준 2 3 4 12" xfId="318" xr:uid="{00000000-0005-0000-0000-00008A000000}"/>
    <cellStyle name="표준 2 3 4 2" xfId="46" xr:uid="{00000000-0005-0000-0000-00008B000000}"/>
    <cellStyle name="표준 2 3 4 2 2" xfId="168" xr:uid="{00000000-0005-0000-0000-00008C000000}"/>
    <cellStyle name="표준 2 3 4 2 2 2" xfId="458" xr:uid="{00000000-0005-0000-0000-00008D000000}"/>
    <cellStyle name="표준 2 3 4 2 3" xfId="76" xr:uid="{00000000-0005-0000-0000-00008E000000}"/>
    <cellStyle name="표준 2 3 4 2 3 2" xfId="366" xr:uid="{00000000-0005-0000-0000-00008F000000}"/>
    <cellStyle name="표준 2 3 4 2 4" xfId="289" xr:uid="{00000000-0005-0000-0000-000090000000}"/>
    <cellStyle name="표준 2 3 4 2 4 2" xfId="579" xr:uid="{00000000-0005-0000-0000-000091000000}"/>
    <cellStyle name="표준 2 3 4 2 5" xfId="336" xr:uid="{00000000-0005-0000-0000-000092000000}"/>
    <cellStyle name="표준 2 3 4 3" xfId="91" xr:uid="{00000000-0005-0000-0000-000093000000}"/>
    <cellStyle name="표준 2 3 4 3 2" xfId="183" xr:uid="{00000000-0005-0000-0000-000094000000}"/>
    <cellStyle name="표준 2 3 4 3 2 2" xfId="473" xr:uid="{00000000-0005-0000-0000-000095000000}"/>
    <cellStyle name="표준 2 3 4 3 3" xfId="381" xr:uid="{00000000-0005-0000-0000-000096000000}"/>
    <cellStyle name="표준 2 3 4 4" xfId="106" xr:uid="{00000000-0005-0000-0000-000097000000}"/>
    <cellStyle name="표준 2 3 4 4 2" xfId="198" xr:uid="{00000000-0005-0000-0000-000098000000}"/>
    <cellStyle name="표준 2 3 4 4 2 2" xfId="488" xr:uid="{00000000-0005-0000-0000-000099000000}"/>
    <cellStyle name="표준 2 3 4 4 3" xfId="396" xr:uid="{00000000-0005-0000-0000-00009A000000}"/>
    <cellStyle name="표준 2 3 4 5" xfId="121" xr:uid="{00000000-0005-0000-0000-00009B000000}"/>
    <cellStyle name="표준 2 3 4 5 2" xfId="213" xr:uid="{00000000-0005-0000-0000-00009C000000}"/>
    <cellStyle name="표준 2 3 4 5 2 2" xfId="503" xr:uid="{00000000-0005-0000-0000-00009D000000}"/>
    <cellStyle name="표준 2 3 4 5 3" xfId="411" xr:uid="{00000000-0005-0000-0000-00009E000000}"/>
    <cellStyle name="표준 2 3 4 6" xfId="136" xr:uid="{00000000-0005-0000-0000-00009F000000}"/>
    <cellStyle name="표준 2 3 4 6 2" xfId="228" xr:uid="{00000000-0005-0000-0000-0000A0000000}"/>
    <cellStyle name="표준 2 3 4 6 2 2" xfId="518" xr:uid="{00000000-0005-0000-0000-0000A1000000}"/>
    <cellStyle name="표준 2 3 4 6 3" xfId="426" xr:uid="{00000000-0005-0000-0000-0000A2000000}"/>
    <cellStyle name="표준 2 3 4 7" xfId="153" xr:uid="{00000000-0005-0000-0000-0000A3000000}"/>
    <cellStyle name="표준 2 3 4 7 2" xfId="443" xr:uid="{00000000-0005-0000-0000-0000A4000000}"/>
    <cellStyle name="표준 2 3 4 8" xfId="61" xr:uid="{00000000-0005-0000-0000-0000A5000000}"/>
    <cellStyle name="표준 2 3 4 8 2" xfId="351" xr:uid="{00000000-0005-0000-0000-0000A6000000}"/>
    <cellStyle name="표준 2 3 4 9" xfId="244" xr:uid="{00000000-0005-0000-0000-0000A7000000}"/>
    <cellStyle name="표준 2 3 4 9 2" xfId="534" xr:uid="{00000000-0005-0000-0000-0000A8000000}"/>
    <cellStyle name="표준 2 3 5" xfId="306" xr:uid="{00000000-0005-0000-0000-0000A9000000}"/>
    <cellStyle name="표준 2 4" xfId="298" xr:uid="{00000000-0005-0000-0000-0000AA000000}"/>
    <cellStyle name="표준 3" xfId="8" xr:uid="{00000000-0005-0000-0000-0000AB000000}"/>
    <cellStyle name="표준 3 10" xfId="599" xr:uid="{00000000-0005-0000-0000-0000AC000000}"/>
    <cellStyle name="표준 3 10 10" xfId="790" xr:uid="{00000000-0005-0000-0000-0000AD000000}"/>
    <cellStyle name="표준 3 10 11" xfId="823" xr:uid="{00000000-0005-0000-0000-0000AE000000}"/>
    <cellStyle name="표준 3 10 12" xfId="889" xr:uid="{00000000-0005-0000-0000-0000AF000000}"/>
    <cellStyle name="표준 3 10 13" xfId="897" xr:uid="{00000000-0005-0000-0000-0000B0000000}"/>
    <cellStyle name="표준 3 10 14" xfId="903" xr:uid="{00000000-0005-0000-0000-0000B1000000}"/>
    <cellStyle name="표준 3 10 15" xfId="909" xr:uid="{00000000-0005-0000-0000-0000B2000000}"/>
    <cellStyle name="표준 3 10 16" xfId="914" xr:uid="{00000000-0005-0000-0000-0000B3000000}"/>
    <cellStyle name="표준 3 10 17" xfId="966" xr:uid="{00000000-0005-0000-0000-0000B4000000}"/>
    <cellStyle name="표준 3 10 18" xfId="988" xr:uid="{00000000-0005-0000-0000-0000B5000000}"/>
    <cellStyle name="표준 3 10 19" xfId="992" xr:uid="{00000000-0005-0000-0000-0000B6000000}"/>
    <cellStyle name="표준 3 10 2" xfId="616" xr:uid="{00000000-0005-0000-0000-0000B7000000}"/>
    <cellStyle name="표준 3 10 20" xfId="995" xr:uid="{00000000-0005-0000-0000-0000B8000000}"/>
    <cellStyle name="표준 3 10 21" xfId="1024" xr:uid="{00000000-0005-0000-0000-0000B9000000}"/>
    <cellStyle name="표준 3 10 22" xfId="1031" xr:uid="{00000000-0005-0000-0000-0000BA000000}"/>
    <cellStyle name="표준 3 10 23" xfId="1046" xr:uid="{00000000-0005-0000-0000-0000BB000000}"/>
    <cellStyle name="표준 3 10 24" xfId="1100" xr:uid="{00000000-0005-0000-0000-0000BC000000}"/>
    <cellStyle name="표준 3 10 25" xfId="1108" xr:uid="{00000000-0005-0000-0000-0000BD000000}"/>
    <cellStyle name="표준 3 10 26" xfId="1112" xr:uid="{00000000-0005-0000-0000-0000BE000000}"/>
    <cellStyle name="표준 3 10 27" xfId="1115" xr:uid="{00000000-0005-0000-0000-0000BF000000}"/>
    <cellStyle name="표준 3 10 28" xfId="1118" xr:uid="{00000000-0005-0000-0000-0000C0000000}"/>
    <cellStyle name="표준 3 10 29" xfId="1154" xr:uid="{00000000-0005-0000-0000-0000C1000000}"/>
    <cellStyle name="표준 3 10 3" xfId="632" xr:uid="{00000000-0005-0000-0000-0000C2000000}"/>
    <cellStyle name="표준 3 10 30" xfId="1198" xr:uid="{00000000-0005-0000-0000-0000C3000000}"/>
    <cellStyle name="표준 3 10 31" xfId="1169" xr:uid="{00000000-0005-0000-0000-0000C4000000}"/>
    <cellStyle name="표준 3 10 32" xfId="1158" xr:uid="{00000000-0005-0000-0000-0000C5000000}"/>
    <cellStyle name="표준 3 10 33" xfId="1199" xr:uid="{00000000-0005-0000-0000-0000C6000000}"/>
    <cellStyle name="표준 3 10 34" xfId="1147" xr:uid="{00000000-0005-0000-0000-0000C7000000}"/>
    <cellStyle name="표준 3 10 4" xfId="695" xr:uid="{00000000-0005-0000-0000-0000C8000000}"/>
    <cellStyle name="표준 3 10 5" xfId="703" xr:uid="{00000000-0005-0000-0000-0000C9000000}"/>
    <cellStyle name="표준 3 10 6" xfId="733" xr:uid="{00000000-0005-0000-0000-0000CA000000}"/>
    <cellStyle name="표준 3 10 7" xfId="749" xr:uid="{00000000-0005-0000-0000-0000CB000000}"/>
    <cellStyle name="표준 3 10 8" xfId="764" xr:uid="{00000000-0005-0000-0000-0000CC000000}"/>
    <cellStyle name="표준 3 10 9" xfId="777" xr:uid="{00000000-0005-0000-0000-0000CD000000}"/>
    <cellStyle name="표준 3 100" xfId="1253" xr:uid="{00000000-0005-0000-0000-0000CE000000}"/>
    <cellStyle name="표준 3 101" xfId="1221" xr:uid="{00000000-0005-0000-0000-0000CF000000}"/>
    <cellStyle name="표준 3 102" xfId="1219" xr:uid="{00000000-0005-0000-0000-0000D0000000}"/>
    <cellStyle name="표준 3 103" xfId="1224" xr:uid="{00000000-0005-0000-0000-0000D1000000}"/>
    <cellStyle name="표준 3 104" xfId="1234" xr:uid="{00000000-0005-0000-0000-0000D2000000}"/>
    <cellStyle name="표준 3 105" xfId="1236" xr:uid="{00000000-0005-0000-0000-0000D3000000}"/>
    <cellStyle name="표준 3 106" xfId="680" xr:uid="{00000000-0005-0000-0000-0000D4000000}"/>
    <cellStyle name="표준 3 107" xfId="1208" xr:uid="{00000000-0005-0000-0000-0000D5000000}"/>
    <cellStyle name="표준 3 108" xfId="1267" xr:uid="{00000000-0005-0000-0000-0000D6000000}"/>
    <cellStyle name="표준 3 109" xfId="1220" xr:uid="{00000000-0005-0000-0000-0000D7000000}"/>
    <cellStyle name="표준 3 11" xfId="603" xr:uid="{00000000-0005-0000-0000-0000D8000000}"/>
    <cellStyle name="표준 3 11 10" xfId="797" xr:uid="{00000000-0005-0000-0000-0000D9000000}"/>
    <cellStyle name="표준 3 11 11" xfId="831" xr:uid="{00000000-0005-0000-0000-0000DA000000}"/>
    <cellStyle name="표준 3 11 12" xfId="891" xr:uid="{00000000-0005-0000-0000-0000DB000000}"/>
    <cellStyle name="표준 3 11 13" xfId="898" xr:uid="{00000000-0005-0000-0000-0000DC000000}"/>
    <cellStyle name="표준 3 11 14" xfId="904" xr:uid="{00000000-0005-0000-0000-0000DD000000}"/>
    <cellStyle name="표준 3 11 15" xfId="910" xr:uid="{00000000-0005-0000-0000-0000DE000000}"/>
    <cellStyle name="표준 3 11 16" xfId="915" xr:uid="{00000000-0005-0000-0000-0000DF000000}"/>
    <cellStyle name="표준 3 11 17" xfId="967" xr:uid="{00000000-0005-0000-0000-0000E0000000}"/>
    <cellStyle name="표준 3 11 18" xfId="939" xr:uid="{00000000-0005-0000-0000-0000E1000000}"/>
    <cellStyle name="표준 3 11 19" xfId="947" xr:uid="{00000000-0005-0000-0000-0000E2000000}"/>
    <cellStyle name="표준 3 11 2" xfId="620" xr:uid="{00000000-0005-0000-0000-0000E3000000}"/>
    <cellStyle name="표준 3 11 20" xfId="919" xr:uid="{00000000-0005-0000-0000-0000E4000000}"/>
    <cellStyle name="표준 3 11 21" xfId="1018" xr:uid="{00000000-0005-0000-0000-0000E5000000}"/>
    <cellStyle name="표준 3 11 22" xfId="960" xr:uid="{00000000-0005-0000-0000-0000E6000000}"/>
    <cellStyle name="표준 3 11 23" xfId="1048" xr:uid="{00000000-0005-0000-0000-0000E7000000}"/>
    <cellStyle name="표준 3 11 24" xfId="1044" xr:uid="{00000000-0005-0000-0000-0000E8000000}"/>
    <cellStyle name="표준 3 11 25" xfId="1058" xr:uid="{00000000-0005-0000-0000-0000E9000000}"/>
    <cellStyle name="표준 3 11 26" xfId="1053" xr:uid="{00000000-0005-0000-0000-0000EA000000}"/>
    <cellStyle name="표준 3 11 27" xfId="1055" xr:uid="{00000000-0005-0000-0000-0000EB000000}"/>
    <cellStyle name="표준 3 11 28" xfId="1056" xr:uid="{00000000-0005-0000-0000-0000EC000000}"/>
    <cellStyle name="표준 3 11 29" xfId="1157" xr:uid="{00000000-0005-0000-0000-0000ED000000}"/>
    <cellStyle name="표준 3 11 3" xfId="636" xr:uid="{00000000-0005-0000-0000-0000EE000000}"/>
    <cellStyle name="표준 3 11 30" xfId="1171" xr:uid="{00000000-0005-0000-0000-0000EF000000}"/>
    <cellStyle name="표준 3 11 31" xfId="1126" xr:uid="{00000000-0005-0000-0000-0000F0000000}"/>
    <cellStyle name="표준 3 11 32" xfId="1150" xr:uid="{00000000-0005-0000-0000-0000F1000000}"/>
    <cellStyle name="표준 3 11 33" xfId="1019" xr:uid="{00000000-0005-0000-0000-0000F2000000}"/>
    <cellStyle name="표준 3 11 34" xfId="1170" xr:uid="{00000000-0005-0000-0000-0000F3000000}"/>
    <cellStyle name="표준 3 11 4" xfId="699" xr:uid="{00000000-0005-0000-0000-0000F4000000}"/>
    <cellStyle name="표준 3 11 5" xfId="731" xr:uid="{00000000-0005-0000-0000-0000F5000000}"/>
    <cellStyle name="표준 3 11 6" xfId="747" xr:uid="{00000000-0005-0000-0000-0000F6000000}"/>
    <cellStyle name="표준 3 11 7" xfId="762" xr:uid="{00000000-0005-0000-0000-0000F7000000}"/>
    <cellStyle name="표준 3 11 8" xfId="775" xr:uid="{00000000-0005-0000-0000-0000F8000000}"/>
    <cellStyle name="표준 3 11 9" xfId="788" xr:uid="{00000000-0005-0000-0000-0000F9000000}"/>
    <cellStyle name="표준 3 110" xfId="1259" xr:uid="{00000000-0005-0000-0000-0000FA000000}"/>
    <cellStyle name="표준 3 111" xfId="683" xr:uid="{00000000-0005-0000-0000-0000FB000000}"/>
    <cellStyle name="표준 3 112" xfId="1270" xr:uid="{00000000-0005-0000-0000-0000FC000000}"/>
    <cellStyle name="표준 3 113" xfId="1269" xr:uid="{00000000-0005-0000-0000-0000FD000000}"/>
    <cellStyle name="표준 3 114" xfId="1218" xr:uid="{00000000-0005-0000-0000-0000FE000000}"/>
    <cellStyle name="표준 3 115" xfId="1243" xr:uid="{00000000-0005-0000-0000-0000FF000000}"/>
    <cellStyle name="표준 3 116" xfId="672" xr:uid="{00000000-0005-0000-0000-000000010000}"/>
    <cellStyle name="표준 3 117" xfId="1251" xr:uid="{00000000-0005-0000-0000-000001010000}"/>
    <cellStyle name="표준 3 118" xfId="1217" xr:uid="{00000000-0005-0000-0000-000002010000}"/>
    <cellStyle name="표준 3 119" xfId="1227" xr:uid="{00000000-0005-0000-0000-000003010000}"/>
    <cellStyle name="표준 3 12" xfId="600" xr:uid="{00000000-0005-0000-0000-000004010000}"/>
    <cellStyle name="표준 3 12 10" xfId="792" xr:uid="{00000000-0005-0000-0000-000005010000}"/>
    <cellStyle name="표준 3 12 11" xfId="825" xr:uid="{00000000-0005-0000-0000-000006010000}"/>
    <cellStyle name="표준 3 12 12" xfId="880" xr:uid="{00000000-0005-0000-0000-000007010000}"/>
    <cellStyle name="표준 3 12 13" xfId="874" xr:uid="{00000000-0005-0000-0000-000008010000}"/>
    <cellStyle name="표준 3 12 14" xfId="863" xr:uid="{00000000-0005-0000-0000-000009010000}"/>
    <cellStyle name="표준 3 12 15" xfId="834" xr:uid="{00000000-0005-0000-0000-00000A010000}"/>
    <cellStyle name="표준 3 12 16" xfId="879" xr:uid="{00000000-0005-0000-0000-00000B010000}"/>
    <cellStyle name="표준 3 12 17" xfId="943" xr:uid="{00000000-0005-0000-0000-00000C010000}"/>
    <cellStyle name="표준 3 12 18" xfId="985" xr:uid="{00000000-0005-0000-0000-00000D010000}"/>
    <cellStyle name="표준 3 12 19" xfId="940" xr:uid="{00000000-0005-0000-0000-00000E010000}"/>
    <cellStyle name="표준 3 12 2" xfId="617" xr:uid="{00000000-0005-0000-0000-00000F010000}"/>
    <cellStyle name="표준 3 12 20" xfId="961" xr:uid="{00000000-0005-0000-0000-000010010000}"/>
    <cellStyle name="표준 3 12 21" xfId="808" xr:uid="{00000000-0005-0000-0000-000011010000}"/>
    <cellStyle name="표준 3 12 22" xfId="1029" xr:uid="{00000000-0005-0000-0000-000012010000}"/>
    <cellStyle name="표준 3 12 23" xfId="1037" xr:uid="{00000000-0005-0000-0000-000013010000}"/>
    <cellStyle name="표준 3 12 24" xfId="1066" xr:uid="{00000000-0005-0000-0000-000014010000}"/>
    <cellStyle name="표준 3 12 25" xfId="1085" xr:uid="{00000000-0005-0000-0000-000015010000}"/>
    <cellStyle name="표준 3 12 26" xfId="1077" xr:uid="{00000000-0005-0000-0000-000016010000}"/>
    <cellStyle name="표준 3 12 27" xfId="1090" xr:uid="{00000000-0005-0000-0000-000017010000}"/>
    <cellStyle name="표준 3 12 28" xfId="1065" xr:uid="{00000000-0005-0000-0000-000018010000}"/>
    <cellStyle name="표준 3 12 29" xfId="1129" xr:uid="{00000000-0005-0000-0000-000019010000}"/>
    <cellStyle name="표준 3 12 3" xfId="633" xr:uid="{00000000-0005-0000-0000-00001A010000}"/>
    <cellStyle name="표준 3 12 30" xfId="1188" xr:uid="{00000000-0005-0000-0000-00001B010000}"/>
    <cellStyle name="표준 3 12 31" xfId="810" xr:uid="{00000000-0005-0000-0000-00001C010000}"/>
    <cellStyle name="표준 3 12 32" xfId="1151" xr:uid="{00000000-0005-0000-0000-00001D010000}"/>
    <cellStyle name="표준 3 12 33" xfId="1166" xr:uid="{00000000-0005-0000-0000-00001E010000}"/>
    <cellStyle name="표준 3 12 34" xfId="1159" xr:uid="{00000000-0005-0000-0000-00001F010000}"/>
    <cellStyle name="표준 3 12 4" xfId="696" xr:uid="{00000000-0005-0000-0000-000020010000}"/>
    <cellStyle name="표준 3 12 5" xfId="720" xr:uid="{00000000-0005-0000-0000-000021010000}"/>
    <cellStyle name="표준 3 12 6" xfId="736" xr:uid="{00000000-0005-0000-0000-000022010000}"/>
    <cellStyle name="표준 3 12 7" xfId="752" xr:uid="{00000000-0005-0000-0000-000023010000}"/>
    <cellStyle name="표준 3 12 8" xfId="767" xr:uid="{00000000-0005-0000-0000-000024010000}"/>
    <cellStyle name="표준 3 12 9" xfId="780" xr:uid="{00000000-0005-0000-0000-000025010000}"/>
    <cellStyle name="표준 3 120" xfId="1210" xr:uid="{00000000-0005-0000-0000-000026010000}"/>
    <cellStyle name="표준 3 121" xfId="1261" xr:uid="{00000000-0005-0000-0000-000027010000}"/>
    <cellStyle name="표준 3 122" xfId="1257" xr:uid="{00000000-0005-0000-0000-000028010000}"/>
    <cellStyle name="표준 3 123" xfId="1271" xr:uid="{00000000-0005-0000-0000-000029010000}"/>
    <cellStyle name="표준 3 124" xfId="1244" xr:uid="{00000000-0005-0000-0000-00002A010000}"/>
    <cellStyle name="표준 3 125" xfId="1222" xr:uid="{00000000-0005-0000-0000-00002B010000}"/>
    <cellStyle name="표준 3 126" xfId="1225" xr:uid="{00000000-0005-0000-0000-00002C010000}"/>
    <cellStyle name="표준 3 127" xfId="1248" xr:uid="{00000000-0005-0000-0000-00002D010000}"/>
    <cellStyle name="표준 3 128" xfId="1264" xr:uid="{00000000-0005-0000-0000-00002E010000}"/>
    <cellStyle name="표준 3 129" xfId="1232" xr:uid="{00000000-0005-0000-0000-00002F010000}"/>
    <cellStyle name="표준 3 13" xfId="602" xr:uid="{00000000-0005-0000-0000-000030010000}"/>
    <cellStyle name="표준 3 13 10" xfId="676" xr:uid="{00000000-0005-0000-0000-000031010000}"/>
    <cellStyle name="표준 3 13 11" xfId="830" xr:uid="{00000000-0005-0000-0000-000032010000}"/>
    <cellStyle name="표준 3 13 12" xfId="895" xr:uid="{00000000-0005-0000-0000-000033010000}"/>
    <cellStyle name="표준 3 13 13" xfId="902" xr:uid="{00000000-0005-0000-0000-000034010000}"/>
    <cellStyle name="표준 3 13 14" xfId="908" xr:uid="{00000000-0005-0000-0000-000035010000}"/>
    <cellStyle name="표준 3 13 15" xfId="913" xr:uid="{00000000-0005-0000-0000-000036010000}"/>
    <cellStyle name="표준 3 13 16" xfId="918" xr:uid="{00000000-0005-0000-0000-000037010000}"/>
    <cellStyle name="표준 3 13 17" xfId="971" xr:uid="{00000000-0005-0000-0000-000038010000}"/>
    <cellStyle name="표준 3 13 18" xfId="926" xr:uid="{00000000-0005-0000-0000-000039010000}"/>
    <cellStyle name="표준 3 13 19" xfId="970" xr:uid="{00000000-0005-0000-0000-00003A010000}"/>
    <cellStyle name="표준 3 13 2" xfId="619" xr:uid="{00000000-0005-0000-0000-00003B010000}"/>
    <cellStyle name="표준 3 13 20" xfId="975" xr:uid="{00000000-0005-0000-0000-00003C010000}"/>
    <cellStyle name="표준 3 13 21" xfId="1015" xr:uid="{00000000-0005-0000-0000-00003D010000}"/>
    <cellStyle name="표준 3 13 22" xfId="1013" xr:uid="{00000000-0005-0000-0000-00003E010000}"/>
    <cellStyle name="표준 3 13 23" xfId="1004" xr:uid="{00000000-0005-0000-0000-00003F010000}"/>
    <cellStyle name="표준 3 13 24" xfId="1036" xr:uid="{00000000-0005-0000-0000-000040010000}"/>
    <cellStyle name="표준 3 13 25" xfId="805" xr:uid="{00000000-0005-0000-0000-000041010000}"/>
    <cellStyle name="표준 3 13 26" xfId="1069" xr:uid="{00000000-0005-0000-0000-000042010000}"/>
    <cellStyle name="표준 3 13 27" xfId="1035" xr:uid="{00000000-0005-0000-0000-000043010000}"/>
    <cellStyle name="표준 3 13 28" xfId="1038" xr:uid="{00000000-0005-0000-0000-000044010000}"/>
    <cellStyle name="표준 3 13 29" xfId="1156" xr:uid="{00000000-0005-0000-0000-000045010000}"/>
    <cellStyle name="표준 3 13 3" xfId="635" xr:uid="{00000000-0005-0000-0000-000046010000}"/>
    <cellStyle name="표준 3 13 30" xfId="1140" xr:uid="{00000000-0005-0000-0000-000047010000}"/>
    <cellStyle name="표준 3 13 31" xfId="1124" xr:uid="{00000000-0005-0000-0000-000048010000}"/>
    <cellStyle name="표준 3 13 32" xfId="1192" xr:uid="{00000000-0005-0000-0000-000049010000}"/>
    <cellStyle name="표준 3 13 33" xfId="1143" xr:uid="{00000000-0005-0000-0000-00004A010000}"/>
    <cellStyle name="표준 3 13 34" xfId="1185" xr:uid="{00000000-0005-0000-0000-00004B010000}"/>
    <cellStyle name="표준 3 13 4" xfId="698" xr:uid="{00000000-0005-0000-0000-00004C010000}"/>
    <cellStyle name="표준 3 13 5" xfId="688" xr:uid="{00000000-0005-0000-0000-00004D010000}"/>
    <cellStyle name="표준 3 13 6" xfId="711" xr:uid="{00000000-0005-0000-0000-00004E010000}"/>
    <cellStyle name="표준 3 13 7" xfId="713" xr:uid="{00000000-0005-0000-0000-00004F010000}"/>
    <cellStyle name="표준 3 13 8" xfId="715" xr:uid="{00000000-0005-0000-0000-000050010000}"/>
    <cellStyle name="표준 3 13 9" xfId="675" xr:uid="{00000000-0005-0000-0000-000051010000}"/>
    <cellStyle name="표준 3 14" xfId="601" xr:uid="{00000000-0005-0000-0000-000052010000}"/>
    <cellStyle name="표준 3 14 10" xfId="783" xr:uid="{00000000-0005-0000-0000-000053010000}"/>
    <cellStyle name="표준 3 14 11" xfId="826" xr:uid="{00000000-0005-0000-0000-000054010000}"/>
    <cellStyle name="표준 3 14 12" xfId="873" xr:uid="{00000000-0005-0000-0000-000055010000}"/>
    <cellStyle name="표준 3 14 13" xfId="871" xr:uid="{00000000-0005-0000-0000-000056010000}"/>
    <cellStyle name="표준 3 14 14" xfId="848" xr:uid="{00000000-0005-0000-0000-000057010000}"/>
    <cellStyle name="표준 3 14 15" xfId="851" xr:uid="{00000000-0005-0000-0000-000058010000}"/>
    <cellStyle name="표준 3 14 16" xfId="855" xr:uid="{00000000-0005-0000-0000-000059010000}"/>
    <cellStyle name="표준 3 14 17" xfId="944" xr:uid="{00000000-0005-0000-0000-00005A010000}"/>
    <cellStyle name="표준 3 14 18" xfId="977" xr:uid="{00000000-0005-0000-0000-00005B010000}"/>
    <cellStyle name="표준 3 14 19" xfId="979" xr:uid="{00000000-0005-0000-0000-00005C010000}"/>
    <cellStyle name="표준 3 14 2" xfId="618" xr:uid="{00000000-0005-0000-0000-00005D010000}"/>
    <cellStyle name="표준 3 14 20" xfId="983" xr:uid="{00000000-0005-0000-0000-00005E010000}"/>
    <cellStyle name="표준 3 14 21" xfId="1006" xr:uid="{00000000-0005-0000-0000-00005F010000}"/>
    <cellStyle name="표준 3 14 22" xfId="1028" xr:uid="{00000000-0005-0000-0000-000060010000}"/>
    <cellStyle name="표준 3 14 23" xfId="1081" xr:uid="{00000000-0005-0000-0000-000061010000}"/>
    <cellStyle name="표준 3 14 24" xfId="1041" xr:uid="{00000000-0005-0000-0000-000062010000}"/>
    <cellStyle name="표준 3 14 25" xfId="812" xr:uid="{00000000-0005-0000-0000-000063010000}"/>
    <cellStyle name="표준 3 14 26" xfId="1087" xr:uid="{00000000-0005-0000-0000-000064010000}"/>
    <cellStyle name="표준 3 14 27" xfId="1052" xr:uid="{00000000-0005-0000-0000-000065010000}"/>
    <cellStyle name="표준 3 14 28" xfId="1086" xr:uid="{00000000-0005-0000-0000-000066010000}"/>
    <cellStyle name="표준 3 14 29" xfId="1165" xr:uid="{00000000-0005-0000-0000-000067010000}"/>
    <cellStyle name="표준 3 14 3" xfId="634" xr:uid="{00000000-0005-0000-0000-000068010000}"/>
    <cellStyle name="표준 3 14 30" xfId="1179" xr:uid="{00000000-0005-0000-0000-000069010000}"/>
    <cellStyle name="표준 3 14 31" xfId="1139" xr:uid="{00000000-0005-0000-0000-00006A010000}"/>
    <cellStyle name="표준 3 14 32" xfId="1187" xr:uid="{00000000-0005-0000-0000-00006B010000}"/>
    <cellStyle name="표준 3 14 33" xfId="1132" xr:uid="{00000000-0005-0000-0000-00006C010000}"/>
    <cellStyle name="표준 3 14 34" xfId="806" xr:uid="{00000000-0005-0000-0000-00006D010000}"/>
    <cellStyle name="표준 3 14 4" xfId="697" xr:uid="{00000000-0005-0000-0000-00006E010000}"/>
    <cellStyle name="표준 3 14 5" xfId="705" xr:uid="{00000000-0005-0000-0000-00006F010000}"/>
    <cellStyle name="표준 3 14 6" xfId="724" xr:uid="{00000000-0005-0000-0000-000070010000}"/>
    <cellStyle name="표준 3 14 7" xfId="740" xr:uid="{00000000-0005-0000-0000-000071010000}"/>
    <cellStyle name="표준 3 14 8" xfId="756" xr:uid="{00000000-0005-0000-0000-000072010000}"/>
    <cellStyle name="표준 3 14 9" xfId="770" xr:uid="{00000000-0005-0000-0000-000073010000}"/>
    <cellStyle name="표준 3 15" xfId="595" xr:uid="{00000000-0005-0000-0000-000074010000}"/>
    <cellStyle name="표준 3 15 10" xfId="778" xr:uid="{00000000-0005-0000-0000-000075010000}"/>
    <cellStyle name="표준 3 15 11" xfId="827" xr:uid="{00000000-0005-0000-0000-000076010000}"/>
    <cellStyle name="표준 3 15 12" xfId="857" xr:uid="{00000000-0005-0000-0000-000077010000}"/>
    <cellStyle name="표준 3 15 13" xfId="865" xr:uid="{00000000-0005-0000-0000-000078010000}"/>
    <cellStyle name="표준 3 15 14" xfId="862" xr:uid="{00000000-0005-0000-0000-000079010000}"/>
    <cellStyle name="표준 3 15 15" xfId="839" xr:uid="{00000000-0005-0000-0000-00007A010000}"/>
    <cellStyle name="표준 3 15 16" xfId="869" xr:uid="{00000000-0005-0000-0000-00007B010000}"/>
    <cellStyle name="표준 3 15 17" xfId="949" xr:uid="{00000000-0005-0000-0000-00007C010000}"/>
    <cellStyle name="표준 3 15 18" xfId="974" xr:uid="{00000000-0005-0000-0000-00007D010000}"/>
    <cellStyle name="표준 3 15 19" xfId="950" xr:uid="{00000000-0005-0000-0000-00007E010000}"/>
    <cellStyle name="표준 3 15 2" xfId="613" xr:uid="{00000000-0005-0000-0000-00007F010000}"/>
    <cellStyle name="표준 3 15 20" xfId="928" xr:uid="{00000000-0005-0000-0000-000080010000}"/>
    <cellStyle name="표준 3 15 21" xfId="1008" xr:uid="{00000000-0005-0000-0000-000081010000}"/>
    <cellStyle name="표준 3 15 22" xfId="1027" xr:uid="{00000000-0005-0000-0000-000082010000}"/>
    <cellStyle name="표준 3 15 23" xfId="1054" xr:uid="{00000000-0005-0000-0000-000083010000}"/>
    <cellStyle name="표준 3 15 24" xfId="1067" xr:uid="{00000000-0005-0000-0000-000084010000}"/>
    <cellStyle name="표준 3 15 25" xfId="998" xr:uid="{00000000-0005-0000-0000-000085010000}"/>
    <cellStyle name="표준 3 15 26" xfId="1064" xr:uid="{00000000-0005-0000-0000-000086010000}"/>
    <cellStyle name="표준 3 15 27" xfId="1105" xr:uid="{00000000-0005-0000-0000-000087010000}"/>
    <cellStyle name="표준 3 15 28" xfId="1109" xr:uid="{00000000-0005-0000-0000-000088010000}"/>
    <cellStyle name="표준 3 15 29" xfId="1121" xr:uid="{00000000-0005-0000-0000-000089010000}"/>
    <cellStyle name="표준 3 15 3" xfId="629" xr:uid="{00000000-0005-0000-0000-00008A010000}"/>
    <cellStyle name="표준 3 15 30" xfId="1152" xr:uid="{00000000-0005-0000-0000-00008B010000}"/>
    <cellStyle name="표준 3 15 31" xfId="1176" xr:uid="{00000000-0005-0000-0000-00008C010000}"/>
    <cellStyle name="표준 3 15 32" xfId="952" xr:uid="{00000000-0005-0000-0000-00008D010000}"/>
    <cellStyle name="표준 3 15 33" xfId="801" xr:uid="{00000000-0005-0000-0000-00008E010000}"/>
    <cellStyle name="표준 3 15 34" xfId="1173" xr:uid="{00000000-0005-0000-0000-00008F010000}"/>
    <cellStyle name="표준 3 15 4" xfId="692" xr:uid="{00000000-0005-0000-0000-000090010000}"/>
    <cellStyle name="표준 3 15 5" xfId="704" xr:uid="{00000000-0005-0000-0000-000091010000}"/>
    <cellStyle name="표준 3 15 6" xfId="718" xr:uid="{00000000-0005-0000-0000-000092010000}"/>
    <cellStyle name="표준 3 15 7" xfId="734" xr:uid="{00000000-0005-0000-0000-000093010000}"/>
    <cellStyle name="표준 3 15 8" xfId="750" xr:uid="{00000000-0005-0000-0000-000094010000}"/>
    <cellStyle name="표준 3 15 9" xfId="765" xr:uid="{00000000-0005-0000-0000-000095010000}"/>
    <cellStyle name="표준 3 16" xfId="606" xr:uid="{00000000-0005-0000-0000-000096010000}"/>
    <cellStyle name="표준 3 16 10" xfId="760" xr:uid="{00000000-0005-0000-0000-000097010000}"/>
    <cellStyle name="표준 3 16 11" xfId="832" xr:uid="{00000000-0005-0000-0000-000098010000}"/>
    <cellStyle name="표준 3 16 12" xfId="888" xr:uid="{00000000-0005-0000-0000-000099010000}"/>
    <cellStyle name="표준 3 16 13" xfId="846" xr:uid="{00000000-0005-0000-0000-00009A010000}"/>
    <cellStyle name="표준 3 16 14" xfId="872" xr:uid="{00000000-0005-0000-0000-00009B010000}"/>
    <cellStyle name="표준 3 16 15" xfId="882" xr:uid="{00000000-0005-0000-0000-00009C010000}"/>
    <cellStyle name="표준 3 16 16" xfId="835" xr:uid="{00000000-0005-0000-0000-00009D010000}"/>
    <cellStyle name="표준 3 16 17" xfId="935" xr:uid="{00000000-0005-0000-0000-00009E010000}"/>
    <cellStyle name="표준 3 16 18" xfId="927" xr:uid="{00000000-0005-0000-0000-00009F010000}"/>
    <cellStyle name="표준 3 16 19" xfId="986" xr:uid="{00000000-0005-0000-0000-0000A0010000}"/>
    <cellStyle name="표준 3 16 2" xfId="623" xr:uid="{00000000-0005-0000-0000-0000A1010000}"/>
    <cellStyle name="표준 3 16 20" xfId="989" xr:uid="{00000000-0005-0000-0000-0000A2010000}"/>
    <cellStyle name="표준 3 16 21" xfId="1023" xr:uid="{00000000-0005-0000-0000-0000A3010000}"/>
    <cellStyle name="표준 3 16 22" xfId="1007" xr:uid="{00000000-0005-0000-0000-0000A4010000}"/>
    <cellStyle name="표준 3 16 23" xfId="1042" xr:uid="{00000000-0005-0000-0000-0000A5010000}"/>
    <cellStyle name="표준 3 16 24" xfId="1047" xr:uid="{00000000-0005-0000-0000-0000A6010000}"/>
    <cellStyle name="표준 3 16 25" xfId="1063" xr:uid="{00000000-0005-0000-0000-0000A7010000}"/>
    <cellStyle name="표준 3 16 26" xfId="1062" xr:uid="{00000000-0005-0000-0000-0000A8010000}"/>
    <cellStyle name="표준 3 16 27" xfId="1102" xr:uid="{00000000-0005-0000-0000-0000A9010000}"/>
    <cellStyle name="표준 3 16 28" xfId="1101" xr:uid="{00000000-0005-0000-0000-0000AA010000}"/>
    <cellStyle name="표준 3 16 29" xfId="1003" xr:uid="{00000000-0005-0000-0000-0000AB010000}"/>
    <cellStyle name="표준 3 16 3" xfId="639" xr:uid="{00000000-0005-0000-0000-0000AC010000}"/>
    <cellStyle name="표준 3 16 30" xfId="809" xr:uid="{00000000-0005-0000-0000-0000AD010000}"/>
    <cellStyle name="표준 3 16 31" xfId="1133" xr:uid="{00000000-0005-0000-0000-0000AE010000}"/>
    <cellStyle name="표준 3 16 32" xfId="1167" xr:uid="{00000000-0005-0000-0000-0000AF010000}"/>
    <cellStyle name="표준 3 16 33" xfId="1196" xr:uid="{00000000-0005-0000-0000-0000B0010000}"/>
    <cellStyle name="표준 3 16 34" xfId="1141" xr:uid="{00000000-0005-0000-0000-0000B1010000}"/>
    <cellStyle name="표준 3 16 4" xfId="702" xr:uid="{00000000-0005-0000-0000-0000B2010000}"/>
    <cellStyle name="표준 3 16 5" xfId="717" xr:uid="{00000000-0005-0000-0000-0000B3010000}"/>
    <cellStyle name="표준 3 16 6" xfId="684" xr:uid="{00000000-0005-0000-0000-0000B4010000}"/>
    <cellStyle name="표준 3 16 7" xfId="707" xr:uid="{00000000-0005-0000-0000-0000B5010000}"/>
    <cellStyle name="표준 3 16 8" xfId="728" xr:uid="{00000000-0005-0000-0000-0000B6010000}"/>
    <cellStyle name="표준 3 16 9" xfId="744" xr:uid="{00000000-0005-0000-0000-0000B7010000}"/>
    <cellStyle name="표준 3 17" xfId="605" xr:uid="{00000000-0005-0000-0000-0000B8010000}"/>
    <cellStyle name="표준 3 17 10" xfId="798" xr:uid="{00000000-0005-0000-0000-0000B9010000}"/>
    <cellStyle name="표준 3 17 11" xfId="829" xr:uid="{00000000-0005-0000-0000-0000BA010000}"/>
    <cellStyle name="표준 3 17 12" xfId="841" xr:uid="{00000000-0005-0000-0000-0000BB010000}"/>
    <cellStyle name="표준 3 17 13" xfId="867" xr:uid="{00000000-0005-0000-0000-0000BC010000}"/>
    <cellStyle name="표준 3 17 14" xfId="847" xr:uid="{00000000-0005-0000-0000-0000BD010000}"/>
    <cellStyle name="표준 3 17 15" xfId="859" xr:uid="{00000000-0005-0000-0000-0000BE010000}"/>
    <cellStyle name="표준 3 17 16" xfId="833" xr:uid="{00000000-0005-0000-0000-0000BF010000}"/>
    <cellStyle name="표준 3 17 17" xfId="942" xr:uid="{00000000-0005-0000-0000-0000C0010000}"/>
    <cellStyle name="표준 3 17 18" xfId="972" xr:uid="{00000000-0005-0000-0000-0000C1010000}"/>
    <cellStyle name="표준 3 17 19" xfId="953" xr:uid="{00000000-0005-0000-0000-0000C2010000}"/>
    <cellStyle name="표준 3 17 2" xfId="622" xr:uid="{00000000-0005-0000-0000-0000C3010000}"/>
    <cellStyle name="표준 3 17 20" xfId="984" xr:uid="{00000000-0005-0000-0000-0000C4010000}"/>
    <cellStyle name="표준 3 17 21" xfId="1021" xr:uid="{00000000-0005-0000-0000-0000C5010000}"/>
    <cellStyle name="표준 3 17 22" xfId="1002" xr:uid="{00000000-0005-0000-0000-0000C6010000}"/>
    <cellStyle name="표준 3 17 23" xfId="1059" xr:uid="{00000000-0005-0000-0000-0000C7010000}"/>
    <cellStyle name="표준 3 17 24" xfId="803" xr:uid="{00000000-0005-0000-0000-0000C8010000}"/>
    <cellStyle name="표준 3 17 25" xfId="804" xr:uid="{00000000-0005-0000-0000-0000C9010000}"/>
    <cellStyle name="표준 3 17 26" xfId="669" xr:uid="{00000000-0005-0000-0000-0000CA010000}"/>
    <cellStyle name="표준 3 17 27" xfId="1061" xr:uid="{00000000-0005-0000-0000-0000CB010000}"/>
    <cellStyle name="표준 3 17 28" xfId="1039" xr:uid="{00000000-0005-0000-0000-0000CC010000}"/>
    <cellStyle name="표준 3 17 29" xfId="1138" xr:uid="{00000000-0005-0000-0000-0000CD010000}"/>
    <cellStyle name="표준 3 17 3" xfId="638" xr:uid="{00000000-0005-0000-0000-0000CE010000}"/>
    <cellStyle name="표준 3 17 30" xfId="1137" xr:uid="{00000000-0005-0000-0000-0000CF010000}"/>
    <cellStyle name="표준 3 17 31" xfId="921" xr:uid="{00000000-0005-0000-0000-0000D0010000}"/>
    <cellStyle name="표준 3 17 32" xfId="1160" xr:uid="{00000000-0005-0000-0000-0000D1010000}"/>
    <cellStyle name="표준 3 17 33" xfId="1122" xr:uid="{00000000-0005-0000-0000-0000D2010000}"/>
    <cellStyle name="표준 3 17 34" xfId="1201" xr:uid="{00000000-0005-0000-0000-0000D3010000}"/>
    <cellStyle name="표준 3 17 4" xfId="701" xr:uid="{00000000-0005-0000-0000-0000D4010000}"/>
    <cellStyle name="표준 3 17 5" xfId="732" xr:uid="{00000000-0005-0000-0000-0000D5010000}"/>
    <cellStyle name="표준 3 17 6" xfId="748" xr:uid="{00000000-0005-0000-0000-0000D6010000}"/>
    <cellStyle name="표준 3 17 7" xfId="763" xr:uid="{00000000-0005-0000-0000-0000D7010000}"/>
    <cellStyle name="표준 3 17 8" xfId="776" xr:uid="{00000000-0005-0000-0000-0000D8010000}"/>
    <cellStyle name="표준 3 17 9" xfId="789" xr:uid="{00000000-0005-0000-0000-0000D9010000}"/>
    <cellStyle name="표준 3 18" xfId="604" xr:uid="{00000000-0005-0000-0000-0000DA010000}"/>
    <cellStyle name="표준 3 18 10" xfId="754" xr:uid="{00000000-0005-0000-0000-0000DB010000}"/>
    <cellStyle name="표준 3 18 11" xfId="828" xr:uid="{00000000-0005-0000-0000-0000DC010000}"/>
    <cellStyle name="표준 3 18 12" xfId="849" xr:uid="{00000000-0005-0000-0000-0000DD010000}"/>
    <cellStyle name="표준 3 18 13" xfId="881" xr:uid="{00000000-0005-0000-0000-0000DE010000}"/>
    <cellStyle name="표준 3 18 14" xfId="861" xr:uid="{00000000-0005-0000-0000-0000DF010000}"/>
    <cellStyle name="표준 3 18 15" xfId="868" xr:uid="{00000000-0005-0000-0000-0000E0010000}"/>
    <cellStyle name="표준 3 18 16" xfId="885" xr:uid="{00000000-0005-0000-0000-0000E1010000}"/>
    <cellStyle name="표준 3 18 17" xfId="948" xr:uid="{00000000-0005-0000-0000-0000E2010000}"/>
    <cellStyle name="표준 3 18 18" xfId="973" xr:uid="{00000000-0005-0000-0000-0000E3010000}"/>
    <cellStyle name="표준 3 18 19" xfId="925" xr:uid="{00000000-0005-0000-0000-0000E4010000}"/>
    <cellStyle name="표준 3 18 2" xfId="621" xr:uid="{00000000-0005-0000-0000-0000E5010000}"/>
    <cellStyle name="표준 3 18 20" xfId="957" xr:uid="{00000000-0005-0000-0000-0000E6010000}"/>
    <cellStyle name="표준 3 18 21" xfId="1011" xr:uid="{00000000-0005-0000-0000-0000E7010000}"/>
    <cellStyle name="표준 3 18 22" xfId="815" xr:uid="{00000000-0005-0000-0000-0000E8010000}"/>
    <cellStyle name="표준 3 18 23" xfId="1017" xr:uid="{00000000-0005-0000-0000-0000E9010000}"/>
    <cellStyle name="표준 3 18 24" xfId="1084" xr:uid="{00000000-0005-0000-0000-0000EA010000}"/>
    <cellStyle name="표준 3 18 25" xfId="1104" xr:uid="{00000000-0005-0000-0000-0000EB010000}"/>
    <cellStyle name="표준 3 18 26" xfId="1060" xr:uid="{00000000-0005-0000-0000-0000EC010000}"/>
    <cellStyle name="표준 3 18 27" xfId="1096" xr:uid="{00000000-0005-0000-0000-0000ED010000}"/>
    <cellStyle name="표준 3 18 28" xfId="923" xr:uid="{00000000-0005-0000-0000-0000EE010000}"/>
    <cellStyle name="표준 3 18 29" xfId="1127" xr:uid="{00000000-0005-0000-0000-0000EF010000}"/>
    <cellStyle name="표준 3 18 3" xfId="637" xr:uid="{00000000-0005-0000-0000-0000F0010000}"/>
    <cellStyle name="표준 3 18 30" xfId="1148" xr:uid="{00000000-0005-0000-0000-0000F1010000}"/>
    <cellStyle name="표준 3 18 31" xfId="1164" xr:uid="{00000000-0005-0000-0000-0000F2010000}"/>
    <cellStyle name="표준 3 18 32" xfId="1125" xr:uid="{00000000-0005-0000-0000-0000F3010000}"/>
    <cellStyle name="표준 3 18 33" xfId="1190" xr:uid="{00000000-0005-0000-0000-0000F4010000}"/>
    <cellStyle name="표준 3 18 34" xfId="1189" xr:uid="{00000000-0005-0000-0000-0000F5010000}"/>
    <cellStyle name="표준 3 18 4" xfId="700" xr:uid="{00000000-0005-0000-0000-0000F6010000}"/>
    <cellStyle name="표준 3 18 5" xfId="716" xr:uid="{00000000-0005-0000-0000-0000F7010000}"/>
    <cellStyle name="표준 3 18 6" xfId="677" xr:uid="{00000000-0005-0000-0000-0000F8010000}"/>
    <cellStyle name="표준 3 18 7" xfId="681" xr:uid="{00000000-0005-0000-0000-0000F9010000}"/>
    <cellStyle name="표준 3 18 8" xfId="722" xr:uid="{00000000-0005-0000-0000-0000FA010000}"/>
    <cellStyle name="표준 3 18 9" xfId="738" xr:uid="{00000000-0005-0000-0000-0000FB010000}"/>
    <cellStyle name="표준 3 19" xfId="592" xr:uid="{00000000-0005-0000-0000-0000FC010000}"/>
    <cellStyle name="표준 3 2" xfId="23" xr:uid="{00000000-0005-0000-0000-0000FD010000}"/>
    <cellStyle name="표준 3 2 10" xfId="786" xr:uid="{00000000-0005-0000-0000-0000FE010000}"/>
    <cellStyle name="표준 3 2 11" xfId="817" xr:uid="{00000000-0005-0000-0000-0000FF010000}"/>
    <cellStyle name="표준 3 2 12" xfId="866" xr:uid="{00000000-0005-0000-0000-000000020000}"/>
    <cellStyle name="표준 3 2 13" xfId="853" xr:uid="{00000000-0005-0000-0000-000001020000}"/>
    <cellStyle name="표준 3 2 14" xfId="856" xr:uid="{00000000-0005-0000-0000-000002020000}"/>
    <cellStyle name="표준 3 2 15" xfId="876" xr:uid="{00000000-0005-0000-0000-000003020000}"/>
    <cellStyle name="표준 3 2 16" xfId="887" xr:uid="{00000000-0005-0000-0000-000004020000}"/>
    <cellStyle name="표준 3 2 17" xfId="951" xr:uid="{00000000-0005-0000-0000-000005020000}"/>
    <cellStyle name="표준 3 2 18" xfId="955" xr:uid="{00000000-0005-0000-0000-000006020000}"/>
    <cellStyle name="표준 3 2 19" xfId="981" xr:uid="{00000000-0005-0000-0000-000007020000}"/>
    <cellStyle name="표준 3 2 2" xfId="609" xr:uid="{00000000-0005-0000-0000-000008020000}"/>
    <cellStyle name="표준 3 2 20" xfId="945" xr:uid="{00000000-0005-0000-0000-000009020000}"/>
    <cellStyle name="표준 3 2 21" xfId="1010" xr:uid="{00000000-0005-0000-0000-00000A020000}"/>
    <cellStyle name="표준 3 2 22" xfId="807" xr:uid="{00000000-0005-0000-0000-00000B020000}"/>
    <cellStyle name="표준 3 2 23" xfId="1073" xr:uid="{00000000-0005-0000-0000-00000C020000}"/>
    <cellStyle name="표준 3 2 24" xfId="1045" xr:uid="{00000000-0005-0000-0000-00000D020000}"/>
    <cellStyle name="표준 3 2 25" xfId="920" xr:uid="{00000000-0005-0000-0000-00000E020000}"/>
    <cellStyle name="표준 3 2 26" xfId="1098" xr:uid="{00000000-0005-0000-0000-00000F020000}"/>
    <cellStyle name="표준 3 2 27" xfId="1089" xr:uid="{00000000-0005-0000-0000-000010020000}"/>
    <cellStyle name="표준 3 2 28" xfId="922" xr:uid="{00000000-0005-0000-0000-000011020000}"/>
    <cellStyle name="표준 3 2 29" xfId="1172" xr:uid="{00000000-0005-0000-0000-000012020000}"/>
    <cellStyle name="표준 3 2 3" xfId="625" xr:uid="{00000000-0005-0000-0000-000013020000}"/>
    <cellStyle name="표준 3 2 30" xfId="1168" xr:uid="{00000000-0005-0000-0000-000014020000}"/>
    <cellStyle name="표준 3 2 31" xfId="954" xr:uid="{00000000-0005-0000-0000-000015020000}"/>
    <cellStyle name="표준 3 2 32" xfId="800" xr:uid="{00000000-0005-0000-0000-000016020000}"/>
    <cellStyle name="표준 3 2 33" xfId="1183" xr:uid="{00000000-0005-0000-0000-000017020000}"/>
    <cellStyle name="표준 3 2 34" xfId="1186" xr:uid="{00000000-0005-0000-0000-000018020000}"/>
    <cellStyle name="표준 3 2 35" xfId="587" xr:uid="{00000000-0005-0000-0000-000019020000}"/>
    <cellStyle name="표준 3 2 4" xfId="686" xr:uid="{00000000-0005-0000-0000-00001A020000}"/>
    <cellStyle name="표준 3 2 5" xfId="710" xr:uid="{00000000-0005-0000-0000-00001B020000}"/>
    <cellStyle name="표준 3 2 6" xfId="727" xr:uid="{00000000-0005-0000-0000-00001C020000}"/>
    <cellStyle name="표준 3 2 7" xfId="743" xr:uid="{00000000-0005-0000-0000-00001D020000}"/>
    <cellStyle name="표준 3 2 8" xfId="759" xr:uid="{00000000-0005-0000-0000-00001E020000}"/>
    <cellStyle name="표준 3 2 9" xfId="773" xr:uid="{00000000-0005-0000-0000-00001F020000}"/>
    <cellStyle name="표준 3 20" xfId="607" xr:uid="{00000000-0005-0000-0000-000020020000}"/>
    <cellStyle name="표준 3 21" xfId="598" xr:uid="{00000000-0005-0000-0000-000021020000}"/>
    <cellStyle name="표준 3 22" xfId="589" xr:uid="{00000000-0005-0000-0000-000022020000}"/>
    <cellStyle name="표준 3 23" xfId="588" xr:uid="{00000000-0005-0000-0000-000023020000}"/>
    <cellStyle name="표준 3 24" xfId="650" xr:uid="{00000000-0005-0000-0000-000024020000}"/>
    <cellStyle name="표준 3 25" xfId="646" xr:uid="{00000000-0005-0000-0000-000025020000}"/>
    <cellStyle name="표준 3 26" xfId="659" xr:uid="{00000000-0005-0000-0000-000026020000}"/>
    <cellStyle name="표준 3 27" xfId="658" xr:uid="{00000000-0005-0000-0000-000027020000}"/>
    <cellStyle name="표준 3 28" xfId="643" xr:uid="{00000000-0005-0000-0000-000028020000}"/>
    <cellStyle name="표준 3 29" xfId="647" xr:uid="{00000000-0005-0000-0000-000029020000}"/>
    <cellStyle name="표준 3 3" xfId="16" xr:uid="{00000000-0005-0000-0000-00002A020000}"/>
    <cellStyle name="표준 3 3 10" xfId="796" xr:uid="{00000000-0005-0000-0000-00002B020000}"/>
    <cellStyle name="표준 3 3 11" xfId="820" xr:uid="{00000000-0005-0000-0000-00002C020000}"/>
    <cellStyle name="표준 3 3 12" xfId="842" xr:uid="{00000000-0005-0000-0000-00002D020000}"/>
    <cellStyle name="표준 3 3 13" xfId="864" xr:uid="{00000000-0005-0000-0000-00002E020000}"/>
    <cellStyle name="표준 3 3 14" xfId="838" xr:uid="{00000000-0005-0000-0000-00002F020000}"/>
    <cellStyle name="표준 3 3 15" xfId="894" xr:uid="{00000000-0005-0000-0000-000030020000}"/>
    <cellStyle name="표준 3 3 16" xfId="901" xr:uid="{00000000-0005-0000-0000-000031020000}"/>
    <cellStyle name="표준 3 3 17" xfId="958" xr:uid="{00000000-0005-0000-0000-000032020000}"/>
    <cellStyle name="표준 3 3 18" xfId="962" xr:uid="{00000000-0005-0000-0000-000033020000}"/>
    <cellStyle name="표준 3 3 19" xfId="931" xr:uid="{00000000-0005-0000-0000-000034020000}"/>
    <cellStyle name="표준 3 3 2" xfId="27" xr:uid="{00000000-0005-0000-0000-000035020000}"/>
    <cellStyle name="표준 3 3 2 2" xfId="317" xr:uid="{00000000-0005-0000-0000-000036020000}"/>
    <cellStyle name="표준 3 3 20" xfId="964" xr:uid="{00000000-0005-0000-0000-000037020000}"/>
    <cellStyle name="표준 3 3 21" xfId="1016" xr:uid="{00000000-0005-0000-0000-000038020000}"/>
    <cellStyle name="표준 3 3 22" xfId="1033" xr:uid="{00000000-0005-0000-0000-000039020000}"/>
    <cellStyle name="표준 3 3 23" xfId="811" xr:uid="{00000000-0005-0000-0000-00003A020000}"/>
    <cellStyle name="표준 3 3 24" xfId="1107" xr:uid="{00000000-0005-0000-0000-00003B020000}"/>
    <cellStyle name="표준 3 3 25" xfId="1111" xr:uid="{00000000-0005-0000-0000-00003C020000}"/>
    <cellStyle name="표준 3 3 26" xfId="1114" xr:uid="{00000000-0005-0000-0000-00003D020000}"/>
    <cellStyle name="표준 3 3 27" xfId="1117" xr:uid="{00000000-0005-0000-0000-00003E020000}"/>
    <cellStyle name="표준 3 3 28" xfId="1119" xr:uid="{00000000-0005-0000-0000-00003F020000}"/>
    <cellStyle name="표준 3 3 29" xfId="1022" xr:uid="{00000000-0005-0000-0000-000040020000}"/>
    <cellStyle name="표준 3 3 3" xfId="308" xr:uid="{00000000-0005-0000-0000-000041020000}"/>
    <cellStyle name="표준 3 3 30" xfId="1195" xr:uid="{00000000-0005-0000-0000-000042020000}"/>
    <cellStyle name="표준 3 3 31" xfId="1193" xr:uid="{00000000-0005-0000-0000-000043020000}"/>
    <cellStyle name="표준 3 3 32" xfId="1162" xr:uid="{00000000-0005-0000-0000-000044020000}"/>
    <cellStyle name="표준 3 3 33" xfId="941" xr:uid="{00000000-0005-0000-0000-000045020000}"/>
    <cellStyle name="표준 3 3 34" xfId="1128" xr:uid="{00000000-0005-0000-0000-000046020000}"/>
    <cellStyle name="표준 3 3 4" xfId="687" xr:uid="{00000000-0005-0000-0000-000047020000}"/>
    <cellStyle name="표준 3 3 5" xfId="726" xr:uid="{00000000-0005-0000-0000-000048020000}"/>
    <cellStyle name="표준 3 3 6" xfId="742" xr:uid="{00000000-0005-0000-0000-000049020000}"/>
    <cellStyle name="표준 3 3 7" xfId="758" xr:uid="{00000000-0005-0000-0000-00004A020000}"/>
    <cellStyle name="표준 3 3 8" xfId="772" xr:uid="{00000000-0005-0000-0000-00004B020000}"/>
    <cellStyle name="표준 3 3 9" xfId="785" xr:uid="{00000000-0005-0000-0000-00004C020000}"/>
    <cellStyle name="표준 3 30" xfId="644" xr:uid="{00000000-0005-0000-0000-00004D020000}"/>
    <cellStyle name="표준 3 31" xfId="653" xr:uid="{00000000-0005-0000-0000-00004E020000}"/>
    <cellStyle name="표준 3 32" xfId="590" xr:uid="{00000000-0005-0000-0000-00004F020000}"/>
    <cellStyle name="표준 3 33" xfId="660" xr:uid="{00000000-0005-0000-0000-000050020000}"/>
    <cellStyle name="표준 3 34" xfId="657" xr:uid="{00000000-0005-0000-0000-000051020000}"/>
    <cellStyle name="표준 3 35" xfId="645" xr:uid="{00000000-0005-0000-0000-000052020000}"/>
    <cellStyle name="표준 3 36" xfId="661" xr:uid="{00000000-0005-0000-0000-000053020000}"/>
    <cellStyle name="표준 3 37" xfId="651" xr:uid="{00000000-0005-0000-0000-000054020000}"/>
    <cellStyle name="표준 3 38" xfId="642" xr:uid="{00000000-0005-0000-0000-000055020000}"/>
    <cellStyle name="표준 3 39" xfId="662" xr:uid="{00000000-0005-0000-0000-000056020000}"/>
    <cellStyle name="표준 3 4" xfId="14" xr:uid="{00000000-0005-0000-0000-000057020000}"/>
    <cellStyle name="표준 3 4 10" xfId="795" xr:uid="{00000000-0005-0000-0000-000058020000}"/>
    <cellStyle name="표준 3 4 11" xfId="818" xr:uid="{00000000-0005-0000-0000-000059020000}"/>
    <cellStyle name="표준 3 4 12" xfId="858" xr:uid="{00000000-0005-0000-0000-00005A020000}"/>
    <cellStyle name="표준 3 4 13" xfId="837" xr:uid="{00000000-0005-0000-0000-00005B020000}"/>
    <cellStyle name="표준 3 4 14" xfId="844" xr:uid="{00000000-0005-0000-0000-00005C020000}"/>
    <cellStyle name="표준 3 4 15" xfId="845" xr:uid="{00000000-0005-0000-0000-00005D020000}"/>
    <cellStyle name="표준 3 4 16" xfId="883" xr:uid="{00000000-0005-0000-0000-00005E020000}"/>
    <cellStyle name="표준 3 4 17" xfId="934" xr:uid="{00000000-0005-0000-0000-00005F020000}"/>
    <cellStyle name="표준 3 4 18" xfId="946" xr:uid="{00000000-0005-0000-0000-000060020000}"/>
    <cellStyle name="표준 3 4 19" xfId="982" xr:uid="{00000000-0005-0000-0000-000061020000}"/>
    <cellStyle name="표준 3 4 2" xfId="608" xr:uid="{00000000-0005-0000-0000-000062020000}"/>
    <cellStyle name="표준 3 4 20" xfId="978" xr:uid="{00000000-0005-0000-0000-000063020000}"/>
    <cellStyle name="표준 3 4 21" xfId="1012" xr:uid="{00000000-0005-0000-0000-000064020000}"/>
    <cellStyle name="표준 3 4 22" xfId="670" xr:uid="{00000000-0005-0000-0000-000065020000}"/>
    <cellStyle name="표준 3 4 23" xfId="1080" xr:uid="{00000000-0005-0000-0000-000066020000}"/>
    <cellStyle name="표준 3 4 24" xfId="1040" xr:uid="{00000000-0005-0000-0000-000067020000}"/>
    <cellStyle name="표준 3 4 25" xfId="1106" xr:uid="{00000000-0005-0000-0000-000068020000}"/>
    <cellStyle name="표준 3 4 26" xfId="1110" xr:uid="{00000000-0005-0000-0000-000069020000}"/>
    <cellStyle name="표준 3 4 27" xfId="1113" xr:uid="{00000000-0005-0000-0000-00006A020000}"/>
    <cellStyle name="표준 3 4 28" xfId="1116" xr:uid="{00000000-0005-0000-0000-00006B020000}"/>
    <cellStyle name="표준 3 4 29" xfId="1146" xr:uid="{00000000-0005-0000-0000-00006C020000}"/>
    <cellStyle name="표준 3 4 3" xfId="624" xr:uid="{00000000-0005-0000-0000-00006D020000}"/>
    <cellStyle name="표준 3 4 30" xfId="1194" xr:uid="{00000000-0005-0000-0000-00006E020000}"/>
    <cellStyle name="표준 3 4 31" xfId="1144" xr:uid="{00000000-0005-0000-0000-00006F020000}"/>
    <cellStyle name="표준 3 4 32" xfId="1134" xr:uid="{00000000-0005-0000-0000-000070020000}"/>
    <cellStyle name="표준 3 4 33" xfId="1145" xr:uid="{00000000-0005-0000-0000-000071020000}"/>
    <cellStyle name="표준 3 4 34" xfId="933" xr:uid="{00000000-0005-0000-0000-000072020000}"/>
    <cellStyle name="표준 3 4 35" xfId="591" xr:uid="{00000000-0005-0000-0000-000073020000}"/>
    <cellStyle name="표준 3 4 4" xfId="685" xr:uid="{00000000-0005-0000-0000-000074020000}"/>
    <cellStyle name="표준 3 4 5" xfId="725" xr:uid="{00000000-0005-0000-0000-000075020000}"/>
    <cellStyle name="표준 3 4 6" xfId="741" xr:uid="{00000000-0005-0000-0000-000076020000}"/>
    <cellStyle name="표준 3 4 7" xfId="757" xr:uid="{00000000-0005-0000-0000-000077020000}"/>
    <cellStyle name="표준 3 4 8" xfId="771" xr:uid="{00000000-0005-0000-0000-000078020000}"/>
    <cellStyle name="표준 3 4 9" xfId="784" xr:uid="{00000000-0005-0000-0000-000079020000}"/>
    <cellStyle name="표준 3 40" xfId="664" xr:uid="{00000000-0005-0000-0000-00007A020000}"/>
    <cellStyle name="표준 3 41" xfId="640" xr:uid="{00000000-0005-0000-0000-00007B020000}"/>
    <cellStyle name="표준 3 42" xfId="654" xr:uid="{00000000-0005-0000-0000-00007C020000}"/>
    <cellStyle name="표준 3 43" xfId="655" xr:uid="{00000000-0005-0000-0000-00007D020000}"/>
    <cellStyle name="표준 3 44" xfId="641" xr:uid="{00000000-0005-0000-0000-00007E020000}"/>
    <cellStyle name="표준 3 45" xfId="652" xr:uid="{00000000-0005-0000-0000-00007F020000}"/>
    <cellStyle name="표준 3 46" xfId="663" xr:uid="{00000000-0005-0000-0000-000080020000}"/>
    <cellStyle name="표준 3 47" xfId="665" xr:uid="{00000000-0005-0000-0000-000081020000}"/>
    <cellStyle name="표준 3 48" xfId="666" xr:uid="{00000000-0005-0000-0000-000082020000}"/>
    <cellStyle name="표준 3 49" xfId="656" xr:uid="{00000000-0005-0000-0000-000083020000}"/>
    <cellStyle name="표준 3 5" xfId="303" xr:uid="{00000000-0005-0000-0000-000084020000}"/>
    <cellStyle name="표준 3 5 10" xfId="791" xr:uid="{00000000-0005-0000-0000-000085020000}"/>
    <cellStyle name="표준 3 5 11" xfId="819" xr:uid="{00000000-0005-0000-0000-000086020000}"/>
    <cellStyle name="표준 3 5 12" xfId="850" xr:uid="{00000000-0005-0000-0000-000087020000}"/>
    <cellStyle name="표준 3 5 13" xfId="875" xr:uid="{00000000-0005-0000-0000-000088020000}"/>
    <cellStyle name="표준 3 5 14" xfId="854" xr:uid="{00000000-0005-0000-0000-000089020000}"/>
    <cellStyle name="표준 3 5 15" xfId="840" xr:uid="{00000000-0005-0000-0000-00008A020000}"/>
    <cellStyle name="표준 3 5 16" xfId="870" xr:uid="{00000000-0005-0000-0000-00008B020000}"/>
    <cellStyle name="표준 3 5 17" xfId="937" xr:uid="{00000000-0005-0000-0000-00008C020000}"/>
    <cellStyle name="표준 3 5 18" xfId="929" xr:uid="{00000000-0005-0000-0000-00008D020000}"/>
    <cellStyle name="표준 3 5 19" xfId="965" xr:uid="{00000000-0005-0000-0000-00008E020000}"/>
    <cellStyle name="표준 3 5 2" xfId="612" xr:uid="{00000000-0005-0000-0000-00008F020000}"/>
    <cellStyle name="표준 3 5 20" xfId="980" xr:uid="{00000000-0005-0000-0000-000090020000}"/>
    <cellStyle name="표준 3 5 21" xfId="1009" xr:uid="{00000000-0005-0000-0000-000091020000}"/>
    <cellStyle name="표준 3 5 22" xfId="1020" xr:uid="{00000000-0005-0000-0000-000092020000}"/>
    <cellStyle name="표준 3 5 23" xfId="1094" xr:uid="{00000000-0005-0000-0000-000093020000}"/>
    <cellStyle name="표준 3 5 24" xfId="1076" xr:uid="{00000000-0005-0000-0000-000094020000}"/>
    <cellStyle name="표준 3 5 25" xfId="1075" xr:uid="{00000000-0005-0000-0000-000095020000}"/>
    <cellStyle name="표준 3 5 26" xfId="1079" xr:uid="{00000000-0005-0000-0000-000096020000}"/>
    <cellStyle name="표준 3 5 27" xfId="1092" xr:uid="{00000000-0005-0000-0000-000097020000}"/>
    <cellStyle name="표준 3 5 28" xfId="1078" xr:uid="{00000000-0005-0000-0000-000098020000}"/>
    <cellStyle name="표준 3 5 29" xfId="1177" xr:uid="{00000000-0005-0000-0000-000099020000}"/>
    <cellStyle name="표준 3 5 3" xfId="628" xr:uid="{00000000-0005-0000-0000-00009A020000}"/>
    <cellStyle name="표준 3 5 30" xfId="1001" xr:uid="{00000000-0005-0000-0000-00009B020000}"/>
    <cellStyle name="표준 3 5 31" xfId="1175" xr:uid="{00000000-0005-0000-0000-00009C020000}"/>
    <cellStyle name="표준 3 5 32" xfId="1136" xr:uid="{00000000-0005-0000-0000-00009D020000}"/>
    <cellStyle name="표준 3 5 33" xfId="1123" xr:uid="{00000000-0005-0000-0000-00009E020000}"/>
    <cellStyle name="표준 3 5 34" xfId="1180" xr:uid="{00000000-0005-0000-0000-00009F020000}"/>
    <cellStyle name="표준 3 5 4" xfId="691" xr:uid="{00000000-0005-0000-0000-0000A0020000}"/>
    <cellStyle name="표준 3 5 5" xfId="719" xr:uid="{00000000-0005-0000-0000-0000A1020000}"/>
    <cellStyle name="표준 3 5 6" xfId="735" xr:uid="{00000000-0005-0000-0000-0000A2020000}"/>
    <cellStyle name="표준 3 5 7" xfId="751" xr:uid="{00000000-0005-0000-0000-0000A3020000}"/>
    <cellStyle name="표준 3 5 8" xfId="766" xr:uid="{00000000-0005-0000-0000-0000A4020000}"/>
    <cellStyle name="표준 3 5 9" xfId="779" xr:uid="{00000000-0005-0000-0000-0000A5020000}"/>
    <cellStyle name="표준 3 50" xfId="648" xr:uid="{00000000-0005-0000-0000-0000A6020000}"/>
    <cellStyle name="표준 3 51" xfId="649" xr:uid="{00000000-0005-0000-0000-0000A7020000}"/>
    <cellStyle name="표준 3 52" xfId="667" xr:uid="{00000000-0005-0000-0000-0000A8020000}"/>
    <cellStyle name="표준 3 53" xfId="668" xr:uid="{00000000-0005-0000-0000-0000A9020000}"/>
    <cellStyle name="표준 3 54" xfId="678" xr:uid="{00000000-0005-0000-0000-0000AA020000}"/>
    <cellStyle name="표준 3 55" xfId="1214" xr:uid="{00000000-0005-0000-0000-0000AB020000}"/>
    <cellStyle name="표준 3 56" xfId="1254" xr:uid="{00000000-0005-0000-0000-0000AC020000}"/>
    <cellStyle name="표준 3 57" xfId="1263" xr:uid="{00000000-0005-0000-0000-0000AD020000}"/>
    <cellStyle name="표준 3 58" xfId="671" xr:uid="{00000000-0005-0000-0000-0000AE020000}"/>
    <cellStyle name="표준 3 59" xfId="1247" xr:uid="{00000000-0005-0000-0000-0000AF020000}"/>
    <cellStyle name="표준 3 6" xfId="597" xr:uid="{00000000-0005-0000-0000-0000B0020000}"/>
    <cellStyle name="표준 3 6 10" xfId="746" xr:uid="{00000000-0005-0000-0000-0000B1020000}"/>
    <cellStyle name="표준 3 6 11" xfId="824" xr:uid="{00000000-0005-0000-0000-0000B2020000}"/>
    <cellStyle name="표준 3 6 12" xfId="886" xr:uid="{00000000-0005-0000-0000-0000B3020000}"/>
    <cellStyle name="표준 3 6 13" xfId="884" xr:uid="{00000000-0005-0000-0000-0000B4020000}"/>
    <cellStyle name="표준 3 6 14" xfId="836" xr:uid="{00000000-0005-0000-0000-0000B5020000}"/>
    <cellStyle name="표준 3 6 15" xfId="860" xr:uid="{00000000-0005-0000-0000-0000B6020000}"/>
    <cellStyle name="표준 3 6 16" xfId="890" xr:uid="{00000000-0005-0000-0000-0000B7020000}"/>
    <cellStyle name="표준 3 6 17" xfId="938" xr:uid="{00000000-0005-0000-0000-0000B8020000}"/>
    <cellStyle name="표준 3 6 18" xfId="987" xr:uid="{00000000-0005-0000-0000-0000B9020000}"/>
    <cellStyle name="표준 3 6 19" xfId="930" xr:uid="{00000000-0005-0000-0000-0000BA020000}"/>
    <cellStyle name="표준 3 6 2" xfId="615" xr:uid="{00000000-0005-0000-0000-0000BB020000}"/>
    <cellStyle name="표준 3 6 20" xfId="924" xr:uid="{00000000-0005-0000-0000-0000BC020000}"/>
    <cellStyle name="표준 3 6 21" xfId="1000" xr:uid="{00000000-0005-0000-0000-0000BD020000}"/>
    <cellStyle name="표준 3 6 22" xfId="1030" xr:uid="{00000000-0005-0000-0000-0000BE020000}"/>
    <cellStyle name="표준 3 6 23" xfId="799" xr:uid="{00000000-0005-0000-0000-0000BF020000}"/>
    <cellStyle name="표준 3 6 24" xfId="1099" xr:uid="{00000000-0005-0000-0000-0000C0020000}"/>
    <cellStyle name="표준 3 6 25" xfId="1070" xr:uid="{00000000-0005-0000-0000-0000C1020000}"/>
    <cellStyle name="표준 3 6 26" xfId="1049" xr:uid="{00000000-0005-0000-0000-0000C2020000}"/>
    <cellStyle name="표준 3 6 27" xfId="1051" xr:uid="{00000000-0005-0000-0000-0000C3020000}"/>
    <cellStyle name="표준 3 6 28" xfId="1068" xr:uid="{00000000-0005-0000-0000-0000C4020000}"/>
    <cellStyle name="표준 3 6 29" xfId="1153" xr:uid="{00000000-0005-0000-0000-0000C5020000}"/>
    <cellStyle name="표준 3 6 3" xfId="631" xr:uid="{00000000-0005-0000-0000-0000C6020000}"/>
    <cellStyle name="표준 3 6 30" xfId="1142" xr:uid="{00000000-0005-0000-0000-0000C7020000}"/>
    <cellStyle name="표준 3 6 31" xfId="1120" xr:uid="{00000000-0005-0000-0000-0000C8020000}"/>
    <cellStyle name="표준 3 6 32" xfId="1184" xr:uid="{00000000-0005-0000-0000-0000C9020000}"/>
    <cellStyle name="표준 3 6 33" xfId="1135" xr:uid="{00000000-0005-0000-0000-0000CA020000}"/>
    <cellStyle name="표준 3 6 34" xfId="1163" xr:uid="{00000000-0005-0000-0000-0000CB020000}"/>
    <cellStyle name="표준 3 6 4" xfId="694" xr:uid="{00000000-0005-0000-0000-0000CC020000}"/>
    <cellStyle name="표준 3 6 5" xfId="706" xr:uid="{00000000-0005-0000-0000-0000CD020000}"/>
    <cellStyle name="표준 3 6 6" xfId="709" xr:uid="{00000000-0005-0000-0000-0000CE020000}"/>
    <cellStyle name="표준 3 6 7" xfId="714" xr:uid="{00000000-0005-0000-0000-0000CF020000}"/>
    <cellStyle name="표준 3 6 8" xfId="712" xr:uid="{00000000-0005-0000-0000-0000D0020000}"/>
    <cellStyle name="표준 3 6 9" xfId="730" xr:uid="{00000000-0005-0000-0000-0000D1020000}"/>
    <cellStyle name="표준 3 60" xfId="674" xr:uid="{00000000-0005-0000-0000-0000D2020000}"/>
    <cellStyle name="표준 3 61" xfId="1239" xr:uid="{00000000-0005-0000-0000-0000D3020000}"/>
    <cellStyle name="표준 3 62" xfId="1223" xr:uid="{00000000-0005-0000-0000-0000D4020000}"/>
    <cellStyle name="표준 3 63" xfId="1211" xr:uid="{00000000-0005-0000-0000-0000D5020000}"/>
    <cellStyle name="표준 3 64" xfId="1237" xr:uid="{00000000-0005-0000-0000-0000D6020000}"/>
    <cellStyle name="표준 3 65" xfId="1245" xr:uid="{00000000-0005-0000-0000-0000D7020000}"/>
    <cellStyle name="표준 3 66" xfId="1228" xr:uid="{00000000-0005-0000-0000-0000D8020000}"/>
    <cellStyle name="표준 3 67" xfId="1262" xr:uid="{00000000-0005-0000-0000-0000D9020000}"/>
    <cellStyle name="표준 3 68" xfId="1256" xr:uid="{00000000-0005-0000-0000-0000DA020000}"/>
    <cellStyle name="표준 3 69" xfId="1258" xr:uid="{00000000-0005-0000-0000-0000DB020000}"/>
    <cellStyle name="표준 3 7" xfId="596" xr:uid="{00000000-0005-0000-0000-0000DC020000}"/>
    <cellStyle name="표준 3 7 10" xfId="793" xr:uid="{00000000-0005-0000-0000-0000DD020000}"/>
    <cellStyle name="표준 3 7 11" xfId="822" xr:uid="{00000000-0005-0000-0000-0000DE020000}"/>
    <cellStyle name="표준 3 7 12" xfId="892" xr:uid="{00000000-0005-0000-0000-0000DF020000}"/>
    <cellStyle name="표준 3 7 13" xfId="899" xr:uid="{00000000-0005-0000-0000-0000E0020000}"/>
    <cellStyle name="표준 3 7 14" xfId="905" xr:uid="{00000000-0005-0000-0000-0000E1020000}"/>
    <cellStyle name="표준 3 7 15" xfId="911" xr:uid="{00000000-0005-0000-0000-0000E2020000}"/>
    <cellStyle name="표준 3 7 16" xfId="916" xr:uid="{00000000-0005-0000-0000-0000E3020000}"/>
    <cellStyle name="표준 3 7 17" xfId="968" xr:uid="{00000000-0005-0000-0000-0000E4020000}"/>
    <cellStyle name="표준 3 7 18" xfId="990" xr:uid="{00000000-0005-0000-0000-0000E5020000}"/>
    <cellStyle name="표준 3 7 19" xfId="993" xr:uid="{00000000-0005-0000-0000-0000E6020000}"/>
    <cellStyle name="표준 3 7 2" xfId="614" xr:uid="{00000000-0005-0000-0000-0000E7020000}"/>
    <cellStyle name="표준 3 7 20" xfId="996" xr:uid="{00000000-0005-0000-0000-0000E8020000}"/>
    <cellStyle name="표준 3 7 21" xfId="1025" xr:uid="{00000000-0005-0000-0000-0000E9020000}"/>
    <cellStyle name="표준 3 7 22" xfId="1032" xr:uid="{00000000-0005-0000-0000-0000EA020000}"/>
    <cellStyle name="표준 3 7 23" xfId="1091" xr:uid="{00000000-0005-0000-0000-0000EB020000}"/>
    <cellStyle name="표준 3 7 24" xfId="1071" xr:uid="{00000000-0005-0000-0000-0000EC020000}"/>
    <cellStyle name="표준 3 7 25" xfId="1095" xr:uid="{00000000-0005-0000-0000-0000ED020000}"/>
    <cellStyle name="표준 3 7 26" xfId="813" xr:uid="{00000000-0005-0000-0000-0000EE020000}"/>
    <cellStyle name="표준 3 7 27" xfId="814" xr:uid="{00000000-0005-0000-0000-0000EF020000}"/>
    <cellStyle name="표준 3 7 28" xfId="1043" xr:uid="{00000000-0005-0000-0000-0000F0020000}"/>
    <cellStyle name="표준 3 7 29" xfId="1174" xr:uid="{00000000-0005-0000-0000-0000F1020000}"/>
    <cellStyle name="표준 3 7 3" xfId="630" xr:uid="{00000000-0005-0000-0000-0000F2020000}"/>
    <cellStyle name="표준 3 7 30" xfId="1200" xr:uid="{00000000-0005-0000-0000-0000F3020000}"/>
    <cellStyle name="표준 3 7 31" xfId="1203" xr:uid="{00000000-0005-0000-0000-0000F4020000}"/>
    <cellStyle name="표준 3 7 32" xfId="1205" xr:uid="{00000000-0005-0000-0000-0000F5020000}"/>
    <cellStyle name="표준 3 7 33" xfId="1206" xr:uid="{00000000-0005-0000-0000-0000F6020000}"/>
    <cellStyle name="표준 3 7 34" xfId="1207" xr:uid="{00000000-0005-0000-0000-0000F7020000}"/>
    <cellStyle name="표준 3 7 4" xfId="693" xr:uid="{00000000-0005-0000-0000-0000F8020000}"/>
    <cellStyle name="표준 3 7 5" xfId="721" xr:uid="{00000000-0005-0000-0000-0000F9020000}"/>
    <cellStyle name="표준 3 7 6" xfId="737" xr:uid="{00000000-0005-0000-0000-0000FA020000}"/>
    <cellStyle name="표준 3 7 7" xfId="753" xr:uid="{00000000-0005-0000-0000-0000FB020000}"/>
    <cellStyle name="표준 3 7 8" xfId="768" xr:uid="{00000000-0005-0000-0000-0000FC020000}"/>
    <cellStyle name="표준 3 7 9" xfId="781" xr:uid="{00000000-0005-0000-0000-0000FD020000}"/>
    <cellStyle name="표준 3 70" xfId="1238" xr:uid="{00000000-0005-0000-0000-0000FE020000}"/>
    <cellStyle name="표준 3 71" xfId="802" xr:uid="{00000000-0005-0000-0000-0000FF020000}"/>
    <cellStyle name="표준 3 72" xfId="1212" xr:uid="{00000000-0005-0000-0000-000000030000}"/>
    <cellStyle name="표준 3 73" xfId="1241" xr:uid="{00000000-0005-0000-0000-000001030000}"/>
    <cellStyle name="표준 3 74" xfId="1240" xr:uid="{00000000-0005-0000-0000-000002030000}"/>
    <cellStyle name="표준 3 75" xfId="1216" xr:uid="{00000000-0005-0000-0000-000003030000}"/>
    <cellStyle name="표준 3 76" xfId="1226" xr:uid="{00000000-0005-0000-0000-000004030000}"/>
    <cellStyle name="표준 3 77" xfId="679" xr:uid="{00000000-0005-0000-0000-000005030000}"/>
    <cellStyle name="표준 3 78" xfId="1213" xr:uid="{00000000-0005-0000-0000-000006030000}"/>
    <cellStyle name="표준 3 79" xfId="1266" xr:uid="{00000000-0005-0000-0000-000007030000}"/>
    <cellStyle name="표준 3 8" xfId="593" xr:uid="{00000000-0005-0000-0000-000008030000}"/>
    <cellStyle name="표준 3 8 10" xfId="794" xr:uid="{00000000-0005-0000-0000-000009030000}"/>
    <cellStyle name="표준 3 8 11" xfId="816" xr:uid="{00000000-0005-0000-0000-00000A030000}"/>
    <cellStyle name="표준 3 8 12" xfId="877" xr:uid="{00000000-0005-0000-0000-00000B030000}"/>
    <cellStyle name="표준 3 8 13" xfId="878" xr:uid="{00000000-0005-0000-0000-00000C030000}"/>
    <cellStyle name="표준 3 8 14" xfId="843" xr:uid="{00000000-0005-0000-0000-00000D030000}"/>
    <cellStyle name="표준 3 8 15" xfId="852" xr:uid="{00000000-0005-0000-0000-00000E030000}"/>
    <cellStyle name="표준 3 8 16" xfId="896" xr:uid="{00000000-0005-0000-0000-00000F030000}"/>
    <cellStyle name="표준 3 8 17" xfId="956" xr:uid="{00000000-0005-0000-0000-000010030000}"/>
    <cellStyle name="표준 3 8 18" xfId="959" xr:uid="{00000000-0005-0000-0000-000011030000}"/>
    <cellStyle name="표준 3 8 19" xfId="976" xr:uid="{00000000-0005-0000-0000-000012030000}"/>
    <cellStyle name="표준 3 8 2" xfId="610" xr:uid="{00000000-0005-0000-0000-000013030000}"/>
    <cellStyle name="표준 3 8 20" xfId="963" xr:uid="{00000000-0005-0000-0000-000014030000}"/>
    <cellStyle name="표준 3 8 21" xfId="999" xr:uid="{00000000-0005-0000-0000-000015030000}"/>
    <cellStyle name="표준 3 8 22" xfId="1014" xr:uid="{00000000-0005-0000-0000-000016030000}"/>
    <cellStyle name="표준 3 8 23" xfId="1072" xr:uid="{00000000-0005-0000-0000-000017030000}"/>
    <cellStyle name="표준 3 8 24" xfId="1083" xr:uid="{00000000-0005-0000-0000-000018030000}"/>
    <cellStyle name="표준 3 8 25" xfId="1034" xr:uid="{00000000-0005-0000-0000-000019030000}"/>
    <cellStyle name="표준 3 8 26" xfId="1082" xr:uid="{00000000-0005-0000-0000-00001A030000}"/>
    <cellStyle name="표준 3 8 27" xfId="1074" xr:uid="{00000000-0005-0000-0000-00001B030000}"/>
    <cellStyle name="표준 3 8 28" xfId="1097" xr:uid="{00000000-0005-0000-0000-00001C030000}"/>
    <cellStyle name="표준 3 8 29" xfId="1155" xr:uid="{00000000-0005-0000-0000-00001D030000}"/>
    <cellStyle name="표준 3 8 3" xfId="626" xr:uid="{00000000-0005-0000-0000-00001E030000}"/>
    <cellStyle name="표준 3 8 30" xfId="1178" xr:uid="{00000000-0005-0000-0000-00001F030000}"/>
    <cellStyle name="표준 3 8 31" xfId="1130" xr:uid="{00000000-0005-0000-0000-000020030000}"/>
    <cellStyle name="표준 3 8 32" xfId="1197" xr:uid="{00000000-0005-0000-0000-000021030000}"/>
    <cellStyle name="표준 3 8 33" xfId="1202" xr:uid="{00000000-0005-0000-0000-000022030000}"/>
    <cellStyle name="표준 3 8 34" xfId="1204" xr:uid="{00000000-0005-0000-0000-000023030000}"/>
    <cellStyle name="표준 3 8 4" xfId="689" xr:uid="{00000000-0005-0000-0000-000024030000}"/>
    <cellStyle name="표준 3 8 5" xfId="723" xr:uid="{00000000-0005-0000-0000-000025030000}"/>
    <cellStyle name="표준 3 8 6" xfId="739" xr:uid="{00000000-0005-0000-0000-000026030000}"/>
    <cellStyle name="표준 3 8 7" xfId="755" xr:uid="{00000000-0005-0000-0000-000027030000}"/>
    <cellStyle name="표준 3 8 8" xfId="769" xr:uid="{00000000-0005-0000-0000-000028030000}"/>
    <cellStyle name="표준 3 8 9" xfId="782" xr:uid="{00000000-0005-0000-0000-000029030000}"/>
    <cellStyle name="표준 3 80" xfId="1229" xr:uid="{00000000-0005-0000-0000-00002A030000}"/>
    <cellStyle name="표준 3 81" xfId="1242" xr:uid="{00000000-0005-0000-0000-00002B030000}"/>
    <cellStyle name="표준 3 82" xfId="1249" xr:uid="{00000000-0005-0000-0000-00002C030000}"/>
    <cellStyle name="표준 3 83" xfId="1250" xr:uid="{00000000-0005-0000-0000-00002D030000}"/>
    <cellStyle name="표준 3 84" xfId="1252" xr:uid="{00000000-0005-0000-0000-00002E030000}"/>
    <cellStyle name="표준 3 85" xfId="1268" xr:uid="{00000000-0005-0000-0000-00002F030000}"/>
    <cellStyle name="표준 3 86" xfId="1231" xr:uid="{00000000-0005-0000-0000-000030030000}"/>
    <cellStyle name="표준 3 87" xfId="1260" xr:uid="{00000000-0005-0000-0000-000031030000}"/>
    <cellStyle name="표준 3 88" xfId="1255" xr:uid="{00000000-0005-0000-0000-000032030000}"/>
    <cellStyle name="표준 3 89" xfId="1246" xr:uid="{00000000-0005-0000-0000-000033030000}"/>
    <cellStyle name="표준 3 9" xfId="594" xr:uid="{00000000-0005-0000-0000-000034030000}"/>
    <cellStyle name="표준 3 9 10" xfId="787" xr:uid="{00000000-0005-0000-0000-000035030000}"/>
    <cellStyle name="표준 3 9 11" xfId="821" xr:uid="{00000000-0005-0000-0000-000036030000}"/>
    <cellStyle name="표준 3 9 12" xfId="893" xr:uid="{00000000-0005-0000-0000-000037030000}"/>
    <cellStyle name="표준 3 9 13" xfId="900" xr:uid="{00000000-0005-0000-0000-000038030000}"/>
    <cellStyle name="표준 3 9 14" xfId="906" xr:uid="{00000000-0005-0000-0000-000039030000}"/>
    <cellStyle name="표준 3 9 15" xfId="912" xr:uid="{00000000-0005-0000-0000-00003A030000}"/>
    <cellStyle name="표준 3 9 16" xfId="917" xr:uid="{00000000-0005-0000-0000-00003B030000}"/>
    <cellStyle name="표준 3 9 17" xfId="969" xr:uid="{00000000-0005-0000-0000-00003C030000}"/>
    <cellStyle name="표준 3 9 18" xfId="991" xr:uid="{00000000-0005-0000-0000-00003D030000}"/>
    <cellStyle name="표준 3 9 19" xfId="994" xr:uid="{00000000-0005-0000-0000-00003E030000}"/>
    <cellStyle name="표준 3 9 2" xfId="611" xr:uid="{00000000-0005-0000-0000-00003F030000}"/>
    <cellStyle name="표준 3 9 20" xfId="997" xr:uid="{00000000-0005-0000-0000-000040030000}"/>
    <cellStyle name="표준 3 9 21" xfId="1026" xr:uid="{00000000-0005-0000-0000-000041030000}"/>
    <cellStyle name="표준 3 9 22" xfId="936" xr:uid="{00000000-0005-0000-0000-000042030000}"/>
    <cellStyle name="표준 3 9 23" xfId="1093" xr:uid="{00000000-0005-0000-0000-000043030000}"/>
    <cellStyle name="표준 3 9 24" xfId="1103" xr:uid="{00000000-0005-0000-0000-000044030000}"/>
    <cellStyle name="표준 3 9 25" xfId="1005" xr:uid="{00000000-0005-0000-0000-000045030000}"/>
    <cellStyle name="표준 3 9 26" xfId="1057" xr:uid="{00000000-0005-0000-0000-000046030000}"/>
    <cellStyle name="표준 3 9 27" xfId="932" xr:uid="{00000000-0005-0000-0000-000047030000}"/>
    <cellStyle name="표준 3 9 28" xfId="1050" xr:uid="{00000000-0005-0000-0000-000048030000}"/>
    <cellStyle name="표준 3 9 29" xfId="1131" xr:uid="{00000000-0005-0000-0000-000049030000}"/>
    <cellStyle name="표준 3 9 3" xfId="627" xr:uid="{00000000-0005-0000-0000-00004A030000}"/>
    <cellStyle name="표준 3 9 30" xfId="1182" xr:uid="{00000000-0005-0000-0000-00004B030000}"/>
    <cellStyle name="표준 3 9 31" xfId="1181" xr:uid="{00000000-0005-0000-0000-00004C030000}"/>
    <cellStyle name="표준 3 9 32" xfId="1191" xr:uid="{00000000-0005-0000-0000-00004D030000}"/>
    <cellStyle name="표준 3 9 33" xfId="1149" xr:uid="{00000000-0005-0000-0000-00004E030000}"/>
    <cellStyle name="표준 3 9 34" xfId="1161" xr:uid="{00000000-0005-0000-0000-00004F030000}"/>
    <cellStyle name="표준 3 9 4" xfId="690" xr:uid="{00000000-0005-0000-0000-000050030000}"/>
    <cellStyle name="표준 3 9 5" xfId="708" xr:uid="{00000000-0005-0000-0000-000051030000}"/>
    <cellStyle name="표준 3 9 6" xfId="729" xr:uid="{00000000-0005-0000-0000-000052030000}"/>
    <cellStyle name="표준 3 9 7" xfId="745" xr:uid="{00000000-0005-0000-0000-000053030000}"/>
    <cellStyle name="표준 3 9 8" xfId="761" xr:uid="{00000000-0005-0000-0000-000054030000}"/>
    <cellStyle name="표준 3 9 9" xfId="774" xr:uid="{00000000-0005-0000-0000-000055030000}"/>
    <cellStyle name="표준 3 90" xfId="1215" xr:uid="{00000000-0005-0000-0000-000056030000}"/>
    <cellStyle name="표준 3 91" xfId="1265" xr:uid="{00000000-0005-0000-0000-000057030000}"/>
    <cellStyle name="표준 3 92" xfId="1230" xr:uid="{00000000-0005-0000-0000-000058030000}"/>
    <cellStyle name="표준 3 93" xfId="1235" xr:uid="{00000000-0005-0000-0000-000059030000}"/>
    <cellStyle name="표준 3 94" xfId="907" xr:uid="{00000000-0005-0000-0000-00005A030000}"/>
    <cellStyle name="표준 3 95" xfId="1233" xr:uid="{00000000-0005-0000-0000-00005B030000}"/>
    <cellStyle name="표준 3 96" xfId="682" xr:uid="{00000000-0005-0000-0000-00005C030000}"/>
    <cellStyle name="표준 3 97" xfId="1088" xr:uid="{00000000-0005-0000-0000-00005D030000}"/>
    <cellStyle name="표준 3 98" xfId="673" xr:uid="{00000000-0005-0000-0000-00005E030000}"/>
    <cellStyle name="표준 3 99" xfId="1209" xr:uid="{00000000-0005-0000-0000-00005F030000}"/>
    <cellStyle name="표준 4" xfId="7" xr:uid="{00000000-0005-0000-0000-000060030000}"/>
    <cellStyle name="표준 4 10" xfId="129" xr:uid="{00000000-0005-0000-0000-000061030000}"/>
    <cellStyle name="표준 4 10 2" xfId="221" xr:uid="{00000000-0005-0000-0000-000062030000}"/>
    <cellStyle name="표준 4 10 2 2" xfId="511" xr:uid="{00000000-0005-0000-0000-000063030000}"/>
    <cellStyle name="표준 4 10 3" xfId="419" xr:uid="{00000000-0005-0000-0000-000064030000}"/>
    <cellStyle name="표준 4 11" xfId="146" xr:uid="{00000000-0005-0000-0000-000065030000}"/>
    <cellStyle name="표준 4 11 2" xfId="436" xr:uid="{00000000-0005-0000-0000-000066030000}"/>
    <cellStyle name="표준 4 12" xfId="54" xr:uid="{00000000-0005-0000-0000-000067030000}"/>
    <cellStyle name="표준 4 12 2" xfId="344" xr:uid="{00000000-0005-0000-0000-000068030000}"/>
    <cellStyle name="표준 4 13" xfId="237" xr:uid="{00000000-0005-0000-0000-000069030000}"/>
    <cellStyle name="표준 4 13 2" xfId="527" xr:uid="{00000000-0005-0000-0000-00006A030000}"/>
    <cellStyle name="표준 4 14" xfId="252" xr:uid="{00000000-0005-0000-0000-00006B030000}"/>
    <cellStyle name="표준 4 14 2" xfId="542" xr:uid="{00000000-0005-0000-0000-00006C030000}"/>
    <cellStyle name="표준 4 15" xfId="267" xr:uid="{00000000-0005-0000-0000-00006D030000}"/>
    <cellStyle name="표준 4 15 2" xfId="557" xr:uid="{00000000-0005-0000-0000-00006E030000}"/>
    <cellStyle name="표준 4 16" xfId="302" xr:uid="{00000000-0005-0000-0000-00006F030000}"/>
    <cellStyle name="표준 4 2" xfId="22" xr:uid="{00000000-0005-0000-0000-000070030000}"/>
    <cellStyle name="표준 4 3" xfId="18" xr:uid="{00000000-0005-0000-0000-000071030000}"/>
    <cellStyle name="표준 4 3 10" xfId="240" xr:uid="{00000000-0005-0000-0000-000072030000}"/>
    <cellStyle name="표준 4 3 10 2" xfId="530" xr:uid="{00000000-0005-0000-0000-000073030000}"/>
    <cellStyle name="표준 4 3 11" xfId="255" xr:uid="{00000000-0005-0000-0000-000074030000}"/>
    <cellStyle name="표준 4 3 11 2" xfId="545" xr:uid="{00000000-0005-0000-0000-000075030000}"/>
    <cellStyle name="표준 4 3 12" xfId="270" xr:uid="{00000000-0005-0000-0000-000076030000}"/>
    <cellStyle name="표준 4 3 12 2" xfId="560" xr:uid="{00000000-0005-0000-0000-000077030000}"/>
    <cellStyle name="표준 4 3 13" xfId="310" xr:uid="{00000000-0005-0000-0000-000078030000}"/>
    <cellStyle name="표준 4 3 2" xfId="29" xr:uid="{00000000-0005-0000-0000-000079030000}"/>
    <cellStyle name="표준 4 3 2 10" xfId="260" xr:uid="{00000000-0005-0000-0000-00007A030000}"/>
    <cellStyle name="표준 4 3 2 10 2" xfId="550" xr:uid="{00000000-0005-0000-0000-00007B030000}"/>
    <cellStyle name="표준 4 3 2 11" xfId="275" xr:uid="{00000000-0005-0000-0000-00007C030000}"/>
    <cellStyle name="표준 4 3 2 11 2" xfId="565" xr:uid="{00000000-0005-0000-0000-00007D030000}"/>
    <cellStyle name="표준 4 3 2 12" xfId="319" xr:uid="{00000000-0005-0000-0000-00007E030000}"/>
    <cellStyle name="표준 4 3 2 2" xfId="47" xr:uid="{00000000-0005-0000-0000-00007F030000}"/>
    <cellStyle name="표준 4 3 2 2 2" xfId="169" xr:uid="{00000000-0005-0000-0000-000080030000}"/>
    <cellStyle name="표준 4 3 2 2 2 2" xfId="459" xr:uid="{00000000-0005-0000-0000-000081030000}"/>
    <cellStyle name="표준 4 3 2 2 3" xfId="77" xr:uid="{00000000-0005-0000-0000-000082030000}"/>
    <cellStyle name="표준 4 3 2 2 3 2" xfId="367" xr:uid="{00000000-0005-0000-0000-000083030000}"/>
    <cellStyle name="표준 4 3 2 2 4" xfId="290" xr:uid="{00000000-0005-0000-0000-000084030000}"/>
    <cellStyle name="표준 4 3 2 2 4 2" xfId="580" xr:uid="{00000000-0005-0000-0000-000085030000}"/>
    <cellStyle name="표준 4 3 2 2 5" xfId="337" xr:uid="{00000000-0005-0000-0000-000086030000}"/>
    <cellStyle name="표준 4 3 2 3" xfId="92" xr:uid="{00000000-0005-0000-0000-000087030000}"/>
    <cellStyle name="표준 4 3 2 3 2" xfId="184" xr:uid="{00000000-0005-0000-0000-000088030000}"/>
    <cellStyle name="표준 4 3 2 3 2 2" xfId="474" xr:uid="{00000000-0005-0000-0000-000089030000}"/>
    <cellStyle name="표준 4 3 2 3 3" xfId="382" xr:uid="{00000000-0005-0000-0000-00008A030000}"/>
    <cellStyle name="표준 4 3 2 4" xfId="107" xr:uid="{00000000-0005-0000-0000-00008B030000}"/>
    <cellStyle name="표준 4 3 2 4 2" xfId="199" xr:uid="{00000000-0005-0000-0000-00008C030000}"/>
    <cellStyle name="표준 4 3 2 4 2 2" xfId="489" xr:uid="{00000000-0005-0000-0000-00008D030000}"/>
    <cellStyle name="표준 4 3 2 4 3" xfId="397" xr:uid="{00000000-0005-0000-0000-00008E030000}"/>
    <cellStyle name="표준 4 3 2 5" xfId="122" xr:uid="{00000000-0005-0000-0000-00008F030000}"/>
    <cellStyle name="표준 4 3 2 5 2" xfId="214" xr:uid="{00000000-0005-0000-0000-000090030000}"/>
    <cellStyle name="표준 4 3 2 5 2 2" xfId="504" xr:uid="{00000000-0005-0000-0000-000091030000}"/>
    <cellStyle name="표준 4 3 2 5 3" xfId="412" xr:uid="{00000000-0005-0000-0000-000092030000}"/>
    <cellStyle name="표준 4 3 2 6" xfId="137" xr:uid="{00000000-0005-0000-0000-000093030000}"/>
    <cellStyle name="표준 4 3 2 6 2" xfId="229" xr:uid="{00000000-0005-0000-0000-000094030000}"/>
    <cellStyle name="표준 4 3 2 6 2 2" xfId="519" xr:uid="{00000000-0005-0000-0000-000095030000}"/>
    <cellStyle name="표준 4 3 2 6 3" xfId="427" xr:uid="{00000000-0005-0000-0000-000096030000}"/>
    <cellStyle name="표준 4 3 2 7" xfId="154" xr:uid="{00000000-0005-0000-0000-000097030000}"/>
    <cellStyle name="표준 4 3 2 7 2" xfId="444" xr:uid="{00000000-0005-0000-0000-000098030000}"/>
    <cellStyle name="표준 4 3 2 8" xfId="62" xr:uid="{00000000-0005-0000-0000-000099030000}"/>
    <cellStyle name="표준 4 3 2 8 2" xfId="352" xr:uid="{00000000-0005-0000-0000-00009A030000}"/>
    <cellStyle name="표준 4 3 2 9" xfId="245" xr:uid="{00000000-0005-0000-0000-00009B030000}"/>
    <cellStyle name="표준 4 3 2 9 2" xfId="535" xr:uid="{00000000-0005-0000-0000-00009C030000}"/>
    <cellStyle name="표준 4 3 3" xfId="42" xr:uid="{00000000-0005-0000-0000-00009D030000}"/>
    <cellStyle name="표준 4 3 3 2" xfId="164" xr:uid="{00000000-0005-0000-0000-00009E030000}"/>
    <cellStyle name="표준 4 3 3 2 2" xfId="454" xr:uid="{00000000-0005-0000-0000-00009F030000}"/>
    <cellStyle name="표준 4 3 3 3" xfId="72" xr:uid="{00000000-0005-0000-0000-0000A0030000}"/>
    <cellStyle name="표준 4 3 3 3 2" xfId="362" xr:uid="{00000000-0005-0000-0000-0000A1030000}"/>
    <cellStyle name="표준 4 3 3 4" xfId="285" xr:uid="{00000000-0005-0000-0000-0000A2030000}"/>
    <cellStyle name="표준 4 3 3 4 2" xfId="575" xr:uid="{00000000-0005-0000-0000-0000A3030000}"/>
    <cellStyle name="표준 4 3 3 5" xfId="332" xr:uid="{00000000-0005-0000-0000-0000A4030000}"/>
    <cellStyle name="표준 4 3 4" xfId="87" xr:uid="{00000000-0005-0000-0000-0000A5030000}"/>
    <cellStyle name="표준 4 3 4 2" xfId="179" xr:uid="{00000000-0005-0000-0000-0000A6030000}"/>
    <cellStyle name="표준 4 3 4 2 2" xfId="469" xr:uid="{00000000-0005-0000-0000-0000A7030000}"/>
    <cellStyle name="표준 4 3 4 3" xfId="377" xr:uid="{00000000-0005-0000-0000-0000A8030000}"/>
    <cellStyle name="표준 4 3 5" xfId="102" xr:uid="{00000000-0005-0000-0000-0000A9030000}"/>
    <cellStyle name="표준 4 3 5 2" xfId="194" xr:uid="{00000000-0005-0000-0000-0000AA030000}"/>
    <cellStyle name="표준 4 3 5 2 2" xfId="484" xr:uid="{00000000-0005-0000-0000-0000AB030000}"/>
    <cellStyle name="표준 4 3 5 3" xfId="392" xr:uid="{00000000-0005-0000-0000-0000AC030000}"/>
    <cellStyle name="표준 4 3 6" xfId="117" xr:uid="{00000000-0005-0000-0000-0000AD030000}"/>
    <cellStyle name="표준 4 3 6 2" xfId="209" xr:uid="{00000000-0005-0000-0000-0000AE030000}"/>
    <cellStyle name="표준 4 3 6 2 2" xfId="499" xr:uid="{00000000-0005-0000-0000-0000AF030000}"/>
    <cellStyle name="표준 4 3 6 3" xfId="407" xr:uid="{00000000-0005-0000-0000-0000B0030000}"/>
    <cellStyle name="표준 4 3 7" xfId="132" xr:uid="{00000000-0005-0000-0000-0000B1030000}"/>
    <cellStyle name="표준 4 3 7 2" xfId="224" xr:uid="{00000000-0005-0000-0000-0000B2030000}"/>
    <cellStyle name="표준 4 3 7 2 2" xfId="514" xr:uid="{00000000-0005-0000-0000-0000B3030000}"/>
    <cellStyle name="표준 4 3 7 3" xfId="422" xr:uid="{00000000-0005-0000-0000-0000B4030000}"/>
    <cellStyle name="표준 4 3 8" xfId="149" xr:uid="{00000000-0005-0000-0000-0000B5030000}"/>
    <cellStyle name="표준 4 3 8 2" xfId="439" xr:uid="{00000000-0005-0000-0000-0000B6030000}"/>
    <cellStyle name="표준 4 3 9" xfId="57" xr:uid="{00000000-0005-0000-0000-0000B7030000}"/>
    <cellStyle name="표준 4 3 9 2" xfId="347" xr:uid="{00000000-0005-0000-0000-0000B8030000}"/>
    <cellStyle name="표준 4 4" xfId="12" xr:uid="{00000000-0005-0000-0000-0000B9030000}"/>
    <cellStyle name="표준 4 5" xfId="33" xr:uid="{00000000-0005-0000-0000-0000BA030000}"/>
    <cellStyle name="표준 4 5 10" xfId="263" xr:uid="{00000000-0005-0000-0000-0000BB030000}"/>
    <cellStyle name="표준 4 5 10 2" xfId="553" xr:uid="{00000000-0005-0000-0000-0000BC030000}"/>
    <cellStyle name="표준 4 5 11" xfId="278" xr:uid="{00000000-0005-0000-0000-0000BD030000}"/>
    <cellStyle name="표준 4 5 11 2" xfId="568" xr:uid="{00000000-0005-0000-0000-0000BE030000}"/>
    <cellStyle name="표준 4 5 12" xfId="323" xr:uid="{00000000-0005-0000-0000-0000BF030000}"/>
    <cellStyle name="표준 4 5 2" xfId="50" xr:uid="{00000000-0005-0000-0000-0000C0030000}"/>
    <cellStyle name="표준 4 5 2 2" xfId="172" xr:uid="{00000000-0005-0000-0000-0000C1030000}"/>
    <cellStyle name="표준 4 5 2 2 2" xfId="462" xr:uid="{00000000-0005-0000-0000-0000C2030000}"/>
    <cellStyle name="표준 4 5 2 3" xfId="80" xr:uid="{00000000-0005-0000-0000-0000C3030000}"/>
    <cellStyle name="표준 4 5 2 3 2" xfId="370" xr:uid="{00000000-0005-0000-0000-0000C4030000}"/>
    <cellStyle name="표준 4 5 2 4" xfId="293" xr:uid="{00000000-0005-0000-0000-0000C5030000}"/>
    <cellStyle name="표준 4 5 2 4 2" xfId="583" xr:uid="{00000000-0005-0000-0000-0000C6030000}"/>
    <cellStyle name="표준 4 5 2 5" xfId="340" xr:uid="{00000000-0005-0000-0000-0000C7030000}"/>
    <cellStyle name="표준 4 5 3" xfId="95" xr:uid="{00000000-0005-0000-0000-0000C8030000}"/>
    <cellStyle name="표준 4 5 3 2" xfId="187" xr:uid="{00000000-0005-0000-0000-0000C9030000}"/>
    <cellStyle name="표준 4 5 3 2 2" xfId="477" xr:uid="{00000000-0005-0000-0000-0000CA030000}"/>
    <cellStyle name="표준 4 5 3 3" xfId="385" xr:uid="{00000000-0005-0000-0000-0000CB030000}"/>
    <cellStyle name="표준 4 5 4" xfId="110" xr:uid="{00000000-0005-0000-0000-0000CC030000}"/>
    <cellStyle name="표준 4 5 4 2" xfId="202" xr:uid="{00000000-0005-0000-0000-0000CD030000}"/>
    <cellStyle name="표준 4 5 4 2 2" xfId="492" xr:uid="{00000000-0005-0000-0000-0000CE030000}"/>
    <cellStyle name="표준 4 5 4 3" xfId="400" xr:uid="{00000000-0005-0000-0000-0000CF030000}"/>
    <cellStyle name="표준 4 5 5" xfId="125" xr:uid="{00000000-0005-0000-0000-0000D0030000}"/>
    <cellStyle name="표준 4 5 5 2" xfId="217" xr:uid="{00000000-0005-0000-0000-0000D1030000}"/>
    <cellStyle name="표준 4 5 5 2 2" xfId="507" xr:uid="{00000000-0005-0000-0000-0000D2030000}"/>
    <cellStyle name="표준 4 5 5 3" xfId="415" xr:uid="{00000000-0005-0000-0000-0000D3030000}"/>
    <cellStyle name="표준 4 5 6" xfId="140" xr:uid="{00000000-0005-0000-0000-0000D4030000}"/>
    <cellStyle name="표준 4 5 6 2" xfId="232" xr:uid="{00000000-0005-0000-0000-0000D5030000}"/>
    <cellStyle name="표준 4 5 6 2 2" xfId="522" xr:uid="{00000000-0005-0000-0000-0000D6030000}"/>
    <cellStyle name="표준 4 5 6 3" xfId="430" xr:uid="{00000000-0005-0000-0000-0000D7030000}"/>
    <cellStyle name="표준 4 5 7" xfId="157" xr:uid="{00000000-0005-0000-0000-0000D8030000}"/>
    <cellStyle name="표준 4 5 7 2" xfId="447" xr:uid="{00000000-0005-0000-0000-0000D9030000}"/>
    <cellStyle name="표준 4 5 8" xfId="65" xr:uid="{00000000-0005-0000-0000-0000DA030000}"/>
    <cellStyle name="표준 4 5 8 2" xfId="355" xr:uid="{00000000-0005-0000-0000-0000DB030000}"/>
    <cellStyle name="표준 4 5 9" xfId="248" xr:uid="{00000000-0005-0000-0000-0000DC030000}"/>
    <cellStyle name="표준 4 5 9 2" xfId="538" xr:uid="{00000000-0005-0000-0000-0000DD030000}"/>
    <cellStyle name="표준 4 6" xfId="39" xr:uid="{00000000-0005-0000-0000-0000DE030000}"/>
    <cellStyle name="표준 4 6 2" xfId="161" xr:uid="{00000000-0005-0000-0000-0000DF030000}"/>
    <cellStyle name="표준 4 6 2 2" xfId="451" xr:uid="{00000000-0005-0000-0000-0000E0030000}"/>
    <cellStyle name="표준 4 6 3" xfId="69" xr:uid="{00000000-0005-0000-0000-0000E1030000}"/>
    <cellStyle name="표준 4 6 3 2" xfId="359" xr:uid="{00000000-0005-0000-0000-0000E2030000}"/>
    <cellStyle name="표준 4 6 4" xfId="282" xr:uid="{00000000-0005-0000-0000-0000E3030000}"/>
    <cellStyle name="표준 4 6 4 2" xfId="572" xr:uid="{00000000-0005-0000-0000-0000E4030000}"/>
    <cellStyle name="표준 4 6 5" xfId="329" xr:uid="{00000000-0005-0000-0000-0000E5030000}"/>
    <cellStyle name="표준 4 7" xfId="84" xr:uid="{00000000-0005-0000-0000-0000E6030000}"/>
    <cellStyle name="표준 4 7 2" xfId="176" xr:uid="{00000000-0005-0000-0000-0000E7030000}"/>
    <cellStyle name="표준 4 7 2 2" xfId="466" xr:uid="{00000000-0005-0000-0000-0000E8030000}"/>
    <cellStyle name="표준 4 7 3" xfId="374" xr:uid="{00000000-0005-0000-0000-0000E9030000}"/>
    <cellStyle name="표준 4 8" xfId="99" xr:uid="{00000000-0005-0000-0000-0000EA030000}"/>
    <cellStyle name="표준 4 8 2" xfId="191" xr:uid="{00000000-0005-0000-0000-0000EB030000}"/>
    <cellStyle name="표준 4 8 2 2" xfId="481" xr:uid="{00000000-0005-0000-0000-0000EC030000}"/>
    <cellStyle name="표준 4 8 3" xfId="389" xr:uid="{00000000-0005-0000-0000-0000ED030000}"/>
    <cellStyle name="표준 4 9" xfId="114" xr:uid="{00000000-0005-0000-0000-0000EE030000}"/>
    <cellStyle name="표준 4 9 2" xfId="206" xr:uid="{00000000-0005-0000-0000-0000EF030000}"/>
    <cellStyle name="표준 4 9 2 2" xfId="496" xr:uid="{00000000-0005-0000-0000-0000F0030000}"/>
    <cellStyle name="표준 4 9 3" xfId="404" xr:uid="{00000000-0005-0000-0000-0000F1030000}"/>
    <cellStyle name="표준 5" xfId="10" xr:uid="{00000000-0005-0000-0000-0000F2030000}"/>
    <cellStyle name="표준 5 2" xfId="21" xr:uid="{00000000-0005-0000-0000-0000F3030000}"/>
    <cellStyle name="표준 5 2 2" xfId="32" xr:uid="{00000000-0005-0000-0000-0000F4030000}"/>
    <cellStyle name="표준 5 2 2 2" xfId="322" xr:uid="{00000000-0005-0000-0000-0000F5030000}"/>
    <cellStyle name="표준 5 2 3" xfId="313" xr:uid="{00000000-0005-0000-0000-0000F6030000}"/>
    <cellStyle name="표준 5 3" xfId="19" xr:uid="{00000000-0005-0000-0000-0000F7030000}"/>
    <cellStyle name="표준 5 3 10" xfId="241" xr:uid="{00000000-0005-0000-0000-0000F8030000}"/>
    <cellStyle name="표준 5 3 10 2" xfId="531" xr:uid="{00000000-0005-0000-0000-0000F9030000}"/>
    <cellStyle name="표준 5 3 11" xfId="256" xr:uid="{00000000-0005-0000-0000-0000FA030000}"/>
    <cellStyle name="표준 5 3 11 2" xfId="546" xr:uid="{00000000-0005-0000-0000-0000FB030000}"/>
    <cellStyle name="표준 5 3 12" xfId="271" xr:uid="{00000000-0005-0000-0000-0000FC030000}"/>
    <cellStyle name="표준 5 3 12 2" xfId="561" xr:uid="{00000000-0005-0000-0000-0000FD030000}"/>
    <cellStyle name="표준 5 3 13" xfId="311" xr:uid="{00000000-0005-0000-0000-0000FE030000}"/>
    <cellStyle name="표준 5 3 2" xfId="30" xr:uid="{00000000-0005-0000-0000-0000FF030000}"/>
    <cellStyle name="표준 5 3 2 10" xfId="261" xr:uid="{00000000-0005-0000-0000-000000040000}"/>
    <cellStyle name="표준 5 3 2 10 2" xfId="551" xr:uid="{00000000-0005-0000-0000-000001040000}"/>
    <cellStyle name="표준 5 3 2 11" xfId="276" xr:uid="{00000000-0005-0000-0000-000002040000}"/>
    <cellStyle name="표준 5 3 2 11 2" xfId="566" xr:uid="{00000000-0005-0000-0000-000003040000}"/>
    <cellStyle name="표준 5 3 2 12" xfId="320" xr:uid="{00000000-0005-0000-0000-000004040000}"/>
    <cellStyle name="표준 5 3 2 2" xfId="48" xr:uid="{00000000-0005-0000-0000-000005040000}"/>
    <cellStyle name="표준 5 3 2 2 2" xfId="170" xr:uid="{00000000-0005-0000-0000-000006040000}"/>
    <cellStyle name="표준 5 3 2 2 2 2" xfId="460" xr:uid="{00000000-0005-0000-0000-000007040000}"/>
    <cellStyle name="표준 5 3 2 2 3" xfId="78" xr:uid="{00000000-0005-0000-0000-000008040000}"/>
    <cellStyle name="표준 5 3 2 2 3 2" xfId="368" xr:uid="{00000000-0005-0000-0000-000009040000}"/>
    <cellStyle name="표준 5 3 2 2 4" xfId="291" xr:uid="{00000000-0005-0000-0000-00000A040000}"/>
    <cellStyle name="표준 5 3 2 2 4 2" xfId="581" xr:uid="{00000000-0005-0000-0000-00000B040000}"/>
    <cellStyle name="표준 5 3 2 2 5" xfId="338" xr:uid="{00000000-0005-0000-0000-00000C040000}"/>
    <cellStyle name="표준 5 3 2 3" xfId="93" xr:uid="{00000000-0005-0000-0000-00000D040000}"/>
    <cellStyle name="표준 5 3 2 3 2" xfId="185" xr:uid="{00000000-0005-0000-0000-00000E040000}"/>
    <cellStyle name="표준 5 3 2 3 2 2" xfId="475" xr:uid="{00000000-0005-0000-0000-00000F040000}"/>
    <cellStyle name="표준 5 3 2 3 3" xfId="383" xr:uid="{00000000-0005-0000-0000-000010040000}"/>
    <cellStyle name="표준 5 3 2 4" xfId="108" xr:uid="{00000000-0005-0000-0000-000011040000}"/>
    <cellStyle name="표준 5 3 2 4 2" xfId="200" xr:uid="{00000000-0005-0000-0000-000012040000}"/>
    <cellStyle name="표준 5 3 2 4 2 2" xfId="490" xr:uid="{00000000-0005-0000-0000-000013040000}"/>
    <cellStyle name="표준 5 3 2 4 3" xfId="398" xr:uid="{00000000-0005-0000-0000-000014040000}"/>
    <cellStyle name="표준 5 3 2 5" xfId="123" xr:uid="{00000000-0005-0000-0000-000015040000}"/>
    <cellStyle name="표준 5 3 2 5 2" xfId="215" xr:uid="{00000000-0005-0000-0000-000016040000}"/>
    <cellStyle name="표준 5 3 2 5 2 2" xfId="505" xr:uid="{00000000-0005-0000-0000-000017040000}"/>
    <cellStyle name="표준 5 3 2 5 3" xfId="413" xr:uid="{00000000-0005-0000-0000-000018040000}"/>
    <cellStyle name="표준 5 3 2 6" xfId="138" xr:uid="{00000000-0005-0000-0000-000019040000}"/>
    <cellStyle name="표준 5 3 2 6 2" xfId="230" xr:uid="{00000000-0005-0000-0000-00001A040000}"/>
    <cellStyle name="표준 5 3 2 6 2 2" xfId="520" xr:uid="{00000000-0005-0000-0000-00001B040000}"/>
    <cellStyle name="표준 5 3 2 6 3" xfId="428" xr:uid="{00000000-0005-0000-0000-00001C040000}"/>
    <cellStyle name="표준 5 3 2 7" xfId="155" xr:uid="{00000000-0005-0000-0000-00001D040000}"/>
    <cellStyle name="표준 5 3 2 7 2" xfId="445" xr:uid="{00000000-0005-0000-0000-00001E040000}"/>
    <cellStyle name="표준 5 3 2 8" xfId="63" xr:uid="{00000000-0005-0000-0000-00001F040000}"/>
    <cellStyle name="표준 5 3 2 8 2" xfId="353" xr:uid="{00000000-0005-0000-0000-000020040000}"/>
    <cellStyle name="표준 5 3 2 9" xfId="246" xr:uid="{00000000-0005-0000-0000-000021040000}"/>
    <cellStyle name="표준 5 3 2 9 2" xfId="536" xr:uid="{00000000-0005-0000-0000-000022040000}"/>
    <cellStyle name="표준 5 3 3" xfId="43" xr:uid="{00000000-0005-0000-0000-000023040000}"/>
    <cellStyle name="표준 5 3 3 2" xfId="165" xr:uid="{00000000-0005-0000-0000-000024040000}"/>
    <cellStyle name="표준 5 3 3 2 2" xfId="455" xr:uid="{00000000-0005-0000-0000-000025040000}"/>
    <cellStyle name="표준 5 3 3 3" xfId="73" xr:uid="{00000000-0005-0000-0000-000026040000}"/>
    <cellStyle name="표준 5 3 3 3 2" xfId="363" xr:uid="{00000000-0005-0000-0000-000027040000}"/>
    <cellStyle name="표준 5 3 3 4" xfId="286" xr:uid="{00000000-0005-0000-0000-000028040000}"/>
    <cellStyle name="표준 5 3 3 4 2" xfId="576" xr:uid="{00000000-0005-0000-0000-000029040000}"/>
    <cellStyle name="표준 5 3 3 5" xfId="333" xr:uid="{00000000-0005-0000-0000-00002A040000}"/>
    <cellStyle name="표준 5 3 4" xfId="88" xr:uid="{00000000-0005-0000-0000-00002B040000}"/>
    <cellStyle name="표준 5 3 4 2" xfId="180" xr:uid="{00000000-0005-0000-0000-00002C040000}"/>
    <cellStyle name="표준 5 3 4 2 2" xfId="470" xr:uid="{00000000-0005-0000-0000-00002D040000}"/>
    <cellStyle name="표준 5 3 4 3" xfId="378" xr:uid="{00000000-0005-0000-0000-00002E040000}"/>
    <cellStyle name="표준 5 3 5" xfId="103" xr:uid="{00000000-0005-0000-0000-00002F040000}"/>
    <cellStyle name="표준 5 3 5 2" xfId="195" xr:uid="{00000000-0005-0000-0000-000030040000}"/>
    <cellStyle name="표준 5 3 5 2 2" xfId="485" xr:uid="{00000000-0005-0000-0000-000031040000}"/>
    <cellStyle name="표준 5 3 5 3" xfId="393" xr:uid="{00000000-0005-0000-0000-000032040000}"/>
    <cellStyle name="표준 5 3 6" xfId="118" xr:uid="{00000000-0005-0000-0000-000033040000}"/>
    <cellStyle name="표준 5 3 6 2" xfId="210" xr:uid="{00000000-0005-0000-0000-000034040000}"/>
    <cellStyle name="표준 5 3 6 2 2" xfId="500" xr:uid="{00000000-0005-0000-0000-000035040000}"/>
    <cellStyle name="표준 5 3 6 3" xfId="408" xr:uid="{00000000-0005-0000-0000-000036040000}"/>
    <cellStyle name="표준 5 3 7" xfId="133" xr:uid="{00000000-0005-0000-0000-000037040000}"/>
    <cellStyle name="표준 5 3 7 2" xfId="225" xr:uid="{00000000-0005-0000-0000-000038040000}"/>
    <cellStyle name="표준 5 3 7 2 2" xfId="515" xr:uid="{00000000-0005-0000-0000-000039040000}"/>
    <cellStyle name="표준 5 3 7 3" xfId="423" xr:uid="{00000000-0005-0000-0000-00003A040000}"/>
    <cellStyle name="표준 5 3 8" xfId="150" xr:uid="{00000000-0005-0000-0000-00003B040000}"/>
    <cellStyle name="표준 5 3 8 2" xfId="440" xr:uid="{00000000-0005-0000-0000-00003C040000}"/>
    <cellStyle name="표준 5 3 9" xfId="58" xr:uid="{00000000-0005-0000-0000-00003D040000}"/>
    <cellStyle name="표준 5 3 9 2" xfId="348" xr:uid="{00000000-0005-0000-0000-00003E040000}"/>
    <cellStyle name="표준 5 4" xfId="26" xr:uid="{00000000-0005-0000-0000-00003F040000}"/>
    <cellStyle name="표준 5 4 2" xfId="316" xr:uid="{00000000-0005-0000-0000-000040040000}"/>
    <cellStyle name="표준 5 5" xfId="305" xr:uid="{00000000-0005-0000-0000-000041040000}"/>
    <cellStyle name="표준 6" xfId="20" xr:uid="{00000000-0005-0000-0000-000042040000}"/>
    <cellStyle name="표준 6 10" xfId="242" xr:uid="{00000000-0005-0000-0000-000043040000}"/>
    <cellStyle name="표준 6 10 2" xfId="532" xr:uid="{00000000-0005-0000-0000-000044040000}"/>
    <cellStyle name="표준 6 11" xfId="257" xr:uid="{00000000-0005-0000-0000-000045040000}"/>
    <cellStyle name="표준 6 11 2" xfId="547" xr:uid="{00000000-0005-0000-0000-000046040000}"/>
    <cellStyle name="표준 6 12" xfId="272" xr:uid="{00000000-0005-0000-0000-000047040000}"/>
    <cellStyle name="표준 6 12 2" xfId="562" xr:uid="{00000000-0005-0000-0000-000048040000}"/>
    <cellStyle name="표준 6 13" xfId="312" xr:uid="{00000000-0005-0000-0000-000049040000}"/>
    <cellStyle name="표준 6 2" xfId="31" xr:uid="{00000000-0005-0000-0000-00004A040000}"/>
    <cellStyle name="표준 6 2 10" xfId="262" xr:uid="{00000000-0005-0000-0000-00004B040000}"/>
    <cellStyle name="표준 6 2 10 2" xfId="552" xr:uid="{00000000-0005-0000-0000-00004C040000}"/>
    <cellStyle name="표준 6 2 11" xfId="277" xr:uid="{00000000-0005-0000-0000-00004D040000}"/>
    <cellStyle name="표준 6 2 11 2" xfId="567" xr:uid="{00000000-0005-0000-0000-00004E040000}"/>
    <cellStyle name="표준 6 2 12" xfId="321" xr:uid="{00000000-0005-0000-0000-00004F040000}"/>
    <cellStyle name="표준 6 2 2" xfId="49" xr:uid="{00000000-0005-0000-0000-000050040000}"/>
    <cellStyle name="표준 6 2 2 2" xfId="171" xr:uid="{00000000-0005-0000-0000-000051040000}"/>
    <cellStyle name="표준 6 2 2 2 2" xfId="461" xr:uid="{00000000-0005-0000-0000-000052040000}"/>
    <cellStyle name="표준 6 2 2 3" xfId="79" xr:uid="{00000000-0005-0000-0000-000053040000}"/>
    <cellStyle name="표준 6 2 2 3 2" xfId="369" xr:uid="{00000000-0005-0000-0000-000054040000}"/>
    <cellStyle name="표준 6 2 2 4" xfId="292" xr:uid="{00000000-0005-0000-0000-000055040000}"/>
    <cellStyle name="표준 6 2 2 4 2" xfId="582" xr:uid="{00000000-0005-0000-0000-000056040000}"/>
    <cellStyle name="표준 6 2 2 5" xfId="339" xr:uid="{00000000-0005-0000-0000-000057040000}"/>
    <cellStyle name="표준 6 2 3" xfId="94" xr:uid="{00000000-0005-0000-0000-000058040000}"/>
    <cellStyle name="표준 6 2 3 2" xfId="186" xr:uid="{00000000-0005-0000-0000-000059040000}"/>
    <cellStyle name="표준 6 2 3 2 2" xfId="476" xr:uid="{00000000-0005-0000-0000-00005A040000}"/>
    <cellStyle name="표준 6 2 3 3" xfId="384" xr:uid="{00000000-0005-0000-0000-00005B040000}"/>
    <cellStyle name="표준 6 2 4" xfId="109" xr:uid="{00000000-0005-0000-0000-00005C040000}"/>
    <cellStyle name="표준 6 2 4 2" xfId="201" xr:uid="{00000000-0005-0000-0000-00005D040000}"/>
    <cellStyle name="표준 6 2 4 2 2" xfId="491" xr:uid="{00000000-0005-0000-0000-00005E040000}"/>
    <cellStyle name="표준 6 2 4 3" xfId="399" xr:uid="{00000000-0005-0000-0000-00005F040000}"/>
    <cellStyle name="표준 6 2 5" xfId="124" xr:uid="{00000000-0005-0000-0000-000060040000}"/>
    <cellStyle name="표준 6 2 5 2" xfId="216" xr:uid="{00000000-0005-0000-0000-000061040000}"/>
    <cellStyle name="표준 6 2 5 2 2" xfId="506" xr:uid="{00000000-0005-0000-0000-000062040000}"/>
    <cellStyle name="표준 6 2 5 3" xfId="414" xr:uid="{00000000-0005-0000-0000-000063040000}"/>
    <cellStyle name="표준 6 2 6" xfId="139" xr:uid="{00000000-0005-0000-0000-000064040000}"/>
    <cellStyle name="표준 6 2 6 2" xfId="231" xr:uid="{00000000-0005-0000-0000-000065040000}"/>
    <cellStyle name="표준 6 2 6 2 2" xfId="521" xr:uid="{00000000-0005-0000-0000-000066040000}"/>
    <cellStyle name="표준 6 2 6 3" xfId="429" xr:uid="{00000000-0005-0000-0000-000067040000}"/>
    <cellStyle name="표준 6 2 7" xfId="156" xr:uid="{00000000-0005-0000-0000-000068040000}"/>
    <cellStyle name="표준 6 2 7 2" xfId="446" xr:uid="{00000000-0005-0000-0000-000069040000}"/>
    <cellStyle name="표준 6 2 8" xfId="64" xr:uid="{00000000-0005-0000-0000-00006A040000}"/>
    <cellStyle name="표준 6 2 8 2" xfId="354" xr:uid="{00000000-0005-0000-0000-00006B040000}"/>
    <cellStyle name="표준 6 2 9" xfId="247" xr:uid="{00000000-0005-0000-0000-00006C040000}"/>
    <cellStyle name="표준 6 2 9 2" xfId="537" xr:uid="{00000000-0005-0000-0000-00006D040000}"/>
    <cellStyle name="표준 6 3" xfId="44" xr:uid="{00000000-0005-0000-0000-00006E040000}"/>
    <cellStyle name="표준 6 3 2" xfId="166" xr:uid="{00000000-0005-0000-0000-00006F040000}"/>
    <cellStyle name="표준 6 3 2 2" xfId="456" xr:uid="{00000000-0005-0000-0000-000070040000}"/>
    <cellStyle name="표준 6 3 3" xfId="74" xr:uid="{00000000-0005-0000-0000-000071040000}"/>
    <cellStyle name="표준 6 3 3 2" xfId="364" xr:uid="{00000000-0005-0000-0000-000072040000}"/>
    <cellStyle name="표준 6 3 4" xfId="287" xr:uid="{00000000-0005-0000-0000-000073040000}"/>
    <cellStyle name="표준 6 3 4 2" xfId="577" xr:uid="{00000000-0005-0000-0000-000074040000}"/>
    <cellStyle name="표준 6 3 5" xfId="334" xr:uid="{00000000-0005-0000-0000-000075040000}"/>
    <cellStyle name="표준 6 4" xfId="89" xr:uid="{00000000-0005-0000-0000-000076040000}"/>
    <cellStyle name="표준 6 4 2" xfId="181" xr:uid="{00000000-0005-0000-0000-000077040000}"/>
    <cellStyle name="표준 6 4 2 2" xfId="471" xr:uid="{00000000-0005-0000-0000-000078040000}"/>
    <cellStyle name="표준 6 4 3" xfId="379" xr:uid="{00000000-0005-0000-0000-000079040000}"/>
    <cellStyle name="표준 6 5" xfId="104" xr:uid="{00000000-0005-0000-0000-00007A040000}"/>
    <cellStyle name="표준 6 5 2" xfId="196" xr:uid="{00000000-0005-0000-0000-00007B040000}"/>
    <cellStyle name="표준 6 5 2 2" xfId="486" xr:uid="{00000000-0005-0000-0000-00007C040000}"/>
    <cellStyle name="표준 6 5 3" xfId="394" xr:uid="{00000000-0005-0000-0000-00007D040000}"/>
    <cellStyle name="표준 6 6" xfId="119" xr:uid="{00000000-0005-0000-0000-00007E040000}"/>
    <cellStyle name="표준 6 6 2" xfId="211" xr:uid="{00000000-0005-0000-0000-00007F040000}"/>
    <cellStyle name="표준 6 6 2 2" xfId="501" xr:uid="{00000000-0005-0000-0000-000080040000}"/>
    <cellStyle name="표준 6 6 3" xfId="409" xr:uid="{00000000-0005-0000-0000-000081040000}"/>
    <cellStyle name="표준 6 7" xfId="134" xr:uid="{00000000-0005-0000-0000-000082040000}"/>
    <cellStyle name="표준 6 7 2" xfId="226" xr:uid="{00000000-0005-0000-0000-000083040000}"/>
    <cellStyle name="표준 6 7 2 2" xfId="516" xr:uid="{00000000-0005-0000-0000-000084040000}"/>
    <cellStyle name="표준 6 7 3" xfId="424" xr:uid="{00000000-0005-0000-0000-000085040000}"/>
    <cellStyle name="표준 6 8" xfId="151" xr:uid="{00000000-0005-0000-0000-000086040000}"/>
    <cellStyle name="표준 6 8 2" xfId="441" xr:uid="{00000000-0005-0000-0000-000087040000}"/>
    <cellStyle name="표준 6 9" xfId="59" xr:uid="{00000000-0005-0000-0000-000088040000}"/>
    <cellStyle name="표준 6 9 2" xfId="349" xr:uid="{00000000-0005-0000-0000-000089040000}"/>
    <cellStyle name="표준 7" xfId="13" xr:uid="{00000000-0005-0000-0000-00008A040000}"/>
    <cellStyle name="표준 7 10" xfId="238" xr:uid="{00000000-0005-0000-0000-00008B040000}"/>
    <cellStyle name="표준 7 10 2" xfId="528" xr:uid="{00000000-0005-0000-0000-00008C040000}"/>
    <cellStyle name="표준 7 11" xfId="253" xr:uid="{00000000-0005-0000-0000-00008D040000}"/>
    <cellStyle name="표준 7 11 2" xfId="543" xr:uid="{00000000-0005-0000-0000-00008E040000}"/>
    <cellStyle name="표준 7 12" xfId="268" xr:uid="{00000000-0005-0000-0000-00008F040000}"/>
    <cellStyle name="표준 7 12 2" xfId="558" xr:uid="{00000000-0005-0000-0000-000090040000}"/>
    <cellStyle name="표준 7 13" xfId="307" xr:uid="{00000000-0005-0000-0000-000091040000}"/>
    <cellStyle name="표준 7 2" xfId="35" xr:uid="{00000000-0005-0000-0000-000092040000}"/>
    <cellStyle name="표준 7 2 10" xfId="264" xr:uid="{00000000-0005-0000-0000-000093040000}"/>
    <cellStyle name="표준 7 2 10 2" xfId="554" xr:uid="{00000000-0005-0000-0000-000094040000}"/>
    <cellStyle name="표준 7 2 11" xfId="279" xr:uid="{00000000-0005-0000-0000-000095040000}"/>
    <cellStyle name="표준 7 2 11 2" xfId="569" xr:uid="{00000000-0005-0000-0000-000096040000}"/>
    <cellStyle name="표준 7 2 12" xfId="325" xr:uid="{00000000-0005-0000-0000-000097040000}"/>
    <cellStyle name="표준 7 2 2" xfId="51" xr:uid="{00000000-0005-0000-0000-000098040000}"/>
    <cellStyle name="표준 7 2 2 2" xfId="173" xr:uid="{00000000-0005-0000-0000-000099040000}"/>
    <cellStyle name="표준 7 2 2 2 2" xfId="463" xr:uid="{00000000-0005-0000-0000-00009A040000}"/>
    <cellStyle name="표준 7 2 2 3" xfId="81" xr:uid="{00000000-0005-0000-0000-00009B040000}"/>
    <cellStyle name="표준 7 2 2 3 2" xfId="371" xr:uid="{00000000-0005-0000-0000-00009C040000}"/>
    <cellStyle name="표준 7 2 2 4" xfId="294" xr:uid="{00000000-0005-0000-0000-00009D040000}"/>
    <cellStyle name="표준 7 2 2 4 2" xfId="584" xr:uid="{00000000-0005-0000-0000-00009E040000}"/>
    <cellStyle name="표준 7 2 2 5" xfId="341" xr:uid="{00000000-0005-0000-0000-00009F040000}"/>
    <cellStyle name="표준 7 2 3" xfId="96" xr:uid="{00000000-0005-0000-0000-0000A0040000}"/>
    <cellStyle name="표준 7 2 3 2" xfId="188" xr:uid="{00000000-0005-0000-0000-0000A1040000}"/>
    <cellStyle name="표준 7 2 3 2 2" xfId="478" xr:uid="{00000000-0005-0000-0000-0000A2040000}"/>
    <cellStyle name="표준 7 2 3 3" xfId="386" xr:uid="{00000000-0005-0000-0000-0000A3040000}"/>
    <cellStyle name="표준 7 2 4" xfId="111" xr:uid="{00000000-0005-0000-0000-0000A4040000}"/>
    <cellStyle name="표준 7 2 4 2" xfId="203" xr:uid="{00000000-0005-0000-0000-0000A5040000}"/>
    <cellStyle name="표준 7 2 4 2 2" xfId="493" xr:uid="{00000000-0005-0000-0000-0000A6040000}"/>
    <cellStyle name="표준 7 2 4 3" xfId="401" xr:uid="{00000000-0005-0000-0000-0000A7040000}"/>
    <cellStyle name="표준 7 2 5" xfId="126" xr:uid="{00000000-0005-0000-0000-0000A8040000}"/>
    <cellStyle name="표준 7 2 5 2" xfId="218" xr:uid="{00000000-0005-0000-0000-0000A9040000}"/>
    <cellStyle name="표준 7 2 5 2 2" xfId="508" xr:uid="{00000000-0005-0000-0000-0000AA040000}"/>
    <cellStyle name="표준 7 2 5 3" xfId="416" xr:uid="{00000000-0005-0000-0000-0000AB040000}"/>
    <cellStyle name="표준 7 2 6" xfId="141" xr:uid="{00000000-0005-0000-0000-0000AC040000}"/>
    <cellStyle name="표준 7 2 6 2" xfId="233" xr:uid="{00000000-0005-0000-0000-0000AD040000}"/>
    <cellStyle name="표준 7 2 6 2 2" xfId="523" xr:uid="{00000000-0005-0000-0000-0000AE040000}"/>
    <cellStyle name="표준 7 2 6 3" xfId="431" xr:uid="{00000000-0005-0000-0000-0000AF040000}"/>
    <cellStyle name="표준 7 2 7" xfId="158" xr:uid="{00000000-0005-0000-0000-0000B0040000}"/>
    <cellStyle name="표준 7 2 7 2" xfId="448" xr:uid="{00000000-0005-0000-0000-0000B1040000}"/>
    <cellStyle name="표준 7 2 8" xfId="66" xr:uid="{00000000-0005-0000-0000-0000B2040000}"/>
    <cellStyle name="표준 7 2 8 2" xfId="356" xr:uid="{00000000-0005-0000-0000-0000B3040000}"/>
    <cellStyle name="표준 7 2 9" xfId="249" xr:uid="{00000000-0005-0000-0000-0000B4040000}"/>
    <cellStyle name="표준 7 2 9 2" xfId="539" xr:uid="{00000000-0005-0000-0000-0000B5040000}"/>
    <cellStyle name="표준 7 3" xfId="40" xr:uid="{00000000-0005-0000-0000-0000B6040000}"/>
    <cellStyle name="표준 7 3 2" xfId="162" xr:uid="{00000000-0005-0000-0000-0000B7040000}"/>
    <cellStyle name="표준 7 3 2 2" xfId="452" xr:uid="{00000000-0005-0000-0000-0000B8040000}"/>
    <cellStyle name="표준 7 3 3" xfId="70" xr:uid="{00000000-0005-0000-0000-0000B9040000}"/>
    <cellStyle name="표준 7 3 3 2" xfId="360" xr:uid="{00000000-0005-0000-0000-0000BA040000}"/>
    <cellStyle name="표준 7 3 4" xfId="283" xr:uid="{00000000-0005-0000-0000-0000BB040000}"/>
    <cellStyle name="표준 7 3 4 2" xfId="573" xr:uid="{00000000-0005-0000-0000-0000BC040000}"/>
    <cellStyle name="표준 7 3 5" xfId="330" xr:uid="{00000000-0005-0000-0000-0000BD040000}"/>
    <cellStyle name="표준 7 4" xfId="85" xr:uid="{00000000-0005-0000-0000-0000BE040000}"/>
    <cellStyle name="표준 7 4 2" xfId="177" xr:uid="{00000000-0005-0000-0000-0000BF040000}"/>
    <cellStyle name="표준 7 4 2 2" xfId="467" xr:uid="{00000000-0005-0000-0000-0000C0040000}"/>
    <cellStyle name="표준 7 4 3" xfId="375" xr:uid="{00000000-0005-0000-0000-0000C1040000}"/>
    <cellStyle name="표준 7 5" xfId="100" xr:uid="{00000000-0005-0000-0000-0000C2040000}"/>
    <cellStyle name="표준 7 5 2" xfId="192" xr:uid="{00000000-0005-0000-0000-0000C3040000}"/>
    <cellStyle name="표준 7 5 2 2" xfId="482" xr:uid="{00000000-0005-0000-0000-0000C4040000}"/>
    <cellStyle name="표준 7 5 3" xfId="390" xr:uid="{00000000-0005-0000-0000-0000C5040000}"/>
    <cellStyle name="표준 7 6" xfId="115" xr:uid="{00000000-0005-0000-0000-0000C6040000}"/>
    <cellStyle name="표준 7 6 2" xfId="207" xr:uid="{00000000-0005-0000-0000-0000C7040000}"/>
    <cellStyle name="표준 7 6 2 2" xfId="497" xr:uid="{00000000-0005-0000-0000-0000C8040000}"/>
    <cellStyle name="표준 7 6 3" xfId="405" xr:uid="{00000000-0005-0000-0000-0000C9040000}"/>
    <cellStyle name="표준 7 7" xfId="130" xr:uid="{00000000-0005-0000-0000-0000CA040000}"/>
    <cellStyle name="표준 7 7 2" xfId="222" xr:uid="{00000000-0005-0000-0000-0000CB040000}"/>
    <cellStyle name="표준 7 7 2 2" xfId="512" xr:uid="{00000000-0005-0000-0000-0000CC040000}"/>
    <cellStyle name="표준 7 7 3" xfId="420" xr:uid="{00000000-0005-0000-0000-0000CD040000}"/>
    <cellStyle name="표준 7 8" xfId="147" xr:uid="{00000000-0005-0000-0000-0000CE040000}"/>
    <cellStyle name="표준 7 8 2" xfId="437" xr:uid="{00000000-0005-0000-0000-0000CF040000}"/>
    <cellStyle name="표준 7 9" xfId="55" xr:uid="{00000000-0005-0000-0000-0000D0040000}"/>
    <cellStyle name="표준 7 9 2" xfId="345" xr:uid="{00000000-0005-0000-0000-0000D1040000}"/>
    <cellStyle name="표준 8" xfId="25" xr:uid="{00000000-0005-0000-0000-0000D2040000}"/>
    <cellStyle name="표준 8 10" xfId="258" xr:uid="{00000000-0005-0000-0000-0000D3040000}"/>
    <cellStyle name="표준 8 10 2" xfId="548" xr:uid="{00000000-0005-0000-0000-0000D4040000}"/>
    <cellStyle name="표준 8 11" xfId="273" xr:uid="{00000000-0005-0000-0000-0000D5040000}"/>
    <cellStyle name="표준 8 11 2" xfId="563" xr:uid="{00000000-0005-0000-0000-0000D6040000}"/>
    <cellStyle name="표준 8 12" xfId="315" xr:uid="{00000000-0005-0000-0000-0000D7040000}"/>
    <cellStyle name="표준 8 2" xfId="45" xr:uid="{00000000-0005-0000-0000-0000D8040000}"/>
    <cellStyle name="표준 8 2 2" xfId="167" xr:uid="{00000000-0005-0000-0000-0000D9040000}"/>
    <cellStyle name="표준 8 2 2 2" xfId="457" xr:uid="{00000000-0005-0000-0000-0000DA040000}"/>
    <cellStyle name="표준 8 2 3" xfId="75" xr:uid="{00000000-0005-0000-0000-0000DB040000}"/>
    <cellStyle name="표준 8 2 3 2" xfId="365" xr:uid="{00000000-0005-0000-0000-0000DC040000}"/>
    <cellStyle name="표준 8 2 4" xfId="288" xr:uid="{00000000-0005-0000-0000-0000DD040000}"/>
    <cellStyle name="표준 8 2 4 2" xfId="578" xr:uid="{00000000-0005-0000-0000-0000DE040000}"/>
    <cellStyle name="표준 8 2 5" xfId="335" xr:uid="{00000000-0005-0000-0000-0000DF040000}"/>
    <cellStyle name="표준 8 3" xfId="90" xr:uid="{00000000-0005-0000-0000-0000E0040000}"/>
    <cellStyle name="표준 8 3 2" xfId="182" xr:uid="{00000000-0005-0000-0000-0000E1040000}"/>
    <cellStyle name="표준 8 3 2 2" xfId="472" xr:uid="{00000000-0005-0000-0000-0000E2040000}"/>
    <cellStyle name="표준 8 3 3" xfId="380" xr:uid="{00000000-0005-0000-0000-0000E3040000}"/>
    <cellStyle name="표준 8 4" xfId="105" xr:uid="{00000000-0005-0000-0000-0000E4040000}"/>
    <cellStyle name="표준 8 4 2" xfId="197" xr:uid="{00000000-0005-0000-0000-0000E5040000}"/>
    <cellStyle name="표준 8 4 2 2" xfId="487" xr:uid="{00000000-0005-0000-0000-0000E6040000}"/>
    <cellStyle name="표준 8 4 3" xfId="395" xr:uid="{00000000-0005-0000-0000-0000E7040000}"/>
    <cellStyle name="표준 8 5" xfId="120" xr:uid="{00000000-0005-0000-0000-0000E8040000}"/>
    <cellStyle name="표준 8 5 2" xfId="212" xr:uid="{00000000-0005-0000-0000-0000E9040000}"/>
    <cellStyle name="표준 8 5 2 2" xfId="502" xr:uid="{00000000-0005-0000-0000-0000EA040000}"/>
    <cellStyle name="표준 8 5 3" xfId="410" xr:uid="{00000000-0005-0000-0000-0000EB040000}"/>
    <cellStyle name="표준 8 6" xfId="135" xr:uid="{00000000-0005-0000-0000-0000EC040000}"/>
    <cellStyle name="표준 8 6 2" xfId="227" xr:uid="{00000000-0005-0000-0000-0000ED040000}"/>
    <cellStyle name="표준 8 6 2 2" xfId="517" xr:uid="{00000000-0005-0000-0000-0000EE040000}"/>
    <cellStyle name="표준 8 6 3" xfId="425" xr:uid="{00000000-0005-0000-0000-0000EF040000}"/>
    <cellStyle name="표준 8 7" xfId="152" xr:uid="{00000000-0005-0000-0000-0000F0040000}"/>
    <cellStyle name="표준 8 7 2" xfId="442" xr:uid="{00000000-0005-0000-0000-0000F1040000}"/>
    <cellStyle name="표준 8 8" xfId="60" xr:uid="{00000000-0005-0000-0000-0000F2040000}"/>
    <cellStyle name="표준 8 8 2" xfId="350" xr:uid="{00000000-0005-0000-0000-0000F3040000}"/>
    <cellStyle name="표준 8 9" xfId="243" xr:uid="{00000000-0005-0000-0000-0000F4040000}"/>
    <cellStyle name="표준 8 9 2" xfId="533" xr:uid="{00000000-0005-0000-0000-0000F5040000}"/>
    <cellStyle name="표준 9" xfId="5" xr:uid="{00000000-0005-0000-0000-0000F6040000}"/>
    <cellStyle name="표준 9 2" xfId="300" xr:uid="{00000000-0005-0000-0000-0000F7040000}"/>
  </cellStyles>
  <dxfs count="234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792480</xdr:colOff>
          <xdr:row>0</xdr:row>
          <xdr:rowOff>53340</xdr:rowOff>
        </xdr:from>
        <xdr:to>
          <xdr:col>13</xdr:col>
          <xdr:colOff>0</xdr:colOff>
          <xdr:row>0</xdr:row>
          <xdr:rowOff>236220</xdr:rowOff>
        </xdr:to>
        <xdr:sp macro="" textlink="">
          <xdr:nvSpPr>
            <xdr:cNvPr id="1025" name="cbxApply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792480</xdr:colOff>
          <xdr:row>0</xdr:row>
          <xdr:rowOff>15240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3073" name="cbxApplyCod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784860</xdr:colOff>
          <xdr:row>0</xdr:row>
          <xdr:rowOff>15240</xdr:rowOff>
        </xdr:from>
        <xdr:to>
          <xdr:col>9</xdr:col>
          <xdr:colOff>868680</xdr:colOff>
          <xdr:row>1</xdr:row>
          <xdr:rowOff>0</xdr:rowOff>
        </xdr:to>
        <xdr:sp macro="" textlink="">
          <xdr:nvSpPr>
            <xdr:cNvPr id="4097" name="cbxApplyCod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792480</xdr:colOff>
          <xdr:row>0</xdr:row>
          <xdr:rowOff>15240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cbxApplyCod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4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pageSetUpPr fitToPage="1"/>
  </sheetPr>
  <dimension ref="A1:W656"/>
  <sheetViews>
    <sheetView showGridLines="0" view="pageBreakPreview" topLeftCell="A10" zoomScaleNormal="100" zoomScaleSheetLayoutView="100" zoomScalePageLayoutView="40" workbookViewId="0">
      <selection activeCell="J40" sqref="J40"/>
    </sheetView>
  </sheetViews>
  <sheetFormatPr defaultColWidth="9" defaultRowHeight="15.6" x14ac:dyDescent="0.4"/>
  <cols>
    <col min="1" max="2" width="13" style="5" customWidth="1"/>
    <col min="3" max="5" width="13" style="38" customWidth="1"/>
    <col min="6" max="6" width="12.19921875" style="5" customWidth="1"/>
    <col min="7" max="7" width="11.69921875" style="5" customWidth="1"/>
    <col min="8" max="8" width="11.19921875" style="5" customWidth="1"/>
    <col min="9" max="9" width="10.5" style="5" customWidth="1"/>
    <col min="10" max="13" width="11.5" style="5" customWidth="1"/>
    <col min="14" max="14" width="11.5" style="6" customWidth="1"/>
    <col min="15" max="15" width="11.5" style="1" customWidth="1"/>
    <col min="16" max="16" width="19.59765625" style="1" bestFit="1" customWidth="1"/>
    <col min="17" max="21" width="9" style="1"/>
    <col min="22" max="22" width="9" style="2" customWidth="1"/>
    <col min="23" max="23" width="9" style="1" customWidth="1"/>
    <col min="24" max="16384" width="9" style="1"/>
  </cols>
  <sheetData>
    <row r="1" spans="1:23" ht="21" customHeight="1" x14ac:dyDescent="0.4">
      <c r="A1" s="3"/>
      <c r="B1" s="4"/>
      <c r="C1" s="37"/>
      <c r="D1" s="37"/>
      <c r="E1" s="37"/>
      <c r="F1" s="4"/>
      <c r="G1" s="4"/>
      <c r="H1" s="4"/>
      <c r="I1" s="4"/>
      <c r="J1" s="4"/>
      <c r="K1" s="4"/>
      <c r="L1" s="4"/>
    </row>
    <row r="2" spans="1:23" ht="13.5" customHeight="1" x14ac:dyDescent="0.4">
      <c r="A2" s="58" t="s">
        <v>87</v>
      </c>
      <c r="B2" s="59"/>
      <c r="C2" s="59"/>
      <c r="D2" s="59"/>
      <c r="E2" s="59"/>
      <c r="F2" s="59"/>
      <c r="G2" s="59"/>
      <c r="H2" s="60"/>
      <c r="I2" s="54" t="s">
        <v>3</v>
      </c>
      <c r="J2" s="54"/>
      <c r="K2" s="54"/>
      <c r="L2" s="7"/>
      <c r="M2" s="7"/>
      <c r="N2" s="8"/>
      <c r="O2" s="6"/>
      <c r="V2" s="1"/>
      <c r="W2" s="2"/>
    </row>
    <row r="3" spans="1:23" ht="13.5" customHeight="1" x14ac:dyDescent="0.4">
      <c r="A3" s="61"/>
      <c r="B3" s="62"/>
      <c r="C3" s="62"/>
      <c r="D3" s="62"/>
      <c r="E3" s="62"/>
      <c r="F3" s="62"/>
      <c r="G3" s="62"/>
      <c r="H3" s="63"/>
      <c r="I3" s="54" t="s">
        <v>4</v>
      </c>
      <c r="J3" s="54"/>
      <c r="K3" s="54"/>
      <c r="L3" s="7"/>
      <c r="M3" s="7"/>
      <c r="N3" s="8"/>
      <c r="O3" s="6"/>
      <c r="V3" s="1"/>
      <c r="W3" s="2"/>
    </row>
    <row r="4" spans="1:23" ht="13.5" customHeight="1" x14ac:dyDescent="0.4">
      <c r="A4" s="64"/>
      <c r="B4" s="65"/>
      <c r="C4" s="65"/>
      <c r="D4" s="65"/>
      <c r="E4" s="65"/>
      <c r="F4" s="65"/>
      <c r="G4" s="65"/>
      <c r="H4" s="66"/>
      <c r="I4" s="54" t="s">
        <v>0</v>
      </c>
      <c r="J4" s="54"/>
      <c r="K4" s="54"/>
      <c r="L4" s="9"/>
      <c r="M4" s="9"/>
      <c r="N4" s="8"/>
      <c r="O4" s="6"/>
      <c r="V4" s="1"/>
      <c r="W4" s="2"/>
    </row>
    <row r="5" spans="1:23" ht="13.5" customHeight="1" x14ac:dyDescent="0.4">
      <c r="A5" s="10"/>
      <c r="B5" s="10"/>
      <c r="C5" s="39"/>
      <c r="D5" s="39"/>
      <c r="E5" s="39"/>
      <c r="F5" s="10"/>
      <c r="G5" s="10"/>
      <c r="H5" s="10"/>
      <c r="I5" s="10"/>
      <c r="J5" s="10"/>
      <c r="K5" s="10"/>
      <c r="L5" s="10"/>
    </row>
    <row r="6" spans="1:23" ht="13.5" customHeight="1" x14ac:dyDescent="0.4">
      <c r="A6" s="53" t="s">
        <v>14</v>
      </c>
      <c r="B6" s="55" t="s">
        <v>34</v>
      </c>
      <c r="C6" s="71" t="s">
        <v>152</v>
      </c>
      <c r="D6" s="71" t="s">
        <v>153</v>
      </c>
      <c r="E6" s="71" t="s">
        <v>147</v>
      </c>
      <c r="F6" s="53" t="s">
        <v>1</v>
      </c>
      <c r="G6" s="53"/>
      <c r="H6" s="57" t="s">
        <v>15</v>
      </c>
      <c r="I6" s="57" t="s">
        <v>16</v>
      </c>
      <c r="J6" s="53" t="s">
        <v>17</v>
      </c>
      <c r="K6" s="67" t="s">
        <v>84</v>
      </c>
      <c r="L6" s="68"/>
      <c r="M6" s="53" t="s">
        <v>20</v>
      </c>
      <c r="N6" s="8"/>
      <c r="O6" s="6"/>
      <c r="V6" s="1"/>
      <c r="W6" s="2"/>
    </row>
    <row r="7" spans="1:23" ht="13.5" customHeight="1" x14ac:dyDescent="0.4">
      <c r="A7" s="53"/>
      <c r="B7" s="55"/>
      <c r="C7" s="72"/>
      <c r="D7" s="72"/>
      <c r="E7" s="72"/>
      <c r="F7" s="53" t="s">
        <v>18</v>
      </c>
      <c r="G7" s="53" t="s">
        <v>2</v>
      </c>
      <c r="H7" s="57"/>
      <c r="I7" s="57"/>
      <c r="J7" s="53"/>
      <c r="K7" s="69"/>
      <c r="L7" s="70"/>
      <c r="M7" s="53"/>
      <c r="N7" s="8"/>
      <c r="O7" s="6"/>
      <c r="V7" s="1"/>
      <c r="W7" s="2"/>
    </row>
    <row r="8" spans="1:23" ht="13.5" customHeight="1" x14ac:dyDescent="0.4">
      <c r="A8" s="53"/>
      <c r="B8" s="56"/>
      <c r="C8" s="73"/>
      <c r="D8" s="73"/>
      <c r="E8" s="73"/>
      <c r="F8" s="53"/>
      <c r="G8" s="53"/>
      <c r="H8" s="57"/>
      <c r="I8" s="57"/>
      <c r="J8" s="53"/>
      <c r="K8" s="42" t="s">
        <v>85</v>
      </c>
      <c r="L8" s="42" t="s">
        <v>86</v>
      </c>
      <c r="M8" s="53"/>
      <c r="N8" s="8"/>
      <c r="O8" s="6"/>
      <c r="V8" s="1"/>
      <c r="W8" s="2"/>
    </row>
    <row r="9" spans="1:23" ht="13.5" customHeight="1" x14ac:dyDescent="0.4">
      <c r="A9" s="11" t="s">
        <v>11</v>
      </c>
      <c r="B9" s="12"/>
      <c r="C9" s="40"/>
      <c r="D9" s="40"/>
      <c r="E9" s="40"/>
      <c r="F9" s="13"/>
      <c r="G9" s="11"/>
      <c r="H9" s="13"/>
      <c r="I9" s="14">
        <v>123</v>
      </c>
      <c r="J9" s="13"/>
      <c r="K9" s="15">
        <f>ROUND((10^(J9/10))/(10^(H9/10)),3)</f>
        <v>1</v>
      </c>
      <c r="L9" s="15"/>
      <c r="M9" s="15">
        <f t="shared" ref="M9:M20" si="0">I9*K9</f>
        <v>123</v>
      </c>
      <c r="N9" s="8"/>
      <c r="O9" s="6"/>
      <c r="V9" s="1"/>
      <c r="W9" s="2"/>
    </row>
    <row r="10" spans="1:23" ht="12.75" customHeight="1" x14ac:dyDescent="0.4">
      <c r="A10" s="11" t="s">
        <v>11</v>
      </c>
      <c r="B10" s="12"/>
      <c r="C10" s="40"/>
      <c r="D10" s="40"/>
      <c r="E10" s="40"/>
      <c r="F10" s="13"/>
      <c r="G10" s="11"/>
      <c r="H10" s="13"/>
      <c r="I10" s="14"/>
      <c r="J10" s="13"/>
      <c r="K10" s="15">
        <f t="shared" ref="K10:K20" si="1">ROUND((10^(J10/10))/(10^(H10/10)),3)</f>
        <v>1</v>
      </c>
      <c r="L10" s="15"/>
      <c r="M10" s="15">
        <f t="shared" si="0"/>
        <v>0</v>
      </c>
      <c r="N10" s="8"/>
      <c r="O10" s="6"/>
      <c r="V10" s="1"/>
      <c r="W10" s="2"/>
    </row>
    <row r="11" spans="1:23" ht="13.5" customHeight="1" x14ac:dyDescent="0.4">
      <c r="A11" s="11" t="s">
        <v>11</v>
      </c>
      <c r="B11" s="12"/>
      <c r="C11" s="40"/>
      <c r="D11" s="40"/>
      <c r="E11" s="40"/>
      <c r="F11" s="13"/>
      <c r="G11" s="11"/>
      <c r="H11" s="13"/>
      <c r="I11" s="14"/>
      <c r="J11" s="13"/>
      <c r="K11" s="15">
        <f t="shared" si="1"/>
        <v>1</v>
      </c>
      <c r="L11" s="15"/>
      <c r="M11" s="15">
        <f t="shared" si="0"/>
        <v>0</v>
      </c>
      <c r="N11" s="8"/>
      <c r="O11" s="6"/>
      <c r="V11" s="1"/>
      <c r="W11" s="2"/>
    </row>
    <row r="12" spans="1:23" ht="13.5" customHeight="1" x14ac:dyDescent="0.4">
      <c r="A12" s="11" t="s">
        <v>13</v>
      </c>
      <c r="B12" s="12">
        <f t="shared" ref="B12:E14" si="2">B9</f>
        <v>0</v>
      </c>
      <c r="C12" s="40"/>
      <c r="D12" s="40"/>
      <c r="E12" s="40">
        <f t="shared" si="2"/>
        <v>0</v>
      </c>
      <c r="F12" s="13">
        <f t="shared" ref="F12:G12" si="3">F9</f>
        <v>0</v>
      </c>
      <c r="G12" s="12">
        <f t="shared" si="3"/>
        <v>0</v>
      </c>
      <c r="H12" s="13">
        <f>H9</f>
        <v>0</v>
      </c>
      <c r="I12" s="16"/>
      <c r="J12" s="13">
        <f t="shared" ref="J12" si="4">J9</f>
        <v>0</v>
      </c>
      <c r="K12" s="15">
        <f t="shared" si="1"/>
        <v>1</v>
      </c>
      <c r="L12" s="15"/>
      <c r="M12" s="15">
        <f t="shared" si="0"/>
        <v>0</v>
      </c>
      <c r="N12" s="8"/>
      <c r="O12" s="6"/>
      <c r="V12" s="1"/>
      <c r="W12" s="2"/>
    </row>
    <row r="13" spans="1:23" ht="13.5" customHeight="1" x14ac:dyDescent="0.4">
      <c r="A13" s="11" t="s">
        <v>13</v>
      </c>
      <c r="B13" s="12">
        <f t="shared" si="2"/>
        <v>0</v>
      </c>
      <c r="C13" s="40"/>
      <c r="D13" s="40"/>
      <c r="E13" s="40">
        <f t="shared" si="2"/>
        <v>0</v>
      </c>
      <c r="F13" s="13">
        <f t="shared" ref="F13:H13" si="5">F10</f>
        <v>0</v>
      </c>
      <c r="G13" s="12">
        <f t="shared" si="5"/>
        <v>0</v>
      </c>
      <c r="H13" s="13">
        <f t="shared" si="5"/>
        <v>0</v>
      </c>
      <c r="I13" s="16"/>
      <c r="J13" s="13">
        <f t="shared" ref="J13" si="6">J10</f>
        <v>0</v>
      </c>
      <c r="K13" s="15">
        <f t="shared" si="1"/>
        <v>1</v>
      </c>
      <c r="L13" s="15"/>
      <c r="M13" s="15">
        <f t="shared" si="0"/>
        <v>0</v>
      </c>
      <c r="N13" s="8"/>
      <c r="O13" s="6"/>
      <c r="V13" s="1"/>
      <c r="W13" s="2"/>
    </row>
    <row r="14" spans="1:23" ht="13.5" customHeight="1" x14ac:dyDescent="0.4">
      <c r="A14" s="11" t="s">
        <v>13</v>
      </c>
      <c r="B14" s="12">
        <f t="shared" si="2"/>
        <v>0</v>
      </c>
      <c r="C14" s="40"/>
      <c r="D14" s="40"/>
      <c r="E14" s="40">
        <f t="shared" si="2"/>
        <v>0</v>
      </c>
      <c r="F14" s="13">
        <f t="shared" ref="F14:H14" si="7">F11</f>
        <v>0</v>
      </c>
      <c r="G14" s="12">
        <f t="shared" si="7"/>
        <v>0</v>
      </c>
      <c r="H14" s="13">
        <f t="shared" si="7"/>
        <v>0</v>
      </c>
      <c r="I14" s="16"/>
      <c r="J14" s="13">
        <f t="shared" ref="J14" si="8">J11</f>
        <v>0</v>
      </c>
      <c r="K14" s="15">
        <f t="shared" si="1"/>
        <v>1</v>
      </c>
      <c r="L14" s="15"/>
      <c r="M14" s="15">
        <f t="shared" si="0"/>
        <v>0</v>
      </c>
      <c r="N14" s="8"/>
      <c r="O14" s="6"/>
      <c r="V14" s="1"/>
      <c r="W14" s="2"/>
    </row>
    <row r="15" spans="1:23" ht="13.5" customHeight="1" x14ac:dyDescent="0.4">
      <c r="A15" s="11" t="s">
        <v>12</v>
      </c>
      <c r="B15" s="12">
        <f t="shared" ref="B15:G20" ca="1" si="9">OFFSET(B15,-6,0)</f>
        <v>0</v>
      </c>
      <c r="C15" s="40"/>
      <c r="D15" s="40"/>
      <c r="E15" s="40">
        <f t="shared" ca="1" si="9"/>
        <v>0</v>
      </c>
      <c r="F15" s="13">
        <f t="shared" ca="1" si="9"/>
        <v>0</v>
      </c>
      <c r="G15" s="17">
        <f t="shared" ca="1" si="9"/>
        <v>0</v>
      </c>
      <c r="H15" s="13">
        <f t="shared" ref="H15:J20" ca="1" si="10">OFFSET(H15,-6,0)</f>
        <v>0</v>
      </c>
      <c r="I15" s="16">
        <v>123</v>
      </c>
      <c r="J15" s="13">
        <f t="shared" ca="1" si="10"/>
        <v>0</v>
      </c>
      <c r="K15" s="15">
        <f t="shared" ca="1" si="1"/>
        <v>1</v>
      </c>
      <c r="L15" s="15"/>
      <c r="M15" s="15">
        <f t="shared" ca="1" si="0"/>
        <v>123</v>
      </c>
      <c r="N15" s="8"/>
      <c r="O15" s="6"/>
      <c r="V15" s="1"/>
      <c r="W15" s="2"/>
    </row>
    <row r="16" spans="1:23" ht="12.75" customHeight="1" x14ac:dyDescent="0.4">
      <c r="A16" s="11" t="s">
        <v>12</v>
      </c>
      <c r="B16" s="12">
        <f t="shared" ca="1" si="9"/>
        <v>0</v>
      </c>
      <c r="C16" s="40"/>
      <c r="D16" s="40"/>
      <c r="E16" s="40">
        <f t="shared" ca="1" si="9"/>
        <v>0</v>
      </c>
      <c r="F16" s="13">
        <f t="shared" ca="1" si="9"/>
        <v>0</v>
      </c>
      <c r="G16" s="17">
        <f t="shared" ca="1" si="9"/>
        <v>0</v>
      </c>
      <c r="H16" s="13">
        <f t="shared" ca="1" si="10"/>
        <v>0</v>
      </c>
      <c r="I16" s="16"/>
      <c r="J16" s="13">
        <f t="shared" ca="1" si="10"/>
        <v>0</v>
      </c>
      <c r="K16" s="15">
        <f t="shared" ca="1" si="1"/>
        <v>1</v>
      </c>
      <c r="L16" s="15"/>
      <c r="M16" s="15">
        <f t="shared" ca="1" si="0"/>
        <v>0</v>
      </c>
      <c r="N16" s="8"/>
      <c r="O16" s="6"/>
      <c r="V16" s="1"/>
      <c r="W16" s="2"/>
    </row>
    <row r="17" spans="1:23" ht="13.5" customHeight="1" x14ac:dyDescent="0.4">
      <c r="A17" s="11" t="s">
        <v>12</v>
      </c>
      <c r="B17" s="12">
        <f t="shared" ca="1" si="9"/>
        <v>0</v>
      </c>
      <c r="C17" s="40"/>
      <c r="D17" s="40"/>
      <c r="E17" s="40">
        <f t="shared" ca="1" si="9"/>
        <v>0</v>
      </c>
      <c r="F17" s="13">
        <f t="shared" ca="1" si="9"/>
        <v>0</v>
      </c>
      <c r="G17" s="17">
        <f t="shared" ca="1" si="9"/>
        <v>0</v>
      </c>
      <c r="H17" s="13">
        <f t="shared" ca="1" si="10"/>
        <v>0</v>
      </c>
      <c r="I17" s="16"/>
      <c r="J17" s="13">
        <f t="shared" ca="1" si="10"/>
        <v>0</v>
      </c>
      <c r="K17" s="15">
        <f t="shared" ca="1" si="1"/>
        <v>1</v>
      </c>
      <c r="L17" s="15"/>
      <c r="M17" s="15">
        <f t="shared" ca="1" si="0"/>
        <v>0</v>
      </c>
      <c r="N17" s="8"/>
      <c r="O17" s="6"/>
      <c r="V17" s="1"/>
      <c r="W17" s="2"/>
    </row>
    <row r="18" spans="1:23" ht="13.5" customHeight="1" x14ac:dyDescent="0.4">
      <c r="A18" s="11" t="s">
        <v>21</v>
      </c>
      <c r="B18" s="12">
        <f t="shared" ca="1" si="9"/>
        <v>0</v>
      </c>
      <c r="C18" s="40"/>
      <c r="D18" s="40"/>
      <c r="E18" s="40">
        <f t="shared" ca="1" si="9"/>
        <v>0</v>
      </c>
      <c r="F18" s="13">
        <f t="shared" ca="1" si="9"/>
        <v>0</v>
      </c>
      <c r="G18" s="17">
        <f t="shared" ca="1" si="9"/>
        <v>0</v>
      </c>
      <c r="H18" s="13">
        <f t="shared" ca="1" si="10"/>
        <v>0</v>
      </c>
      <c r="I18" s="16"/>
      <c r="J18" s="13">
        <f t="shared" ca="1" si="10"/>
        <v>0</v>
      </c>
      <c r="K18" s="15">
        <f t="shared" ca="1" si="1"/>
        <v>1</v>
      </c>
      <c r="L18" s="15"/>
      <c r="M18" s="15">
        <f t="shared" ca="1" si="0"/>
        <v>0</v>
      </c>
      <c r="N18" s="8"/>
      <c r="O18" s="6"/>
      <c r="V18" s="1"/>
      <c r="W18" s="2"/>
    </row>
    <row r="19" spans="1:23" ht="13.5" customHeight="1" x14ac:dyDescent="0.4">
      <c r="A19" s="11" t="s">
        <v>21</v>
      </c>
      <c r="B19" s="12">
        <f t="shared" ca="1" si="9"/>
        <v>0</v>
      </c>
      <c r="C19" s="40"/>
      <c r="D19" s="40"/>
      <c r="E19" s="40">
        <f t="shared" ca="1" si="9"/>
        <v>0</v>
      </c>
      <c r="F19" s="13">
        <f t="shared" ca="1" si="9"/>
        <v>0</v>
      </c>
      <c r="G19" s="17">
        <f t="shared" ca="1" si="9"/>
        <v>0</v>
      </c>
      <c r="H19" s="13">
        <f t="shared" ca="1" si="10"/>
        <v>0</v>
      </c>
      <c r="I19" s="16"/>
      <c r="J19" s="13">
        <f t="shared" ca="1" si="10"/>
        <v>0</v>
      </c>
      <c r="K19" s="15">
        <f t="shared" ca="1" si="1"/>
        <v>1</v>
      </c>
      <c r="L19" s="15"/>
      <c r="M19" s="15">
        <f t="shared" ca="1" si="0"/>
        <v>0</v>
      </c>
      <c r="N19" s="8"/>
      <c r="O19" s="6"/>
      <c r="V19" s="1"/>
      <c r="W19" s="2"/>
    </row>
    <row r="20" spans="1:23" ht="13.5" customHeight="1" x14ac:dyDescent="0.4">
      <c r="A20" s="11" t="s">
        <v>21</v>
      </c>
      <c r="B20" s="12">
        <f t="shared" ca="1" si="9"/>
        <v>0</v>
      </c>
      <c r="C20" s="40"/>
      <c r="D20" s="40"/>
      <c r="E20" s="40">
        <f t="shared" ca="1" si="9"/>
        <v>0</v>
      </c>
      <c r="F20" s="13">
        <f t="shared" ca="1" si="9"/>
        <v>0</v>
      </c>
      <c r="G20" s="17">
        <f t="shared" ca="1" si="9"/>
        <v>0</v>
      </c>
      <c r="H20" s="13">
        <f t="shared" ca="1" si="10"/>
        <v>0</v>
      </c>
      <c r="I20" s="16"/>
      <c r="J20" s="13">
        <f t="shared" ca="1" si="10"/>
        <v>0</v>
      </c>
      <c r="K20" s="15">
        <f t="shared" ca="1" si="1"/>
        <v>1</v>
      </c>
      <c r="L20" s="15"/>
      <c r="M20" s="15">
        <f t="shared" ca="1" si="0"/>
        <v>0</v>
      </c>
      <c r="N20" s="8"/>
      <c r="O20" s="6"/>
      <c r="V20" s="1"/>
      <c r="W20" s="2"/>
    </row>
    <row r="21" spans="1:23" ht="13.5" customHeight="1" x14ac:dyDescent="0.4">
      <c r="A21" s="3"/>
      <c r="B21" s="3"/>
      <c r="C21" s="36"/>
      <c r="D21" s="36"/>
      <c r="E21" s="36"/>
      <c r="F21" s="3"/>
      <c r="G21" s="3"/>
      <c r="H21" s="3"/>
      <c r="I21" s="3"/>
      <c r="J21" s="3"/>
      <c r="K21" s="3"/>
      <c r="L21" s="3"/>
      <c r="M21" s="4"/>
    </row>
    <row r="22" spans="1:23" ht="13.5" customHeight="1" x14ac:dyDescent="0.4">
      <c r="A22" s="58" t="s">
        <v>88</v>
      </c>
      <c r="B22" s="59"/>
      <c r="C22" s="59"/>
      <c r="D22" s="59"/>
      <c r="E22" s="59"/>
      <c r="F22" s="59"/>
      <c r="G22" s="59"/>
      <c r="H22" s="59"/>
      <c r="I22" s="60"/>
      <c r="J22" s="54" t="s">
        <v>3</v>
      </c>
      <c r="K22" s="54"/>
      <c r="L22" s="54"/>
      <c r="M22" s="7"/>
      <c r="N22" s="7"/>
      <c r="O22" s="18"/>
      <c r="V22" s="1"/>
      <c r="W22" s="2"/>
    </row>
    <row r="23" spans="1:23" ht="13.5" customHeight="1" x14ac:dyDescent="0.4">
      <c r="A23" s="61"/>
      <c r="B23" s="62"/>
      <c r="C23" s="62"/>
      <c r="D23" s="62"/>
      <c r="E23" s="62"/>
      <c r="F23" s="62"/>
      <c r="G23" s="62"/>
      <c r="H23" s="62"/>
      <c r="I23" s="63"/>
      <c r="J23" s="54" t="s">
        <v>4</v>
      </c>
      <c r="K23" s="54"/>
      <c r="L23" s="54"/>
      <c r="M23" s="7"/>
      <c r="N23" s="7"/>
      <c r="O23" s="18"/>
      <c r="V23" s="1"/>
      <c r="W23" s="2"/>
    </row>
    <row r="24" spans="1:23" ht="13.5" customHeight="1" x14ac:dyDescent="0.4">
      <c r="A24" s="64"/>
      <c r="B24" s="65"/>
      <c r="C24" s="65"/>
      <c r="D24" s="65"/>
      <c r="E24" s="65"/>
      <c r="F24" s="65"/>
      <c r="G24" s="65"/>
      <c r="H24" s="65"/>
      <c r="I24" s="66"/>
      <c r="J24" s="54" t="s">
        <v>0</v>
      </c>
      <c r="K24" s="54"/>
      <c r="L24" s="54"/>
      <c r="M24" s="9"/>
      <c r="N24" s="9"/>
      <c r="O24" s="18"/>
      <c r="V24" s="1"/>
      <c r="W24" s="2"/>
    </row>
    <row r="25" spans="1:23" ht="13.5" customHeight="1" x14ac:dyDescent="0.4">
      <c r="A25" s="10"/>
      <c r="B25" s="10"/>
      <c r="C25" s="39"/>
      <c r="D25" s="39"/>
      <c r="E25" s="39"/>
      <c r="F25" s="10"/>
      <c r="G25" s="10"/>
      <c r="H25" s="10"/>
      <c r="I25" s="10"/>
      <c r="J25" s="10"/>
      <c r="K25" s="10"/>
      <c r="L25" s="10"/>
      <c r="M25" s="10"/>
    </row>
    <row r="26" spans="1:23" ht="13.5" customHeight="1" x14ac:dyDescent="0.4">
      <c r="A26" s="53" t="s">
        <v>14</v>
      </c>
      <c r="B26" s="55" t="s">
        <v>33</v>
      </c>
      <c r="C26" s="71" t="s">
        <v>152</v>
      </c>
      <c r="D26" s="71" t="s">
        <v>153</v>
      </c>
      <c r="E26" s="55" t="s">
        <v>146</v>
      </c>
      <c r="F26" s="53" t="s">
        <v>1</v>
      </c>
      <c r="G26" s="53"/>
      <c r="H26" s="53" t="s">
        <v>19</v>
      </c>
      <c r="I26" s="57" t="s">
        <v>15</v>
      </c>
      <c r="J26" s="57" t="s">
        <v>16</v>
      </c>
      <c r="K26" s="53" t="s">
        <v>17</v>
      </c>
      <c r="L26" s="53" t="s">
        <v>84</v>
      </c>
      <c r="M26" s="53"/>
      <c r="N26" s="53" t="s">
        <v>20</v>
      </c>
      <c r="O26" s="18"/>
      <c r="V26" s="1"/>
      <c r="W26" s="2"/>
    </row>
    <row r="27" spans="1:23" ht="13.5" customHeight="1" x14ac:dyDescent="0.4">
      <c r="A27" s="53"/>
      <c r="B27" s="55"/>
      <c r="C27" s="72"/>
      <c r="D27" s="72"/>
      <c r="E27" s="55"/>
      <c r="F27" s="53" t="s">
        <v>18</v>
      </c>
      <c r="G27" s="53" t="s">
        <v>2</v>
      </c>
      <c r="H27" s="53"/>
      <c r="I27" s="57"/>
      <c r="J27" s="57"/>
      <c r="K27" s="53"/>
      <c r="L27" s="53"/>
      <c r="M27" s="53"/>
      <c r="N27" s="53"/>
      <c r="O27" s="18"/>
      <c r="V27" s="1"/>
      <c r="W27" s="2"/>
    </row>
    <row r="28" spans="1:23" ht="13.5" customHeight="1" x14ac:dyDescent="0.4">
      <c r="A28" s="53"/>
      <c r="B28" s="56"/>
      <c r="C28" s="73"/>
      <c r="D28" s="73"/>
      <c r="E28" s="55"/>
      <c r="F28" s="53"/>
      <c r="G28" s="53"/>
      <c r="H28" s="53"/>
      <c r="I28" s="57"/>
      <c r="J28" s="57"/>
      <c r="K28" s="53"/>
      <c r="L28" s="42" t="s">
        <v>85</v>
      </c>
      <c r="M28" s="42" t="s">
        <v>86</v>
      </c>
      <c r="N28" s="53"/>
      <c r="O28" s="18"/>
      <c r="V28" s="1"/>
      <c r="W28" s="2"/>
    </row>
    <row r="29" spans="1:23" ht="13.5" customHeight="1" x14ac:dyDescent="0.4">
      <c r="A29" s="74" t="s">
        <v>26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9"/>
      <c r="O29" s="18"/>
      <c r="V29" s="1"/>
      <c r="W29" s="2"/>
    </row>
    <row r="30" spans="1:23" ht="13.5" customHeight="1" x14ac:dyDescent="0.4">
      <c r="A30" s="11" t="s">
        <v>5</v>
      </c>
      <c r="B30" s="40"/>
      <c r="C30" s="40"/>
      <c r="D30" s="40"/>
      <c r="E30" s="40"/>
      <c r="F30" s="13"/>
      <c r="G30" s="11"/>
      <c r="H30" s="17"/>
      <c r="I30" s="13"/>
      <c r="J30" s="16">
        <v>567</v>
      </c>
      <c r="K30" s="13"/>
      <c r="L30" s="15">
        <f>ROUND((10^(K30/10))/(10^(I30/10)),3)</f>
        <v>1</v>
      </c>
      <c r="M30" s="15"/>
      <c r="N30" s="15">
        <f t="shared" ref="N30:N47" si="11">J30*L30</f>
        <v>567</v>
      </c>
      <c r="O30" s="18"/>
      <c r="V30" s="1"/>
      <c r="W30" s="2"/>
    </row>
    <row r="31" spans="1:23" ht="13.5" customHeight="1" x14ac:dyDescent="0.4">
      <c r="A31" s="11" t="s">
        <v>5</v>
      </c>
      <c r="B31" s="40"/>
      <c r="C31" s="40"/>
      <c r="D31" s="40"/>
      <c r="E31" s="40"/>
      <c r="F31" s="13"/>
      <c r="G31" s="11"/>
      <c r="H31" s="17"/>
      <c r="I31" s="13"/>
      <c r="J31" s="16"/>
      <c r="K31" s="13"/>
      <c r="L31" s="15">
        <f t="shared" ref="L31:L47" si="12">ROUND((10^(K31/10))/(10^(I31/10)),3)</f>
        <v>1</v>
      </c>
      <c r="M31" s="15"/>
      <c r="N31" s="15">
        <f t="shared" si="11"/>
        <v>0</v>
      </c>
      <c r="O31" s="18"/>
      <c r="V31" s="1"/>
      <c r="W31" s="2"/>
    </row>
    <row r="32" spans="1:23" ht="13.5" customHeight="1" x14ac:dyDescent="0.4">
      <c r="A32" s="11" t="s">
        <v>5</v>
      </c>
      <c r="B32" s="40"/>
      <c r="C32" s="40"/>
      <c r="D32" s="40"/>
      <c r="E32" s="40"/>
      <c r="F32" s="13"/>
      <c r="G32" s="11"/>
      <c r="H32" s="17"/>
      <c r="I32" s="13"/>
      <c r="J32" s="16"/>
      <c r="K32" s="13"/>
      <c r="L32" s="15">
        <f t="shared" si="12"/>
        <v>1</v>
      </c>
      <c r="M32" s="15"/>
      <c r="N32" s="15">
        <f t="shared" si="11"/>
        <v>0</v>
      </c>
      <c r="O32" s="18"/>
      <c r="V32" s="1"/>
      <c r="W32" s="2"/>
    </row>
    <row r="33" spans="1:23" ht="13.5" customHeight="1" x14ac:dyDescent="0.4">
      <c r="A33" s="11" t="s">
        <v>6</v>
      </c>
      <c r="B33" s="41">
        <f t="shared" ref="B33:G35" ca="1" si="13">OFFSET(B33,-3,0)</f>
        <v>0</v>
      </c>
      <c r="C33" s="41"/>
      <c r="D33" s="41"/>
      <c r="E33" s="41"/>
      <c r="F33" s="19">
        <f t="shared" ca="1" si="13"/>
        <v>0</v>
      </c>
      <c r="G33" s="20">
        <f t="shared" ca="1" si="13"/>
        <v>0</v>
      </c>
      <c r="H33" s="20">
        <f t="shared" ref="H33:I35" ca="1" si="14">OFFSET(H33,-3,0)</f>
        <v>0</v>
      </c>
      <c r="I33" s="13">
        <f t="shared" ca="1" si="14"/>
        <v>0</v>
      </c>
      <c r="J33" s="16">
        <v>567</v>
      </c>
      <c r="K33" s="19">
        <f t="shared" ref="K33:K35" ca="1" si="15">OFFSET(K33,-3,0)</f>
        <v>0</v>
      </c>
      <c r="L33" s="15">
        <f t="shared" ca="1" si="12"/>
        <v>1</v>
      </c>
      <c r="M33" s="15"/>
      <c r="N33" s="15">
        <f t="shared" ca="1" si="11"/>
        <v>567</v>
      </c>
      <c r="O33" s="18"/>
      <c r="V33" s="1"/>
      <c r="W33" s="2"/>
    </row>
    <row r="34" spans="1:23" ht="13.5" customHeight="1" x14ac:dyDescent="0.4">
      <c r="A34" s="11" t="s">
        <v>6</v>
      </c>
      <c r="B34" s="41">
        <f t="shared" ca="1" si="13"/>
        <v>0</v>
      </c>
      <c r="C34" s="41"/>
      <c r="D34" s="41"/>
      <c r="E34" s="41"/>
      <c r="F34" s="19">
        <f t="shared" ca="1" si="13"/>
        <v>0</v>
      </c>
      <c r="G34" s="20">
        <f t="shared" ca="1" si="13"/>
        <v>0</v>
      </c>
      <c r="H34" s="20">
        <f t="shared" ca="1" si="14"/>
        <v>0</v>
      </c>
      <c r="I34" s="13">
        <f t="shared" ca="1" si="14"/>
        <v>0</v>
      </c>
      <c r="J34" s="16"/>
      <c r="K34" s="19">
        <f t="shared" ca="1" si="15"/>
        <v>0</v>
      </c>
      <c r="L34" s="15">
        <f t="shared" ca="1" si="12"/>
        <v>1</v>
      </c>
      <c r="M34" s="15"/>
      <c r="N34" s="15">
        <f t="shared" ca="1" si="11"/>
        <v>0</v>
      </c>
      <c r="O34" s="18"/>
      <c r="V34" s="1"/>
      <c r="W34" s="2"/>
    </row>
    <row r="35" spans="1:23" ht="13.5" customHeight="1" x14ac:dyDescent="0.4">
      <c r="A35" s="11" t="s">
        <v>6</v>
      </c>
      <c r="B35" s="41">
        <f t="shared" ca="1" si="13"/>
        <v>0</v>
      </c>
      <c r="C35" s="41"/>
      <c r="D35" s="41"/>
      <c r="E35" s="41"/>
      <c r="F35" s="19">
        <f t="shared" ca="1" si="13"/>
        <v>0</v>
      </c>
      <c r="G35" s="20">
        <f t="shared" ca="1" si="13"/>
        <v>0</v>
      </c>
      <c r="H35" s="20">
        <f t="shared" ca="1" si="14"/>
        <v>0</v>
      </c>
      <c r="I35" s="13">
        <f t="shared" ca="1" si="14"/>
        <v>0</v>
      </c>
      <c r="J35" s="16"/>
      <c r="K35" s="19">
        <f t="shared" ca="1" si="15"/>
        <v>0</v>
      </c>
      <c r="L35" s="15">
        <f t="shared" ca="1" si="12"/>
        <v>1</v>
      </c>
      <c r="M35" s="15"/>
      <c r="N35" s="15">
        <f t="shared" ca="1" si="11"/>
        <v>0</v>
      </c>
      <c r="O35" s="18"/>
      <c r="V35" s="1"/>
      <c r="W35" s="2"/>
    </row>
    <row r="36" spans="1:23" ht="13.5" customHeight="1" x14ac:dyDescent="0.4">
      <c r="A36" s="11" t="s">
        <v>10</v>
      </c>
      <c r="B36" s="40">
        <f t="shared" ref="B36:G38" ca="1" si="16">OFFSET(B36,-6,0)</f>
        <v>0</v>
      </c>
      <c r="C36" s="40"/>
      <c r="D36" s="40"/>
      <c r="E36" s="40"/>
      <c r="F36" s="13">
        <f t="shared" ca="1" si="16"/>
        <v>0</v>
      </c>
      <c r="G36" s="17">
        <f t="shared" ca="1" si="16"/>
        <v>0</v>
      </c>
      <c r="H36" s="17">
        <f t="shared" ref="H36:I38" ca="1" si="17">OFFSET(H36,-6,0)</f>
        <v>0</v>
      </c>
      <c r="I36" s="13">
        <f t="shared" ca="1" si="17"/>
        <v>0</v>
      </c>
      <c r="J36" s="16"/>
      <c r="K36" s="13">
        <f t="shared" ref="K36:K38" ca="1" si="18">OFFSET(K36,-6,0)</f>
        <v>0</v>
      </c>
      <c r="L36" s="15">
        <f t="shared" ca="1" si="12"/>
        <v>1</v>
      </c>
      <c r="M36" s="15"/>
      <c r="N36" s="15">
        <f t="shared" ca="1" si="11"/>
        <v>0</v>
      </c>
      <c r="O36" s="18"/>
      <c r="V36" s="1"/>
      <c r="W36" s="2"/>
    </row>
    <row r="37" spans="1:23" ht="13.5" customHeight="1" x14ac:dyDescent="0.4">
      <c r="A37" s="11" t="s">
        <v>10</v>
      </c>
      <c r="B37" s="40">
        <f t="shared" ca="1" si="16"/>
        <v>0</v>
      </c>
      <c r="C37" s="40"/>
      <c r="D37" s="40"/>
      <c r="E37" s="40"/>
      <c r="F37" s="13">
        <f t="shared" ca="1" si="16"/>
        <v>0</v>
      </c>
      <c r="G37" s="17">
        <f t="shared" ca="1" si="16"/>
        <v>0</v>
      </c>
      <c r="H37" s="17">
        <f t="shared" ca="1" si="17"/>
        <v>0</v>
      </c>
      <c r="I37" s="13">
        <f t="shared" ca="1" si="17"/>
        <v>0</v>
      </c>
      <c r="J37" s="16"/>
      <c r="K37" s="13">
        <f t="shared" ca="1" si="18"/>
        <v>0</v>
      </c>
      <c r="L37" s="15">
        <f t="shared" ca="1" si="12"/>
        <v>1</v>
      </c>
      <c r="M37" s="15"/>
      <c r="N37" s="15">
        <f t="shared" ca="1" si="11"/>
        <v>0</v>
      </c>
      <c r="O37" s="18"/>
      <c r="V37" s="1"/>
      <c r="W37" s="2"/>
    </row>
    <row r="38" spans="1:23" ht="13.5" customHeight="1" x14ac:dyDescent="0.4">
      <c r="A38" s="11" t="s">
        <v>10</v>
      </c>
      <c r="B38" s="40">
        <f t="shared" ca="1" si="16"/>
        <v>0</v>
      </c>
      <c r="C38" s="40"/>
      <c r="D38" s="40"/>
      <c r="E38" s="40"/>
      <c r="F38" s="13">
        <f t="shared" ca="1" si="16"/>
        <v>0</v>
      </c>
      <c r="G38" s="17">
        <f t="shared" ca="1" si="16"/>
        <v>0</v>
      </c>
      <c r="H38" s="17">
        <f t="shared" ca="1" si="17"/>
        <v>0</v>
      </c>
      <c r="I38" s="13">
        <f t="shared" ca="1" si="17"/>
        <v>0</v>
      </c>
      <c r="J38" s="16"/>
      <c r="K38" s="13">
        <f t="shared" ca="1" si="18"/>
        <v>0</v>
      </c>
      <c r="L38" s="15">
        <f t="shared" ca="1" si="12"/>
        <v>1</v>
      </c>
      <c r="M38" s="15"/>
      <c r="N38" s="15">
        <f t="shared" ca="1" si="11"/>
        <v>0</v>
      </c>
      <c r="O38" s="18"/>
      <c r="V38" s="1"/>
      <c r="W38" s="2"/>
    </row>
    <row r="39" spans="1:23" ht="13.5" customHeight="1" x14ac:dyDescent="0.4">
      <c r="A39" s="11" t="s">
        <v>7</v>
      </c>
      <c r="B39" s="40">
        <f t="shared" ref="B39:G41" ca="1" si="19">OFFSET(B39,-9,0)</f>
        <v>0</v>
      </c>
      <c r="C39" s="40"/>
      <c r="D39" s="40"/>
      <c r="E39" s="40"/>
      <c r="F39" s="13">
        <f t="shared" ca="1" si="19"/>
        <v>0</v>
      </c>
      <c r="G39" s="17">
        <f t="shared" ca="1" si="19"/>
        <v>0</v>
      </c>
      <c r="H39" s="17">
        <f t="shared" ref="H39:I41" ca="1" si="20">OFFSET(H39,-9,0)</f>
        <v>0</v>
      </c>
      <c r="I39" s="13">
        <f t="shared" ca="1" si="20"/>
        <v>0</v>
      </c>
      <c r="J39" s="16"/>
      <c r="K39" s="13">
        <f t="shared" ref="K39:K41" ca="1" si="21">OFFSET(K39,-9,0)</f>
        <v>0</v>
      </c>
      <c r="L39" s="15">
        <f t="shared" ca="1" si="12"/>
        <v>1</v>
      </c>
      <c r="M39" s="15"/>
      <c r="N39" s="15">
        <f t="shared" ca="1" si="11"/>
        <v>0</v>
      </c>
      <c r="O39" s="18"/>
      <c r="V39" s="1"/>
      <c r="W39" s="2"/>
    </row>
    <row r="40" spans="1:23" ht="13.5" customHeight="1" x14ac:dyDescent="0.4">
      <c r="A40" s="11" t="s">
        <v>7</v>
      </c>
      <c r="B40" s="40">
        <f t="shared" ca="1" si="19"/>
        <v>0</v>
      </c>
      <c r="C40" s="40"/>
      <c r="D40" s="40"/>
      <c r="E40" s="40"/>
      <c r="F40" s="13">
        <f t="shared" ca="1" si="19"/>
        <v>0</v>
      </c>
      <c r="G40" s="17">
        <f t="shared" ca="1" si="19"/>
        <v>0</v>
      </c>
      <c r="H40" s="17">
        <f t="shared" ca="1" si="20"/>
        <v>0</v>
      </c>
      <c r="I40" s="13">
        <f t="shared" ca="1" si="20"/>
        <v>0</v>
      </c>
      <c r="J40" s="16"/>
      <c r="K40" s="13">
        <f t="shared" ca="1" si="21"/>
        <v>0</v>
      </c>
      <c r="L40" s="15">
        <f t="shared" ca="1" si="12"/>
        <v>1</v>
      </c>
      <c r="M40" s="15"/>
      <c r="N40" s="15">
        <f t="shared" ca="1" si="11"/>
        <v>0</v>
      </c>
      <c r="O40" s="18"/>
      <c r="V40" s="1"/>
      <c r="W40" s="2"/>
    </row>
    <row r="41" spans="1:23" ht="13.5" customHeight="1" x14ac:dyDescent="0.4">
      <c r="A41" s="11" t="s">
        <v>7</v>
      </c>
      <c r="B41" s="40">
        <f t="shared" ca="1" si="19"/>
        <v>0</v>
      </c>
      <c r="C41" s="40"/>
      <c r="D41" s="40"/>
      <c r="E41" s="40"/>
      <c r="F41" s="13">
        <f t="shared" ca="1" si="19"/>
        <v>0</v>
      </c>
      <c r="G41" s="17">
        <f t="shared" ca="1" si="19"/>
        <v>0</v>
      </c>
      <c r="H41" s="17">
        <f t="shared" ca="1" si="20"/>
        <v>0</v>
      </c>
      <c r="I41" s="13">
        <f t="shared" ca="1" si="20"/>
        <v>0</v>
      </c>
      <c r="J41" s="16"/>
      <c r="K41" s="13">
        <f t="shared" ca="1" si="21"/>
        <v>0</v>
      </c>
      <c r="L41" s="15">
        <f t="shared" ca="1" si="12"/>
        <v>1</v>
      </c>
      <c r="M41" s="15"/>
      <c r="N41" s="15">
        <f t="shared" ca="1" si="11"/>
        <v>0</v>
      </c>
      <c r="O41" s="18"/>
      <c r="V41" s="1"/>
      <c r="W41" s="2"/>
    </row>
    <row r="42" spans="1:23" ht="13.5" customHeight="1" x14ac:dyDescent="0.4">
      <c r="A42" s="11" t="s">
        <v>8</v>
      </c>
      <c r="B42" s="40">
        <f t="shared" ref="B42:G44" ca="1" si="22">OFFSET(B42,-12,0)</f>
        <v>0</v>
      </c>
      <c r="C42" s="40"/>
      <c r="D42" s="40"/>
      <c r="E42" s="40"/>
      <c r="F42" s="13">
        <f t="shared" ca="1" si="22"/>
        <v>0</v>
      </c>
      <c r="G42" s="17">
        <f t="shared" ca="1" si="22"/>
        <v>0</v>
      </c>
      <c r="H42" s="17">
        <f t="shared" ref="H42:I44" ca="1" si="23">OFFSET(H42,-12,0)</f>
        <v>0</v>
      </c>
      <c r="I42" s="13">
        <f t="shared" ca="1" si="23"/>
        <v>0</v>
      </c>
      <c r="J42" s="16"/>
      <c r="K42" s="13">
        <f t="shared" ref="K42:K44" ca="1" si="24">OFFSET(K42,-12,0)</f>
        <v>0</v>
      </c>
      <c r="L42" s="15">
        <f t="shared" ca="1" si="12"/>
        <v>1</v>
      </c>
      <c r="M42" s="15"/>
      <c r="N42" s="15">
        <f t="shared" ca="1" si="11"/>
        <v>0</v>
      </c>
      <c r="O42" s="18"/>
      <c r="V42" s="1"/>
      <c r="W42" s="2"/>
    </row>
    <row r="43" spans="1:23" ht="13.5" customHeight="1" x14ac:dyDescent="0.4">
      <c r="A43" s="11" t="s">
        <v>8</v>
      </c>
      <c r="B43" s="40">
        <f t="shared" ca="1" si="22"/>
        <v>0</v>
      </c>
      <c r="C43" s="40"/>
      <c r="D43" s="40"/>
      <c r="E43" s="40"/>
      <c r="F43" s="13">
        <f t="shared" ca="1" si="22"/>
        <v>0</v>
      </c>
      <c r="G43" s="17">
        <f t="shared" ca="1" si="22"/>
        <v>0</v>
      </c>
      <c r="H43" s="17">
        <f t="shared" ca="1" si="23"/>
        <v>0</v>
      </c>
      <c r="I43" s="13">
        <f t="shared" ca="1" si="23"/>
        <v>0</v>
      </c>
      <c r="J43" s="16"/>
      <c r="K43" s="13">
        <f t="shared" ca="1" si="24"/>
        <v>0</v>
      </c>
      <c r="L43" s="15">
        <f t="shared" ca="1" si="12"/>
        <v>1</v>
      </c>
      <c r="M43" s="15"/>
      <c r="N43" s="15">
        <f t="shared" ca="1" si="11"/>
        <v>0</v>
      </c>
      <c r="O43" s="18"/>
      <c r="V43" s="1"/>
      <c r="W43" s="2"/>
    </row>
    <row r="44" spans="1:23" ht="13.5" customHeight="1" x14ac:dyDescent="0.4">
      <c r="A44" s="11" t="s">
        <v>8</v>
      </c>
      <c r="B44" s="40">
        <f t="shared" ca="1" si="22"/>
        <v>0</v>
      </c>
      <c r="C44" s="40"/>
      <c r="D44" s="40"/>
      <c r="E44" s="40"/>
      <c r="F44" s="13">
        <f t="shared" ca="1" si="22"/>
        <v>0</v>
      </c>
      <c r="G44" s="17">
        <f t="shared" ca="1" si="22"/>
        <v>0</v>
      </c>
      <c r="H44" s="17">
        <f t="shared" ca="1" si="23"/>
        <v>0</v>
      </c>
      <c r="I44" s="13">
        <f t="shared" ca="1" si="23"/>
        <v>0</v>
      </c>
      <c r="J44" s="16"/>
      <c r="K44" s="13">
        <f t="shared" ca="1" si="24"/>
        <v>0</v>
      </c>
      <c r="L44" s="15">
        <f t="shared" ca="1" si="12"/>
        <v>1</v>
      </c>
      <c r="M44" s="15"/>
      <c r="N44" s="15">
        <f t="shared" ca="1" si="11"/>
        <v>0</v>
      </c>
      <c r="O44" s="18"/>
      <c r="V44" s="1"/>
      <c r="W44" s="2"/>
    </row>
    <row r="45" spans="1:23" ht="13.5" customHeight="1" x14ac:dyDescent="0.4">
      <c r="A45" s="11" t="s">
        <v>9</v>
      </c>
      <c r="B45" s="41">
        <f t="shared" ref="B45:G47" ca="1" si="25">OFFSET(B45,-15,0)</f>
        <v>0</v>
      </c>
      <c r="C45" s="41"/>
      <c r="D45" s="41"/>
      <c r="E45" s="41"/>
      <c r="F45" s="19">
        <f t="shared" ca="1" si="25"/>
        <v>0</v>
      </c>
      <c r="G45" s="20">
        <f t="shared" ca="1" si="25"/>
        <v>0</v>
      </c>
      <c r="H45" s="20">
        <f ca="1">OFFSET(H45,-15,0)</f>
        <v>0</v>
      </c>
      <c r="I45" s="13">
        <f t="shared" ref="H45:I47" ca="1" si="26">OFFSET(I45,-15,0)</f>
        <v>0</v>
      </c>
      <c r="J45" s="16"/>
      <c r="K45" s="19">
        <f t="shared" ref="K45:K47" ca="1" si="27">OFFSET(K45,-15,0)</f>
        <v>0</v>
      </c>
      <c r="L45" s="15">
        <f t="shared" ca="1" si="12"/>
        <v>1</v>
      </c>
      <c r="M45" s="15"/>
      <c r="N45" s="15">
        <f t="shared" ca="1" si="11"/>
        <v>0</v>
      </c>
      <c r="O45" s="18"/>
      <c r="V45" s="1"/>
      <c r="W45" s="2"/>
    </row>
    <row r="46" spans="1:23" ht="13.5" customHeight="1" x14ac:dyDescent="0.4">
      <c r="A46" s="11" t="s">
        <v>9</v>
      </c>
      <c r="B46" s="41">
        <f t="shared" ca="1" si="25"/>
        <v>0</v>
      </c>
      <c r="C46" s="41"/>
      <c r="D46" s="41"/>
      <c r="E46" s="41"/>
      <c r="F46" s="19">
        <f t="shared" ca="1" si="25"/>
        <v>0</v>
      </c>
      <c r="G46" s="20">
        <f t="shared" ca="1" si="25"/>
        <v>0</v>
      </c>
      <c r="H46" s="20">
        <f t="shared" ca="1" si="26"/>
        <v>0</v>
      </c>
      <c r="I46" s="13">
        <f t="shared" ca="1" si="26"/>
        <v>0</v>
      </c>
      <c r="J46" s="16"/>
      <c r="K46" s="19">
        <f t="shared" ca="1" si="27"/>
        <v>0</v>
      </c>
      <c r="L46" s="15">
        <f t="shared" ca="1" si="12"/>
        <v>1</v>
      </c>
      <c r="M46" s="15"/>
      <c r="N46" s="15">
        <f t="shared" ca="1" si="11"/>
        <v>0</v>
      </c>
      <c r="O46" s="18"/>
      <c r="V46" s="1"/>
      <c r="W46" s="2"/>
    </row>
    <row r="47" spans="1:23" ht="13.5" customHeight="1" x14ac:dyDescent="0.4">
      <c r="A47" s="11" t="s">
        <v>9</v>
      </c>
      <c r="B47" s="41">
        <f t="shared" ca="1" si="25"/>
        <v>0</v>
      </c>
      <c r="C47" s="41"/>
      <c r="D47" s="41"/>
      <c r="E47" s="41"/>
      <c r="F47" s="19">
        <f t="shared" ca="1" si="25"/>
        <v>0</v>
      </c>
      <c r="G47" s="20">
        <f t="shared" ca="1" si="25"/>
        <v>0</v>
      </c>
      <c r="H47" s="20">
        <f t="shared" ca="1" si="26"/>
        <v>0</v>
      </c>
      <c r="I47" s="13">
        <f t="shared" ca="1" si="26"/>
        <v>0</v>
      </c>
      <c r="J47" s="16"/>
      <c r="K47" s="19">
        <f t="shared" ca="1" si="27"/>
        <v>0</v>
      </c>
      <c r="L47" s="15">
        <f t="shared" ca="1" si="12"/>
        <v>1</v>
      </c>
      <c r="M47" s="15"/>
      <c r="N47" s="15">
        <f t="shared" ca="1" si="11"/>
        <v>0</v>
      </c>
      <c r="O47" s="18"/>
      <c r="V47" s="1"/>
      <c r="W47" s="2"/>
    </row>
    <row r="48" spans="1:23" ht="13.5" customHeight="1" x14ac:dyDescent="0.4">
      <c r="A48" s="74" t="s">
        <v>28</v>
      </c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6"/>
      <c r="O48" s="18"/>
      <c r="V48" s="1"/>
      <c r="W48" s="2"/>
    </row>
    <row r="49" spans="1:23" ht="13.5" customHeight="1" x14ac:dyDescent="0.4">
      <c r="A49" s="11" t="s">
        <v>5</v>
      </c>
      <c r="B49" s="40"/>
      <c r="C49" s="40"/>
      <c r="D49" s="40"/>
      <c r="E49" s="40"/>
      <c r="F49" s="13"/>
      <c r="G49" s="11"/>
      <c r="H49" s="17"/>
      <c r="I49" s="13"/>
      <c r="J49" s="16"/>
      <c r="K49" s="13"/>
      <c r="L49" s="15">
        <f>ROUND((10^(K49/10))/(10^(I49/10)),3)</f>
        <v>1</v>
      </c>
      <c r="M49" s="15"/>
      <c r="N49" s="15">
        <f t="shared" ref="N49:N66" si="28">J49*L49</f>
        <v>0</v>
      </c>
      <c r="O49" s="18"/>
      <c r="V49" s="1"/>
      <c r="W49" s="2"/>
    </row>
    <row r="50" spans="1:23" ht="13.5" customHeight="1" x14ac:dyDescent="0.4">
      <c r="A50" s="11" t="s">
        <v>5</v>
      </c>
      <c r="B50" s="40"/>
      <c r="C50" s="40"/>
      <c r="D50" s="40"/>
      <c r="E50" s="40"/>
      <c r="F50" s="13"/>
      <c r="G50" s="11"/>
      <c r="H50" s="17"/>
      <c r="I50" s="13"/>
      <c r="J50" s="16"/>
      <c r="K50" s="13"/>
      <c r="L50" s="15">
        <f t="shared" ref="L50:L66" si="29">ROUND((10^(K50/10))/(10^(I50/10)),3)</f>
        <v>1</v>
      </c>
      <c r="M50" s="15"/>
      <c r="N50" s="15">
        <f t="shared" si="28"/>
        <v>0</v>
      </c>
      <c r="O50" s="18"/>
      <c r="V50" s="1"/>
      <c r="W50" s="2"/>
    </row>
    <row r="51" spans="1:23" ht="13.5" customHeight="1" x14ac:dyDescent="0.4">
      <c r="A51" s="11" t="s">
        <v>5</v>
      </c>
      <c r="B51" s="40"/>
      <c r="C51" s="40"/>
      <c r="D51" s="40"/>
      <c r="E51" s="40"/>
      <c r="F51" s="13"/>
      <c r="G51" s="11"/>
      <c r="H51" s="17"/>
      <c r="I51" s="13"/>
      <c r="J51" s="16"/>
      <c r="K51" s="13"/>
      <c r="L51" s="15">
        <f t="shared" si="29"/>
        <v>1</v>
      </c>
      <c r="M51" s="15"/>
      <c r="N51" s="15">
        <f t="shared" si="28"/>
        <v>0</v>
      </c>
      <c r="O51" s="18"/>
      <c r="V51" s="1"/>
      <c r="W51" s="2"/>
    </row>
    <row r="52" spans="1:23" ht="13.5" customHeight="1" x14ac:dyDescent="0.4">
      <c r="A52" s="11" t="s">
        <v>6</v>
      </c>
      <c r="B52" s="41">
        <f t="shared" ref="B52:H54" ca="1" si="30">OFFSET(B52,-3,0)</f>
        <v>0</v>
      </c>
      <c r="C52" s="41"/>
      <c r="D52" s="41"/>
      <c r="E52" s="41"/>
      <c r="F52" s="19">
        <f t="shared" ca="1" si="30"/>
        <v>0</v>
      </c>
      <c r="G52" s="20">
        <f t="shared" ca="1" si="30"/>
        <v>0</v>
      </c>
      <c r="H52" s="20">
        <f t="shared" ca="1" si="30"/>
        <v>0</v>
      </c>
      <c r="I52" s="13">
        <f t="shared" ref="I52:I54" ca="1" si="31">OFFSET(I52,-3,0)</f>
        <v>0</v>
      </c>
      <c r="J52" s="16"/>
      <c r="K52" s="19">
        <f t="shared" ref="K52:K54" ca="1" si="32">OFFSET(K52,-3,0)</f>
        <v>0</v>
      </c>
      <c r="L52" s="15">
        <f t="shared" ca="1" si="29"/>
        <v>1</v>
      </c>
      <c r="M52" s="15"/>
      <c r="N52" s="15">
        <f t="shared" ca="1" si="28"/>
        <v>0</v>
      </c>
      <c r="O52" s="18"/>
      <c r="V52" s="1"/>
      <c r="W52" s="2"/>
    </row>
    <row r="53" spans="1:23" ht="13.5" customHeight="1" x14ac:dyDescent="0.4">
      <c r="A53" s="11" t="s">
        <v>6</v>
      </c>
      <c r="B53" s="41">
        <f t="shared" ca="1" si="30"/>
        <v>0</v>
      </c>
      <c r="C53" s="41"/>
      <c r="D53" s="41"/>
      <c r="E53" s="41"/>
      <c r="F53" s="19">
        <f t="shared" ca="1" si="30"/>
        <v>0</v>
      </c>
      <c r="G53" s="20">
        <f t="shared" ca="1" si="30"/>
        <v>0</v>
      </c>
      <c r="H53" s="20">
        <f t="shared" ca="1" si="30"/>
        <v>0</v>
      </c>
      <c r="I53" s="13">
        <f t="shared" ca="1" si="31"/>
        <v>0</v>
      </c>
      <c r="J53" s="16"/>
      <c r="K53" s="19">
        <f t="shared" ca="1" si="32"/>
        <v>0</v>
      </c>
      <c r="L53" s="15">
        <f t="shared" ca="1" si="29"/>
        <v>1</v>
      </c>
      <c r="M53" s="15"/>
      <c r="N53" s="15">
        <f t="shared" ca="1" si="28"/>
        <v>0</v>
      </c>
      <c r="O53" s="18"/>
      <c r="V53" s="1"/>
      <c r="W53" s="2"/>
    </row>
    <row r="54" spans="1:23" ht="13.5" customHeight="1" x14ac:dyDescent="0.4">
      <c r="A54" s="11" t="s">
        <v>6</v>
      </c>
      <c r="B54" s="41">
        <f t="shared" ca="1" si="30"/>
        <v>0</v>
      </c>
      <c r="C54" s="41"/>
      <c r="D54" s="41"/>
      <c r="E54" s="41"/>
      <c r="F54" s="19">
        <f t="shared" ca="1" si="30"/>
        <v>0</v>
      </c>
      <c r="G54" s="20">
        <f t="shared" ca="1" si="30"/>
        <v>0</v>
      </c>
      <c r="H54" s="20">
        <f t="shared" ca="1" si="30"/>
        <v>0</v>
      </c>
      <c r="I54" s="13">
        <f t="shared" ca="1" si="31"/>
        <v>0</v>
      </c>
      <c r="J54" s="16"/>
      <c r="K54" s="19">
        <f t="shared" ca="1" si="32"/>
        <v>0</v>
      </c>
      <c r="L54" s="15">
        <f t="shared" ca="1" si="29"/>
        <v>1</v>
      </c>
      <c r="M54" s="15"/>
      <c r="N54" s="15">
        <f t="shared" ca="1" si="28"/>
        <v>0</v>
      </c>
      <c r="O54" s="18"/>
      <c r="V54" s="1"/>
      <c r="W54" s="2"/>
    </row>
    <row r="55" spans="1:23" ht="13.5" customHeight="1" x14ac:dyDescent="0.4">
      <c r="A55" s="11" t="s">
        <v>10</v>
      </c>
      <c r="B55" s="40">
        <f t="shared" ref="B55:H57" ca="1" si="33">OFFSET(B55,-6,0)</f>
        <v>0</v>
      </c>
      <c r="C55" s="40"/>
      <c r="D55" s="40"/>
      <c r="E55" s="40"/>
      <c r="F55" s="13">
        <f t="shared" ca="1" si="33"/>
        <v>0</v>
      </c>
      <c r="G55" s="17">
        <f t="shared" ca="1" si="33"/>
        <v>0</v>
      </c>
      <c r="H55" s="17">
        <f t="shared" ca="1" si="33"/>
        <v>0</v>
      </c>
      <c r="I55" s="13">
        <f t="shared" ref="I55:I57" ca="1" si="34">OFFSET(I55,-6,0)</f>
        <v>0</v>
      </c>
      <c r="J55" s="16"/>
      <c r="K55" s="13">
        <f t="shared" ref="K55:K57" ca="1" si="35">OFFSET(K55,-6,0)</f>
        <v>0</v>
      </c>
      <c r="L55" s="15">
        <f t="shared" ca="1" si="29"/>
        <v>1</v>
      </c>
      <c r="M55" s="15"/>
      <c r="N55" s="15">
        <f t="shared" ca="1" si="28"/>
        <v>0</v>
      </c>
      <c r="O55" s="18"/>
      <c r="V55" s="1"/>
      <c r="W55" s="2"/>
    </row>
    <row r="56" spans="1:23" ht="13.5" customHeight="1" x14ac:dyDescent="0.4">
      <c r="A56" s="11" t="s">
        <v>10</v>
      </c>
      <c r="B56" s="40">
        <f t="shared" ca="1" si="33"/>
        <v>0</v>
      </c>
      <c r="C56" s="40"/>
      <c r="D56" s="40"/>
      <c r="E56" s="40"/>
      <c r="F56" s="13">
        <f t="shared" ca="1" si="33"/>
        <v>0</v>
      </c>
      <c r="G56" s="17">
        <f t="shared" ca="1" si="33"/>
        <v>0</v>
      </c>
      <c r="H56" s="17">
        <f t="shared" ca="1" si="33"/>
        <v>0</v>
      </c>
      <c r="I56" s="13">
        <f t="shared" ca="1" si="34"/>
        <v>0</v>
      </c>
      <c r="J56" s="16"/>
      <c r="K56" s="13">
        <f t="shared" ca="1" si="35"/>
        <v>0</v>
      </c>
      <c r="L56" s="15">
        <f t="shared" ca="1" si="29"/>
        <v>1</v>
      </c>
      <c r="M56" s="15"/>
      <c r="N56" s="15">
        <f t="shared" ca="1" si="28"/>
        <v>0</v>
      </c>
      <c r="O56" s="18"/>
      <c r="V56" s="1"/>
      <c r="W56" s="2"/>
    </row>
    <row r="57" spans="1:23" ht="13.5" customHeight="1" x14ac:dyDescent="0.4">
      <c r="A57" s="11" t="s">
        <v>10</v>
      </c>
      <c r="B57" s="40">
        <f t="shared" ca="1" si="33"/>
        <v>0</v>
      </c>
      <c r="C57" s="40"/>
      <c r="D57" s="40"/>
      <c r="E57" s="40"/>
      <c r="F57" s="13">
        <f t="shared" ca="1" si="33"/>
        <v>0</v>
      </c>
      <c r="G57" s="17">
        <f t="shared" ca="1" si="33"/>
        <v>0</v>
      </c>
      <c r="H57" s="17">
        <f t="shared" ca="1" si="33"/>
        <v>0</v>
      </c>
      <c r="I57" s="13">
        <f t="shared" ca="1" si="34"/>
        <v>0</v>
      </c>
      <c r="J57" s="16"/>
      <c r="K57" s="13">
        <f t="shared" ca="1" si="35"/>
        <v>0</v>
      </c>
      <c r="L57" s="15">
        <f t="shared" ca="1" si="29"/>
        <v>1</v>
      </c>
      <c r="M57" s="15"/>
      <c r="N57" s="15">
        <f t="shared" ca="1" si="28"/>
        <v>0</v>
      </c>
      <c r="O57" s="18"/>
      <c r="V57" s="1"/>
      <c r="W57" s="2"/>
    </row>
    <row r="58" spans="1:23" ht="13.5" customHeight="1" x14ac:dyDescent="0.4">
      <c r="A58" s="11" t="s">
        <v>7</v>
      </c>
      <c r="B58" s="40">
        <f t="shared" ref="B58:H60" ca="1" si="36">OFFSET(B58,-9,0)</f>
        <v>0</v>
      </c>
      <c r="C58" s="40"/>
      <c r="D58" s="40"/>
      <c r="E58" s="40"/>
      <c r="F58" s="13">
        <f t="shared" ca="1" si="36"/>
        <v>0</v>
      </c>
      <c r="G58" s="17">
        <f t="shared" ca="1" si="36"/>
        <v>0</v>
      </c>
      <c r="H58" s="17">
        <f t="shared" ca="1" si="36"/>
        <v>0</v>
      </c>
      <c r="I58" s="13">
        <f t="shared" ref="I58:I60" ca="1" si="37">OFFSET(I58,-9,0)</f>
        <v>0</v>
      </c>
      <c r="J58" s="16"/>
      <c r="K58" s="13">
        <f t="shared" ref="K58:K60" ca="1" si="38">OFFSET(K58,-9,0)</f>
        <v>0</v>
      </c>
      <c r="L58" s="15">
        <f t="shared" ca="1" si="29"/>
        <v>1</v>
      </c>
      <c r="M58" s="15"/>
      <c r="N58" s="15">
        <f t="shared" ca="1" si="28"/>
        <v>0</v>
      </c>
      <c r="O58" s="18"/>
      <c r="V58" s="1"/>
      <c r="W58" s="2"/>
    </row>
    <row r="59" spans="1:23" ht="13.5" customHeight="1" x14ac:dyDescent="0.4">
      <c r="A59" s="11" t="s">
        <v>7</v>
      </c>
      <c r="B59" s="40">
        <f t="shared" ca="1" si="36"/>
        <v>0</v>
      </c>
      <c r="C59" s="40"/>
      <c r="D59" s="40"/>
      <c r="E59" s="40"/>
      <c r="F59" s="13">
        <f t="shared" ca="1" si="36"/>
        <v>0</v>
      </c>
      <c r="G59" s="17">
        <f t="shared" ca="1" si="36"/>
        <v>0</v>
      </c>
      <c r="H59" s="17">
        <f t="shared" ca="1" si="36"/>
        <v>0</v>
      </c>
      <c r="I59" s="13">
        <f t="shared" ca="1" si="37"/>
        <v>0</v>
      </c>
      <c r="J59" s="16"/>
      <c r="K59" s="13">
        <f t="shared" ca="1" si="38"/>
        <v>0</v>
      </c>
      <c r="L59" s="15">
        <f t="shared" ca="1" si="29"/>
        <v>1</v>
      </c>
      <c r="M59" s="15"/>
      <c r="N59" s="15">
        <f t="shared" ca="1" si="28"/>
        <v>0</v>
      </c>
      <c r="O59" s="18"/>
      <c r="V59" s="1"/>
      <c r="W59" s="2"/>
    </row>
    <row r="60" spans="1:23" ht="13.5" customHeight="1" x14ac:dyDescent="0.4">
      <c r="A60" s="11" t="s">
        <v>7</v>
      </c>
      <c r="B60" s="40">
        <f t="shared" ca="1" si="36"/>
        <v>0</v>
      </c>
      <c r="C60" s="40"/>
      <c r="D60" s="40"/>
      <c r="E60" s="40"/>
      <c r="F60" s="13">
        <f t="shared" ca="1" si="36"/>
        <v>0</v>
      </c>
      <c r="G60" s="17">
        <f t="shared" ca="1" si="36"/>
        <v>0</v>
      </c>
      <c r="H60" s="17">
        <f t="shared" ca="1" si="36"/>
        <v>0</v>
      </c>
      <c r="I60" s="13">
        <f t="shared" ca="1" si="37"/>
        <v>0</v>
      </c>
      <c r="J60" s="16"/>
      <c r="K60" s="13">
        <f t="shared" ca="1" si="38"/>
        <v>0</v>
      </c>
      <c r="L60" s="15">
        <f t="shared" ca="1" si="29"/>
        <v>1</v>
      </c>
      <c r="M60" s="15"/>
      <c r="N60" s="15">
        <f t="shared" ca="1" si="28"/>
        <v>0</v>
      </c>
      <c r="O60" s="18"/>
      <c r="V60" s="1"/>
      <c r="W60" s="2"/>
    </row>
    <row r="61" spans="1:23" ht="13.5" customHeight="1" x14ac:dyDescent="0.4">
      <c r="A61" s="11" t="s">
        <v>8</v>
      </c>
      <c r="B61" s="40">
        <f t="shared" ref="B61:H63" ca="1" si="39">OFFSET(B61,-12,0)</f>
        <v>0</v>
      </c>
      <c r="C61" s="40"/>
      <c r="D61" s="40"/>
      <c r="E61" s="40"/>
      <c r="F61" s="13">
        <f t="shared" ca="1" si="39"/>
        <v>0</v>
      </c>
      <c r="G61" s="17">
        <f t="shared" ca="1" si="39"/>
        <v>0</v>
      </c>
      <c r="H61" s="17">
        <f t="shared" ca="1" si="39"/>
        <v>0</v>
      </c>
      <c r="I61" s="13">
        <f t="shared" ref="I61:I63" ca="1" si="40">OFFSET(I61,-12,0)</f>
        <v>0</v>
      </c>
      <c r="J61" s="16"/>
      <c r="K61" s="13">
        <f t="shared" ref="K61:K63" ca="1" si="41">OFFSET(K61,-12,0)</f>
        <v>0</v>
      </c>
      <c r="L61" s="15">
        <f t="shared" ca="1" si="29"/>
        <v>1</v>
      </c>
      <c r="M61" s="15"/>
      <c r="N61" s="15">
        <f t="shared" ca="1" si="28"/>
        <v>0</v>
      </c>
      <c r="O61" s="18"/>
      <c r="V61" s="1"/>
      <c r="W61" s="2"/>
    </row>
    <row r="62" spans="1:23" ht="13.5" customHeight="1" x14ac:dyDescent="0.4">
      <c r="A62" s="11" t="s">
        <v>8</v>
      </c>
      <c r="B62" s="40">
        <f t="shared" ca="1" si="39"/>
        <v>0</v>
      </c>
      <c r="C62" s="40"/>
      <c r="D62" s="40"/>
      <c r="E62" s="40"/>
      <c r="F62" s="13">
        <f t="shared" ca="1" si="39"/>
        <v>0</v>
      </c>
      <c r="G62" s="17">
        <f t="shared" ca="1" si="39"/>
        <v>0</v>
      </c>
      <c r="H62" s="17">
        <f t="shared" ca="1" si="39"/>
        <v>0</v>
      </c>
      <c r="I62" s="13">
        <f t="shared" ca="1" si="40"/>
        <v>0</v>
      </c>
      <c r="J62" s="16"/>
      <c r="K62" s="13">
        <f t="shared" ca="1" si="41"/>
        <v>0</v>
      </c>
      <c r="L62" s="15">
        <f t="shared" ca="1" si="29"/>
        <v>1</v>
      </c>
      <c r="M62" s="15"/>
      <c r="N62" s="15">
        <f t="shared" ca="1" si="28"/>
        <v>0</v>
      </c>
      <c r="O62" s="18"/>
      <c r="V62" s="1"/>
      <c r="W62" s="2"/>
    </row>
    <row r="63" spans="1:23" ht="13.5" customHeight="1" x14ac:dyDescent="0.4">
      <c r="A63" s="11" t="s">
        <v>8</v>
      </c>
      <c r="B63" s="40">
        <f t="shared" ca="1" si="39"/>
        <v>0</v>
      </c>
      <c r="C63" s="40"/>
      <c r="D63" s="40"/>
      <c r="E63" s="40"/>
      <c r="F63" s="13">
        <f t="shared" ca="1" si="39"/>
        <v>0</v>
      </c>
      <c r="G63" s="17">
        <f t="shared" ca="1" si="39"/>
        <v>0</v>
      </c>
      <c r="H63" s="17">
        <f t="shared" ca="1" si="39"/>
        <v>0</v>
      </c>
      <c r="I63" s="13">
        <f t="shared" ca="1" si="40"/>
        <v>0</v>
      </c>
      <c r="J63" s="16"/>
      <c r="K63" s="13">
        <f t="shared" ca="1" si="41"/>
        <v>0</v>
      </c>
      <c r="L63" s="15">
        <f t="shared" ca="1" si="29"/>
        <v>1</v>
      </c>
      <c r="M63" s="15"/>
      <c r="N63" s="15">
        <f t="shared" ca="1" si="28"/>
        <v>0</v>
      </c>
      <c r="O63" s="18"/>
      <c r="V63" s="1"/>
      <c r="W63" s="2"/>
    </row>
    <row r="64" spans="1:23" ht="13.5" customHeight="1" x14ac:dyDescent="0.4">
      <c r="A64" s="11" t="s">
        <v>9</v>
      </c>
      <c r="B64" s="41">
        <f t="shared" ref="B64:H66" ca="1" si="42">OFFSET(B64,-15,0)</f>
        <v>0</v>
      </c>
      <c r="C64" s="41"/>
      <c r="D64" s="41"/>
      <c r="E64" s="41"/>
      <c r="F64" s="19">
        <f t="shared" ca="1" si="42"/>
        <v>0</v>
      </c>
      <c r="G64" s="20">
        <f t="shared" ca="1" si="42"/>
        <v>0</v>
      </c>
      <c r="H64" s="20">
        <f ca="1">OFFSET(H64,-15,0)</f>
        <v>0</v>
      </c>
      <c r="I64" s="13">
        <f t="shared" ref="I64:I66" ca="1" si="43">OFFSET(I64,-15,0)</f>
        <v>0</v>
      </c>
      <c r="J64" s="16"/>
      <c r="K64" s="19">
        <f t="shared" ref="K64:K66" ca="1" si="44">OFFSET(K64,-15,0)</f>
        <v>0</v>
      </c>
      <c r="L64" s="15">
        <f t="shared" ca="1" si="29"/>
        <v>1</v>
      </c>
      <c r="M64" s="15"/>
      <c r="N64" s="15">
        <f t="shared" ca="1" si="28"/>
        <v>0</v>
      </c>
      <c r="O64" s="18"/>
      <c r="V64" s="1"/>
      <c r="W64" s="2"/>
    </row>
    <row r="65" spans="1:23" ht="13.5" customHeight="1" x14ac:dyDescent="0.4">
      <c r="A65" s="11" t="s">
        <v>9</v>
      </c>
      <c r="B65" s="41">
        <f t="shared" ca="1" si="42"/>
        <v>0</v>
      </c>
      <c r="C65" s="41"/>
      <c r="D65" s="41"/>
      <c r="E65" s="41"/>
      <c r="F65" s="19">
        <f t="shared" ca="1" si="42"/>
        <v>0</v>
      </c>
      <c r="G65" s="20">
        <f t="shared" ca="1" si="42"/>
        <v>0</v>
      </c>
      <c r="H65" s="20">
        <f t="shared" ca="1" si="42"/>
        <v>0</v>
      </c>
      <c r="I65" s="13">
        <f t="shared" ca="1" si="43"/>
        <v>0</v>
      </c>
      <c r="J65" s="16"/>
      <c r="K65" s="19">
        <f t="shared" ca="1" si="44"/>
        <v>0</v>
      </c>
      <c r="L65" s="15">
        <f t="shared" ca="1" si="29"/>
        <v>1</v>
      </c>
      <c r="M65" s="15"/>
      <c r="N65" s="15">
        <f t="shared" ca="1" si="28"/>
        <v>0</v>
      </c>
      <c r="O65" s="18"/>
      <c r="V65" s="1"/>
      <c r="W65" s="2"/>
    </row>
    <row r="66" spans="1:23" ht="13.5" customHeight="1" x14ac:dyDescent="0.4">
      <c r="A66" s="11" t="s">
        <v>9</v>
      </c>
      <c r="B66" s="41">
        <f t="shared" ca="1" si="42"/>
        <v>0</v>
      </c>
      <c r="C66" s="41"/>
      <c r="D66" s="41"/>
      <c r="E66" s="41"/>
      <c r="F66" s="19">
        <f t="shared" ca="1" si="42"/>
        <v>0</v>
      </c>
      <c r="G66" s="20">
        <f t="shared" ca="1" si="42"/>
        <v>0</v>
      </c>
      <c r="H66" s="20">
        <f t="shared" ca="1" si="42"/>
        <v>0</v>
      </c>
      <c r="I66" s="13">
        <f t="shared" ca="1" si="43"/>
        <v>0</v>
      </c>
      <c r="J66" s="16"/>
      <c r="K66" s="19">
        <f t="shared" ca="1" si="44"/>
        <v>0</v>
      </c>
      <c r="L66" s="15">
        <f t="shared" ca="1" si="29"/>
        <v>1</v>
      </c>
      <c r="M66" s="15"/>
      <c r="N66" s="15">
        <f t="shared" ca="1" si="28"/>
        <v>0</v>
      </c>
      <c r="O66" s="18"/>
      <c r="V66" s="1"/>
      <c r="W66" s="2"/>
    </row>
    <row r="67" spans="1:23" ht="13.5" customHeight="1" x14ac:dyDescent="0.4">
      <c r="A67" s="74" t="s">
        <v>25</v>
      </c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6"/>
      <c r="O67" s="18"/>
      <c r="V67" s="1"/>
      <c r="W67" s="2"/>
    </row>
    <row r="68" spans="1:23" ht="13.5" customHeight="1" x14ac:dyDescent="0.4">
      <c r="A68" s="11" t="s">
        <v>5</v>
      </c>
      <c r="B68" s="40"/>
      <c r="C68" s="40"/>
      <c r="D68" s="40"/>
      <c r="E68" s="40"/>
      <c r="F68" s="13"/>
      <c r="G68" s="11"/>
      <c r="H68" s="17"/>
      <c r="I68" s="13"/>
      <c r="J68" s="16"/>
      <c r="K68" s="13"/>
      <c r="L68" s="15">
        <f>ROUND((10^(K68/10))/(10^(I68/10)),3)</f>
        <v>1</v>
      </c>
      <c r="M68" s="15"/>
      <c r="N68" s="15">
        <f t="shared" ref="N68:N85" si="45">J68*L68</f>
        <v>0</v>
      </c>
      <c r="O68" s="18"/>
      <c r="V68" s="1"/>
      <c r="W68" s="2"/>
    </row>
    <row r="69" spans="1:23" ht="13.5" customHeight="1" x14ac:dyDescent="0.4">
      <c r="A69" s="11" t="s">
        <v>5</v>
      </c>
      <c r="B69" s="40"/>
      <c r="C69" s="40"/>
      <c r="D69" s="40"/>
      <c r="E69" s="40"/>
      <c r="F69" s="13"/>
      <c r="G69" s="11"/>
      <c r="H69" s="17"/>
      <c r="I69" s="13"/>
      <c r="J69" s="16"/>
      <c r="K69" s="13"/>
      <c r="L69" s="15">
        <f t="shared" ref="L69:L85" si="46">ROUND((10^(K69/10))/(10^(I69/10)),3)</f>
        <v>1</v>
      </c>
      <c r="M69" s="15"/>
      <c r="N69" s="15">
        <f t="shared" si="45"/>
        <v>0</v>
      </c>
      <c r="O69" s="18"/>
      <c r="V69" s="1"/>
      <c r="W69" s="2"/>
    </row>
    <row r="70" spans="1:23" ht="13.5" customHeight="1" x14ac:dyDescent="0.4">
      <c r="A70" s="11" t="s">
        <v>5</v>
      </c>
      <c r="B70" s="40"/>
      <c r="C70" s="40"/>
      <c r="D70" s="40"/>
      <c r="E70" s="40"/>
      <c r="F70" s="13"/>
      <c r="G70" s="11"/>
      <c r="H70" s="17"/>
      <c r="I70" s="13"/>
      <c r="J70" s="16"/>
      <c r="K70" s="13"/>
      <c r="L70" s="15">
        <f t="shared" si="46"/>
        <v>1</v>
      </c>
      <c r="M70" s="15"/>
      <c r="N70" s="15">
        <f t="shared" si="45"/>
        <v>0</v>
      </c>
      <c r="O70" s="18"/>
      <c r="V70" s="1"/>
      <c r="W70" s="2"/>
    </row>
    <row r="71" spans="1:23" ht="13.5" customHeight="1" x14ac:dyDescent="0.4">
      <c r="A71" s="11" t="s">
        <v>6</v>
      </c>
      <c r="B71" s="41">
        <f t="shared" ref="B71:G73" ca="1" si="47">OFFSET(B71,-3,0)</f>
        <v>0</v>
      </c>
      <c r="C71" s="41"/>
      <c r="D71" s="41"/>
      <c r="E71" s="41"/>
      <c r="F71" s="19">
        <f t="shared" ca="1" si="47"/>
        <v>0</v>
      </c>
      <c r="G71" s="20">
        <f t="shared" ca="1" si="47"/>
        <v>0</v>
      </c>
      <c r="H71" s="20">
        <f t="shared" ref="H71:I73" ca="1" si="48">OFFSET(H71,-3,0)</f>
        <v>0</v>
      </c>
      <c r="I71" s="13">
        <f t="shared" ca="1" si="48"/>
        <v>0</v>
      </c>
      <c r="J71" s="16"/>
      <c r="K71" s="19">
        <f t="shared" ref="K71:K73" ca="1" si="49">OFFSET(K71,-3,0)</f>
        <v>0</v>
      </c>
      <c r="L71" s="15">
        <f t="shared" ca="1" si="46"/>
        <v>1</v>
      </c>
      <c r="M71" s="15"/>
      <c r="N71" s="15">
        <f t="shared" ca="1" si="45"/>
        <v>0</v>
      </c>
      <c r="O71" s="18"/>
      <c r="V71" s="1"/>
      <c r="W71" s="2"/>
    </row>
    <row r="72" spans="1:23" ht="13.5" customHeight="1" x14ac:dyDescent="0.4">
      <c r="A72" s="11" t="s">
        <v>6</v>
      </c>
      <c r="B72" s="41">
        <f t="shared" ca="1" si="47"/>
        <v>0</v>
      </c>
      <c r="C72" s="41"/>
      <c r="D72" s="41"/>
      <c r="E72" s="41"/>
      <c r="F72" s="19">
        <f t="shared" ca="1" si="47"/>
        <v>0</v>
      </c>
      <c r="G72" s="20">
        <f t="shared" ca="1" si="47"/>
        <v>0</v>
      </c>
      <c r="H72" s="20">
        <f t="shared" ca="1" si="48"/>
        <v>0</v>
      </c>
      <c r="I72" s="13">
        <f t="shared" ca="1" si="48"/>
        <v>0</v>
      </c>
      <c r="J72" s="16"/>
      <c r="K72" s="19">
        <f t="shared" ca="1" si="49"/>
        <v>0</v>
      </c>
      <c r="L72" s="15">
        <f t="shared" ca="1" si="46"/>
        <v>1</v>
      </c>
      <c r="M72" s="15"/>
      <c r="N72" s="15">
        <f t="shared" ca="1" si="45"/>
        <v>0</v>
      </c>
      <c r="O72" s="18"/>
      <c r="V72" s="1"/>
      <c r="W72" s="2"/>
    </row>
    <row r="73" spans="1:23" ht="13.5" customHeight="1" x14ac:dyDescent="0.4">
      <c r="A73" s="11" t="s">
        <v>6</v>
      </c>
      <c r="B73" s="41">
        <f t="shared" ca="1" si="47"/>
        <v>0</v>
      </c>
      <c r="C73" s="41"/>
      <c r="D73" s="41"/>
      <c r="E73" s="41"/>
      <c r="F73" s="19">
        <f t="shared" ca="1" si="47"/>
        <v>0</v>
      </c>
      <c r="G73" s="20">
        <f t="shared" ca="1" si="47"/>
        <v>0</v>
      </c>
      <c r="H73" s="20">
        <f t="shared" ca="1" si="48"/>
        <v>0</v>
      </c>
      <c r="I73" s="13">
        <f t="shared" ca="1" si="48"/>
        <v>0</v>
      </c>
      <c r="J73" s="16"/>
      <c r="K73" s="19">
        <f t="shared" ca="1" si="49"/>
        <v>0</v>
      </c>
      <c r="L73" s="15">
        <f t="shared" ca="1" si="46"/>
        <v>1</v>
      </c>
      <c r="M73" s="15"/>
      <c r="N73" s="15">
        <f t="shared" ca="1" si="45"/>
        <v>0</v>
      </c>
      <c r="O73" s="18"/>
      <c r="V73" s="1"/>
      <c r="W73" s="2"/>
    </row>
    <row r="74" spans="1:23" ht="13.5" customHeight="1" x14ac:dyDescent="0.4">
      <c r="A74" s="11" t="s">
        <v>10</v>
      </c>
      <c r="B74" s="40">
        <f t="shared" ref="B74:G76" ca="1" si="50">OFFSET(B74,-6,0)</f>
        <v>0</v>
      </c>
      <c r="C74" s="40"/>
      <c r="D74" s="40"/>
      <c r="E74" s="40"/>
      <c r="F74" s="13">
        <f t="shared" ca="1" si="50"/>
        <v>0</v>
      </c>
      <c r="G74" s="17">
        <f t="shared" ca="1" si="50"/>
        <v>0</v>
      </c>
      <c r="H74" s="17">
        <f t="shared" ref="H74:I76" ca="1" si="51">OFFSET(H74,-6,0)</f>
        <v>0</v>
      </c>
      <c r="I74" s="13">
        <f t="shared" ca="1" si="51"/>
        <v>0</v>
      </c>
      <c r="J74" s="16"/>
      <c r="K74" s="13">
        <f t="shared" ref="K74:K76" ca="1" si="52">OFFSET(K74,-6,0)</f>
        <v>0</v>
      </c>
      <c r="L74" s="15">
        <f t="shared" ca="1" si="46"/>
        <v>1</v>
      </c>
      <c r="M74" s="15"/>
      <c r="N74" s="15">
        <f t="shared" ca="1" si="45"/>
        <v>0</v>
      </c>
      <c r="O74" s="18"/>
      <c r="V74" s="1"/>
      <c r="W74" s="2"/>
    </row>
    <row r="75" spans="1:23" ht="13.5" customHeight="1" x14ac:dyDescent="0.4">
      <c r="A75" s="11" t="s">
        <v>10</v>
      </c>
      <c r="B75" s="40">
        <f t="shared" ca="1" si="50"/>
        <v>0</v>
      </c>
      <c r="C75" s="40"/>
      <c r="D75" s="40"/>
      <c r="E75" s="40"/>
      <c r="F75" s="13">
        <f t="shared" ca="1" si="50"/>
        <v>0</v>
      </c>
      <c r="G75" s="17">
        <f t="shared" ca="1" si="50"/>
        <v>0</v>
      </c>
      <c r="H75" s="17">
        <f t="shared" ca="1" si="51"/>
        <v>0</v>
      </c>
      <c r="I75" s="13">
        <f t="shared" ca="1" si="51"/>
        <v>0</v>
      </c>
      <c r="J75" s="16"/>
      <c r="K75" s="13">
        <f t="shared" ca="1" si="52"/>
        <v>0</v>
      </c>
      <c r="L75" s="15">
        <f t="shared" ca="1" si="46"/>
        <v>1</v>
      </c>
      <c r="M75" s="15"/>
      <c r="N75" s="15">
        <f t="shared" ca="1" si="45"/>
        <v>0</v>
      </c>
      <c r="O75" s="18"/>
      <c r="V75" s="1"/>
      <c r="W75" s="2"/>
    </row>
    <row r="76" spans="1:23" ht="13.5" customHeight="1" x14ac:dyDescent="0.4">
      <c r="A76" s="11" t="s">
        <v>10</v>
      </c>
      <c r="B76" s="40">
        <f t="shared" ca="1" si="50"/>
        <v>0</v>
      </c>
      <c r="C76" s="40"/>
      <c r="D76" s="40"/>
      <c r="E76" s="40"/>
      <c r="F76" s="13">
        <f t="shared" ca="1" si="50"/>
        <v>0</v>
      </c>
      <c r="G76" s="17">
        <f t="shared" ca="1" si="50"/>
        <v>0</v>
      </c>
      <c r="H76" s="17">
        <f t="shared" ca="1" si="51"/>
        <v>0</v>
      </c>
      <c r="I76" s="13">
        <f t="shared" ca="1" si="51"/>
        <v>0</v>
      </c>
      <c r="J76" s="16"/>
      <c r="K76" s="13">
        <f t="shared" ca="1" si="52"/>
        <v>0</v>
      </c>
      <c r="L76" s="15">
        <f t="shared" ca="1" si="46"/>
        <v>1</v>
      </c>
      <c r="M76" s="15"/>
      <c r="N76" s="15">
        <f t="shared" ca="1" si="45"/>
        <v>0</v>
      </c>
      <c r="O76" s="18"/>
      <c r="V76" s="1"/>
      <c r="W76" s="2"/>
    </row>
    <row r="77" spans="1:23" ht="13.5" customHeight="1" x14ac:dyDescent="0.4">
      <c r="A77" s="11" t="s">
        <v>7</v>
      </c>
      <c r="B77" s="40">
        <f t="shared" ref="B77:G79" ca="1" si="53">OFFSET(B77,-9,0)</f>
        <v>0</v>
      </c>
      <c r="C77" s="40"/>
      <c r="D77" s="40"/>
      <c r="E77" s="40"/>
      <c r="F77" s="13">
        <f t="shared" ca="1" si="53"/>
        <v>0</v>
      </c>
      <c r="G77" s="17">
        <f t="shared" ca="1" si="53"/>
        <v>0</v>
      </c>
      <c r="H77" s="17">
        <f t="shared" ref="H77:I79" ca="1" si="54">OFFSET(H77,-9,0)</f>
        <v>0</v>
      </c>
      <c r="I77" s="13">
        <f t="shared" ca="1" si="54"/>
        <v>0</v>
      </c>
      <c r="J77" s="16"/>
      <c r="K77" s="13">
        <f t="shared" ref="K77:K79" ca="1" si="55">OFFSET(K77,-9,0)</f>
        <v>0</v>
      </c>
      <c r="L77" s="15">
        <f t="shared" ca="1" si="46"/>
        <v>1</v>
      </c>
      <c r="M77" s="15"/>
      <c r="N77" s="15">
        <f t="shared" ca="1" si="45"/>
        <v>0</v>
      </c>
      <c r="O77" s="18"/>
      <c r="V77" s="1"/>
      <c r="W77" s="2"/>
    </row>
    <row r="78" spans="1:23" ht="13.5" customHeight="1" x14ac:dyDescent="0.4">
      <c r="A78" s="11" t="s">
        <v>7</v>
      </c>
      <c r="B78" s="40">
        <f t="shared" ca="1" si="53"/>
        <v>0</v>
      </c>
      <c r="C78" s="40"/>
      <c r="D78" s="40"/>
      <c r="E78" s="40"/>
      <c r="F78" s="13">
        <f t="shared" ca="1" si="53"/>
        <v>0</v>
      </c>
      <c r="G78" s="17">
        <f t="shared" ca="1" si="53"/>
        <v>0</v>
      </c>
      <c r="H78" s="17">
        <f t="shared" ca="1" si="54"/>
        <v>0</v>
      </c>
      <c r="I78" s="13">
        <f t="shared" ca="1" si="54"/>
        <v>0</v>
      </c>
      <c r="J78" s="16"/>
      <c r="K78" s="13">
        <f t="shared" ca="1" si="55"/>
        <v>0</v>
      </c>
      <c r="L78" s="15">
        <f t="shared" ca="1" si="46"/>
        <v>1</v>
      </c>
      <c r="M78" s="15"/>
      <c r="N78" s="15">
        <f t="shared" ca="1" si="45"/>
        <v>0</v>
      </c>
      <c r="O78" s="18"/>
      <c r="V78" s="1"/>
      <c r="W78" s="2"/>
    </row>
    <row r="79" spans="1:23" ht="13.5" customHeight="1" x14ac:dyDescent="0.4">
      <c r="A79" s="11" t="s">
        <v>7</v>
      </c>
      <c r="B79" s="40">
        <f t="shared" ca="1" si="53"/>
        <v>0</v>
      </c>
      <c r="C79" s="40"/>
      <c r="D79" s="40"/>
      <c r="E79" s="40"/>
      <c r="F79" s="13">
        <f t="shared" ca="1" si="53"/>
        <v>0</v>
      </c>
      <c r="G79" s="17">
        <f t="shared" ca="1" si="53"/>
        <v>0</v>
      </c>
      <c r="H79" s="17">
        <f t="shared" ca="1" si="54"/>
        <v>0</v>
      </c>
      <c r="I79" s="13">
        <f t="shared" ca="1" si="54"/>
        <v>0</v>
      </c>
      <c r="J79" s="16"/>
      <c r="K79" s="13">
        <f t="shared" ca="1" si="55"/>
        <v>0</v>
      </c>
      <c r="L79" s="15">
        <f t="shared" ca="1" si="46"/>
        <v>1</v>
      </c>
      <c r="M79" s="15"/>
      <c r="N79" s="15">
        <f t="shared" ca="1" si="45"/>
        <v>0</v>
      </c>
      <c r="O79" s="18"/>
      <c r="V79" s="1"/>
      <c r="W79" s="2"/>
    </row>
    <row r="80" spans="1:23" ht="13.5" customHeight="1" x14ac:dyDescent="0.4">
      <c r="A80" s="11" t="s">
        <v>8</v>
      </c>
      <c r="B80" s="40">
        <f t="shared" ref="B80:G82" ca="1" si="56">OFFSET(B80,-12,0)</f>
        <v>0</v>
      </c>
      <c r="C80" s="40"/>
      <c r="D80" s="40"/>
      <c r="E80" s="40"/>
      <c r="F80" s="13">
        <f t="shared" ca="1" si="56"/>
        <v>0</v>
      </c>
      <c r="G80" s="17">
        <f t="shared" ca="1" si="56"/>
        <v>0</v>
      </c>
      <c r="H80" s="17">
        <f t="shared" ref="H80:I82" ca="1" si="57">OFFSET(H80,-12,0)</f>
        <v>0</v>
      </c>
      <c r="I80" s="13">
        <f t="shared" ca="1" si="57"/>
        <v>0</v>
      </c>
      <c r="J80" s="16"/>
      <c r="K80" s="13">
        <f t="shared" ref="K80:K82" ca="1" si="58">OFFSET(K80,-12,0)</f>
        <v>0</v>
      </c>
      <c r="L80" s="15">
        <f t="shared" ca="1" si="46"/>
        <v>1</v>
      </c>
      <c r="M80" s="15"/>
      <c r="N80" s="15">
        <f t="shared" ca="1" si="45"/>
        <v>0</v>
      </c>
      <c r="O80" s="18"/>
      <c r="V80" s="1"/>
      <c r="W80" s="2"/>
    </row>
    <row r="81" spans="1:23" ht="13.5" customHeight="1" x14ac:dyDescent="0.4">
      <c r="A81" s="11" t="s">
        <v>8</v>
      </c>
      <c r="B81" s="40">
        <f t="shared" ca="1" si="56"/>
        <v>0</v>
      </c>
      <c r="C81" s="40"/>
      <c r="D81" s="40"/>
      <c r="E81" s="40"/>
      <c r="F81" s="13">
        <f t="shared" ca="1" si="56"/>
        <v>0</v>
      </c>
      <c r="G81" s="17">
        <f t="shared" ca="1" si="56"/>
        <v>0</v>
      </c>
      <c r="H81" s="17">
        <f t="shared" ca="1" si="57"/>
        <v>0</v>
      </c>
      <c r="I81" s="13">
        <f t="shared" ca="1" si="57"/>
        <v>0</v>
      </c>
      <c r="J81" s="16"/>
      <c r="K81" s="13">
        <f t="shared" ca="1" si="58"/>
        <v>0</v>
      </c>
      <c r="L81" s="15">
        <f t="shared" ca="1" si="46"/>
        <v>1</v>
      </c>
      <c r="M81" s="15"/>
      <c r="N81" s="15">
        <f t="shared" ca="1" si="45"/>
        <v>0</v>
      </c>
      <c r="O81" s="18"/>
      <c r="V81" s="1"/>
      <c r="W81" s="2"/>
    </row>
    <row r="82" spans="1:23" ht="13.5" customHeight="1" x14ac:dyDescent="0.4">
      <c r="A82" s="11" t="s">
        <v>8</v>
      </c>
      <c r="B82" s="40">
        <f t="shared" ca="1" si="56"/>
        <v>0</v>
      </c>
      <c r="C82" s="40"/>
      <c r="D82" s="40"/>
      <c r="E82" s="40"/>
      <c r="F82" s="13">
        <f t="shared" ca="1" si="56"/>
        <v>0</v>
      </c>
      <c r="G82" s="17">
        <f t="shared" ca="1" si="56"/>
        <v>0</v>
      </c>
      <c r="H82" s="17">
        <f t="shared" ca="1" si="57"/>
        <v>0</v>
      </c>
      <c r="I82" s="13">
        <f t="shared" ca="1" si="57"/>
        <v>0</v>
      </c>
      <c r="J82" s="16"/>
      <c r="K82" s="13">
        <f t="shared" ca="1" si="58"/>
        <v>0</v>
      </c>
      <c r="L82" s="15">
        <f t="shared" ca="1" si="46"/>
        <v>1</v>
      </c>
      <c r="M82" s="15"/>
      <c r="N82" s="15">
        <f t="shared" ca="1" si="45"/>
        <v>0</v>
      </c>
      <c r="O82" s="18"/>
      <c r="V82" s="1"/>
      <c r="W82" s="2"/>
    </row>
    <row r="83" spans="1:23" ht="13.5" customHeight="1" x14ac:dyDescent="0.4">
      <c r="A83" s="11" t="s">
        <v>9</v>
      </c>
      <c r="B83" s="41">
        <f t="shared" ref="B83:G85" ca="1" si="59">OFFSET(B83,-15,0)</f>
        <v>0</v>
      </c>
      <c r="C83" s="41"/>
      <c r="D83" s="41"/>
      <c r="E83" s="41"/>
      <c r="F83" s="19">
        <f t="shared" ca="1" si="59"/>
        <v>0</v>
      </c>
      <c r="G83" s="20">
        <f t="shared" ca="1" si="59"/>
        <v>0</v>
      </c>
      <c r="H83" s="20">
        <f t="shared" ref="H83:I85" ca="1" si="60">OFFSET(H83,-15,0)</f>
        <v>0</v>
      </c>
      <c r="I83" s="13">
        <f t="shared" ca="1" si="60"/>
        <v>0</v>
      </c>
      <c r="J83" s="16"/>
      <c r="K83" s="19">
        <f t="shared" ref="K83:K85" ca="1" si="61">OFFSET(K83,-15,0)</f>
        <v>0</v>
      </c>
      <c r="L83" s="15">
        <f t="shared" ca="1" si="46"/>
        <v>1</v>
      </c>
      <c r="M83" s="15"/>
      <c r="N83" s="15">
        <f t="shared" ca="1" si="45"/>
        <v>0</v>
      </c>
      <c r="O83" s="18"/>
      <c r="V83" s="1"/>
      <c r="W83" s="2"/>
    </row>
    <row r="84" spans="1:23" ht="13.5" customHeight="1" x14ac:dyDescent="0.4">
      <c r="A84" s="11" t="s">
        <v>9</v>
      </c>
      <c r="B84" s="41">
        <f t="shared" ca="1" si="59"/>
        <v>0</v>
      </c>
      <c r="C84" s="41"/>
      <c r="D84" s="41"/>
      <c r="E84" s="41"/>
      <c r="F84" s="19">
        <f t="shared" ca="1" si="59"/>
        <v>0</v>
      </c>
      <c r="G84" s="20">
        <f t="shared" ca="1" si="59"/>
        <v>0</v>
      </c>
      <c r="H84" s="20">
        <f t="shared" ca="1" si="60"/>
        <v>0</v>
      </c>
      <c r="I84" s="13">
        <f t="shared" ca="1" si="60"/>
        <v>0</v>
      </c>
      <c r="J84" s="16"/>
      <c r="K84" s="19">
        <f t="shared" ca="1" si="61"/>
        <v>0</v>
      </c>
      <c r="L84" s="15">
        <f t="shared" ca="1" si="46"/>
        <v>1</v>
      </c>
      <c r="M84" s="15"/>
      <c r="N84" s="15">
        <f t="shared" ca="1" si="45"/>
        <v>0</v>
      </c>
      <c r="O84" s="18"/>
      <c r="V84" s="1"/>
      <c r="W84" s="2"/>
    </row>
    <row r="85" spans="1:23" ht="13.5" customHeight="1" x14ac:dyDescent="0.4">
      <c r="A85" s="11" t="s">
        <v>9</v>
      </c>
      <c r="B85" s="41">
        <f t="shared" ca="1" si="59"/>
        <v>0</v>
      </c>
      <c r="C85" s="41"/>
      <c r="D85" s="41"/>
      <c r="E85" s="41"/>
      <c r="F85" s="19">
        <f t="shared" ca="1" si="59"/>
        <v>0</v>
      </c>
      <c r="G85" s="20">
        <f t="shared" ca="1" si="59"/>
        <v>0</v>
      </c>
      <c r="H85" s="20">
        <f t="shared" ca="1" si="60"/>
        <v>0</v>
      </c>
      <c r="I85" s="13">
        <f t="shared" ca="1" si="60"/>
        <v>0</v>
      </c>
      <c r="J85" s="16"/>
      <c r="K85" s="19">
        <f t="shared" ca="1" si="61"/>
        <v>0</v>
      </c>
      <c r="L85" s="15">
        <f t="shared" ca="1" si="46"/>
        <v>1</v>
      </c>
      <c r="M85" s="15"/>
      <c r="N85" s="15">
        <f t="shared" ca="1" si="45"/>
        <v>0</v>
      </c>
      <c r="O85" s="18"/>
      <c r="V85" s="1"/>
      <c r="W85" s="2"/>
    </row>
    <row r="86" spans="1:23" ht="13.5" customHeight="1" x14ac:dyDescent="0.4">
      <c r="A86" s="74" t="s">
        <v>29</v>
      </c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6"/>
      <c r="O86" s="18"/>
      <c r="V86" s="1"/>
      <c r="W86" s="2"/>
    </row>
    <row r="87" spans="1:23" ht="13.5" customHeight="1" x14ac:dyDescent="0.4">
      <c r="A87" s="11" t="s">
        <v>5</v>
      </c>
      <c r="B87" s="40"/>
      <c r="C87" s="40"/>
      <c r="D87" s="40"/>
      <c r="E87" s="40"/>
      <c r="F87" s="13"/>
      <c r="G87" s="11"/>
      <c r="H87" s="17"/>
      <c r="I87" s="13"/>
      <c r="J87" s="16"/>
      <c r="K87" s="13"/>
      <c r="L87" s="15">
        <f>ROUND((10^(K87/10))/(10^(I87/10)),3)</f>
        <v>1</v>
      </c>
      <c r="M87" s="15"/>
      <c r="N87" s="15">
        <f t="shared" ref="N87:N104" si="62">J87*L87</f>
        <v>0</v>
      </c>
      <c r="O87" s="18"/>
      <c r="V87" s="1"/>
      <c r="W87" s="2"/>
    </row>
    <row r="88" spans="1:23" ht="13.5" customHeight="1" x14ac:dyDescent="0.4">
      <c r="A88" s="11" t="s">
        <v>5</v>
      </c>
      <c r="B88" s="40"/>
      <c r="C88" s="40"/>
      <c r="D88" s="40"/>
      <c r="E88" s="40"/>
      <c r="F88" s="13"/>
      <c r="G88" s="11"/>
      <c r="H88" s="17"/>
      <c r="I88" s="13"/>
      <c r="J88" s="16"/>
      <c r="K88" s="13"/>
      <c r="L88" s="15">
        <f t="shared" ref="L88:L104" si="63">ROUND((10^(K88/10))/(10^(I88/10)),3)</f>
        <v>1</v>
      </c>
      <c r="M88" s="15"/>
      <c r="N88" s="15">
        <f t="shared" si="62"/>
        <v>0</v>
      </c>
      <c r="O88" s="18"/>
      <c r="V88" s="1"/>
      <c r="W88" s="2"/>
    </row>
    <row r="89" spans="1:23" ht="13.5" customHeight="1" x14ac:dyDescent="0.4">
      <c r="A89" s="11" t="s">
        <v>5</v>
      </c>
      <c r="B89" s="40"/>
      <c r="C89" s="40"/>
      <c r="D89" s="40"/>
      <c r="E89" s="40"/>
      <c r="F89" s="13"/>
      <c r="G89" s="11"/>
      <c r="H89" s="17"/>
      <c r="I89" s="13"/>
      <c r="J89" s="16"/>
      <c r="K89" s="13"/>
      <c r="L89" s="15">
        <f t="shared" si="63"/>
        <v>1</v>
      </c>
      <c r="M89" s="15"/>
      <c r="N89" s="15">
        <f t="shared" si="62"/>
        <v>0</v>
      </c>
      <c r="O89" s="18"/>
      <c r="V89" s="1"/>
      <c r="W89" s="2"/>
    </row>
    <row r="90" spans="1:23" ht="13.5" customHeight="1" x14ac:dyDescent="0.4">
      <c r="A90" s="11" t="s">
        <v>6</v>
      </c>
      <c r="B90" s="41">
        <f t="shared" ref="B90:G92" ca="1" si="64">OFFSET(B90,-3,0)</f>
        <v>0</v>
      </c>
      <c r="C90" s="41"/>
      <c r="D90" s="41"/>
      <c r="E90" s="41"/>
      <c r="F90" s="19">
        <f t="shared" ca="1" si="64"/>
        <v>0</v>
      </c>
      <c r="G90" s="20">
        <f t="shared" ca="1" si="64"/>
        <v>0</v>
      </c>
      <c r="H90" s="20">
        <f t="shared" ref="H90:I92" ca="1" si="65">OFFSET(H90,-3,0)</f>
        <v>0</v>
      </c>
      <c r="I90" s="13">
        <f t="shared" ca="1" si="65"/>
        <v>0</v>
      </c>
      <c r="J90" s="16"/>
      <c r="K90" s="19">
        <f t="shared" ref="K90:K92" ca="1" si="66">OFFSET(K90,-3,0)</f>
        <v>0</v>
      </c>
      <c r="L90" s="15">
        <f t="shared" ca="1" si="63"/>
        <v>1</v>
      </c>
      <c r="M90" s="15"/>
      <c r="N90" s="15">
        <f t="shared" ca="1" si="62"/>
        <v>0</v>
      </c>
      <c r="O90" s="18"/>
      <c r="V90" s="1"/>
      <c r="W90" s="2"/>
    </row>
    <row r="91" spans="1:23" ht="13.5" customHeight="1" x14ac:dyDescent="0.4">
      <c r="A91" s="11" t="s">
        <v>6</v>
      </c>
      <c r="B91" s="41">
        <f t="shared" ca="1" si="64"/>
        <v>0</v>
      </c>
      <c r="C91" s="41"/>
      <c r="D91" s="41"/>
      <c r="E91" s="41"/>
      <c r="F91" s="19">
        <f t="shared" ca="1" si="64"/>
        <v>0</v>
      </c>
      <c r="G91" s="20">
        <f t="shared" ca="1" si="64"/>
        <v>0</v>
      </c>
      <c r="H91" s="20">
        <f t="shared" ca="1" si="65"/>
        <v>0</v>
      </c>
      <c r="I91" s="13">
        <f t="shared" ca="1" si="65"/>
        <v>0</v>
      </c>
      <c r="J91" s="16"/>
      <c r="K91" s="19">
        <f t="shared" ca="1" si="66"/>
        <v>0</v>
      </c>
      <c r="L91" s="15">
        <f t="shared" ca="1" si="63"/>
        <v>1</v>
      </c>
      <c r="M91" s="15"/>
      <c r="N91" s="15">
        <f t="shared" ca="1" si="62"/>
        <v>0</v>
      </c>
      <c r="O91" s="18"/>
      <c r="V91" s="1"/>
      <c r="W91" s="2"/>
    </row>
    <row r="92" spans="1:23" ht="13.5" customHeight="1" x14ac:dyDescent="0.4">
      <c r="A92" s="11" t="s">
        <v>6</v>
      </c>
      <c r="B92" s="41">
        <f t="shared" ca="1" si="64"/>
        <v>0</v>
      </c>
      <c r="C92" s="41"/>
      <c r="D92" s="41"/>
      <c r="E92" s="41"/>
      <c r="F92" s="19">
        <f t="shared" ca="1" si="64"/>
        <v>0</v>
      </c>
      <c r="G92" s="20">
        <f t="shared" ca="1" si="64"/>
        <v>0</v>
      </c>
      <c r="H92" s="20">
        <f t="shared" ca="1" si="65"/>
        <v>0</v>
      </c>
      <c r="I92" s="13">
        <f t="shared" ca="1" si="65"/>
        <v>0</v>
      </c>
      <c r="J92" s="16"/>
      <c r="K92" s="19">
        <f t="shared" ca="1" si="66"/>
        <v>0</v>
      </c>
      <c r="L92" s="15">
        <f t="shared" ca="1" si="63"/>
        <v>1</v>
      </c>
      <c r="M92" s="15"/>
      <c r="N92" s="15">
        <f t="shared" ca="1" si="62"/>
        <v>0</v>
      </c>
      <c r="O92" s="18"/>
      <c r="V92" s="1"/>
      <c r="W92" s="2"/>
    </row>
    <row r="93" spans="1:23" ht="13.5" customHeight="1" x14ac:dyDescent="0.4">
      <c r="A93" s="11" t="s">
        <v>10</v>
      </c>
      <c r="B93" s="40">
        <f t="shared" ref="B93:G95" ca="1" si="67">OFFSET(B93,-6,0)</f>
        <v>0</v>
      </c>
      <c r="C93" s="40"/>
      <c r="D93" s="40"/>
      <c r="E93" s="40"/>
      <c r="F93" s="13">
        <f t="shared" ca="1" si="67"/>
        <v>0</v>
      </c>
      <c r="G93" s="17">
        <f t="shared" ca="1" si="67"/>
        <v>0</v>
      </c>
      <c r="H93" s="17">
        <f t="shared" ref="H93:I95" ca="1" si="68">OFFSET(H93,-6,0)</f>
        <v>0</v>
      </c>
      <c r="I93" s="13">
        <f t="shared" ca="1" si="68"/>
        <v>0</v>
      </c>
      <c r="J93" s="16"/>
      <c r="K93" s="13">
        <f t="shared" ref="K93:K95" ca="1" si="69">OFFSET(K93,-6,0)</f>
        <v>0</v>
      </c>
      <c r="L93" s="15">
        <f t="shared" ca="1" si="63"/>
        <v>1</v>
      </c>
      <c r="M93" s="15"/>
      <c r="N93" s="15">
        <f t="shared" ca="1" si="62"/>
        <v>0</v>
      </c>
      <c r="O93" s="18"/>
      <c r="V93" s="1"/>
      <c r="W93" s="2"/>
    </row>
    <row r="94" spans="1:23" ht="13.5" customHeight="1" x14ac:dyDescent="0.4">
      <c r="A94" s="11" t="s">
        <v>10</v>
      </c>
      <c r="B94" s="40">
        <f t="shared" ca="1" si="67"/>
        <v>0</v>
      </c>
      <c r="C94" s="40"/>
      <c r="D94" s="40"/>
      <c r="E94" s="40"/>
      <c r="F94" s="13">
        <f t="shared" ca="1" si="67"/>
        <v>0</v>
      </c>
      <c r="G94" s="17">
        <f t="shared" ca="1" si="67"/>
        <v>0</v>
      </c>
      <c r="H94" s="17">
        <f t="shared" ca="1" si="68"/>
        <v>0</v>
      </c>
      <c r="I94" s="13">
        <f t="shared" ca="1" si="68"/>
        <v>0</v>
      </c>
      <c r="J94" s="16"/>
      <c r="K94" s="13">
        <f t="shared" ca="1" si="69"/>
        <v>0</v>
      </c>
      <c r="L94" s="15">
        <f t="shared" ca="1" si="63"/>
        <v>1</v>
      </c>
      <c r="M94" s="15"/>
      <c r="N94" s="15">
        <f t="shared" ca="1" si="62"/>
        <v>0</v>
      </c>
      <c r="O94" s="18"/>
      <c r="V94" s="1"/>
      <c r="W94" s="2"/>
    </row>
    <row r="95" spans="1:23" ht="13.5" customHeight="1" x14ac:dyDescent="0.4">
      <c r="A95" s="11" t="s">
        <v>10</v>
      </c>
      <c r="B95" s="40">
        <f t="shared" ca="1" si="67"/>
        <v>0</v>
      </c>
      <c r="C95" s="40"/>
      <c r="D95" s="40"/>
      <c r="E95" s="40"/>
      <c r="F95" s="13">
        <f t="shared" ca="1" si="67"/>
        <v>0</v>
      </c>
      <c r="G95" s="17">
        <f t="shared" ca="1" si="67"/>
        <v>0</v>
      </c>
      <c r="H95" s="17">
        <f t="shared" ca="1" si="68"/>
        <v>0</v>
      </c>
      <c r="I95" s="13">
        <f t="shared" ca="1" si="68"/>
        <v>0</v>
      </c>
      <c r="J95" s="16"/>
      <c r="K95" s="13">
        <f t="shared" ca="1" si="69"/>
        <v>0</v>
      </c>
      <c r="L95" s="15">
        <f t="shared" ca="1" si="63"/>
        <v>1</v>
      </c>
      <c r="M95" s="15"/>
      <c r="N95" s="15">
        <f t="shared" ca="1" si="62"/>
        <v>0</v>
      </c>
      <c r="O95" s="18"/>
      <c r="V95" s="1"/>
      <c r="W95" s="2"/>
    </row>
    <row r="96" spans="1:23" ht="13.5" customHeight="1" x14ac:dyDescent="0.4">
      <c r="A96" s="11" t="s">
        <v>7</v>
      </c>
      <c r="B96" s="40">
        <f t="shared" ref="B96:G98" ca="1" si="70">OFFSET(B96,-9,0)</f>
        <v>0</v>
      </c>
      <c r="C96" s="40"/>
      <c r="D96" s="40"/>
      <c r="E96" s="40"/>
      <c r="F96" s="13">
        <f t="shared" ca="1" si="70"/>
        <v>0</v>
      </c>
      <c r="G96" s="17">
        <f t="shared" ca="1" si="70"/>
        <v>0</v>
      </c>
      <c r="H96" s="17">
        <f t="shared" ref="H96:I98" ca="1" si="71">OFFSET(H96,-9,0)</f>
        <v>0</v>
      </c>
      <c r="I96" s="13">
        <f t="shared" ca="1" si="71"/>
        <v>0</v>
      </c>
      <c r="J96" s="16"/>
      <c r="K96" s="13">
        <f t="shared" ref="K96:K98" ca="1" si="72">OFFSET(K96,-9,0)</f>
        <v>0</v>
      </c>
      <c r="L96" s="15">
        <f t="shared" ca="1" si="63"/>
        <v>1</v>
      </c>
      <c r="M96" s="15"/>
      <c r="N96" s="15">
        <f t="shared" ca="1" si="62"/>
        <v>0</v>
      </c>
      <c r="O96" s="18"/>
      <c r="V96" s="1"/>
      <c r="W96" s="2"/>
    </row>
    <row r="97" spans="1:23" ht="13.5" customHeight="1" x14ac:dyDescent="0.4">
      <c r="A97" s="11" t="s">
        <v>7</v>
      </c>
      <c r="B97" s="40">
        <f t="shared" ca="1" si="70"/>
        <v>0</v>
      </c>
      <c r="C97" s="40"/>
      <c r="D97" s="40"/>
      <c r="E97" s="40"/>
      <c r="F97" s="13">
        <f t="shared" ca="1" si="70"/>
        <v>0</v>
      </c>
      <c r="G97" s="17">
        <f t="shared" ca="1" si="70"/>
        <v>0</v>
      </c>
      <c r="H97" s="17">
        <f t="shared" ca="1" si="71"/>
        <v>0</v>
      </c>
      <c r="I97" s="13">
        <f t="shared" ca="1" si="71"/>
        <v>0</v>
      </c>
      <c r="J97" s="16"/>
      <c r="K97" s="13">
        <f t="shared" ca="1" si="72"/>
        <v>0</v>
      </c>
      <c r="L97" s="15">
        <f t="shared" ca="1" si="63"/>
        <v>1</v>
      </c>
      <c r="M97" s="15"/>
      <c r="N97" s="15">
        <f t="shared" ca="1" si="62"/>
        <v>0</v>
      </c>
      <c r="O97" s="18"/>
      <c r="V97" s="1"/>
      <c r="W97" s="2"/>
    </row>
    <row r="98" spans="1:23" ht="13.5" customHeight="1" x14ac:dyDescent="0.4">
      <c r="A98" s="11" t="s">
        <v>7</v>
      </c>
      <c r="B98" s="40">
        <f t="shared" ca="1" si="70"/>
        <v>0</v>
      </c>
      <c r="C98" s="40"/>
      <c r="D98" s="40"/>
      <c r="E98" s="40"/>
      <c r="F98" s="13">
        <f t="shared" ca="1" si="70"/>
        <v>0</v>
      </c>
      <c r="G98" s="17">
        <f t="shared" ca="1" si="70"/>
        <v>0</v>
      </c>
      <c r="H98" s="17">
        <f t="shared" ca="1" si="71"/>
        <v>0</v>
      </c>
      <c r="I98" s="13">
        <f t="shared" ca="1" si="71"/>
        <v>0</v>
      </c>
      <c r="J98" s="16"/>
      <c r="K98" s="13">
        <f t="shared" ca="1" si="72"/>
        <v>0</v>
      </c>
      <c r="L98" s="15">
        <f t="shared" ca="1" si="63"/>
        <v>1</v>
      </c>
      <c r="M98" s="15"/>
      <c r="N98" s="15">
        <f t="shared" ca="1" si="62"/>
        <v>0</v>
      </c>
      <c r="O98" s="18"/>
      <c r="V98" s="1"/>
      <c r="W98" s="2"/>
    </row>
    <row r="99" spans="1:23" ht="13.5" customHeight="1" x14ac:dyDescent="0.4">
      <c r="A99" s="11" t="s">
        <v>8</v>
      </c>
      <c r="B99" s="40">
        <f t="shared" ref="B99:G101" ca="1" si="73">OFFSET(B99,-12,0)</f>
        <v>0</v>
      </c>
      <c r="C99" s="40"/>
      <c r="D99" s="40"/>
      <c r="E99" s="40"/>
      <c r="F99" s="13">
        <f t="shared" ca="1" si="73"/>
        <v>0</v>
      </c>
      <c r="G99" s="17">
        <f t="shared" ca="1" si="73"/>
        <v>0</v>
      </c>
      <c r="H99" s="17">
        <f t="shared" ref="H99:I101" ca="1" si="74">OFFSET(H99,-12,0)</f>
        <v>0</v>
      </c>
      <c r="I99" s="13">
        <f t="shared" ca="1" si="74"/>
        <v>0</v>
      </c>
      <c r="J99" s="16"/>
      <c r="K99" s="13">
        <f t="shared" ref="K99:K101" ca="1" si="75">OFFSET(K99,-12,0)</f>
        <v>0</v>
      </c>
      <c r="L99" s="15">
        <f t="shared" ca="1" si="63"/>
        <v>1</v>
      </c>
      <c r="M99" s="15"/>
      <c r="N99" s="15">
        <f t="shared" ca="1" si="62"/>
        <v>0</v>
      </c>
      <c r="O99" s="18"/>
      <c r="V99" s="1"/>
      <c r="W99" s="2"/>
    </row>
    <row r="100" spans="1:23" ht="13.5" customHeight="1" x14ac:dyDescent="0.4">
      <c r="A100" s="11" t="s">
        <v>8</v>
      </c>
      <c r="B100" s="40">
        <f t="shared" ca="1" si="73"/>
        <v>0</v>
      </c>
      <c r="C100" s="40"/>
      <c r="D100" s="40"/>
      <c r="E100" s="40"/>
      <c r="F100" s="13">
        <f t="shared" ca="1" si="73"/>
        <v>0</v>
      </c>
      <c r="G100" s="17">
        <f t="shared" ca="1" si="73"/>
        <v>0</v>
      </c>
      <c r="H100" s="17">
        <f t="shared" ca="1" si="74"/>
        <v>0</v>
      </c>
      <c r="I100" s="13">
        <f t="shared" ca="1" si="74"/>
        <v>0</v>
      </c>
      <c r="J100" s="16"/>
      <c r="K100" s="13">
        <f t="shared" ca="1" si="75"/>
        <v>0</v>
      </c>
      <c r="L100" s="15">
        <f t="shared" ca="1" si="63"/>
        <v>1</v>
      </c>
      <c r="M100" s="15"/>
      <c r="N100" s="15">
        <f t="shared" ca="1" si="62"/>
        <v>0</v>
      </c>
      <c r="O100" s="18"/>
      <c r="V100" s="1"/>
      <c r="W100" s="2"/>
    </row>
    <row r="101" spans="1:23" ht="13.5" customHeight="1" x14ac:dyDescent="0.4">
      <c r="A101" s="11" t="s">
        <v>8</v>
      </c>
      <c r="B101" s="40">
        <f t="shared" ca="1" si="73"/>
        <v>0</v>
      </c>
      <c r="C101" s="40"/>
      <c r="D101" s="40"/>
      <c r="E101" s="40"/>
      <c r="F101" s="13">
        <f t="shared" ca="1" si="73"/>
        <v>0</v>
      </c>
      <c r="G101" s="17">
        <f t="shared" ca="1" si="73"/>
        <v>0</v>
      </c>
      <c r="H101" s="17">
        <f t="shared" ca="1" si="74"/>
        <v>0</v>
      </c>
      <c r="I101" s="13">
        <f t="shared" ca="1" si="74"/>
        <v>0</v>
      </c>
      <c r="J101" s="16"/>
      <c r="K101" s="13">
        <f t="shared" ca="1" si="75"/>
        <v>0</v>
      </c>
      <c r="L101" s="15">
        <f t="shared" ca="1" si="63"/>
        <v>1</v>
      </c>
      <c r="M101" s="15"/>
      <c r="N101" s="15">
        <f t="shared" ca="1" si="62"/>
        <v>0</v>
      </c>
      <c r="O101" s="18"/>
      <c r="V101" s="1"/>
      <c r="W101" s="2"/>
    </row>
    <row r="102" spans="1:23" ht="13.5" customHeight="1" x14ac:dyDescent="0.4">
      <c r="A102" s="11" t="s">
        <v>9</v>
      </c>
      <c r="B102" s="41">
        <f t="shared" ref="B102:G104" ca="1" si="76">OFFSET(B102,-15,0)</f>
        <v>0</v>
      </c>
      <c r="C102" s="41"/>
      <c r="D102" s="41"/>
      <c r="E102" s="41"/>
      <c r="F102" s="19">
        <f t="shared" ca="1" si="76"/>
        <v>0</v>
      </c>
      <c r="G102" s="20">
        <f t="shared" ca="1" si="76"/>
        <v>0</v>
      </c>
      <c r="H102" s="20">
        <f t="shared" ref="H102:I104" ca="1" si="77">OFFSET(H102,-15,0)</f>
        <v>0</v>
      </c>
      <c r="I102" s="13">
        <f t="shared" ca="1" si="77"/>
        <v>0</v>
      </c>
      <c r="J102" s="16"/>
      <c r="K102" s="19">
        <f t="shared" ref="K102:K104" ca="1" si="78">OFFSET(K102,-15,0)</f>
        <v>0</v>
      </c>
      <c r="L102" s="15">
        <f t="shared" ca="1" si="63"/>
        <v>1</v>
      </c>
      <c r="M102" s="15"/>
      <c r="N102" s="15">
        <f t="shared" ca="1" si="62"/>
        <v>0</v>
      </c>
      <c r="O102" s="18"/>
      <c r="V102" s="1"/>
      <c r="W102" s="2"/>
    </row>
    <row r="103" spans="1:23" ht="13.5" customHeight="1" x14ac:dyDescent="0.4">
      <c r="A103" s="11" t="s">
        <v>9</v>
      </c>
      <c r="B103" s="41">
        <f t="shared" ca="1" si="76"/>
        <v>0</v>
      </c>
      <c r="C103" s="41"/>
      <c r="D103" s="41"/>
      <c r="E103" s="41"/>
      <c r="F103" s="19">
        <f t="shared" ca="1" si="76"/>
        <v>0</v>
      </c>
      <c r="G103" s="20">
        <f t="shared" ca="1" si="76"/>
        <v>0</v>
      </c>
      <c r="H103" s="20">
        <f t="shared" ca="1" si="77"/>
        <v>0</v>
      </c>
      <c r="I103" s="13">
        <f t="shared" ca="1" si="77"/>
        <v>0</v>
      </c>
      <c r="J103" s="16"/>
      <c r="K103" s="19">
        <f t="shared" ca="1" si="78"/>
        <v>0</v>
      </c>
      <c r="L103" s="15">
        <f t="shared" ca="1" si="63"/>
        <v>1</v>
      </c>
      <c r="M103" s="15"/>
      <c r="N103" s="15">
        <f t="shared" ca="1" si="62"/>
        <v>0</v>
      </c>
      <c r="O103" s="18"/>
      <c r="V103" s="1"/>
      <c r="W103" s="2"/>
    </row>
    <row r="104" spans="1:23" ht="13.5" customHeight="1" x14ac:dyDescent="0.4">
      <c r="A104" s="11" t="s">
        <v>9</v>
      </c>
      <c r="B104" s="41">
        <f t="shared" ca="1" si="76"/>
        <v>0</v>
      </c>
      <c r="C104" s="41"/>
      <c r="D104" s="41"/>
      <c r="E104" s="41"/>
      <c r="F104" s="19">
        <f t="shared" ca="1" si="76"/>
        <v>0</v>
      </c>
      <c r="G104" s="20">
        <f t="shared" ca="1" si="76"/>
        <v>0</v>
      </c>
      <c r="H104" s="20">
        <f t="shared" ca="1" si="77"/>
        <v>0</v>
      </c>
      <c r="I104" s="13">
        <f t="shared" ca="1" si="77"/>
        <v>0</v>
      </c>
      <c r="J104" s="16"/>
      <c r="K104" s="19">
        <f t="shared" ca="1" si="78"/>
        <v>0</v>
      </c>
      <c r="L104" s="15">
        <f t="shared" ca="1" si="63"/>
        <v>1</v>
      </c>
      <c r="M104" s="15"/>
      <c r="N104" s="15">
        <f t="shared" ca="1" si="62"/>
        <v>0</v>
      </c>
      <c r="O104" s="18"/>
      <c r="V104" s="1"/>
      <c r="W104" s="2"/>
    </row>
    <row r="105" spans="1:23" ht="13.5" customHeight="1" x14ac:dyDescent="0.4">
      <c r="A105" s="74" t="s">
        <v>32</v>
      </c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6"/>
      <c r="O105" s="18"/>
      <c r="V105" s="1"/>
      <c r="W105" s="2"/>
    </row>
    <row r="106" spans="1:23" ht="13.5" customHeight="1" x14ac:dyDescent="0.4">
      <c r="A106" s="11" t="s">
        <v>5</v>
      </c>
      <c r="B106" s="40"/>
      <c r="C106" s="40"/>
      <c r="D106" s="40"/>
      <c r="E106" s="40"/>
      <c r="F106" s="13"/>
      <c r="G106" s="11"/>
      <c r="H106" s="17"/>
      <c r="I106" s="13"/>
      <c r="J106" s="16"/>
      <c r="K106" s="13"/>
      <c r="L106" s="15">
        <f>ROUND((10^(K106/10))/(10^(I106/10)),3)</f>
        <v>1</v>
      </c>
      <c r="M106" s="15"/>
      <c r="N106" s="15">
        <f t="shared" ref="N106:N123" si="79">J106*L106</f>
        <v>0</v>
      </c>
      <c r="O106" s="18"/>
      <c r="V106" s="1"/>
      <c r="W106" s="2"/>
    </row>
    <row r="107" spans="1:23" ht="13.5" customHeight="1" x14ac:dyDescent="0.4">
      <c r="A107" s="11" t="s">
        <v>5</v>
      </c>
      <c r="B107" s="40"/>
      <c r="C107" s="40"/>
      <c r="D107" s="40"/>
      <c r="E107" s="40"/>
      <c r="F107" s="13"/>
      <c r="G107" s="11"/>
      <c r="H107" s="17"/>
      <c r="I107" s="13"/>
      <c r="J107" s="16"/>
      <c r="K107" s="13"/>
      <c r="L107" s="15">
        <f t="shared" ref="L107:L123" si="80">ROUND((10^(K107/10))/(10^(I107/10)),3)</f>
        <v>1</v>
      </c>
      <c r="M107" s="15"/>
      <c r="N107" s="15">
        <f t="shared" si="79"/>
        <v>0</v>
      </c>
      <c r="O107" s="18"/>
      <c r="V107" s="1"/>
      <c r="W107" s="2"/>
    </row>
    <row r="108" spans="1:23" ht="13.5" customHeight="1" x14ac:dyDescent="0.4">
      <c r="A108" s="11" t="s">
        <v>5</v>
      </c>
      <c r="B108" s="40"/>
      <c r="C108" s="40"/>
      <c r="D108" s="40"/>
      <c r="E108" s="40"/>
      <c r="F108" s="13"/>
      <c r="G108" s="11"/>
      <c r="H108" s="17"/>
      <c r="I108" s="13"/>
      <c r="J108" s="16"/>
      <c r="K108" s="13"/>
      <c r="L108" s="15">
        <f t="shared" si="80"/>
        <v>1</v>
      </c>
      <c r="M108" s="15"/>
      <c r="N108" s="15">
        <f t="shared" si="79"/>
        <v>0</v>
      </c>
      <c r="O108" s="18"/>
      <c r="V108" s="1"/>
      <c r="W108" s="2"/>
    </row>
    <row r="109" spans="1:23" ht="13.5" customHeight="1" x14ac:dyDescent="0.4">
      <c r="A109" s="11" t="s">
        <v>6</v>
      </c>
      <c r="B109" s="41">
        <f t="shared" ref="B109:H111" ca="1" si="81">OFFSET(B109,-3,0)</f>
        <v>0</v>
      </c>
      <c r="C109" s="41"/>
      <c r="D109" s="41"/>
      <c r="E109" s="41"/>
      <c r="F109" s="19">
        <f t="shared" ca="1" si="81"/>
        <v>0</v>
      </c>
      <c r="G109" s="20">
        <f t="shared" ca="1" si="81"/>
        <v>0</v>
      </c>
      <c r="H109" s="20">
        <f t="shared" ca="1" si="81"/>
        <v>0</v>
      </c>
      <c r="I109" s="13">
        <f t="shared" ref="I109:I111" ca="1" si="82">OFFSET(I109,-3,0)</f>
        <v>0</v>
      </c>
      <c r="J109" s="16"/>
      <c r="K109" s="19">
        <f t="shared" ref="K109:K111" ca="1" si="83">OFFSET(K109,-3,0)</f>
        <v>0</v>
      </c>
      <c r="L109" s="15">
        <f t="shared" ca="1" si="80"/>
        <v>1</v>
      </c>
      <c r="M109" s="15"/>
      <c r="N109" s="15">
        <f t="shared" ca="1" si="79"/>
        <v>0</v>
      </c>
      <c r="O109" s="18"/>
      <c r="V109" s="1"/>
      <c r="W109" s="2"/>
    </row>
    <row r="110" spans="1:23" ht="13.5" customHeight="1" x14ac:dyDescent="0.4">
      <c r="A110" s="11" t="s">
        <v>6</v>
      </c>
      <c r="B110" s="41">
        <f t="shared" ca="1" si="81"/>
        <v>0</v>
      </c>
      <c r="C110" s="41"/>
      <c r="D110" s="41"/>
      <c r="E110" s="41"/>
      <c r="F110" s="19">
        <f t="shared" ca="1" si="81"/>
        <v>0</v>
      </c>
      <c r="G110" s="20">
        <f t="shared" ca="1" si="81"/>
        <v>0</v>
      </c>
      <c r="H110" s="20">
        <f t="shared" ca="1" si="81"/>
        <v>0</v>
      </c>
      <c r="I110" s="13">
        <f t="shared" ca="1" si="82"/>
        <v>0</v>
      </c>
      <c r="J110" s="16"/>
      <c r="K110" s="19">
        <f t="shared" ca="1" si="83"/>
        <v>0</v>
      </c>
      <c r="L110" s="15">
        <f t="shared" ca="1" si="80"/>
        <v>1</v>
      </c>
      <c r="M110" s="15"/>
      <c r="N110" s="15">
        <f t="shared" ca="1" si="79"/>
        <v>0</v>
      </c>
      <c r="O110" s="18"/>
      <c r="V110" s="1"/>
      <c r="W110" s="2"/>
    </row>
    <row r="111" spans="1:23" ht="13.5" customHeight="1" x14ac:dyDescent="0.4">
      <c r="A111" s="11" t="s">
        <v>6</v>
      </c>
      <c r="B111" s="41">
        <f t="shared" ca="1" si="81"/>
        <v>0</v>
      </c>
      <c r="C111" s="41"/>
      <c r="D111" s="41"/>
      <c r="E111" s="41"/>
      <c r="F111" s="19">
        <f t="shared" ca="1" si="81"/>
        <v>0</v>
      </c>
      <c r="G111" s="20">
        <f t="shared" ca="1" si="81"/>
        <v>0</v>
      </c>
      <c r="H111" s="20">
        <f t="shared" ca="1" si="81"/>
        <v>0</v>
      </c>
      <c r="I111" s="13">
        <f t="shared" ca="1" si="82"/>
        <v>0</v>
      </c>
      <c r="J111" s="16"/>
      <c r="K111" s="19">
        <f t="shared" ca="1" si="83"/>
        <v>0</v>
      </c>
      <c r="L111" s="15">
        <f t="shared" ca="1" si="80"/>
        <v>1</v>
      </c>
      <c r="M111" s="15"/>
      <c r="N111" s="15">
        <f t="shared" ca="1" si="79"/>
        <v>0</v>
      </c>
      <c r="O111" s="18"/>
      <c r="V111" s="1"/>
      <c r="W111" s="2"/>
    </row>
    <row r="112" spans="1:23" ht="13.5" customHeight="1" x14ac:dyDescent="0.4">
      <c r="A112" s="11" t="s">
        <v>10</v>
      </c>
      <c r="B112" s="40">
        <f t="shared" ref="B112:H114" ca="1" si="84">OFFSET(B112,-6,0)</f>
        <v>0</v>
      </c>
      <c r="C112" s="40"/>
      <c r="D112" s="40"/>
      <c r="E112" s="40"/>
      <c r="F112" s="13">
        <f t="shared" ca="1" si="84"/>
        <v>0</v>
      </c>
      <c r="G112" s="17">
        <f t="shared" ca="1" si="84"/>
        <v>0</v>
      </c>
      <c r="H112" s="17">
        <f t="shared" ca="1" si="84"/>
        <v>0</v>
      </c>
      <c r="I112" s="13">
        <f t="shared" ref="I112:I114" ca="1" si="85">OFFSET(I112,-6,0)</f>
        <v>0</v>
      </c>
      <c r="J112" s="16"/>
      <c r="K112" s="13">
        <f t="shared" ref="K112:K114" ca="1" si="86">OFFSET(K112,-6,0)</f>
        <v>0</v>
      </c>
      <c r="L112" s="15">
        <f t="shared" ca="1" si="80"/>
        <v>1</v>
      </c>
      <c r="M112" s="15"/>
      <c r="N112" s="15">
        <f t="shared" ca="1" si="79"/>
        <v>0</v>
      </c>
      <c r="O112" s="18"/>
      <c r="V112" s="1"/>
      <c r="W112" s="2"/>
    </row>
    <row r="113" spans="1:23" ht="13.5" customHeight="1" x14ac:dyDescent="0.4">
      <c r="A113" s="11" t="s">
        <v>10</v>
      </c>
      <c r="B113" s="40">
        <f t="shared" ca="1" si="84"/>
        <v>0</v>
      </c>
      <c r="C113" s="40"/>
      <c r="D113" s="40"/>
      <c r="E113" s="40"/>
      <c r="F113" s="13">
        <f t="shared" ca="1" si="84"/>
        <v>0</v>
      </c>
      <c r="G113" s="17">
        <f t="shared" ca="1" si="84"/>
        <v>0</v>
      </c>
      <c r="H113" s="17">
        <f t="shared" ca="1" si="84"/>
        <v>0</v>
      </c>
      <c r="I113" s="13">
        <f t="shared" ca="1" si="85"/>
        <v>0</v>
      </c>
      <c r="J113" s="16"/>
      <c r="K113" s="13">
        <f t="shared" ca="1" si="86"/>
        <v>0</v>
      </c>
      <c r="L113" s="15">
        <f t="shared" ca="1" si="80"/>
        <v>1</v>
      </c>
      <c r="M113" s="15"/>
      <c r="N113" s="15">
        <f t="shared" ca="1" si="79"/>
        <v>0</v>
      </c>
      <c r="O113" s="18"/>
      <c r="V113" s="1"/>
      <c r="W113" s="2"/>
    </row>
    <row r="114" spans="1:23" ht="13.5" customHeight="1" x14ac:dyDescent="0.4">
      <c r="A114" s="11" t="s">
        <v>10</v>
      </c>
      <c r="B114" s="40">
        <f t="shared" ca="1" si="84"/>
        <v>0</v>
      </c>
      <c r="C114" s="40"/>
      <c r="D114" s="40"/>
      <c r="E114" s="40"/>
      <c r="F114" s="13">
        <f t="shared" ca="1" si="84"/>
        <v>0</v>
      </c>
      <c r="G114" s="17">
        <f t="shared" ca="1" si="84"/>
        <v>0</v>
      </c>
      <c r="H114" s="17">
        <f t="shared" ca="1" si="84"/>
        <v>0</v>
      </c>
      <c r="I114" s="13">
        <f t="shared" ca="1" si="85"/>
        <v>0</v>
      </c>
      <c r="J114" s="16"/>
      <c r="K114" s="13">
        <f t="shared" ca="1" si="86"/>
        <v>0</v>
      </c>
      <c r="L114" s="15">
        <f t="shared" ca="1" si="80"/>
        <v>1</v>
      </c>
      <c r="M114" s="15"/>
      <c r="N114" s="15">
        <f t="shared" ca="1" si="79"/>
        <v>0</v>
      </c>
      <c r="O114" s="18"/>
      <c r="V114" s="1"/>
      <c r="W114" s="2"/>
    </row>
    <row r="115" spans="1:23" ht="13.5" customHeight="1" x14ac:dyDescent="0.4">
      <c r="A115" s="11" t="s">
        <v>7</v>
      </c>
      <c r="B115" s="40">
        <f t="shared" ref="B115:H117" ca="1" si="87">OFFSET(B115,-9,0)</f>
        <v>0</v>
      </c>
      <c r="C115" s="40"/>
      <c r="D115" s="40"/>
      <c r="E115" s="40"/>
      <c r="F115" s="13">
        <f t="shared" ca="1" si="87"/>
        <v>0</v>
      </c>
      <c r="G115" s="17">
        <f t="shared" ca="1" si="87"/>
        <v>0</v>
      </c>
      <c r="H115" s="17">
        <f t="shared" ca="1" si="87"/>
        <v>0</v>
      </c>
      <c r="I115" s="13">
        <f t="shared" ref="I115:I117" ca="1" si="88">OFFSET(I115,-9,0)</f>
        <v>0</v>
      </c>
      <c r="J115" s="16"/>
      <c r="K115" s="13">
        <f t="shared" ref="K115:K117" ca="1" si="89">OFFSET(K115,-9,0)</f>
        <v>0</v>
      </c>
      <c r="L115" s="15">
        <f t="shared" ca="1" si="80"/>
        <v>1</v>
      </c>
      <c r="M115" s="15"/>
      <c r="N115" s="15">
        <f t="shared" ca="1" si="79"/>
        <v>0</v>
      </c>
      <c r="O115" s="18"/>
      <c r="V115" s="1"/>
      <c r="W115" s="2"/>
    </row>
    <row r="116" spans="1:23" ht="13.5" customHeight="1" x14ac:dyDescent="0.4">
      <c r="A116" s="11" t="s">
        <v>7</v>
      </c>
      <c r="B116" s="40">
        <f t="shared" ca="1" si="87"/>
        <v>0</v>
      </c>
      <c r="C116" s="40"/>
      <c r="D116" s="40"/>
      <c r="E116" s="40"/>
      <c r="F116" s="13">
        <f t="shared" ca="1" si="87"/>
        <v>0</v>
      </c>
      <c r="G116" s="17">
        <f t="shared" ca="1" si="87"/>
        <v>0</v>
      </c>
      <c r="H116" s="17">
        <f t="shared" ca="1" si="87"/>
        <v>0</v>
      </c>
      <c r="I116" s="13">
        <f t="shared" ca="1" si="88"/>
        <v>0</v>
      </c>
      <c r="J116" s="16"/>
      <c r="K116" s="13">
        <f t="shared" ca="1" si="89"/>
        <v>0</v>
      </c>
      <c r="L116" s="15">
        <f t="shared" ca="1" si="80"/>
        <v>1</v>
      </c>
      <c r="M116" s="15"/>
      <c r="N116" s="15">
        <f t="shared" ca="1" si="79"/>
        <v>0</v>
      </c>
      <c r="O116" s="18"/>
      <c r="V116" s="1"/>
      <c r="W116" s="2"/>
    </row>
    <row r="117" spans="1:23" ht="13.5" customHeight="1" x14ac:dyDescent="0.4">
      <c r="A117" s="11" t="s">
        <v>7</v>
      </c>
      <c r="B117" s="40">
        <f t="shared" ca="1" si="87"/>
        <v>0</v>
      </c>
      <c r="C117" s="40"/>
      <c r="D117" s="40"/>
      <c r="E117" s="40"/>
      <c r="F117" s="13">
        <f t="shared" ca="1" si="87"/>
        <v>0</v>
      </c>
      <c r="G117" s="17">
        <f t="shared" ca="1" si="87"/>
        <v>0</v>
      </c>
      <c r="H117" s="17">
        <f t="shared" ca="1" si="87"/>
        <v>0</v>
      </c>
      <c r="I117" s="13">
        <f t="shared" ca="1" si="88"/>
        <v>0</v>
      </c>
      <c r="J117" s="16"/>
      <c r="K117" s="13">
        <f t="shared" ca="1" si="89"/>
        <v>0</v>
      </c>
      <c r="L117" s="15">
        <f t="shared" ca="1" si="80"/>
        <v>1</v>
      </c>
      <c r="M117" s="15"/>
      <c r="N117" s="15">
        <f t="shared" ca="1" si="79"/>
        <v>0</v>
      </c>
      <c r="O117" s="18"/>
      <c r="V117" s="1"/>
      <c r="W117" s="2"/>
    </row>
    <row r="118" spans="1:23" ht="13.5" customHeight="1" x14ac:dyDescent="0.4">
      <c r="A118" s="11" t="s">
        <v>8</v>
      </c>
      <c r="B118" s="40">
        <f t="shared" ref="B118:H120" ca="1" si="90">OFFSET(B118,-12,0)</f>
        <v>0</v>
      </c>
      <c r="C118" s="40"/>
      <c r="D118" s="40"/>
      <c r="E118" s="40"/>
      <c r="F118" s="13">
        <f t="shared" ca="1" si="90"/>
        <v>0</v>
      </c>
      <c r="G118" s="17">
        <f t="shared" ca="1" si="90"/>
        <v>0</v>
      </c>
      <c r="H118" s="17">
        <f t="shared" ca="1" si="90"/>
        <v>0</v>
      </c>
      <c r="I118" s="13">
        <f t="shared" ref="I118:I120" ca="1" si="91">OFFSET(I118,-12,0)</f>
        <v>0</v>
      </c>
      <c r="J118" s="16"/>
      <c r="K118" s="13">
        <f t="shared" ref="K118:K120" ca="1" si="92">OFFSET(K118,-12,0)</f>
        <v>0</v>
      </c>
      <c r="L118" s="15">
        <f t="shared" ca="1" si="80"/>
        <v>1</v>
      </c>
      <c r="M118" s="15"/>
      <c r="N118" s="15">
        <f t="shared" ca="1" si="79"/>
        <v>0</v>
      </c>
      <c r="O118" s="18"/>
      <c r="V118" s="1"/>
      <c r="W118" s="2"/>
    </row>
    <row r="119" spans="1:23" ht="13.5" customHeight="1" x14ac:dyDescent="0.4">
      <c r="A119" s="11" t="s">
        <v>8</v>
      </c>
      <c r="B119" s="40">
        <f t="shared" ca="1" si="90"/>
        <v>0</v>
      </c>
      <c r="C119" s="40"/>
      <c r="D119" s="40"/>
      <c r="E119" s="40"/>
      <c r="F119" s="13">
        <f t="shared" ca="1" si="90"/>
        <v>0</v>
      </c>
      <c r="G119" s="17">
        <f t="shared" ca="1" si="90"/>
        <v>0</v>
      </c>
      <c r="H119" s="17">
        <f t="shared" ca="1" si="90"/>
        <v>0</v>
      </c>
      <c r="I119" s="13">
        <f t="shared" ca="1" si="91"/>
        <v>0</v>
      </c>
      <c r="J119" s="16"/>
      <c r="K119" s="13">
        <f t="shared" ca="1" si="92"/>
        <v>0</v>
      </c>
      <c r="L119" s="15">
        <f t="shared" ca="1" si="80"/>
        <v>1</v>
      </c>
      <c r="M119" s="15"/>
      <c r="N119" s="15">
        <f t="shared" ca="1" si="79"/>
        <v>0</v>
      </c>
      <c r="O119" s="18"/>
      <c r="V119" s="1"/>
      <c r="W119" s="2"/>
    </row>
    <row r="120" spans="1:23" ht="13.5" customHeight="1" x14ac:dyDescent="0.4">
      <c r="A120" s="11" t="s">
        <v>8</v>
      </c>
      <c r="B120" s="40">
        <f t="shared" ca="1" si="90"/>
        <v>0</v>
      </c>
      <c r="C120" s="40"/>
      <c r="D120" s="40"/>
      <c r="E120" s="40"/>
      <c r="F120" s="13">
        <f t="shared" ca="1" si="90"/>
        <v>0</v>
      </c>
      <c r="G120" s="17">
        <f t="shared" ca="1" si="90"/>
        <v>0</v>
      </c>
      <c r="H120" s="17">
        <f t="shared" ca="1" si="90"/>
        <v>0</v>
      </c>
      <c r="I120" s="13">
        <f t="shared" ca="1" si="91"/>
        <v>0</v>
      </c>
      <c r="J120" s="16"/>
      <c r="K120" s="13">
        <f t="shared" ca="1" si="92"/>
        <v>0</v>
      </c>
      <c r="L120" s="15">
        <f t="shared" ca="1" si="80"/>
        <v>1</v>
      </c>
      <c r="M120" s="15"/>
      <c r="N120" s="15">
        <f t="shared" ca="1" si="79"/>
        <v>0</v>
      </c>
      <c r="O120" s="18"/>
      <c r="V120" s="1"/>
      <c r="W120" s="2"/>
    </row>
    <row r="121" spans="1:23" ht="13.5" customHeight="1" x14ac:dyDescent="0.4">
      <c r="A121" s="11" t="s">
        <v>9</v>
      </c>
      <c r="B121" s="41">
        <f t="shared" ref="B121:H123" ca="1" si="93">OFFSET(B121,-15,0)</f>
        <v>0</v>
      </c>
      <c r="C121" s="41"/>
      <c r="D121" s="41"/>
      <c r="E121" s="41"/>
      <c r="F121" s="19">
        <f t="shared" ca="1" si="93"/>
        <v>0</v>
      </c>
      <c r="G121" s="20">
        <f t="shared" ca="1" si="93"/>
        <v>0</v>
      </c>
      <c r="H121" s="20">
        <f ca="1">OFFSET(H121,-15,0)</f>
        <v>0</v>
      </c>
      <c r="I121" s="13">
        <f t="shared" ref="I121:I123" ca="1" si="94">OFFSET(I121,-15,0)</f>
        <v>0</v>
      </c>
      <c r="J121" s="16"/>
      <c r="K121" s="19">
        <f t="shared" ref="K121:K123" ca="1" si="95">OFFSET(K121,-15,0)</f>
        <v>0</v>
      </c>
      <c r="L121" s="15">
        <f t="shared" ca="1" si="80"/>
        <v>1</v>
      </c>
      <c r="M121" s="15"/>
      <c r="N121" s="15">
        <f t="shared" ca="1" si="79"/>
        <v>0</v>
      </c>
      <c r="O121" s="18"/>
      <c r="V121" s="1"/>
      <c r="W121" s="2"/>
    </row>
    <row r="122" spans="1:23" ht="13.5" customHeight="1" x14ac:dyDescent="0.4">
      <c r="A122" s="11" t="s">
        <v>9</v>
      </c>
      <c r="B122" s="41">
        <f t="shared" ca="1" si="93"/>
        <v>0</v>
      </c>
      <c r="C122" s="41"/>
      <c r="D122" s="41"/>
      <c r="E122" s="41"/>
      <c r="F122" s="19">
        <f t="shared" ca="1" si="93"/>
        <v>0</v>
      </c>
      <c r="G122" s="20">
        <f t="shared" ca="1" si="93"/>
        <v>0</v>
      </c>
      <c r="H122" s="20">
        <f t="shared" ca="1" si="93"/>
        <v>0</v>
      </c>
      <c r="I122" s="13">
        <f t="shared" ca="1" si="94"/>
        <v>0</v>
      </c>
      <c r="J122" s="16"/>
      <c r="K122" s="19">
        <f t="shared" ca="1" si="95"/>
        <v>0</v>
      </c>
      <c r="L122" s="15">
        <f t="shared" ca="1" si="80"/>
        <v>1</v>
      </c>
      <c r="M122" s="15"/>
      <c r="N122" s="15">
        <f t="shared" ca="1" si="79"/>
        <v>0</v>
      </c>
      <c r="O122" s="18"/>
      <c r="V122" s="1"/>
      <c r="W122" s="2"/>
    </row>
    <row r="123" spans="1:23" ht="13.5" customHeight="1" x14ac:dyDescent="0.4">
      <c r="A123" s="11" t="s">
        <v>9</v>
      </c>
      <c r="B123" s="41">
        <f t="shared" ca="1" si="93"/>
        <v>0</v>
      </c>
      <c r="C123" s="41"/>
      <c r="D123" s="41"/>
      <c r="E123" s="41"/>
      <c r="F123" s="19">
        <f t="shared" ca="1" si="93"/>
        <v>0</v>
      </c>
      <c r="G123" s="20">
        <f t="shared" ca="1" si="93"/>
        <v>0</v>
      </c>
      <c r="H123" s="20">
        <f t="shared" ca="1" si="93"/>
        <v>0</v>
      </c>
      <c r="I123" s="13">
        <f t="shared" ca="1" si="94"/>
        <v>0</v>
      </c>
      <c r="J123" s="16"/>
      <c r="K123" s="19">
        <f t="shared" ca="1" si="95"/>
        <v>0</v>
      </c>
      <c r="L123" s="15">
        <f t="shared" ca="1" si="80"/>
        <v>1</v>
      </c>
      <c r="M123" s="15"/>
      <c r="N123" s="15">
        <f t="shared" ca="1" si="79"/>
        <v>0</v>
      </c>
      <c r="O123" s="18"/>
      <c r="V123" s="1"/>
      <c r="W123" s="2"/>
    </row>
    <row r="124" spans="1:23" ht="13.5" customHeight="1" x14ac:dyDescent="0.4">
      <c r="A124" s="74" t="s">
        <v>30</v>
      </c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6"/>
      <c r="O124" s="18"/>
      <c r="V124" s="1"/>
      <c r="W124" s="2"/>
    </row>
    <row r="125" spans="1:23" ht="13.5" customHeight="1" x14ac:dyDescent="0.4">
      <c r="A125" s="11" t="s">
        <v>5</v>
      </c>
      <c r="B125" s="40"/>
      <c r="C125" s="40"/>
      <c r="D125" s="40"/>
      <c r="E125" s="40"/>
      <c r="F125" s="13"/>
      <c r="G125" s="11"/>
      <c r="H125" s="17"/>
      <c r="I125" s="13"/>
      <c r="J125" s="16"/>
      <c r="K125" s="13"/>
      <c r="L125" s="15">
        <f>ROUND((10^(K125/10))/(10^(I125/10)),3)</f>
        <v>1</v>
      </c>
      <c r="M125" s="15"/>
      <c r="N125" s="15">
        <f t="shared" ref="N125:N142" si="96">J125*L125</f>
        <v>0</v>
      </c>
      <c r="O125" s="18"/>
      <c r="V125" s="1"/>
      <c r="W125" s="2"/>
    </row>
    <row r="126" spans="1:23" ht="13.5" customHeight="1" x14ac:dyDescent="0.4">
      <c r="A126" s="11" t="s">
        <v>5</v>
      </c>
      <c r="B126" s="40"/>
      <c r="C126" s="40"/>
      <c r="D126" s="40"/>
      <c r="E126" s="40"/>
      <c r="F126" s="13"/>
      <c r="G126" s="11"/>
      <c r="H126" s="17"/>
      <c r="I126" s="13"/>
      <c r="J126" s="16"/>
      <c r="K126" s="13"/>
      <c r="L126" s="15">
        <f t="shared" ref="L126:L142" si="97">ROUND((10^(K126/10))/(10^(I126/10)),3)</f>
        <v>1</v>
      </c>
      <c r="M126" s="15"/>
      <c r="N126" s="15">
        <f t="shared" si="96"/>
        <v>0</v>
      </c>
      <c r="O126" s="18"/>
      <c r="V126" s="1"/>
      <c r="W126" s="2"/>
    </row>
    <row r="127" spans="1:23" ht="13.5" customHeight="1" x14ac:dyDescent="0.4">
      <c r="A127" s="11" t="s">
        <v>5</v>
      </c>
      <c r="B127" s="40"/>
      <c r="C127" s="40"/>
      <c r="D127" s="40"/>
      <c r="E127" s="40"/>
      <c r="F127" s="13"/>
      <c r="G127" s="11"/>
      <c r="H127" s="17"/>
      <c r="I127" s="13"/>
      <c r="J127" s="16"/>
      <c r="K127" s="13"/>
      <c r="L127" s="15">
        <f t="shared" si="97"/>
        <v>1</v>
      </c>
      <c r="M127" s="15"/>
      <c r="N127" s="15">
        <f t="shared" si="96"/>
        <v>0</v>
      </c>
      <c r="O127" s="18"/>
      <c r="V127" s="1"/>
      <c r="W127" s="2"/>
    </row>
    <row r="128" spans="1:23" ht="13.5" customHeight="1" x14ac:dyDescent="0.4">
      <c r="A128" s="11" t="s">
        <v>6</v>
      </c>
      <c r="B128" s="41">
        <f t="shared" ref="B128:G130" ca="1" si="98">OFFSET(B128,-3,0)</f>
        <v>0</v>
      </c>
      <c r="C128" s="41"/>
      <c r="D128" s="41"/>
      <c r="E128" s="41"/>
      <c r="F128" s="19">
        <f t="shared" ca="1" si="98"/>
        <v>0</v>
      </c>
      <c r="G128" s="20">
        <f t="shared" ca="1" si="98"/>
        <v>0</v>
      </c>
      <c r="H128" s="20">
        <f t="shared" ref="H128:I130" ca="1" si="99">OFFSET(H128,-3,0)</f>
        <v>0</v>
      </c>
      <c r="I128" s="13">
        <f t="shared" ca="1" si="99"/>
        <v>0</v>
      </c>
      <c r="J128" s="16"/>
      <c r="K128" s="19">
        <f t="shared" ref="K128:K130" ca="1" si="100">OFFSET(K128,-3,0)</f>
        <v>0</v>
      </c>
      <c r="L128" s="15">
        <f t="shared" ca="1" si="97"/>
        <v>1</v>
      </c>
      <c r="M128" s="15"/>
      <c r="N128" s="15">
        <f t="shared" ca="1" si="96"/>
        <v>0</v>
      </c>
      <c r="O128" s="18"/>
      <c r="V128" s="1"/>
      <c r="W128" s="2"/>
    </row>
    <row r="129" spans="1:23" ht="13.5" customHeight="1" x14ac:dyDescent="0.4">
      <c r="A129" s="11" t="s">
        <v>6</v>
      </c>
      <c r="B129" s="41">
        <f t="shared" ca="1" si="98"/>
        <v>0</v>
      </c>
      <c r="C129" s="41"/>
      <c r="D129" s="41"/>
      <c r="E129" s="41"/>
      <c r="F129" s="19">
        <f t="shared" ca="1" si="98"/>
        <v>0</v>
      </c>
      <c r="G129" s="20">
        <f t="shared" ca="1" si="98"/>
        <v>0</v>
      </c>
      <c r="H129" s="20">
        <f t="shared" ca="1" si="99"/>
        <v>0</v>
      </c>
      <c r="I129" s="13">
        <f t="shared" ca="1" si="99"/>
        <v>0</v>
      </c>
      <c r="J129" s="16"/>
      <c r="K129" s="19">
        <f t="shared" ca="1" si="100"/>
        <v>0</v>
      </c>
      <c r="L129" s="15">
        <f t="shared" ca="1" si="97"/>
        <v>1</v>
      </c>
      <c r="M129" s="15"/>
      <c r="N129" s="15">
        <f t="shared" ca="1" si="96"/>
        <v>0</v>
      </c>
      <c r="O129" s="18"/>
      <c r="V129" s="1"/>
      <c r="W129" s="2"/>
    </row>
    <row r="130" spans="1:23" ht="13.5" customHeight="1" x14ac:dyDescent="0.4">
      <c r="A130" s="11" t="s">
        <v>6</v>
      </c>
      <c r="B130" s="41">
        <f t="shared" ca="1" si="98"/>
        <v>0</v>
      </c>
      <c r="C130" s="41"/>
      <c r="D130" s="41"/>
      <c r="E130" s="41"/>
      <c r="F130" s="19">
        <f t="shared" ca="1" si="98"/>
        <v>0</v>
      </c>
      <c r="G130" s="20">
        <f t="shared" ca="1" si="98"/>
        <v>0</v>
      </c>
      <c r="H130" s="20">
        <f t="shared" ca="1" si="99"/>
        <v>0</v>
      </c>
      <c r="I130" s="13">
        <f t="shared" ca="1" si="99"/>
        <v>0</v>
      </c>
      <c r="J130" s="16"/>
      <c r="K130" s="19">
        <f t="shared" ca="1" si="100"/>
        <v>0</v>
      </c>
      <c r="L130" s="15">
        <f t="shared" ca="1" si="97"/>
        <v>1</v>
      </c>
      <c r="M130" s="15"/>
      <c r="N130" s="15">
        <f t="shared" ca="1" si="96"/>
        <v>0</v>
      </c>
      <c r="O130" s="18"/>
      <c r="V130" s="1"/>
      <c r="W130" s="2"/>
    </row>
    <row r="131" spans="1:23" ht="13.5" customHeight="1" x14ac:dyDescent="0.4">
      <c r="A131" s="11" t="s">
        <v>57</v>
      </c>
      <c r="B131" s="40">
        <f t="shared" ref="B131:G133" ca="1" si="101">OFFSET(B131,-6,0)</f>
        <v>0</v>
      </c>
      <c r="C131" s="40"/>
      <c r="D131" s="40"/>
      <c r="E131" s="40"/>
      <c r="F131" s="13">
        <f t="shared" ca="1" si="101"/>
        <v>0</v>
      </c>
      <c r="G131" s="17">
        <f t="shared" ca="1" si="101"/>
        <v>0</v>
      </c>
      <c r="H131" s="17">
        <f t="shared" ref="H131:I133" ca="1" si="102">OFFSET(H131,-6,0)</f>
        <v>0</v>
      </c>
      <c r="I131" s="13">
        <f t="shared" ca="1" si="102"/>
        <v>0</v>
      </c>
      <c r="J131" s="16"/>
      <c r="K131" s="13">
        <f t="shared" ref="K131:K133" ca="1" si="103">OFFSET(K131,-6,0)</f>
        <v>0</v>
      </c>
      <c r="L131" s="15">
        <f t="shared" ca="1" si="97"/>
        <v>1</v>
      </c>
      <c r="M131" s="15"/>
      <c r="N131" s="15">
        <f t="shared" ca="1" si="96"/>
        <v>0</v>
      </c>
      <c r="O131" s="18"/>
      <c r="V131" s="1"/>
      <c r="W131" s="2"/>
    </row>
    <row r="132" spans="1:23" ht="13.5" customHeight="1" x14ac:dyDescent="0.4">
      <c r="A132" s="11" t="s">
        <v>57</v>
      </c>
      <c r="B132" s="40">
        <f t="shared" ca="1" si="101"/>
        <v>0</v>
      </c>
      <c r="C132" s="40"/>
      <c r="D132" s="40"/>
      <c r="E132" s="40"/>
      <c r="F132" s="13">
        <f t="shared" ca="1" si="101"/>
        <v>0</v>
      </c>
      <c r="G132" s="17">
        <f t="shared" ca="1" si="101"/>
        <v>0</v>
      </c>
      <c r="H132" s="17">
        <f t="shared" ca="1" si="102"/>
        <v>0</v>
      </c>
      <c r="I132" s="13">
        <f t="shared" ca="1" si="102"/>
        <v>0</v>
      </c>
      <c r="J132" s="16"/>
      <c r="K132" s="13">
        <f t="shared" ca="1" si="103"/>
        <v>0</v>
      </c>
      <c r="L132" s="15">
        <f t="shared" ca="1" si="97"/>
        <v>1</v>
      </c>
      <c r="M132" s="15"/>
      <c r="N132" s="15">
        <f t="shared" ca="1" si="96"/>
        <v>0</v>
      </c>
      <c r="O132" s="18"/>
      <c r="V132" s="1"/>
      <c r="W132" s="2"/>
    </row>
    <row r="133" spans="1:23" ht="13.5" customHeight="1" x14ac:dyDescent="0.4">
      <c r="A133" s="11" t="s">
        <v>57</v>
      </c>
      <c r="B133" s="40">
        <f t="shared" ca="1" si="101"/>
        <v>0</v>
      </c>
      <c r="C133" s="40"/>
      <c r="D133" s="40"/>
      <c r="E133" s="40"/>
      <c r="F133" s="13">
        <f t="shared" ca="1" si="101"/>
        <v>0</v>
      </c>
      <c r="G133" s="17">
        <f t="shared" ca="1" si="101"/>
        <v>0</v>
      </c>
      <c r="H133" s="17">
        <f t="shared" ca="1" si="102"/>
        <v>0</v>
      </c>
      <c r="I133" s="13">
        <f t="shared" ca="1" si="102"/>
        <v>0</v>
      </c>
      <c r="J133" s="16"/>
      <c r="K133" s="13">
        <f t="shared" ca="1" si="103"/>
        <v>0</v>
      </c>
      <c r="L133" s="15">
        <f t="shared" ca="1" si="97"/>
        <v>1</v>
      </c>
      <c r="M133" s="15"/>
      <c r="N133" s="15">
        <f t="shared" ca="1" si="96"/>
        <v>0</v>
      </c>
      <c r="O133" s="18"/>
      <c r="V133" s="1"/>
      <c r="W133" s="2"/>
    </row>
    <row r="134" spans="1:23" ht="13.5" customHeight="1" x14ac:dyDescent="0.4">
      <c r="A134" s="11" t="s">
        <v>7</v>
      </c>
      <c r="B134" s="40">
        <f t="shared" ref="B134:G136" ca="1" si="104">OFFSET(B134,-9,0)</f>
        <v>0</v>
      </c>
      <c r="C134" s="40"/>
      <c r="D134" s="40"/>
      <c r="E134" s="40"/>
      <c r="F134" s="13">
        <f t="shared" ca="1" si="104"/>
        <v>0</v>
      </c>
      <c r="G134" s="17">
        <f t="shared" ca="1" si="104"/>
        <v>0</v>
      </c>
      <c r="H134" s="17">
        <f t="shared" ref="H134:I136" ca="1" si="105">OFFSET(H134,-9,0)</f>
        <v>0</v>
      </c>
      <c r="I134" s="13">
        <f t="shared" ca="1" si="105"/>
        <v>0</v>
      </c>
      <c r="J134" s="16"/>
      <c r="K134" s="13">
        <f t="shared" ref="K134:K136" ca="1" si="106">OFFSET(K134,-9,0)</f>
        <v>0</v>
      </c>
      <c r="L134" s="15">
        <f t="shared" ca="1" si="97"/>
        <v>1</v>
      </c>
      <c r="M134" s="15"/>
      <c r="N134" s="15">
        <f t="shared" ca="1" si="96"/>
        <v>0</v>
      </c>
      <c r="O134" s="18"/>
      <c r="V134" s="1"/>
      <c r="W134" s="2"/>
    </row>
    <row r="135" spans="1:23" ht="13.5" customHeight="1" x14ac:dyDescent="0.4">
      <c r="A135" s="11" t="s">
        <v>7</v>
      </c>
      <c r="B135" s="40">
        <f t="shared" ca="1" si="104"/>
        <v>0</v>
      </c>
      <c r="C135" s="40"/>
      <c r="D135" s="40"/>
      <c r="E135" s="40"/>
      <c r="F135" s="13">
        <f t="shared" ca="1" si="104"/>
        <v>0</v>
      </c>
      <c r="G135" s="17">
        <f t="shared" ca="1" si="104"/>
        <v>0</v>
      </c>
      <c r="H135" s="17">
        <f t="shared" ca="1" si="105"/>
        <v>0</v>
      </c>
      <c r="I135" s="13">
        <f t="shared" ca="1" si="105"/>
        <v>0</v>
      </c>
      <c r="J135" s="16"/>
      <c r="K135" s="13">
        <f t="shared" ca="1" si="106"/>
        <v>0</v>
      </c>
      <c r="L135" s="15">
        <f t="shared" ca="1" si="97"/>
        <v>1</v>
      </c>
      <c r="M135" s="15"/>
      <c r="N135" s="15">
        <f t="shared" ca="1" si="96"/>
        <v>0</v>
      </c>
      <c r="O135" s="18"/>
      <c r="V135" s="1"/>
      <c r="W135" s="2"/>
    </row>
    <row r="136" spans="1:23" ht="13.5" customHeight="1" x14ac:dyDescent="0.4">
      <c r="A136" s="11" t="s">
        <v>7</v>
      </c>
      <c r="B136" s="40">
        <f t="shared" ca="1" si="104"/>
        <v>0</v>
      </c>
      <c r="C136" s="40"/>
      <c r="D136" s="40"/>
      <c r="E136" s="40"/>
      <c r="F136" s="13">
        <f t="shared" ca="1" si="104"/>
        <v>0</v>
      </c>
      <c r="G136" s="17">
        <f t="shared" ca="1" si="104"/>
        <v>0</v>
      </c>
      <c r="H136" s="17">
        <f t="shared" ca="1" si="105"/>
        <v>0</v>
      </c>
      <c r="I136" s="13">
        <f t="shared" ca="1" si="105"/>
        <v>0</v>
      </c>
      <c r="J136" s="16"/>
      <c r="K136" s="13">
        <f t="shared" ca="1" si="106"/>
        <v>0</v>
      </c>
      <c r="L136" s="15">
        <f t="shared" ca="1" si="97"/>
        <v>1</v>
      </c>
      <c r="M136" s="15"/>
      <c r="N136" s="15">
        <f t="shared" ca="1" si="96"/>
        <v>0</v>
      </c>
      <c r="O136" s="18"/>
      <c r="V136" s="1"/>
      <c r="W136" s="2"/>
    </row>
    <row r="137" spans="1:23" ht="13.5" customHeight="1" x14ac:dyDescent="0.4">
      <c r="A137" s="11" t="s">
        <v>8</v>
      </c>
      <c r="B137" s="40">
        <f t="shared" ref="B137:G139" ca="1" si="107">OFFSET(B137,-12,0)</f>
        <v>0</v>
      </c>
      <c r="C137" s="40"/>
      <c r="D137" s="40"/>
      <c r="E137" s="40"/>
      <c r="F137" s="13">
        <f t="shared" ca="1" si="107"/>
        <v>0</v>
      </c>
      <c r="G137" s="17">
        <f t="shared" ca="1" si="107"/>
        <v>0</v>
      </c>
      <c r="H137" s="17">
        <f t="shared" ref="H137:I139" ca="1" si="108">OFFSET(H137,-12,0)</f>
        <v>0</v>
      </c>
      <c r="I137" s="13">
        <f t="shared" ca="1" si="108"/>
        <v>0</v>
      </c>
      <c r="J137" s="16"/>
      <c r="K137" s="13">
        <f t="shared" ref="K137:K139" ca="1" si="109">OFFSET(K137,-12,0)</f>
        <v>0</v>
      </c>
      <c r="L137" s="15">
        <f t="shared" ca="1" si="97"/>
        <v>1</v>
      </c>
      <c r="M137" s="15"/>
      <c r="N137" s="15">
        <f t="shared" ca="1" si="96"/>
        <v>0</v>
      </c>
      <c r="O137" s="18"/>
      <c r="V137" s="1"/>
      <c r="W137" s="2"/>
    </row>
    <row r="138" spans="1:23" ht="13.5" customHeight="1" x14ac:dyDescent="0.4">
      <c r="A138" s="11" t="s">
        <v>8</v>
      </c>
      <c r="B138" s="40">
        <f t="shared" ca="1" si="107"/>
        <v>0</v>
      </c>
      <c r="C138" s="40"/>
      <c r="D138" s="40"/>
      <c r="E138" s="40"/>
      <c r="F138" s="13">
        <f t="shared" ca="1" si="107"/>
        <v>0</v>
      </c>
      <c r="G138" s="17">
        <f t="shared" ca="1" si="107"/>
        <v>0</v>
      </c>
      <c r="H138" s="17">
        <f t="shared" ca="1" si="108"/>
        <v>0</v>
      </c>
      <c r="I138" s="13">
        <f t="shared" ca="1" si="108"/>
        <v>0</v>
      </c>
      <c r="J138" s="16"/>
      <c r="K138" s="13">
        <f t="shared" ca="1" si="109"/>
        <v>0</v>
      </c>
      <c r="L138" s="15">
        <f t="shared" ca="1" si="97"/>
        <v>1</v>
      </c>
      <c r="M138" s="15"/>
      <c r="N138" s="15">
        <f t="shared" ca="1" si="96"/>
        <v>0</v>
      </c>
      <c r="O138" s="18"/>
      <c r="V138" s="1"/>
      <c r="W138" s="2"/>
    </row>
    <row r="139" spans="1:23" ht="13.5" customHeight="1" x14ac:dyDescent="0.4">
      <c r="A139" s="11" t="s">
        <v>8</v>
      </c>
      <c r="B139" s="40">
        <f t="shared" ca="1" si="107"/>
        <v>0</v>
      </c>
      <c r="C139" s="40"/>
      <c r="D139" s="40"/>
      <c r="E139" s="40"/>
      <c r="F139" s="13">
        <f t="shared" ca="1" si="107"/>
        <v>0</v>
      </c>
      <c r="G139" s="17">
        <f t="shared" ca="1" si="107"/>
        <v>0</v>
      </c>
      <c r="H139" s="17">
        <f t="shared" ca="1" si="108"/>
        <v>0</v>
      </c>
      <c r="I139" s="13">
        <f t="shared" ca="1" si="108"/>
        <v>0</v>
      </c>
      <c r="J139" s="16"/>
      <c r="K139" s="13">
        <f t="shared" ca="1" si="109"/>
        <v>0</v>
      </c>
      <c r="L139" s="15">
        <f t="shared" ca="1" si="97"/>
        <v>1</v>
      </c>
      <c r="M139" s="15"/>
      <c r="N139" s="15">
        <f t="shared" ca="1" si="96"/>
        <v>0</v>
      </c>
      <c r="O139" s="18"/>
      <c r="V139" s="1"/>
      <c r="W139" s="2"/>
    </row>
    <row r="140" spans="1:23" ht="13.5" customHeight="1" x14ac:dyDescent="0.4">
      <c r="A140" s="11" t="s">
        <v>9</v>
      </c>
      <c r="B140" s="41">
        <f t="shared" ref="B140:G142" ca="1" si="110">OFFSET(B140,-15,0)</f>
        <v>0</v>
      </c>
      <c r="C140" s="41"/>
      <c r="D140" s="41"/>
      <c r="E140" s="41"/>
      <c r="F140" s="19">
        <f t="shared" ca="1" si="110"/>
        <v>0</v>
      </c>
      <c r="G140" s="20">
        <f t="shared" ca="1" si="110"/>
        <v>0</v>
      </c>
      <c r="H140" s="20">
        <f t="shared" ref="H140:I142" ca="1" si="111">OFFSET(H140,-15,0)</f>
        <v>0</v>
      </c>
      <c r="I140" s="13">
        <f t="shared" ca="1" si="111"/>
        <v>0</v>
      </c>
      <c r="J140" s="16"/>
      <c r="K140" s="19">
        <f t="shared" ref="K140:K142" ca="1" si="112">OFFSET(K140,-15,0)</f>
        <v>0</v>
      </c>
      <c r="L140" s="15">
        <f t="shared" ca="1" si="97"/>
        <v>1</v>
      </c>
      <c r="M140" s="15"/>
      <c r="N140" s="15">
        <f t="shared" ca="1" si="96"/>
        <v>0</v>
      </c>
      <c r="O140" s="18"/>
      <c r="V140" s="1"/>
      <c r="W140" s="2"/>
    </row>
    <row r="141" spans="1:23" ht="13.5" customHeight="1" x14ac:dyDescent="0.4">
      <c r="A141" s="11" t="s">
        <v>9</v>
      </c>
      <c r="B141" s="41">
        <f t="shared" ca="1" si="110"/>
        <v>0</v>
      </c>
      <c r="C141" s="41"/>
      <c r="D141" s="41"/>
      <c r="E141" s="41"/>
      <c r="F141" s="19">
        <f t="shared" ca="1" si="110"/>
        <v>0</v>
      </c>
      <c r="G141" s="20">
        <f t="shared" ca="1" si="110"/>
        <v>0</v>
      </c>
      <c r="H141" s="20">
        <f t="shared" ca="1" si="111"/>
        <v>0</v>
      </c>
      <c r="I141" s="13">
        <f t="shared" ca="1" si="111"/>
        <v>0</v>
      </c>
      <c r="J141" s="16"/>
      <c r="K141" s="19">
        <f t="shared" ca="1" si="112"/>
        <v>0</v>
      </c>
      <c r="L141" s="15">
        <f t="shared" ca="1" si="97"/>
        <v>1</v>
      </c>
      <c r="M141" s="15"/>
      <c r="N141" s="15">
        <f t="shared" ca="1" si="96"/>
        <v>0</v>
      </c>
      <c r="O141" s="18"/>
      <c r="V141" s="1"/>
      <c r="W141" s="2"/>
    </row>
    <row r="142" spans="1:23" ht="13.5" customHeight="1" x14ac:dyDescent="0.4">
      <c r="A142" s="11" t="s">
        <v>9</v>
      </c>
      <c r="B142" s="41">
        <f t="shared" ca="1" si="110"/>
        <v>0</v>
      </c>
      <c r="C142" s="41"/>
      <c r="D142" s="41"/>
      <c r="E142" s="41"/>
      <c r="F142" s="19">
        <f t="shared" ca="1" si="110"/>
        <v>0</v>
      </c>
      <c r="G142" s="20">
        <f t="shared" ca="1" si="110"/>
        <v>0</v>
      </c>
      <c r="H142" s="20">
        <f t="shared" ca="1" si="111"/>
        <v>0</v>
      </c>
      <c r="I142" s="13">
        <f t="shared" ca="1" si="111"/>
        <v>0</v>
      </c>
      <c r="J142" s="16"/>
      <c r="K142" s="19">
        <f t="shared" ca="1" si="112"/>
        <v>0</v>
      </c>
      <c r="L142" s="15">
        <f t="shared" ca="1" si="97"/>
        <v>1</v>
      </c>
      <c r="M142" s="15"/>
      <c r="N142" s="15">
        <f t="shared" ca="1" si="96"/>
        <v>0</v>
      </c>
      <c r="O142" s="18"/>
      <c r="V142" s="1"/>
      <c r="W142" s="2"/>
    </row>
    <row r="143" spans="1:23" ht="13.5" customHeight="1" x14ac:dyDescent="0.4">
      <c r="A143" s="77" t="s">
        <v>27</v>
      </c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6"/>
      <c r="O143" s="18"/>
      <c r="V143" s="1"/>
      <c r="W143" s="2"/>
    </row>
    <row r="144" spans="1:23" ht="13.5" customHeight="1" x14ac:dyDescent="0.4">
      <c r="A144" s="11" t="s">
        <v>5</v>
      </c>
      <c r="B144" s="40"/>
      <c r="C144" s="40"/>
      <c r="D144" s="40"/>
      <c r="E144" s="40"/>
      <c r="F144" s="13"/>
      <c r="G144" s="11"/>
      <c r="H144" s="17"/>
      <c r="I144" s="13"/>
      <c r="J144" s="16"/>
      <c r="K144" s="13"/>
      <c r="L144" s="15">
        <f>ROUND((10^(K144/10))/(10^(I144/10)),3)</f>
        <v>1</v>
      </c>
      <c r="M144" s="15"/>
      <c r="N144" s="15">
        <f t="shared" ref="N144:N161" si="113">J144*L144</f>
        <v>0</v>
      </c>
      <c r="O144" s="18"/>
      <c r="V144" s="1"/>
      <c r="W144" s="2"/>
    </row>
    <row r="145" spans="1:23" ht="13.5" customHeight="1" x14ac:dyDescent="0.4">
      <c r="A145" s="11" t="s">
        <v>5</v>
      </c>
      <c r="B145" s="40"/>
      <c r="C145" s="40"/>
      <c r="D145" s="40"/>
      <c r="E145" s="40"/>
      <c r="F145" s="13"/>
      <c r="G145" s="11"/>
      <c r="H145" s="17"/>
      <c r="I145" s="13"/>
      <c r="J145" s="16"/>
      <c r="K145" s="13"/>
      <c r="L145" s="15">
        <f t="shared" ref="L145:L161" si="114">ROUND((10^(K145/10))/(10^(I145/10)),3)</f>
        <v>1</v>
      </c>
      <c r="M145" s="15"/>
      <c r="N145" s="15">
        <f t="shared" si="113"/>
        <v>0</v>
      </c>
      <c r="O145" s="18"/>
      <c r="V145" s="1"/>
      <c r="W145" s="2"/>
    </row>
    <row r="146" spans="1:23" ht="13.5" customHeight="1" x14ac:dyDescent="0.4">
      <c r="A146" s="11" t="s">
        <v>5</v>
      </c>
      <c r="B146" s="40"/>
      <c r="C146" s="40"/>
      <c r="D146" s="40"/>
      <c r="E146" s="40"/>
      <c r="F146" s="13"/>
      <c r="G146" s="11"/>
      <c r="H146" s="17"/>
      <c r="I146" s="13"/>
      <c r="J146" s="16"/>
      <c r="K146" s="13"/>
      <c r="L146" s="15">
        <f t="shared" si="114"/>
        <v>1</v>
      </c>
      <c r="M146" s="15"/>
      <c r="N146" s="15">
        <f t="shared" si="113"/>
        <v>0</v>
      </c>
      <c r="O146" s="18"/>
      <c r="V146" s="1"/>
      <c r="W146" s="2"/>
    </row>
    <row r="147" spans="1:23" ht="13.5" customHeight="1" x14ac:dyDescent="0.4">
      <c r="A147" s="11" t="s">
        <v>6</v>
      </c>
      <c r="B147" s="41">
        <f t="shared" ref="B147:G149" ca="1" si="115">OFFSET(B147,-3,0)</f>
        <v>0</v>
      </c>
      <c r="C147" s="41"/>
      <c r="D147" s="41"/>
      <c r="E147" s="41"/>
      <c r="F147" s="19">
        <f t="shared" ca="1" si="115"/>
        <v>0</v>
      </c>
      <c r="G147" s="20">
        <f t="shared" ca="1" si="115"/>
        <v>0</v>
      </c>
      <c r="H147" s="20">
        <f t="shared" ref="H147:I149" ca="1" si="116">OFFSET(H147,-3,0)</f>
        <v>0</v>
      </c>
      <c r="I147" s="13">
        <f t="shared" ca="1" si="116"/>
        <v>0</v>
      </c>
      <c r="J147" s="16"/>
      <c r="K147" s="19">
        <f t="shared" ref="K147:K149" ca="1" si="117">OFFSET(K147,-3,0)</f>
        <v>0</v>
      </c>
      <c r="L147" s="15">
        <f t="shared" ca="1" si="114"/>
        <v>1</v>
      </c>
      <c r="M147" s="15"/>
      <c r="N147" s="15">
        <f t="shared" ca="1" si="113"/>
        <v>0</v>
      </c>
      <c r="O147" s="18"/>
      <c r="V147" s="1"/>
      <c r="W147" s="2"/>
    </row>
    <row r="148" spans="1:23" ht="13.5" customHeight="1" x14ac:dyDescent="0.4">
      <c r="A148" s="11" t="s">
        <v>6</v>
      </c>
      <c r="B148" s="41">
        <f t="shared" ca="1" si="115"/>
        <v>0</v>
      </c>
      <c r="C148" s="41"/>
      <c r="D148" s="41"/>
      <c r="E148" s="41"/>
      <c r="F148" s="19">
        <f t="shared" ca="1" si="115"/>
        <v>0</v>
      </c>
      <c r="G148" s="20">
        <f t="shared" ca="1" si="115"/>
        <v>0</v>
      </c>
      <c r="H148" s="20">
        <f t="shared" ca="1" si="116"/>
        <v>0</v>
      </c>
      <c r="I148" s="13">
        <f t="shared" ca="1" si="116"/>
        <v>0</v>
      </c>
      <c r="J148" s="16"/>
      <c r="K148" s="19">
        <f t="shared" ca="1" si="117"/>
        <v>0</v>
      </c>
      <c r="L148" s="15">
        <f t="shared" ca="1" si="114"/>
        <v>1</v>
      </c>
      <c r="M148" s="15"/>
      <c r="N148" s="15">
        <f t="shared" ca="1" si="113"/>
        <v>0</v>
      </c>
      <c r="O148" s="18"/>
      <c r="V148" s="1"/>
      <c r="W148" s="2"/>
    </row>
    <row r="149" spans="1:23" ht="13.5" customHeight="1" x14ac:dyDescent="0.4">
      <c r="A149" s="11" t="s">
        <v>6</v>
      </c>
      <c r="B149" s="41">
        <f t="shared" ca="1" si="115"/>
        <v>0</v>
      </c>
      <c r="C149" s="41"/>
      <c r="D149" s="41"/>
      <c r="E149" s="41"/>
      <c r="F149" s="19">
        <f t="shared" ca="1" si="115"/>
        <v>0</v>
      </c>
      <c r="G149" s="20">
        <f t="shared" ca="1" si="115"/>
        <v>0</v>
      </c>
      <c r="H149" s="20">
        <f t="shared" ca="1" si="116"/>
        <v>0</v>
      </c>
      <c r="I149" s="13">
        <f t="shared" ca="1" si="116"/>
        <v>0</v>
      </c>
      <c r="J149" s="16"/>
      <c r="K149" s="19">
        <f t="shared" ca="1" si="117"/>
        <v>0</v>
      </c>
      <c r="L149" s="15">
        <f t="shared" ca="1" si="114"/>
        <v>1</v>
      </c>
      <c r="M149" s="15"/>
      <c r="N149" s="15">
        <f t="shared" ca="1" si="113"/>
        <v>0</v>
      </c>
      <c r="O149" s="18"/>
      <c r="V149" s="1"/>
      <c r="W149" s="2"/>
    </row>
    <row r="150" spans="1:23" ht="13.5" customHeight="1" x14ac:dyDescent="0.4">
      <c r="A150" s="11" t="s">
        <v>57</v>
      </c>
      <c r="B150" s="40">
        <f t="shared" ref="B150:G152" ca="1" si="118">OFFSET(B150,-6,0)</f>
        <v>0</v>
      </c>
      <c r="C150" s="40"/>
      <c r="D150" s="40"/>
      <c r="E150" s="40"/>
      <c r="F150" s="13">
        <f t="shared" ca="1" si="118"/>
        <v>0</v>
      </c>
      <c r="G150" s="17">
        <f t="shared" ca="1" si="118"/>
        <v>0</v>
      </c>
      <c r="H150" s="17">
        <f t="shared" ref="H150:I152" ca="1" si="119">OFFSET(H150,-6,0)</f>
        <v>0</v>
      </c>
      <c r="I150" s="13">
        <f t="shared" ca="1" si="119"/>
        <v>0</v>
      </c>
      <c r="J150" s="16"/>
      <c r="K150" s="13">
        <f t="shared" ref="K150:K152" ca="1" si="120">OFFSET(K150,-6,0)</f>
        <v>0</v>
      </c>
      <c r="L150" s="15">
        <f t="shared" ca="1" si="114"/>
        <v>1</v>
      </c>
      <c r="M150" s="15"/>
      <c r="N150" s="15">
        <f t="shared" ca="1" si="113"/>
        <v>0</v>
      </c>
      <c r="O150" s="18"/>
      <c r="V150" s="1"/>
      <c r="W150" s="2"/>
    </row>
    <row r="151" spans="1:23" ht="13.5" customHeight="1" x14ac:dyDescent="0.4">
      <c r="A151" s="11" t="s">
        <v>57</v>
      </c>
      <c r="B151" s="40">
        <f t="shared" ca="1" si="118"/>
        <v>0</v>
      </c>
      <c r="C151" s="40"/>
      <c r="D151" s="40"/>
      <c r="E151" s="40"/>
      <c r="F151" s="13">
        <f t="shared" ca="1" si="118"/>
        <v>0</v>
      </c>
      <c r="G151" s="17">
        <f t="shared" ca="1" si="118"/>
        <v>0</v>
      </c>
      <c r="H151" s="17">
        <f t="shared" ca="1" si="119"/>
        <v>0</v>
      </c>
      <c r="I151" s="13">
        <f t="shared" ca="1" si="119"/>
        <v>0</v>
      </c>
      <c r="J151" s="16"/>
      <c r="K151" s="13">
        <f t="shared" ca="1" si="120"/>
        <v>0</v>
      </c>
      <c r="L151" s="15">
        <f t="shared" ca="1" si="114"/>
        <v>1</v>
      </c>
      <c r="M151" s="15"/>
      <c r="N151" s="15">
        <f t="shared" ca="1" si="113"/>
        <v>0</v>
      </c>
      <c r="O151" s="18"/>
      <c r="V151" s="1"/>
      <c r="W151" s="2"/>
    </row>
    <row r="152" spans="1:23" ht="13.5" customHeight="1" x14ac:dyDescent="0.4">
      <c r="A152" s="11" t="s">
        <v>57</v>
      </c>
      <c r="B152" s="40">
        <f t="shared" ca="1" si="118"/>
        <v>0</v>
      </c>
      <c r="C152" s="40"/>
      <c r="D152" s="40"/>
      <c r="E152" s="40"/>
      <c r="F152" s="13">
        <f t="shared" ca="1" si="118"/>
        <v>0</v>
      </c>
      <c r="G152" s="17">
        <f t="shared" ca="1" si="118"/>
        <v>0</v>
      </c>
      <c r="H152" s="17">
        <f t="shared" ca="1" si="119"/>
        <v>0</v>
      </c>
      <c r="I152" s="13">
        <f t="shared" ca="1" si="119"/>
        <v>0</v>
      </c>
      <c r="J152" s="16"/>
      <c r="K152" s="13">
        <f t="shared" ca="1" si="120"/>
        <v>0</v>
      </c>
      <c r="L152" s="15">
        <f t="shared" ca="1" si="114"/>
        <v>1</v>
      </c>
      <c r="M152" s="15"/>
      <c r="N152" s="15">
        <f t="shared" ca="1" si="113"/>
        <v>0</v>
      </c>
      <c r="O152" s="18"/>
      <c r="V152" s="1"/>
      <c r="W152" s="2"/>
    </row>
    <row r="153" spans="1:23" ht="13.5" customHeight="1" x14ac:dyDescent="0.4">
      <c r="A153" s="11" t="s">
        <v>7</v>
      </c>
      <c r="B153" s="40">
        <f t="shared" ref="B153:G155" ca="1" si="121">OFFSET(B153,-9,0)</f>
        <v>0</v>
      </c>
      <c r="C153" s="40"/>
      <c r="D153" s="40"/>
      <c r="E153" s="40"/>
      <c r="F153" s="13">
        <f t="shared" ca="1" si="121"/>
        <v>0</v>
      </c>
      <c r="G153" s="17">
        <f t="shared" ca="1" si="121"/>
        <v>0</v>
      </c>
      <c r="H153" s="17">
        <f t="shared" ref="H153:I155" ca="1" si="122">OFFSET(H153,-9,0)</f>
        <v>0</v>
      </c>
      <c r="I153" s="13">
        <f t="shared" ca="1" si="122"/>
        <v>0</v>
      </c>
      <c r="J153" s="16"/>
      <c r="K153" s="13">
        <f t="shared" ref="K153:K155" ca="1" si="123">OFFSET(K153,-9,0)</f>
        <v>0</v>
      </c>
      <c r="L153" s="15">
        <f t="shared" ca="1" si="114"/>
        <v>1</v>
      </c>
      <c r="M153" s="15"/>
      <c r="N153" s="15">
        <f t="shared" ca="1" si="113"/>
        <v>0</v>
      </c>
      <c r="O153" s="18"/>
      <c r="V153" s="1"/>
      <c r="W153" s="2"/>
    </row>
    <row r="154" spans="1:23" ht="13.5" customHeight="1" x14ac:dyDescent="0.4">
      <c r="A154" s="11" t="s">
        <v>7</v>
      </c>
      <c r="B154" s="40">
        <f t="shared" ca="1" si="121"/>
        <v>0</v>
      </c>
      <c r="C154" s="40"/>
      <c r="D154" s="40"/>
      <c r="E154" s="40"/>
      <c r="F154" s="13">
        <f t="shared" ca="1" si="121"/>
        <v>0</v>
      </c>
      <c r="G154" s="17">
        <f t="shared" ca="1" si="121"/>
        <v>0</v>
      </c>
      <c r="H154" s="17">
        <f t="shared" ca="1" si="122"/>
        <v>0</v>
      </c>
      <c r="I154" s="13">
        <f t="shared" ca="1" si="122"/>
        <v>0</v>
      </c>
      <c r="J154" s="16"/>
      <c r="K154" s="13">
        <f t="shared" ca="1" si="123"/>
        <v>0</v>
      </c>
      <c r="L154" s="15">
        <f t="shared" ca="1" si="114"/>
        <v>1</v>
      </c>
      <c r="M154" s="15"/>
      <c r="N154" s="15">
        <f t="shared" ca="1" si="113"/>
        <v>0</v>
      </c>
      <c r="O154" s="18"/>
      <c r="V154" s="1"/>
      <c r="W154" s="2"/>
    </row>
    <row r="155" spans="1:23" ht="13.5" customHeight="1" x14ac:dyDescent="0.4">
      <c r="A155" s="11" t="s">
        <v>7</v>
      </c>
      <c r="B155" s="40">
        <f t="shared" ca="1" si="121"/>
        <v>0</v>
      </c>
      <c r="C155" s="40"/>
      <c r="D155" s="40"/>
      <c r="E155" s="40"/>
      <c r="F155" s="13">
        <f t="shared" ca="1" si="121"/>
        <v>0</v>
      </c>
      <c r="G155" s="17">
        <f t="shared" ca="1" si="121"/>
        <v>0</v>
      </c>
      <c r="H155" s="17">
        <f t="shared" ca="1" si="122"/>
        <v>0</v>
      </c>
      <c r="I155" s="13">
        <f t="shared" ca="1" si="122"/>
        <v>0</v>
      </c>
      <c r="J155" s="16"/>
      <c r="K155" s="13">
        <f t="shared" ca="1" si="123"/>
        <v>0</v>
      </c>
      <c r="L155" s="15">
        <f t="shared" ca="1" si="114"/>
        <v>1</v>
      </c>
      <c r="M155" s="15"/>
      <c r="N155" s="15">
        <f t="shared" ca="1" si="113"/>
        <v>0</v>
      </c>
      <c r="O155" s="18"/>
      <c r="V155" s="1"/>
      <c r="W155" s="2"/>
    </row>
    <row r="156" spans="1:23" ht="13.5" customHeight="1" x14ac:dyDescent="0.4">
      <c r="A156" s="11" t="s">
        <v>8</v>
      </c>
      <c r="B156" s="40">
        <f t="shared" ref="B156:G158" ca="1" si="124">OFFSET(B156,-12,0)</f>
        <v>0</v>
      </c>
      <c r="C156" s="40"/>
      <c r="D156" s="40"/>
      <c r="E156" s="40"/>
      <c r="F156" s="13">
        <f t="shared" ca="1" si="124"/>
        <v>0</v>
      </c>
      <c r="G156" s="17">
        <f t="shared" ca="1" si="124"/>
        <v>0</v>
      </c>
      <c r="H156" s="17">
        <f t="shared" ref="H156:I158" ca="1" si="125">OFFSET(H156,-12,0)</f>
        <v>0</v>
      </c>
      <c r="I156" s="13">
        <f t="shared" ca="1" si="125"/>
        <v>0</v>
      </c>
      <c r="J156" s="16"/>
      <c r="K156" s="13">
        <f t="shared" ref="K156:K158" ca="1" si="126">OFFSET(K156,-12,0)</f>
        <v>0</v>
      </c>
      <c r="L156" s="15">
        <f t="shared" ca="1" si="114"/>
        <v>1</v>
      </c>
      <c r="M156" s="15"/>
      <c r="N156" s="15">
        <f t="shared" ca="1" si="113"/>
        <v>0</v>
      </c>
      <c r="O156" s="18"/>
      <c r="V156" s="1"/>
      <c r="W156" s="2"/>
    </row>
    <row r="157" spans="1:23" ht="13.5" customHeight="1" x14ac:dyDescent="0.4">
      <c r="A157" s="11" t="s">
        <v>8</v>
      </c>
      <c r="B157" s="40">
        <f t="shared" ca="1" si="124"/>
        <v>0</v>
      </c>
      <c r="C157" s="40"/>
      <c r="D157" s="40"/>
      <c r="E157" s="40"/>
      <c r="F157" s="13">
        <f t="shared" ca="1" si="124"/>
        <v>0</v>
      </c>
      <c r="G157" s="17">
        <f t="shared" ca="1" si="124"/>
        <v>0</v>
      </c>
      <c r="H157" s="17">
        <f t="shared" ca="1" si="125"/>
        <v>0</v>
      </c>
      <c r="I157" s="13">
        <f t="shared" ca="1" si="125"/>
        <v>0</v>
      </c>
      <c r="J157" s="16"/>
      <c r="K157" s="13">
        <f t="shared" ca="1" si="126"/>
        <v>0</v>
      </c>
      <c r="L157" s="15">
        <f t="shared" ca="1" si="114"/>
        <v>1</v>
      </c>
      <c r="M157" s="15"/>
      <c r="N157" s="15">
        <f t="shared" ca="1" si="113"/>
        <v>0</v>
      </c>
      <c r="O157" s="18"/>
      <c r="V157" s="1"/>
      <c r="W157" s="2"/>
    </row>
    <row r="158" spans="1:23" ht="13.5" customHeight="1" x14ac:dyDescent="0.4">
      <c r="A158" s="11" t="s">
        <v>8</v>
      </c>
      <c r="B158" s="40">
        <f t="shared" ca="1" si="124"/>
        <v>0</v>
      </c>
      <c r="C158" s="40"/>
      <c r="D158" s="40"/>
      <c r="E158" s="40"/>
      <c r="F158" s="13">
        <f t="shared" ca="1" si="124"/>
        <v>0</v>
      </c>
      <c r="G158" s="17">
        <f t="shared" ca="1" si="124"/>
        <v>0</v>
      </c>
      <c r="H158" s="17">
        <f t="shared" ca="1" si="125"/>
        <v>0</v>
      </c>
      <c r="I158" s="13">
        <f t="shared" ca="1" si="125"/>
        <v>0</v>
      </c>
      <c r="J158" s="16"/>
      <c r="K158" s="13">
        <f t="shared" ca="1" si="126"/>
        <v>0</v>
      </c>
      <c r="L158" s="15">
        <f t="shared" ca="1" si="114"/>
        <v>1</v>
      </c>
      <c r="M158" s="15"/>
      <c r="N158" s="15">
        <f t="shared" ca="1" si="113"/>
        <v>0</v>
      </c>
      <c r="O158" s="18"/>
      <c r="V158" s="1"/>
      <c r="W158" s="2"/>
    </row>
    <row r="159" spans="1:23" ht="13.5" customHeight="1" x14ac:dyDescent="0.4">
      <c r="A159" s="11" t="s">
        <v>9</v>
      </c>
      <c r="B159" s="41">
        <f t="shared" ref="B159:G161" ca="1" si="127">OFFSET(B159,-15,0)</f>
        <v>0</v>
      </c>
      <c r="C159" s="41"/>
      <c r="D159" s="41"/>
      <c r="E159" s="41"/>
      <c r="F159" s="19">
        <f t="shared" ca="1" si="127"/>
        <v>0</v>
      </c>
      <c r="G159" s="20">
        <f t="shared" ca="1" si="127"/>
        <v>0</v>
      </c>
      <c r="H159" s="20">
        <f t="shared" ref="H159:I161" ca="1" si="128">OFFSET(H159,-15,0)</f>
        <v>0</v>
      </c>
      <c r="I159" s="13">
        <f t="shared" ca="1" si="128"/>
        <v>0</v>
      </c>
      <c r="J159" s="16"/>
      <c r="K159" s="19">
        <f t="shared" ref="K159:K161" ca="1" si="129">OFFSET(K159,-15,0)</f>
        <v>0</v>
      </c>
      <c r="L159" s="15">
        <f t="shared" ca="1" si="114"/>
        <v>1</v>
      </c>
      <c r="M159" s="15"/>
      <c r="N159" s="15">
        <f t="shared" ca="1" si="113"/>
        <v>0</v>
      </c>
      <c r="O159" s="18"/>
      <c r="V159" s="1"/>
      <c r="W159" s="2"/>
    </row>
    <row r="160" spans="1:23" ht="13.5" customHeight="1" x14ac:dyDescent="0.4">
      <c r="A160" s="11" t="s">
        <v>9</v>
      </c>
      <c r="B160" s="41">
        <f t="shared" ca="1" si="127"/>
        <v>0</v>
      </c>
      <c r="C160" s="41"/>
      <c r="D160" s="41"/>
      <c r="E160" s="41"/>
      <c r="F160" s="19">
        <f t="shared" ca="1" si="127"/>
        <v>0</v>
      </c>
      <c r="G160" s="20">
        <f t="shared" ca="1" si="127"/>
        <v>0</v>
      </c>
      <c r="H160" s="20">
        <f t="shared" ca="1" si="128"/>
        <v>0</v>
      </c>
      <c r="I160" s="13">
        <f t="shared" ca="1" si="128"/>
        <v>0</v>
      </c>
      <c r="J160" s="16"/>
      <c r="K160" s="19">
        <f t="shared" ca="1" si="129"/>
        <v>0</v>
      </c>
      <c r="L160" s="15">
        <f t="shared" ca="1" si="114"/>
        <v>1</v>
      </c>
      <c r="M160" s="15"/>
      <c r="N160" s="15">
        <f t="shared" ca="1" si="113"/>
        <v>0</v>
      </c>
      <c r="O160" s="18"/>
      <c r="V160" s="1"/>
      <c r="W160" s="2"/>
    </row>
    <row r="161" spans="1:23" ht="13.5" customHeight="1" x14ac:dyDescent="0.4">
      <c r="A161" s="11" t="s">
        <v>9</v>
      </c>
      <c r="B161" s="41">
        <f t="shared" ca="1" si="127"/>
        <v>0</v>
      </c>
      <c r="C161" s="41"/>
      <c r="D161" s="41"/>
      <c r="E161" s="41"/>
      <c r="F161" s="19">
        <f t="shared" ca="1" si="127"/>
        <v>0</v>
      </c>
      <c r="G161" s="20">
        <f t="shared" ca="1" si="127"/>
        <v>0</v>
      </c>
      <c r="H161" s="20">
        <f t="shared" ca="1" si="128"/>
        <v>0</v>
      </c>
      <c r="I161" s="13">
        <f t="shared" ca="1" si="128"/>
        <v>0</v>
      </c>
      <c r="J161" s="16"/>
      <c r="K161" s="19">
        <f t="shared" ca="1" si="129"/>
        <v>0</v>
      </c>
      <c r="L161" s="15">
        <f t="shared" ca="1" si="114"/>
        <v>1</v>
      </c>
      <c r="M161" s="15"/>
      <c r="N161" s="15">
        <f t="shared" ca="1" si="113"/>
        <v>0</v>
      </c>
      <c r="O161" s="18"/>
      <c r="V161" s="1"/>
      <c r="W161" s="2"/>
    </row>
    <row r="162" spans="1:23" ht="13.5" customHeight="1" x14ac:dyDescent="0.4">
      <c r="A162" s="77" t="s">
        <v>31</v>
      </c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6"/>
      <c r="O162" s="18"/>
      <c r="V162" s="1"/>
      <c r="W162" s="2"/>
    </row>
    <row r="163" spans="1:23" x14ac:dyDescent="0.4">
      <c r="A163" s="11" t="s">
        <v>5</v>
      </c>
      <c r="B163" s="40"/>
      <c r="C163" s="40"/>
      <c r="D163" s="40"/>
      <c r="E163" s="40"/>
      <c r="F163" s="13"/>
      <c r="G163" s="11"/>
      <c r="H163" s="17"/>
      <c r="I163" s="13"/>
      <c r="J163" s="16"/>
      <c r="K163" s="13"/>
      <c r="L163" s="15">
        <f>ROUND((10^(K163/10))/(10^(I163/10)),3)</f>
        <v>1</v>
      </c>
      <c r="M163" s="15"/>
      <c r="N163" s="15">
        <f t="shared" ref="N163:N180" si="130">J163*L163</f>
        <v>0</v>
      </c>
      <c r="O163" s="18"/>
      <c r="V163" s="1"/>
      <c r="W163" s="2"/>
    </row>
    <row r="164" spans="1:23" x14ac:dyDescent="0.4">
      <c r="A164" s="11" t="s">
        <v>5</v>
      </c>
      <c r="B164" s="40"/>
      <c r="C164" s="40"/>
      <c r="D164" s="40"/>
      <c r="E164" s="40"/>
      <c r="F164" s="13"/>
      <c r="G164" s="11"/>
      <c r="H164" s="17"/>
      <c r="I164" s="13"/>
      <c r="J164" s="16"/>
      <c r="K164" s="13"/>
      <c r="L164" s="15">
        <f t="shared" ref="L164:L180" si="131">ROUND((10^(K164/10))/(10^(I164/10)),3)</f>
        <v>1</v>
      </c>
      <c r="M164" s="15"/>
      <c r="N164" s="15">
        <f t="shared" si="130"/>
        <v>0</v>
      </c>
      <c r="O164" s="18"/>
      <c r="V164" s="1"/>
      <c r="W164" s="2"/>
    </row>
    <row r="165" spans="1:23" x14ac:dyDescent="0.4">
      <c r="A165" s="11" t="s">
        <v>5</v>
      </c>
      <c r="B165" s="40"/>
      <c r="C165" s="40"/>
      <c r="D165" s="40"/>
      <c r="E165" s="40"/>
      <c r="F165" s="13"/>
      <c r="G165" s="11"/>
      <c r="H165" s="17"/>
      <c r="I165" s="13"/>
      <c r="J165" s="16"/>
      <c r="K165" s="13"/>
      <c r="L165" s="15">
        <f t="shared" si="131"/>
        <v>1</v>
      </c>
      <c r="M165" s="15"/>
      <c r="N165" s="15">
        <f t="shared" si="130"/>
        <v>0</v>
      </c>
      <c r="O165" s="18"/>
      <c r="V165" s="1"/>
      <c r="W165" s="2"/>
    </row>
    <row r="166" spans="1:23" x14ac:dyDescent="0.4">
      <c r="A166" s="11" t="s">
        <v>6</v>
      </c>
      <c r="B166" s="41">
        <f t="shared" ref="B166:G168" ca="1" si="132">OFFSET(B166,-3,0)</f>
        <v>0</v>
      </c>
      <c r="C166" s="41"/>
      <c r="D166" s="41"/>
      <c r="E166" s="41"/>
      <c r="F166" s="19">
        <f t="shared" ca="1" si="132"/>
        <v>0</v>
      </c>
      <c r="G166" s="20">
        <f t="shared" ca="1" si="132"/>
        <v>0</v>
      </c>
      <c r="H166" s="20">
        <f t="shared" ref="H166:I168" ca="1" si="133">OFFSET(H166,-3,0)</f>
        <v>0</v>
      </c>
      <c r="I166" s="13">
        <f t="shared" ca="1" si="133"/>
        <v>0</v>
      </c>
      <c r="J166" s="16"/>
      <c r="K166" s="19">
        <f t="shared" ref="K166:K168" ca="1" si="134">OFFSET(K166,-3,0)</f>
        <v>0</v>
      </c>
      <c r="L166" s="15">
        <f t="shared" ca="1" si="131"/>
        <v>1</v>
      </c>
      <c r="M166" s="15"/>
      <c r="N166" s="15">
        <f t="shared" ca="1" si="130"/>
        <v>0</v>
      </c>
      <c r="O166" s="18"/>
      <c r="V166" s="1"/>
      <c r="W166" s="2"/>
    </row>
    <row r="167" spans="1:23" x14ac:dyDescent="0.4">
      <c r="A167" s="11" t="s">
        <v>6</v>
      </c>
      <c r="B167" s="41">
        <f t="shared" ca="1" si="132"/>
        <v>0</v>
      </c>
      <c r="C167" s="41"/>
      <c r="D167" s="41"/>
      <c r="E167" s="41"/>
      <c r="F167" s="19">
        <f t="shared" ca="1" si="132"/>
        <v>0</v>
      </c>
      <c r="G167" s="20">
        <f t="shared" ca="1" si="132"/>
        <v>0</v>
      </c>
      <c r="H167" s="20">
        <f t="shared" ca="1" si="133"/>
        <v>0</v>
      </c>
      <c r="I167" s="13">
        <f t="shared" ca="1" si="133"/>
        <v>0</v>
      </c>
      <c r="J167" s="16"/>
      <c r="K167" s="19">
        <f t="shared" ca="1" si="134"/>
        <v>0</v>
      </c>
      <c r="L167" s="15">
        <f t="shared" ca="1" si="131"/>
        <v>1</v>
      </c>
      <c r="M167" s="15"/>
      <c r="N167" s="15">
        <f t="shared" ca="1" si="130"/>
        <v>0</v>
      </c>
      <c r="O167" s="18"/>
      <c r="V167" s="1"/>
      <c r="W167" s="2"/>
    </row>
    <row r="168" spans="1:23" x14ac:dyDescent="0.4">
      <c r="A168" s="11" t="s">
        <v>6</v>
      </c>
      <c r="B168" s="41">
        <f t="shared" ca="1" si="132"/>
        <v>0</v>
      </c>
      <c r="C168" s="41"/>
      <c r="D168" s="41"/>
      <c r="E168" s="41"/>
      <c r="F168" s="19">
        <f t="shared" ca="1" si="132"/>
        <v>0</v>
      </c>
      <c r="G168" s="20">
        <f t="shared" ca="1" si="132"/>
        <v>0</v>
      </c>
      <c r="H168" s="20">
        <f t="shared" ca="1" si="133"/>
        <v>0</v>
      </c>
      <c r="I168" s="13">
        <f t="shared" ca="1" si="133"/>
        <v>0</v>
      </c>
      <c r="J168" s="16"/>
      <c r="K168" s="19">
        <f t="shared" ca="1" si="134"/>
        <v>0</v>
      </c>
      <c r="L168" s="15">
        <f t="shared" ca="1" si="131"/>
        <v>1</v>
      </c>
      <c r="M168" s="15"/>
      <c r="N168" s="15">
        <f t="shared" ca="1" si="130"/>
        <v>0</v>
      </c>
      <c r="O168" s="18"/>
      <c r="V168" s="1"/>
      <c r="W168" s="2"/>
    </row>
    <row r="169" spans="1:23" x14ac:dyDescent="0.4">
      <c r="A169" s="11" t="s">
        <v>10</v>
      </c>
      <c r="B169" s="40">
        <f t="shared" ref="B169:G171" ca="1" si="135">OFFSET(B169,-6,0)</f>
        <v>0</v>
      </c>
      <c r="C169" s="40"/>
      <c r="D169" s="40"/>
      <c r="E169" s="40"/>
      <c r="F169" s="13">
        <f t="shared" ca="1" si="135"/>
        <v>0</v>
      </c>
      <c r="G169" s="17">
        <f t="shared" ca="1" si="135"/>
        <v>0</v>
      </c>
      <c r="H169" s="17">
        <f t="shared" ref="H169:I171" ca="1" si="136">OFFSET(H169,-6,0)</f>
        <v>0</v>
      </c>
      <c r="I169" s="13">
        <f t="shared" ca="1" si="136"/>
        <v>0</v>
      </c>
      <c r="J169" s="16"/>
      <c r="K169" s="13">
        <f t="shared" ref="K169:K171" ca="1" si="137">OFFSET(K169,-6,0)</f>
        <v>0</v>
      </c>
      <c r="L169" s="15">
        <f t="shared" ca="1" si="131"/>
        <v>1</v>
      </c>
      <c r="M169" s="15"/>
      <c r="N169" s="15">
        <f t="shared" ca="1" si="130"/>
        <v>0</v>
      </c>
      <c r="O169" s="18"/>
      <c r="V169" s="1"/>
      <c r="W169" s="2"/>
    </row>
    <row r="170" spans="1:23" x14ac:dyDescent="0.4">
      <c r="A170" s="11" t="s">
        <v>10</v>
      </c>
      <c r="B170" s="40">
        <f t="shared" ca="1" si="135"/>
        <v>0</v>
      </c>
      <c r="C170" s="40"/>
      <c r="D170" s="40"/>
      <c r="E170" s="40"/>
      <c r="F170" s="13">
        <f t="shared" ca="1" si="135"/>
        <v>0</v>
      </c>
      <c r="G170" s="17">
        <f t="shared" ca="1" si="135"/>
        <v>0</v>
      </c>
      <c r="H170" s="17">
        <f t="shared" ca="1" si="136"/>
        <v>0</v>
      </c>
      <c r="I170" s="13">
        <f t="shared" ca="1" si="136"/>
        <v>0</v>
      </c>
      <c r="J170" s="16"/>
      <c r="K170" s="13">
        <f t="shared" ca="1" si="137"/>
        <v>0</v>
      </c>
      <c r="L170" s="15">
        <f t="shared" ca="1" si="131"/>
        <v>1</v>
      </c>
      <c r="M170" s="15"/>
      <c r="N170" s="15">
        <f t="shared" ca="1" si="130"/>
        <v>0</v>
      </c>
      <c r="O170" s="18"/>
      <c r="V170" s="1"/>
      <c r="W170" s="2"/>
    </row>
    <row r="171" spans="1:23" x14ac:dyDescent="0.4">
      <c r="A171" s="11" t="s">
        <v>10</v>
      </c>
      <c r="B171" s="40">
        <f t="shared" ca="1" si="135"/>
        <v>0</v>
      </c>
      <c r="C171" s="40"/>
      <c r="D171" s="40"/>
      <c r="E171" s="40"/>
      <c r="F171" s="13">
        <f t="shared" ca="1" si="135"/>
        <v>0</v>
      </c>
      <c r="G171" s="17">
        <f t="shared" ca="1" si="135"/>
        <v>0</v>
      </c>
      <c r="H171" s="17">
        <f t="shared" ca="1" si="136"/>
        <v>0</v>
      </c>
      <c r="I171" s="13">
        <f t="shared" ca="1" si="136"/>
        <v>0</v>
      </c>
      <c r="J171" s="16"/>
      <c r="K171" s="13">
        <f t="shared" ca="1" si="137"/>
        <v>0</v>
      </c>
      <c r="L171" s="15">
        <f t="shared" ca="1" si="131"/>
        <v>1</v>
      </c>
      <c r="M171" s="15"/>
      <c r="N171" s="15">
        <f t="shared" ca="1" si="130"/>
        <v>0</v>
      </c>
      <c r="O171" s="18"/>
      <c r="V171" s="1"/>
      <c r="W171" s="2"/>
    </row>
    <row r="172" spans="1:23" x14ac:dyDescent="0.4">
      <c r="A172" s="11" t="s">
        <v>7</v>
      </c>
      <c r="B172" s="40">
        <f t="shared" ref="B172:G174" ca="1" si="138">OFFSET(B172,-9,0)</f>
        <v>0</v>
      </c>
      <c r="C172" s="40"/>
      <c r="D172" s="40"/>
      <c r="E172" s="40"/>
      <c r="F172" s="13">
        <f t="shared" ca="1" si="138"/>
        <v>0</v>
      </c>
      <c r="G172" s="17">
        <f t="shared" ca="1" si="138"/>
        <v>0</v>
      </c>
      <c r="H172" s="17">
        <f t="shared" ref="H172:I174" ca="1" si="139">OFFSET(H172,-9,0)</f>
        <v>0</v>
      </c>
      <c r="I172" s="13">
        <f t="shared" ca="1" si="139"/>
        <v>0</v>
      </c>
      <c r="J172" s="16"/>
      <c r="K172" s="13">
        <f t="shared" ref="K172:K174" ca="1" si="140">OFFSET(K172,-9,0)</f>
        <v>0</v>
      </c>
      <c r="L172" s="15">
        <f t="shared" ca="1" si="131"/>
        <v>1</v>
      </c>
      <c r="M172" s="15"/>
      <c r="N172" s="15">
        <f t="shared" ca="1" si="130"/>
        <v>0</v>
      </c>
      <c r="O172" s="18"/>
      <c r="V172" s="1"/>
      <c r="W172" s="2"/>
    </row>
    <row r="173" spans="1:23" x14ac:dyDescent="0.4">
      <c r="A173" s="11" t="s">
        <v>7</v>
      </c>
      <c r="B173" s="40">
        <f t="shared" ca="1" si="138"/>
        <v>0</v>
      </c>
      <c r="C173" s="40"/>
      <c r="D173" s="40"/>
      <c r="E173" s="40"/>
      <c r="F173" s="13">
        <f t="shared" ca="1" si="138"/>
        <v>0</v>
      </c>
      <c r="G173" s="17">
        <f t="shared" ca="1" si="138"/>
        <v>0</v>
      </c>
      <c r="H173" s="17">
        <f t="shared" ca="1" si="139"/>
        <v>0</v>
      </c>
      <c r="I173" s="13">
        <f t="shared" ca="1" si="139"/>
        <v>0</v>
      </c>
      <c r="J173" s="16"/>
      <c r="K173" s="13">
        <f t="shared" ca="1" si="140"/>
        <v>0</v>
      </c>
      <c r="L173" s="15">
        <f t="shared" ca="1" si="131"/>
        <v>1</v>
      </c>
      <c r="M173" s="15"/>
      <c r="N173" s="15">
        <f t="shared" ca="1" si="130"/>
        <v>0</v>
      </c>
      <c r="O173" s="18"/>
      <c r="V173" s="1"/>
      <c r="W173" s="2"/>
    </row>
    <row r="174" spans="1:23" x14ac:dyDescent="0.4">
      <c r="A174" s="11" t="s">
        <v>7</v>
      </c>
      <c r="B174" s="40">
        <f t="shared" ca="1" si="138"/>
        <v>0</v>
      </c>
      <c r="C174" s="40"/>
      <c r="D174" s="40"/>
      <c r="E174" s="40"/>
      <c r="F174" s="13">
        <f t="shared" ca="1" si="138"/>
        <v>0</v>
      </c>
      <c r="G174" s="17">
        <f t="shared" ca="1" si="138"/>
        <v>0</v>
      </c>
      <c r="H174" s="17">
        <f t="shared" ca="1" si="139"/>
        <v>0</v>
      </c>
      <c r="I174" s="13">
        <f t="shared" ca="1" si="139"/>
        <v>0</v>
      </c>
      <c r="J174" s="16"/>
      <c r="K174" s="13">
        <f t="shared" ca="1" si="140"/>
        <v>0</v>
      </c>
      <c r="L174" s="15">
        <f t="shared" ca="1" si="131"/>
        <v>1</v>
      </c>
      <c r="M174" s="15"/>
      <c r="N174" s="15">
        <f t="shared" ca="1" si="130"/>
        <v>0</v>
      </c>
      <c r="O174" s="18"/>
      <c r="V174" s="1"/>
      <c r="W174" s="2"/>
    </row>
    <row r="175" spans="1:23" x14ac:dyDescent="0.4">
      <c r="A175" s="11" t="s">
        <v>8</v>
      </c>
      <c r="B175" s="40">
        <f t="shared" ref="B175:G177" ca="1" si="141">OFFSET(B175,-12,0)</f>
        <v>0</v>
      </c>
      <c r="C175" s="40"/>
      <c r="D175" s="40"/>
      <c r="E175" s="40"/>
      <c r="F175" s="13">
        <f t="shared" ca="1" si="141"/>
        <v>0</v>
      </c>
      <c r="G175" s="17">
        <f t="shared" ca="1" si="141"/>
        <v>0</v>
      </c>
      <c r="H175" s="17">
        <f t="shared" ref="H175:I177" ca="1" si="142">OFFSET(H175,-12,0)</f>
        <v>0</v>
      </c>
      <c r="I175" s="13">
        <f t="shared" ca="1" si="142"/>
        <v>0</v>
      </c>
      <c r="J175" s="16"/>
      <c r="K175" s="13">
        <f t="shared" ref="K175:K177" ca="1" si="143">OFFSET(K175,-12,0)</f>
        <v>0</v>
      </c>
      <c r="L175" s="15">
        <f t="shared" ca="1" si="131"/>
        <v>1</v>
      </c>
      <c r="M175" s="15"/>
      <c r="N175" s="15">
        <f t="shared" ca="1" si="130"/>
        <v>0</v>
      </c>
      <c r="O175" s="18"/>
      <c r="V175" s="1"/>
      <c r="W175" s="2"/>
    </row>
    <row r="176" spans="1:23" x14ac:dyDescent="0.4">
      <c r="A176" s="11" t="s">
        <v>8</v>
      </c>
      <c r="B176" s="40">
        <f t="shared" ca="1" si="141"/>
        <v>0</v>
      </c>
      <c r="C176" s="40"/>
      <c r="D176" s="40"/>
      <c r="E176" s="40"/>
      <c r="F176" s="13">
        <f t="shared" ca="1" si="141"/>
        <v>0</v>
      </c>
      <c r="G176" s="17">
        <f t="shared" ca="1" si="141"/>
        <v>0</v>
      </c>
      <c r="H176" s="17">
        <f t="shared" ca="1" si="142"/>
        <v>0</v>
      </c>
      <c r="I176" s="13">
        <f t="shared" ca="1" si="142"/>
        <v>0</v>
      </c>
      <c r="J176" s="16"/>
      <c r="K176" s="13">
        <f t="shared" ca="1" si="143"/>
        <v>0</v>
      </c>
      <c r="L176" s="15">
        <f t="shared" ca="1" si="131"/>
        <v>1</v>
      </c>
      <c r="M176" s="15"/>
      <c r="N176" s="15">
        <f t="shared" ca="1" si="130"/>
        <v>0</v>
      </c>
      <c r="O176" s="18"/>
      <c r="V176" s="1"/>
      <c r="W176" s="2"/>
    </row>
    <row r="177" spans="1:23" x14ac:dyDescent="0.4">
      <c r="A177" s="11" t="s">
        <v>8</v>
      </c>
      <c r="B177" s="40">
        <f t="shared" ca="1" si="141"/>
        <v>0</v>
      </c>
      <c r="C177" s="40"/>
      <c r="D177" s="40"/>
      <c r="E177" s="40"/>
      <c r="F177" s="13">
        <f t="shared" ca="1" si="141"/>
        <v>0</v>
      </c>
      <c r="G177" s="17">
        <f t="shared" ca="1" si="141"/>
        <v>0</v>
      </c>
      <c r="H177" s="17">
        <f t="shared" ca="1" si="142"/>
        <v>0</v>
      </c>
      <c r="I177" s="13">
        <f t="shared" ca="1" si="142"/>
        <v>0</v>
      </c>
      <c r="J177" s="16"/>
      <c r="K177" s="13">
        <f t="shared" ca="1" si="143"/>
        <v>0</v>
      </c>
      <c r="L177" s="15">
        <f t="shared" ca="1" si="131"/>
        <v>1</v>
      </c>
      <c r="M177" s="15"/>
      <c r="N177" s="15">
        <f t="shared" ca="1" si="130"/>
        <v>0</v>
      </c>
      <c r="O177" s="18"/>
      <c r="V177" s="1"/>
      <c r="W177" s="2"/>
    </row>
    <row r="178" spans="1:23" x14ac:dyDescent="0.4">
      <c r="A178" s="11" t="s">
        <v>9</v>
      </c>
      <c r="B178" s="41">
        <f t="shared" ref="B178:G180" ca="1" si="144">OFFSET(B178,-15,0)</f>
        <v>0</v>
      </c>
      <c r="C178" s="41"/>
      <c r="D178" s="41"/>
      <c r="E178" s="41"/>
      <c r="F178" s="19">
        <f t="shared" ca="1" si="144"/>
        <v>0</v>
      </c>
      <c r="G178" s="20">
        <f t="shared" ca="1" si="144"/>
        <v>0</v>
      </c>
      <c r="H178" s="20">
        <f t="shared" ref="H178:I180" ca="1" si="145">OFFSET(H178,-15,0)</f>
        <v>0</v>
      </c>
      <c r="I178" s="13">
        <f t="shared" ca="1" si="145"/>
        <v>0</v>
      </c>
      <c r="J178" s="16"/>
      <c r="K178" s="19">
        <f t="shared" ref="K178:K180" ca="1" si="146">OFFSET(K178,-15,0)</f>
        <v>0</v>
      </c>
      <c r="L178" s="15">
        <f t="shared" ca="1" si="131"/>
        <v>1</v>
      </c>
      <c r="M178" s="15"/>
      <c r="N178" s="15">
        <f t="shared" ca="1" si="130"/>
        <v>0</v>
      </c>
      <c r="O178" s="18"/>
      <c r="V178" s="1"/>
      <c r="W178" s="2"/>
    </row>
    <row r="179" spans="1:23" x14ac:dyDescent="0.4">
      <c r="A179" s="11" t="s">
        <v>9</v>
      </c>
      <c r="B179" s="41">
        <f t="shared" ca="1" si="144"/>
        <v>0</v>
      </c>
      <c r="C179" s="41"/>
      <c r="D179" s="41"/>
      <c r="E179" s="41"/>
      <c r="F179" s="19">
        <f t="shared" ca="1" si="144"/>
        <v>0</v>
      </c>
      <c r="G179" s="20">
        <f t="shared" ca="1" si="144"/>
        <v>0</v>
      </c>
      <c r="H179" s="20">
        <f t="shared" ca="1" si="145"/>
        <v>0</v>
      </c>
      <c r="I179" s="13">
        <f t="shared" ca="1" si="145"/>
        <v>0</v>
      </c>
      <c r="J179" s="16"/>
      <c r="K179" s="19">
        <f t="shared" ca="1" si="146"/>
        <v>0</v>
      </c>
      <c r="L179" s="15">
        <f t="shared" ca="1" si="131"/>
        <v>1</v>
      </c>
      <c r="M179" s="15"/>
      <c r="N179" s="15">
        <f t="shared" ca="1" si="130"/>
        <v>0</v>
      </c>
      <c r="O179" s="18"/>
      <c r="V179" s="1"/>
      <c r="W179" s="2"/>
    </row>
    <row r="180" spans="1:23" x14ac:dyDescent="0.4">
      <c r="A180" s="11" t="s">
        <v>9</v>
      </c>
      <c r="B180" s="41">
        <f t="shared" ca="1" si="144"/>
        <v>0</v>
      </c>
      <c r="C180" s="41"/>
      <c r="D180" s="41"/>
      <c r="E180" s="41"/>
      <c r="F180" s="19">
        <f t="shared" ca="1" si="144"/>
        <v>0</v>
      </c>
      <c r="G180" s="20">
        <f t="shared" ca="1" si="144"/>
        <v>0</v>
      </c>
      <c r="H180" s="20">
        <f t="shared" ca="1" si="145"/>
        <v>0</v>
      </c>
      <c r="I180" s="13">
        <f t="shared" ca="1" si="145"/>
        <v>0</v>
      </c>
      <c r="J180" s="16"/>
      <c r="K180" s="19">
        <f t="shared" ca="1" si="146"/>
        <v>0</v>
      </c>
      <c r="L180" s="15">
        <f t="shared" ca="1" si="131"/>
        <v>1</v>
      </c>
      <c r="M180" s="15"/>
      <c r="N180" s="15">
        <f t="shared" ca="1" si="130"/>
        <v>0</v>
      </c>
      <c r="O180" s="18"/>
      <c r="V180" s="1"/>
      <c r="W180" s="2"/>
    </row>
    <row r="181" spans="1:23" ht="17.399999999999999" x14ac:dyDescent="0.4">
      <c r="A181" s="77" t="s">
        <v>23</v>
      </c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6"/>
      <c r="O181" s="18"/>
      <c r="V181" s="1"/>
      <c r="W181" s="2"/>
    </row>
    <row r="182" spans="1:23" x14ac:dyDescent="0.4">
      <c r="A182" s="11" t="str">
        <f ca="1">INDEX(A30:A180, MATCH(MAX(N30:N180), N30:N180, 0), 0)</f>
        <v>Front</v>
      </c>
      <c r="B182" s="40">
        <f ca="1">INDEX(B30:B180, MATCH(MAX(N30:N180), N30:N180, 0), 0)</f>
        <v>0</v>
      </c>
      <c r="C182" s="40"/>
      <c r="D182" s="40"/>
      <c r="E182" s="40"/>
      <c r="F182" s="13">
        <f ca="1">INDEX(F30:F180, MATCH(MAX(N30:N180), N30:N180, 0), 0)</f>
        <v>0</v>
      </c>
      <c r="G182" s="11">
        <f ca="1">INDEX(G30:G180, MATCH(MAX(N30:N180), N30:N180, 0), 0)</f>
        <v>0</v>
      </c>
      <c r="H182" s="17">
        <f ca="1">INDEX(H30:H180, MATCH(MAX(N30:N180), N30:N180, 0), 0)</f>
        <v>0</v>
      </c>
      <c r="I182" s="13">
        <f ca="1">INDEX(I30:I180, MATCH(MAX(N30:N180), N30:N180, 0), 0)</f>
        <v>0</v>
      </c>
      <c r="J182" s="16"/>
      <c r="K182" s="13">
        <f ca="1">INDEX(K30:K180, MATCH(MAX(N30:N180), N30:N180, 0), 0)</f>
        <v>0</v>
      </c>
      <c r="L182" s="15">
        <f ca="1">ROUND((10^(K182/10))/(10^(I182/10)),3)</f>
        <v>1</v>
      </c>
      <c r="M182" s="15"/>
      <c r="N182" s="15">
        <f t="shared" ref="N182" ca="1" si="147">J182*L182</f>
        <v>0</v>
      </c>
      <c r="O182" s="18"/>
      <c r="V182" s="1"/>
      <c r="W182" s="2"/>
    </row>
    <row r="183" spans="1:23" x14ac:dyDescent="0.4">
      <c r="A183" s="11"/>
      <c r="B183" s="40"/>
      <c r="C183" s="40"/>
      <c r="D183" s="40"/>
      <c r="E183" s="40"/>
      <c r="F183" s="13"/>
      <c r="G183" s="11"/>
      <c r="H183" s="17"/>
      <c r="I183" s="13"/>
      <c r="J183" s="16"/>
      <c r="K183" s="13"/>
      <c r="L183" s="15"/>
      <c r="M183" s="15"/>
      <c r="N183" s="15"/>
      <c r="O183" s="18"/>
      <c r="V183" s="1"/>
      <c r="W183" s="2"/>
    </row>
    <row r="184" spans="1:23" x14ac:dyDescent="0.4">
      <c r="A184" s="11"/>
      <c r="B184" s="40"/>
      <c r="C184" s="40"/>
      <c r="D184" s="40"/>
      <c r="E184" s="40"/>
      <c r="F184" s="13"/>
      <c r="G184" s="11"/>
      <c r="H184" s="17"/>
      <c r="I184" s="13"/>
      <c r="J184" s="16"/>
      <c r="K184" s="13"/>
      <c r="L184" s="15"/>
      <c r="M184" s="15"/>
      <c r="N184" s="15"/>
      <c r="O184" s="18"/>
      <c r="V184" s="1"/>
      <c r="W184" s="2"/>
    </row>
    <row r="185" spans="1:23" x14ac:dyDescent="0.4">
      <c r="A185" s="11"/>
      <c r="B185" s="41"/>
      <c r="C185" s="41"/>
      <c r="D185" s="41"/>
      <c r="E185" s="41"/>
      <c r="F185" s="19"/>
      <c r="G185" s="11"/>
      <c r="H185" s="20"/>
      <c r="I185" s="19"/>
      <c r="J185" s="16"/>
      <c r="K185" s="19"/>
      <c r="L185" s="15"/>
      <c r="M185" s="15"/>
      <c r="N185" s="15"/>
      <c r="O185" s="18"/>
      <c r="V185" s="1"/>
      <c r="W185" s="2"/>
    </row>
    <row r="186" spans="1:23" x14ac:dyDescent="0.4">
      <c r="A186" s="11"/>
      <c r="B186" s="41"/>
      <c r="C186" s="41"/>
      <c r="D186" s="41"/>
      <c r="E186" s="41"/>
      <c r="F186" s="19"/>
      <c r="G186" s="11"/>
      <c r="H186" s="20"/>
      <c r="I186" s="19"/>
      <c r="J186" s="16"/>
      <c r="K186" s="19"/>
      <c r="L186" s="15"/>
      <c r="M186" s="15"/>
      <c r="N186" s="15"/>
      <c r="O186" s="18"/>
      <c r="V186" s="1"/>
      <c r="W186" s="2"/>
    </row>
    <row r="187" spans="1:23" x14ac:dyDescent="0.4">
      <c r="A187" s="11"/>
      <c r="B187" s="41"/>
      <c r="C187" s="41"/>
      <c r="D187" s="41"/>
      <c r="E187" s="41"/>
      <c r="F187" s="19"/>
      <c r="G187" s="11"/>
      <c r="H187" s="20"/>
      <c r="I187" s="19"/>
      <c r="J187" s="16"/>
      <c r="K187" s="19"/>
      <c r="L187" s="15"/>
      <c r="M187" s="15"/>
      <c r="N187" s="15"/>
      <c r="O187" s="18"/>
      <c r="V187" s="1"/>
      <c r="W187" s="2"/>
    </row>
    <row r="188" spans="1:23" x14ac:dyDescent="0.4">
      <c r="A188" s="11"/>
      <c r="B188" s="40"/>
      <c r="C188" s="40"/>
      <c r="D188" s="40"/>
      <c r="E188" s="40"/>
      <c r="F188" s="13"/>
      <c r="G188" s="11"/>
      <c r="H188" s="17"/>
      <c r="I188" s="13"/>
      <c r="J188" s="16"/>
      <c r="K188" s="13"/>
      <c r="L188" s="15"/>
      <c r="M188" s="15"/>
      <c r="N188" s="15"/>
      <c r="O188" s="18"/>
      <c r="V188" s="1"/>
      <c r="W188" s="2"/>
    </row>
    <row r="189" spans="1:23" x14ac:dyDescent="0.4">
      <c r="A189" s="11"/>
      <c r="B189" s="40"/>
      <c r="C189" s="40"/>
      <c r="D189" s="40"/>
      <c r="E189" s="40"/>
      <c r="F189" s="13"/>
      <c r="G189" s="11"/>
      <c r="H189" s="17"/>
      <c r="I189" s="13"/>
      <c r="J189" s="16"/>
      <c r="K189" s="13"/>
      <c r="L189" s="15"/>
      <c r="M189" s="15"/>
      <c r="N189" s="15"/>
      <c r="O189" s="18"/>
      <c r="V189" s="1"/>
      <c r="W189" s="2"/>
    </row>
    <row r="190" spans="1:23" x14ac:dyDescent="0.4">
      <c r="A190" s="11"/>
      <c r="B190" s="40"/>
      <c r="C190" s="40"/>
      <c r="D190" s="40"/>
      <c r="E190" s="40"/>
      <c r="F190" s="13"/>
      <c r="G190" s="11"/>
      <c r="H190" s="17"/>
      <c r="I190" s="13"/>
      <c r="J190" s="16"/>
      <c r="K190" s="13"/>
      <c r="L190" s="15"/>
      <c r="M190" s="15"/>
      <c r="N190" s="15"/>
      <c r="O190" s="18"/>
      <c r="V190" s="1"/>
      <c r="W190" s="2"/>
    </row>
    <row r="191" spans="1:23" x14ac:dyDescent="0.4">
      <c r="A191" s="11"/>
      <c r="B191" s="40"/>
      <c r="C191" s="40"/>
      <c r="D191" s="40"/>
      <c r="E191" s="40"/>
      <c r="F191" s="13"/>
      <c r="G191" s="11"/>
      <c r="H191" s="17"/>
      <c r="I191" s="13"/>
      <c r="J191" s="16"/>
      <c r="K191" s="13"/>
      <c r="L191" s="15"/>
      <c r="M191" s="15"/>
      <c r="N191" s="15"/>
      <c r="O191" s="18"/>
      <c r="V191" s="1"/>
      <c r="W191" s="2"/>
    </row>
    <row r="192" spans="1:23" x14ac:dyDescent="0.4">
      <c r="A192" s="11"/>
      <c r="B192" s="40"/>
      <c r="C192" s="40"/>
      <c r="D192" s="40"/>
      <c r="E192" s="40"/>
      <c r="F192" s="13"/>
      <c r="G192" s="11"/>
      <c r="H192" s="17"/>
      <c r="I192" s="13"/>
      <c r="J192" s="16"/>
      <c r="K192" s="13"/>
      <c r="L192" s="15"/>
      <c r="M192" s="15"/>
      <c r="N192" s="15"/>
      <c r="O192" s="18"/>
      <c r="V192" s="1"/>
      <c r="W192" s="2"/>
    </row>
    <row r="193" spans="1:23" x14ac:dyDescent="0.4">
      <c r="A193" s="11"/>
      <c r="B193" s="40"/>
      <c r="C193" s="40"/>
      <c r="D193" s="40"/>
      <c r="E193" s="40"/>
      <c r="F193" s="13"/>
      <c r="G193" s="11"/>
      <c r="H193" s="17"/>
      <c r="I193" s="13"/>
      <c r="J193" s="16"/>
      <c r="K193" s="13"/>
      <c r="L193" s="15"/>
      <c r="M193" s="15"/>
      <c r="N193" s="15"/>
      <c r="O193" s="18"/>
      <c r="V193" s="1"/>
      <c r="W193" s="2"/>
    </row>
    <row r="194" spans="1:23" x14ac:dyDescent="0.4">
      <c r="A194" s="11"/>
      <c r="B194" s="40"/>
      <c r="C194" s="40"/>
      <c r="D194" s="40"/>
      <c r="E194" s="40"/>
      <c r="F194" s="13"/>
      <c r="G194" s="11"/>
      <c r="H194" s="17"/>
      <c r="I194" s="13"/>
      <c r="J194" s="16"/>
      <c r="K194" s="13"/>
      <c r="L194" s="15"/>
      <c r="M194" s="15"/>
      <c r="N194" s="15"/>
      <c r="O194" s="18"/>
      <c r="V194" s="1"/>
      <c r="W194" s="2"/>
    </row>
    <row r="195" spans="1:23" x14ac:dyDescent="0.4">
      <c r="A195" s="11"/>
      <c r="B195" s="40"/>
      <c r="C195" s="40"/>
      <c r="D195" s="40"/>
      <c r="E195" s="40"/>
      <c r="F195" s="13"/>
      <c r="G195" s="11"/>
      <c r="H195" s="17"/>
      <c r="I195" s="13"/>
      <c r="J195" s="16"/>
      <c r="K195" s="13"/>
      <c r="L195" s="15"/>
      <c r="M195" s="15"/>
      <c r="N195" s="15"/>
      <c r="O195" s="18"/>
      <c r="V195" s="1"/>
      <c r="W195" s="2"/>
    </row>
    <row r="196" spans="1:23" x14ac:dyDescent="0.4">
      <c r="A196" s="11"/>
      <c r="B196" s="40"/>
      <c r="C196" s="40"/>
      <c r="D196" s="40"/>
      <c r="E196" s="40"/>
      <c r="F196" s="13"/>
      <c r="G196" s="11"/>
      <c r="H196" s="17"/>
      <c r="I196" s="13"/>
      <c r="J196" s="16"/>
      <c r="K196" s="13"/>
      <c r="L196" s="15"/>
      <c r="M196" s="15"/>
      <c r="N196" s="15"/>
      <c r="O196" s="18"/>
      <c r="V196" s="1"/>
      <c r="W196" s="2"/>
    </row>
    <row r="197" spans="1:23" x14ac:dyDescent="0.4">
      <c r="A197" s="11"/>
      <c r="B197" s="41"/>
      <c r="C197" s="41"/>
      <c r="D197" s="41"/>
      <c r="E197" s="41"/>
      <c r="F197" s="19"/>
      <c r="G197" s="11"/>
      <c r="H197" s="20"/>
      <c r="I197" s="19"/>
      <c r="J197" s="16"/>
      <c r="K197" s="19"/>
      <c r="L197" s="15"/>
      <c r="M197" s="15"/>
      <c r="N197" s="15"/>
      <c r="O197" s="18"/>
      <c r="V197" s="1"/>
      <c r="W197" s="2"/>
    </row>
    <row r="198" spans="1:23" x14ac:dyDescent="0.4">
      <c r="A198" s="11"/>
      <c r="B198" s="41"/>
      <c r="C198" s="41"/>
      <c r="D198" s="41"/>
      <c r="E198" s="41"/>
      <c r="F198" s="19"/>
      <c r="G198" s="11"/>
      <c r="H198" s="20"/>
      <c r="I198" s="19"/>
      <c r="J198" s="16"/>
      <c r="K198" s="19"/>
      <c r="L198" s="15"/>
      <c r="M198" s="15"/>
      <c r="N198" s="15"/>
      <c r="O198" s="18"/>
      <c r="V198" s="1"/>
      <c r="W198" s="2"/>
    </row>
    <row r="199" spans="1:23" x14ac:dyDescent="0.4">
      <c r="A199" s="11"/>
      <c r="B199" s="41"/>
      <c r="C199" s="41"/>
      <c r="D199" s="41"/>
      <c r="E199" s="41"/>
      <c r="F199" s="19"/>
      <c r="G199" s="11"/>
      <c r="H199" s="20"/>
      <c r="I199" s="19"/>
      <c r="J199" s="16"/>
      <c r="K199" s="19"/>
      <c r="L199" s="15"/>
      <c r="M199" s="15"/>
      <c r="N199" s="15"/>
      <c r="O199" s="18"/>
      <c r="V199" s="1"/>
      <c r="W199" s="2"/>
    </row>
    <row r="200" spans="1:23" ht="17.399999999999999" x14ac:dyDescent="0.4">
      <c r="A200" s="77" t="s">
        <v>24</v>
      </c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6"/>
      <c r="O200" s="18"/>
      <c r="V200" s="1"/>
      <c r="W200" s="2"/>
    </row>
    <row r="201" spans="1:23" x14ac:dyDescent="0.4">
      <c r="A201" s="11" t="str">
        <f ca="1">INDEX(A30:A180, MATCH(MAX(N30:N180), N30:N180, 0), 0)</f>
        <v>Front</v>
      </c>
      <c r="B201" s="40">
        <f ca="1">INDEX(B30:B180, MATCH(MAX(N30:N180), N30:N180, 0), 0)</f>
        <v>0</v>
      </c>
      <c r="C201" s="40"/>
      <c r="D201" s="40"/>
      <c r="E201" s="40"/>
      <c r="F201" s="13">
        <f ca="1">INDEX(F30:F180, MATCH(MAX(N30:N180), N30:N180, 0), 0)</f>
        <v>0</v>
      </c>
      <c r="G201" s="11">
        <f ca="1">INDEX(G30:G180, MATCH(MAX(N30:N180), N30:N180, 0), 0)</f>
        <v>0</v>
      </c>
      <c r="H201" s="17">
        <f ca="1">INDEX(H30:H180, MATCH(MAX(N30:N180), N30:N180, 0), 0)</f>
        <v>0</v>
      </c>
      <c r="I201" s="13">
        <f ca="1">INDEX(I30:I180, MATCH(MAX(N30:N180), N30:N180, 0), 0)</f>
        <v>0</v>
      </c>
      <c r="J201" s="16"/>
      <c r="K201" s="13">
        <f ca="1">INDEX(K30:K180, MATCH(MAX(N30:N180), N30:N180, 0), 0)</f>
        <v>0</v>
      </c>
      <c r="L201" s="15">
        <f ca="1">ROUND((10^(K201/10))/(10^(I201/10)),3)</f>
        <v>1</v>
      </c>
      <c r="M201" s="15"/>
      <c r="N201" s="15">
        <f t="shared" ref="N201" ca="1" si="148">J201*L201</f>
        <v>0</v>
      </c>
      <c r="O201" s="18"/>
      <c r="V201" s="1"/>
      <c r="W201" s="2"/>
    </row>
    <row r="202" spans="1:23" x14ac:dyDescent="0.4">
      <c r="A202" s="11"/>
      <c r="B202" s="40"/>
      <c r="C202" s="40"/>
      <c r="D202" s="40"/>
      <c r="E202" s="40"/>
      <c r="F202" s="13"/>
      <c r="G202" s="11"/>
      <c r="H202" s="17"/>
      <c r="I202" s="13"/>
      <c r="J202" s="16"/>
      <c r="K202" s="13"/>
      <c r="L202" s="15"/>
      <c r="M202" s="15"/>
      <c r="N202" s="52"/>
      <c r="O202" s="49"/>
    </row>
    <row r="203" spans="1:23" x14ac:dyDescent="0.4">
      <c r="A203" s="11"/>
      <c r="B203" s="40"/>
      <c r="C203" s="40"/>
      <c r="D203" s="40"/>
      <c r="E203" s="40"/>
      <c r="F203" s="13"/>
      <c r="G203" s="11"/>
      <c r="H203" s="17"/>
      <c r="I203" s="13"/>
      <c r="J203" s="16"/>
      <c r="K203" s="13"/>
      <c r="L203" s="15"/>
      <c r="M203" s="15"/>
      <c r="N203" s="52"/>
      <c r="O203" s="49"/>
    </row>
    <row r="204" spans="1:23" x14ac:dyDescent="0.4">
      <c r="A204" s="11"/>
      <c r="B204" s="41"/>
      <c r="C204" s="41"/>
      <c r="D204" s="41"/>
      <c r="E204" s="41"/>
      <c r="F204" s="19"/>
      <c r="G204" s="11"/>
      <c r="H204" s="20"/>
      <c r="I204" s="19"/>
      <c r="J204" s="16"/>
      <c r="K204" s="19"/>
      <c r="L204" s="15"/>
      <c r="M204" s="15"/>
      <c r="N204" s="52"/>
      <c r="O204" s="49"/>
    </row>
    <row r="205" spans="1:23" x14ac:dyDescent="0.4">
      <c r="A205" s="11"/>
      <c r="B205" s="41"/>
      <c r="C205" s="41"/>
      <c r="D205" s="41"/>
      <c r="E205" s="41"/>
      <c r="F205" s="19"/>
      <c r="G205" s="11"/>
      <c r="H205" s="20"/>
      <c r="I205" s="19"/>
      <c r="J205" s="16"/>
      <c r="K205" s="19"/>
      <c r="L205" s="15"/>
      <c r="M205" s="15"/>
      <c r="N205" s="52"/>
      <c r="O205" s="49"/>
    </row>
    <row r="206" spans="1:23" x14ac:dyDescent="0.4">
      <c r="A206" s="11"/>
      <c r="B206" s="41"/>
      <c r="C206" s="41"/>
      <c r="D206" s="41"/>
      <c r="E206" s="41"/>
      <c r="F206" s="19"/>
      <c r="G206" s="11"/>
      <c r="H206" s="20"/>
      <c r="I206" s="19"/>
      <c r="J206" s="16"/>
      <c r="K206" s="19"/>
      <c r="L206" s="15"/>
      <c r="M206" s="15"/>
      <c r="N206" s="52"/>
      <c r="O206" s="49"/>
    </row>
    <row r="207" spans="1:23" x14ac:dyDescent="0.4">
      <c r="A207" s="11"/>
      <c r="B207" s="40"/>
      <c r="C207" s="40"/>
      <c r="D207" s="40"/>
      <c r="E207" s="40"/>
      <c r="F207" s="13"/>
      <c r="G207" s="11"/>
      <c r="H207" s="17"/>
      <c r="I207" s="13"/>
      <c r="J207" s="16"/>
      <c r="K207" s="13"/>
      <c r="L207" s="15"/>
      <c r="M207" s="15"/>
      <c r="N207" s="52"/>
      <c r="O207" s="49"/>
    </row>
    <row r="208" spans="1:23" x14ac:dyDescent="0.4">
      <c r="A208" s="11"/>
      <c r="B208" s="40"/>
      <c r="C208" s="40"/>
      <c r="D208" s="40"/>
      <c r="E208" s="40"/>
      <c r="F208" s="13"/>
      <c r="G208" s="11"/>
      <c r="H208" s="17"/>
      <c r="I208" s="13"/>
      <c r="J208" s="16"/>
      <c r="K208" s="13"/>
      <c r="L208" s="15"/>
      <c r="M208" s="15"/>
      <c r="N208" s="52"/>
      <c r="O208" s="49"/>
    </row>
    <row r="209" spans="1:15" x14ac:dyDescent="0.4">
      <c r="A209" s="11"/>
      <c r="B209" s="40"/>
      <c r="C209" s="40"/>
      <c r="D209" s="40"/>
      <c r="E209" s="40"/>
      <c r="F209" s="13"/>
      <c r="G209" s="11"/>
      <c r="H209" s="17"/>
      <c r="I209" s="13"/>
      <c r="J209" s="16"/>
      <c r="K209" s="13"/>
      <c r="L209" s="15"/>
      <c r="M209" s="15"/>
      <c r="N209" s="52"/>
      <c r="O209" s="49"/>
    </row>
    <row r="210" spans="1:15" x14ac:dyDescent="0.4">
      <c r="A210" s="11"/>
      <c r="B210" s="40"/>
      <c r="C210" s="40"/>
      <c r="D210" s="40"/>
      <c r="E210" s="40"/>
      <c r="F210" s="13"/>
      <c r="G210" s="11"/>
      <c r="H210" s="17"/>
      <c r="I210" s="13"/>
      <c r="J210" s="16"/>
      <c r="K210" s="13"/>
      <c r="L210" s="15"/>
      <c r="M210" s="15"/>
      <c r="N210" s="52"/>
      <c r="O210" s="49"/>
    </row>
    <row r="211" spans="1:15" x14ac:dyDescent="0.4">
      <c r="A211" s="11"/>
      <c r="B211" s="40"/>
      <c r="C211" s="40"/>
      <c r="D211" s="40"/>
      <c r="E211" s="40"/>
      <c r="F211" s="13"/>
      <c r="G211" s="11"/>
      <c r="H211" s="17"/>
      <c r="I211" s="13"/>
      <c r="J211" s="16"/>
      <c r="K211" s="13"/>
      <c r="L211" s="15"/>
      <c r="M211" s="15"/>
      <c r="N211" s="52"/>
      <c r="O211" s="49"/>
    </row>
    <row r="212" spans="1:15" x14ac:dyDescent="0.4">
      <c r="A212" s="11"/>
      <c r="B212" s="40"/>
      <c r="C212" s="40"/>
      <c r="D212" s="40"/>
      <c r="E212" s="40"/>
      <c r="F212" s="13"/>
      <c r="G212" s="11"/>
      <c r="H212" s="17"/>
      <c r="I212" s="13"/>
      <c r="J212" s="16"/>
      <c r="K212" s="13"/>
      <c r="L212" s="15"/>
      <c r="M212" s="15"/>
      <c r="N212" s="52"/>
      <c r="O212" s="49"/>
    </row>
    <row r="213" spans="1:15" x14ac:dyDescent="0.4">
      <c r="A213" s="11"/>
      <c r="B213" s="40"/>
      <c r="C213" s="40"/>
      <c r="D213" s="40"/>
      <c r="E213" s="40"/>
      <c r="F213" s="13"/>
      <c r="G213" s="11"/>
      <c r="H213" s="17"/>
      <c r="I213" s="13"/>
      <c r="J213" s="16"/>
      <c r="K213" s="13"/>
      <c r="L213" s="15"/>
      <c r="M213" s="15"/>
      <c r="N213" s="52"/>
      <c r="O213" s="49"/>
    </row>
    <row r="214" spans="1:15" x14ac:dyDescent="0.4">
      <c r="A214" s="11"/>
      <c r="B214" s="40"/>
      <c r="C214" s="40"/>
      <c r="D214" s="40"/>
      <c r="E214" s="40"/>
      <c r="F214" s="13"/>
      <c r="G214" s="11"/>
      <c r="H214" s="17"/>
      <c r="I214" s="13"/>
      <c r="J214" s="16"/>
      <c r="K214" s="13"/>
      <c r="L214" s="15"/>
      <c r="M214" s="15"/>
      <c r="N214" s="52"/>
      <c r="O214" s="49"/>
    </row>
    <row r="215" spans="1:15" x14ac:dyDescent="0.4">
      <c r="A215" s="11"/>
      <c r="B215" s="40"/>
      <c r="C215" s="40"/>
      <c r="D215" s="40"/>
      <c r="E215" s="40"/>
      <c r="F215" s="13"/>
      <c r="G215" s="11"/>
      <c r="H215" s="17"/>
      <c r="I215" s="13"/>
      <c r="J215" s="16"/>
      <c r="K215" s="13"/>
      <c r="L215" s="15"/>
      <c r="M215" s="15"/>
      <c r="N215" s="52"/>
      <c r="O215" s="49"/>
    </row>
    <row r="216" spans="1:15" x14ac:dyDescent="0.4">
      <c r="A216" s="11"/>
      <c r="B216" s="41"/>
      <c r="C216" s="41"/>
      <c r="D216" s="41"/>
      <c r="E216" s="41"/>
      <c r="F216" s="19"/>
      <c r="G216" s="11"/>
      <c r="H216" s="20"/>
      <c r="I216" s="19"/>
      <c r="J216" s="16"/>
      <c r="K216" s="19"/>
      <c r="L216" s="15"/>
      <c r="M216" s="15"/>
      <c r="N216" s="52"/>
      <c r="O216" s="49"/>
    </row>
    <row r="217" spans="1:15" x14ac:dyDescent="0.4">
      <c r="A217" s="11"/>
      <c r="B217" s="41"/>
      <c r="C217" s="41"/>
      <c r="D217" s="41"/>
      <c r="E217" s="41"/>
      <c r="F217" s="19"/>
      <c r="G217" s="11"/>
      <c r="H217" s="20"/>
      <c r="I217" s="19"/>
      <c r="J217" s="16"/>
      <c r="K217" s="19"/>
      <c r="L217" s="15"/>
      <c r="M217" s="15"/>
      <c r="N217" s="52"/>
      <c r="O217" s="49"/>
    </row>
    <row r="218" spans="1:15" x14ac:dyDescent="0.4">
      <c r="A218" s="11"/>
      <c r="B218" s="41"/>
      <c r="C218" s="41"/>
      <c r="D218" s="41"/>
      <c r="E218" s="41"/>
      <c r="F218" s="19"/>
      <c r="G218" s="11"/>
      <c r="H218" s="20"/>
      <c r="I218" s="19"/>
      <c r="J218" s="16"/>
      <c r="K218" s="19"/>
      <c r="L218" s="15"/>
      <c r="M218" s="15"/>
      <c r="N218" s="52"/>
      <c r="O218" s="49"/>
    </row>
    <row r="219" spans="1:15" x14ac:dyDescent="0.4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1"/>
    </row>
    <row r="220" spans="1:15" x14ac:dyDescent="0.4">
      <c r="A220" s="3"/>
      <c r="B220" s="4"/>
      <c r="C220" s="37"/>
      <c r="D220" s="37"/>
      <c r="E220" s="37"/>
      <c r="F220" s="4"/>
      <c r="G220" s="4"/>
      <c r="H220" s="4"/>
      <c r="I220" s="4"/>
      <c r="J220" s="4"/>
      <c r="K220" s="4"/>
      <c r="L220" s="4"/>
    </row>
    <row r="221" spans="1:15" x14ac:dyDescent="0.4">
      <c r="A221" s="58" t="s">
        <v>154</v>
      </c>
      <c r="B221" s="59"/>
      <c r="C221" s="59"/>
      <c r="D221" s="59"/>
      <c r="E221" s="59"/>
      <c r="F221" s="59"/>
      <c r="G221" s="59"/>
      <c r="H221" s="60"/>
      <c r="I221" s="54" t="s">
        <v>3</v>
      </c>
      <c r="J221" s="54"/>
      <c r="K221" s="54"/>
      <c r="L221" s="7"/>
      <c r="M221" s="7"/>
      <c r="N221" s="8"/>
    </row>
    <row r="222" spans="1:15" x14ac:dyDescent="0.4">
      <c r="A222" s="61"/>
      <c r="B222" s="62"/>
      <c r="C222" s="62"/>
      <c r="D222" s="62"/>
      <c r="E222" s="62"/>
      <c r="F222" s="62"/>
      <c r="G222" s="62"/>
      <c r="H222" s="63"/>
      <c r="I222" s="54" t="s">
        <v>4</v>
      </c>
      <c r="J222" s="54"/>
      <c r="K222" s="54"/>
      <c r="L222" s="7"/>
      <c r="M222" s="7"/>
      <c r="N222" s="8"/>
    </row>
    <row r="223" spans="1:15" x14ac:dyDescent="0.4">
      <c r="A223" s="64"/>
      <c r="B223" s="65"/>
      <c r="C223" s="65"/>
      <c r="D223" s="65"/>
      <c r="E223" s="65"/>
      <c r="F223" s="65"/>
      <c r="G223" s="65"/>
      <c r="H223" s="66"/>
      <c r="I223" s="54" t="s">
        <v>0</v>
      </c>
      <c r="J223" s="54"/>
      <c r="K223" s="54"/>
      <c r="L223" s="9"/>
      <c r="M223" s="9"/>
      <c r="N223" s="8"/>
    </row>
    <row r="224" spans="1:15" x14ac:dyDescent="0.4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8"/>
    </row>
    <row r="225" spans="1:14" x14ac:dyDescent="0.4">
      <c r="A225" s="53" t="s">
        <v>14</v>
      </c>
      <c r="B225" s="55" t="s">
        <v>34</v>
      </c>
      <c r="C225" s="71" t="s">
        <v>152</v>
      </c>
      <c r="D225" s="71" t="s">
        <v>153</v>
      </c>
      <c r="E225" s="71" t="s">
        <v>145</v>
      </c>
      <c r="F225" s="53" t="s">
        <v>1</v>
      </c>
      <c r="G225" s="53"/>
      <c r="H225" s="57" t="s">
        <v>15</v>
      </c>
      <c r="I225" s="57" t="s">
        <v>16</v>
      </c>
      <c r="J225" s="53" t="s">
        <v>17</v>
      </c>
      <c r="K225" s="67" t="s">
        <v>84</v>
      </c>
      <c r="L225" s="68"/>
      <c r="M225" s="53" t="s">
        <v>20</v>
      </c>
      <c r="N225" s="8"/>
    </row>
    <row r="226" spans="1:14" x14ac:dyDescent="0.4">
      <c r="A226" s="53"/>
      <c r="B226" s="55"/>
      <c r="C226" s="72"/>
      <c r="D226" s="72"/>
      <c r="E226" s="72"/>
      <c r="F226" s="53" t="s">
        <v>18</v>
      </c>
      <c r="G226" s="53" t="s">
        <v>2</v>
      </c>
      <c r="H226" s="57"/>
      <c r="I226" s="57"/>
      <c r="J226" s="53"/>
      <c r="K226" s="69"/>
      <c r="L226" s="70"/>
      <c r="M226" s="53"/>
      <c r="N226" s="8"/>
    </row>
    <row r="227" spans="1:14" x14ac:dyDescent="0.4">
      <c r="A227" s="53"/>
      <c r="B227" s="56"/>
      <c r="C227" s="73"/>
      <c r="D227" s="73"/>
      <c r="E227" s="73"/>
      <c r="F227" s="53"/>
      <c r="G227" s="53"/>
      <c r="H227" s="57"/>
      <c r="I227" s="57"/>
      <c r="J227" s="53"/>
      <c r="K227" s="42" t="s">
        <v>85</v>
      </c>
      <c r="L227" s="42" t="s">
        <v>86</v>
      </c>
      <c r="M227" s="53"/>
      <c r="N227" s="8"/>
    </row>
    <row r="228" spans="1:14" x14ac:dyDescent="0.4">
      <c r="A228" s="11" t="s">
        <v>11</v>
      </c>
      <c r="B228" s="40"/>
      <c r="C228" s="40"/>
      <c r="D228" s="40"/>
      <c r="E228" s="40"/>
      <c r="F228" s="13"/>
      <c r="G228" s="11"/>
      <c r="H228" s="13"/>
      <c r="I228" s="14"/>
      <c r="J228" s="13"/>
      <c r="K228" s="15">
        <f>ROUND((10^(J228/10))/(10^(H228/10)),3)</f>
        <v>1</v>
      </c>
      <c r="L228" s="15"/>
      <c r="M228" s="15">
        <f t="shared" ref="M228:M239" si="149">I228*K228</f>
        <v>0</v>
      </c>
      <c r="N228" s="8"/>
    </row>
    <row r="229" spans="1:14" x14ac:dyDescent="0.4">
      <c r="A229" s="11" t="s">
        <v>11</v>
      </c>
      <c r="B229" s="40"/>
      <c r="C229" s="40"/>
      <c r="D229" s="40"/>
      <c r="E229" s="40"/>
      <c r="F229" s="13"/>
      <c r="G229" s="11"/>
      <c r="H229" s="13"/>
      <c r="I229" s="14"/>
      <c r="J229" s="13"/>
      <c r="K229" s="15">
        <f t="shared" ref="K229:K239" si="150">ROUND((10^(J229/10))/(10^(H229/10)),3)</f>
        <v>1</v>
      </c>
      <c r="L229" s="15"/>
      <c r="M229" s="15">
        <f t="shared" si="149"/>
        <v>0</v>
      </c>
      <c r="N229" s="8"/>
    </row>
    <row r="230" spans="1:14" x14ac:dyDescent="0.4">
      <c r="A230" s="11" t="s">
        <v>11</v>
      </c>
      <c r="B230" s="40"/>
      <c r="C230" s="40"/>
      <c r="D230" s="40"/>
      <c r="E230" s="40"/>
      <c r="F230" s="13"/>
      <c r="G230" s="11"/>
      <c r="H230" s="13"/>
      <c r="I230" s="14"/>
      <c r="J230" s="13"/>
      <c r="K230" s="15">
        <f t="shared" si="150"/>
        <v>1</v>
      </c>
      <c r="L230" s="15"/>
      <c r="M230" s="15">
        <f t="shared" si="149"/>
        <v>0</v>
      </c>
      <c r="N230" s="8"/>
    </row>
    <row r="231" spans="1:14" x14ac:dyDescent="0.4">
      <c r="A231" s="11" t="s">
        <v>13</v>
      </c>
      <c r="B231" s="40">
        <f t="shared" ref="B231" si="151">B228</f>
        <v>0</v>
      </c>
      <c r="C231" s="40"/>
      <c r="D231" s="40"/>
      <c r="E231" s="40">
        <f t="shared" ref="E231:G231" si="152">E228</f>
        <v>0</v>
      </c>
      <c r="F231" s="13">
        <f t="shared" si="152"/>
        <v>0</v>
      </c>
      <c r="G231" s="40">
        <f t="shared" si="152"/>
        <v>0</v>
      </c>
      <c r="H231" s="13">
        <f>H228</f>
        <v>0</v>
      </c>
      <c r="I231" s="16"/>
      <c r="J231" s="13">
        <f t="shared" ref="J231:J233" si="153">J228</f>
        <v>0</v>
      </c>
      <c r="K231" s="15">
        <f t="shared" si="150"/>
        <v>1</v>
      </c>
      <c r="L231" s="15"/>
      <c r="M231" s="15">
        <f t="shared" si="149"/>
        <v>0</v>
      </c>
      <c r="N231" s="8"/>
    </row>
    <row r="232" spans="1:14" x14ac:dyDescent="0.4">
      <c r="A232" s="11" t="s">
        <v>13</v>
      </c>
      <c r="B232" s="40">
        <f t="shared" ref="B232" si="154">B229</f>
        <v>0</v>
      </c>
      <c r="C232" s="40"/>
      <c r="D232" s="40"/>
      <c r="E232" s="40">
        <f t="shared" ref="E232:H232" si="155">E229</f>
        <v>0</v>
      </c>
      <c r="F232" s="13">
        <f t="shared" si="155"/>
        <v>0</v>
      </c>
      <c r="G232" s="40">
        <f t="shared" si="155"/>
        <v>0</v>
      </c>
      <c r="H232" s="13">
        <f t="shared" si="155"/>
        <v>0</v>
      </c>
      <c r="I232" s="16"/>
      <c r="J232" s="13">
        <f t="shared" si="153"/>
        <v>0</v>
      </c>
      <c r="K232" s="15">
        <f t="shared" si="150"/>
        <v>1</v>
      </c>
      <c r="L232" s="15"/>
      <c r="M232" s="15">
        <f t="shared" si="149"/>
        <v>0</v>
      </c>
      <c r="N232" s="8"/>
    </row>
    <row r="233" spans="1:14" x14ac:dyDescent="0.4">
      <c r="A233" s="11" t="s">
        <v>13</v>
      </c>
      <c r="B233" s="40">
        <f t="shared" ref="B233" si="156">B230</f>
        <v>0</v>
      </c>
      <c r="C233" s="40"/>
      <c r="D233" s="40"/>
      <c r="E233" s="40">
        <f t="shared" ref="E233:H233" si="157">E230</f>
        <v>0</v>
      </c>
      <c r="F233" s="13">
        <f t="shared" si="157"/>
        <v>0</v>
      </c>
      <c r="G233" s="40">
        <f t="shared" si="157"/>
        <v>0</v>
      </c>
      <c r="H233" s="13">
        <f t="shared" si="157"/>
        <v>0</v>
      </c>
      <c r="I233" s="16"/>
      <c r="J233" s="13">
        <f t="shared" si="153"/>
        <v>0</v>
      </c>
      <c r="K233" s="15">
        <f t="shared" si="150"/>
        <v>1</v>
      </c>
      <c r="L233" s="15"/>
      <c r="M233" s="15">
        <f t="shared" si="149"/>
        <v>0</v>
      </c>
      <c r="N233" s="8"/>
    </row>
    <row r="234" spans="1:14" x14ac:dyDescent="0.4">
      <c r="A234" s="11" t="s">
        <v>12</v>
      </c>
      <c r="B234" s="40">
        <f t="shared" ref="B234:J239" ca="1" si="158">OFFSET(B234,-6,0)</f>
        <v>0</v>
      </c>
      <c r="C234" s="40"/>
      <c r="D234" s="40"/>
      <c r="E234" s="40">
        <f t="shared" ca="1" si="158"/>
        <v>0</v>
      </c>
      <c r="F234" s="13">
        <f t="shared" ca="1" si="158"/>
        <v>0</v>
      </c>
      <c r="G234" s="17">
        <f t="shared" ca="1" si="158"/>
        <v>0</v>
      </c>
      <c r="H234" s="13">
        <f t="shared" ca="1" si="158"/>
        <v>0</v>
      </c>
      <c r="I234" s="16"/>
      <c r="J234" s="13">
        <f t="shared" ca="1" si="158"/>
        <v>0</v>
      </c>
      <c r="K234" s="15">
        <f t="shared" ca="1" si="150"/>
        <v>1</v>
      </c>
      <c r="L234" s="15"/>
      <c r="M234" s="15">
        <f t="shared" ca="1" si="149"/>
        <v>0</v>
      </c>
      <c r="N234" s="8"/>
    </row>
    <row r="235" spans="1:14" x14ac:dyDescent="0.4">
      <c r="A235" s="11" t="s">
        <v>12</v>
      </c>
      <c r="B235" s="40">
        <f t="shared" ca="1" si="158"/>
        <v>0</v>
      </c>
      <c r="C235" s="40"/>
      <c r="D235" s="40"/>
      <c r="E235" s="40">
        <f t="shared" ca="1" si="158"/>
        <v>0</v>
      </c>
      <c r="F235" s="13">
        <f t="shared" ca="1" si="158"/>
        <v>0</v>
      </c>
      <c r="G235" s="17">
        <f t="shared" ca="1" si="158"/>
        <v>0</v>
      </c>
      <c r="H235" s="13">
        <f t="shared" ca="1" si="158"/>
        <v>0</v>
      </c>
      <c r="I235" s="16"/>
      <c r="J235" s="13">
        <f t="shared" ca="1" si="158"/>
        <v>0</v>
      </c>
      <c r="K235" s="15">
        <f t="shared" ca="1" si="150"/>
        <v>1</v>
      </c>
      <c r="L235" s="15"/>
      <c r="M235" s="15">
        <f t="shared" ca="1" si="149"/>
        <v>0</v>
      </c>
      <c r="N235" s="8"/>
    </row>
    <row r="236" spans="1:14" x14ac:dyDescent="0.4">
      <c r="A236" s="11" t="s">
        <v>12</v>
      </c>
      <c r="B236" s="40">
        <f t="shared" ca="1" si="158"/>
        <v>0</v>
      </c>
      <c r="C236" s="40"/>
      <c r="D236" s="40"/>
      <c r="E236" s="40">
        <f t="shared" ca="1" si="158"/>
        <v>0</v>
      </c>
      <c r="F236" s="13">
        <f t="shared" ca="1" si="158"/>
        <v>0</v>
      </c>
      <c r="G236" s="17">
        <f t="shared" ca="1" si="158"/>
        <v>0</v>
      </c>
      <c r="H236" s="13">
        <f t="shared" ca="1" si="158"/>
        <v>0</v>
      </c>
      <c r="I236" s="16"/>
      <c r="J236" s="13">
        <f t="shared" ca="1" si="158"/>
        <v>0</v>
      </c>
      <c r="K236" s="15">
        <f t="shared" ca="1" si="150"/>
        <v>1</v>
      </c>
      <c r="L236" s="15"/>
      <c r="M236" s="15">
        <f t="shared" ca="1" si="149"/>
        <v>0</v>
      </c>
      <c r="N236" s="8"/>
    </row>
    <row r="237" spans="1:14" x14ac:dyDescent="0.4">
      <c r="A237" s="11" t="s">
        <v>21</v>
      </c>
      <c r="B237" s="40">
        <f t="shared" ca="1" si="158"/>
        <v>0</v>
      </c>
      <c r="C237" s="40"/>
      <c r="D237" s="40"/>
      <c r="E237" s="40">
        <f t="shared" ca="1" si="158"/>
        <v>0</v>
      </c>
      <c r="F237" s="13">
        <f t="shared" ca="1" si="158"/>
        <v>0</v>
      </c>
      <c r="G237" s="17">
        <f t="shared" ca="1" si="158"/>
        <v>0</v>
      </c>
      <c r="H237" s="13">
        <f t="shared" ca="1" si="158"/>
        <v>0</v>
      </c>
      <c r="I237" s="16"/>
      <c r="J237" s="13">
        <f t="shared" ca="1" si="158"/>
        <v>0</v>
      </c>
      <c r="K237" s="15">
        <f t="shared" ca="1" si="150"/>
        <v>1</v>
      </c>
      <c r="L237" s="15"/>
      <c r="M237" s="15">
        <f t="shared" ca="1" si="149"/>
        <v>0</v>
      </c>
      <c r="N237" s="8"/>
    </row>
    <row r="238" spans="1:14" x14ac:dyDescent="0.4">
      <c r="A238" s="11" t="s">
        <v>21</v>
      </c>
      <c r="B238" s="40">
        <f t="shared" ca="1" si="158"/>
        <v>0</v>
      </c>
      <c r="C238" s="40"/>
      <c r="D238" s="40"/>
      <c r="E238" s="40">
        <f t="shared" ca="1" si="158"/>
        <v>0</v>
      </c>
      <c r="F238" s="13">
        <f t="shared" ca="1" si="158"/>
        <v>0</v>
      </c>
      <c r="G238" s="17">
        <f t="shared" ca="1" si="158"/>
        <v>0</v>
      </c>
      <c r="H238" s="13">
        <f t="shared" ca="1" si="158"/>
        <v>0</v>
      </c>
      <c r="I238" s="16"/>
      <c r="J238" s="13">
        <f t="shared" ca="1" si="158"/>
        <v>0</v>
      </c>
      <c r="K238" s="15">
        <f t="shared" ca="1" si="150"/>
        <v>1</v>
      </c>
      <c r="L238" s="15"/>
      <c r="M238" s="15">
        <f t="shared" ca="1" si="149"/>
        <v>0</v>
      </c>
      <c r="N238" s="8"/>
    </row>
    <row r="239" spans="1:14" x14ac:dyDescent="0.4">
      <c r="A239" s="11" t="s">
        <v>21</v>
      </c>
      <c r="B239" s="40">
        <f t="shared" ca="1" si="158"/>
        <v>0</v>
      </c>
      <c r="C239" s="40"/>
      <c r="D239" s="40"/>
      <c r="E239" s="40">
        <f t="shared" ca="1" si="158"/>
        <v>0</v>
      </c>
      <c r="F239" s="13">
        <f t="shared" ca="1" si="158"/>
        <v>0</v>
      </c>
      <c r="G239" s="17">
        <f t="shared" ca="1" si="158"/>
        <v>0</v>
      </c>
      <c r="H239" s="13">
        <f t="shared" ca="1" si="158"/>
        <v>0</v>
      </c>
      <c r="I239" s="16"/>
      <c r="J239" s="13">
        <f t="shared" ca="1" si="158"/>
        <v>0</v>
      </c>
      <c r="K239" s="15">
        <f t="shared" ca="1" si="150"/>
        <v>1</v>
      </c>
      <c r="L239" s="15"/>
      <c r="M239" s="15">
        <f t="shared" ca="1" si="149"/>
        <v>0</v>
      </c>
      <c r="N239" s="8"/>
    </row>
    <row r="240" spans="1:14" x14ac:dyDescent="0.4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7"/>
    </row>
    <row r="241" spans="1:14" x14ac:dyDescent="0.4">
      <c r="A241" s="58" t="s">
        <v>155</v>
      </c>
      <c r="B241" s="59"/>
      <c r="C241" s="59"/>
      <c r="D241" s="59"/>
      <c r="E241" s="59"/>
      <c r="F241" s="59"/>
      <c r="G241" s="59"/>
      <c r="H241" s="59"/>
      <c r="I241" s="60"/>
      <c r="J241" s="54" t="s">
        <v>3</v>
      </c>
      <c r="K241" s="54"/>
      <c r="L241" s="54"/>
      <c r="M241" s="7"/>
      <c r="N241" s="7"/>
    </row>
    <row r="242" spans="1:14" x14ac:dyDescent="0.4">
      <c r="A242" s="61"/>
      <c r="B242" s="62"/>
      <c r="C242" s="62"/>
      <c r="D242" s="62"/>
      <c r="E242" s="62"/>
      <c r="F242" s="62"/>
      <c r="G242" s="62"/>
      <c r="H242" s="62"/>
      <c r="I242" s="63"/>
      <c r="J242" s="54" t="s">
        <v>4</v>
      </c>
      <c r="K242" s="54"/>
      <c r="L242" s="54"/>
      <c r="M242" s="7"/>
      <c r="N242" s="7"/>
    </row>
    <row r="243" spans="1:14" x14ac:dyDescent="0.4">
      <c r="A243" s="64"/>
      <c r="B243" s="65"/>
      <c r="C243" s="65"/>
      <c r="D243" s="65"/>
      <c r="E243" s="65"/>
      <c r="F243" s="65"/>
      <c r="G243" s="65"/>
      <c r="H243" s="65"/>
      <c r="I243" s="66"/>
      <c r="J243" s="54" t="s">
        <v>0</v>
      </c>
      <c r="K243" s="54"/>
      <c r="L243" s="54"/>
      <c r="M243" s="9"/>
      <c r="N243" s="9"/>
    </row>
    <row r="244" spans="1:14" x14ac:dyDescent="0.4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</row>
    <row r="245" spans="1:14" x14ac:dyDescent="0.4">
      <c r="A245" s="53" t="s">
        <v>14</v>
      </c>
      <c r="B245" s="55" t="s">
        <v>33</v>
      </c>
      <c r="C245" s="71" t="s">
        <v>152</v>
      </c>
      <c r="D245" s="71" t="s">
        <v>153</v>
      </c>
      <c r="E245" s="55" t="s">
        <v>145</v>
      </c>
      <c r="F245" s="53" t="s">
        <v>1</v>
      </c>
      <c r="G245" s="53"/>
      <c r="H245" s="53" t="s">
        <v>19</v>
      </c>
      <c r="I245" s="57" t="s">
        <v>15</v>
      </c>
      <c r="J245" s="57" t="s">
        <v>16</v>
      </c>
      <c r="K245" s="53" t="s">
        <v>17</v>
      </c>
      <c r="L245" s="53" t="s">
        <v>84</v>
      </c>
      <c r="M245" s="53"/>
      <c r="N245" s="53" t="s">
        <v>20</v>
      </c>
    </row>
    <row r="246" spans="1:14" x14ac:dyDescent="0.4">
      <c r="A246" s="53"/>
      <c r="B246" s="55"/>
      <c r="C246" s="72"/>
      <c r="D246" s="72"/>
      <c r="E246" s="55"/>
      <c r="F246" s="53" t="s">
        <v>18</v>
      </c>
      <c r="G246" s="53" t="s">
        <v>2</v>
      </c>
      <c r="H246" s="53"/>
      <c r="I246" s="57"/>
      <c r="J246" s="57"/>
      <c r="K246" s="53"/>
      <c r="L246" s="53"/>
      <c r="M246" s="53"/>
      <c r="N246" s="53"/>
    </row>
    <row r="247" spans="1:14" x14ac:dyDescent="0.4">
      <c r="A247" s="53"/>
      <c r="B247" s="56"/>
      <c r="C247" s="73"/>
      <c r="D247" s="73"/>
      <c r="E247" s="55"/>
      <c r="F247" s="53"/>
      <c r="G247" s="53"/>
      <c r="H247" s="53"/>
      <c r="I247" s="57"/>
      <c r="J247" s="57"/>
      <c r="K247" s="53"/>
      <c r="L247" s="42" t="s">
        <v>85</v>
      </c>
      <c r="M247" s="42" t="s">
        <v>86</v>
      </c>
      <c r="N247" s="53"/>
    </row>
    <row r="248" spans="1:14" x14ac:dyDescent="0.4">
      <c r="A248" s="74" t="s">
        <v>26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9"/>
    </row>
    <row r="249" spans="1:14" x14ac:dyDescent="0.4">
      <c r="A249" s="11" t="s">
        <v>5</v>
      </c>
      <c r="B249" s="40"/>
      <c r="C249" s="40"/>
      <c r="D249" s="40"/>
      <c r="E249" s="40"/>
      <c r="F249" s="13"/>
      <c r="G249" s="11"/>
      <c r="H249" s="17"/>
      <c r="I249" s="13"/>
      <c r="J249" s="16"/>
      <c r="K249" s="13"/>
      <c r="L249" s="15">
        <f>ROUND((10^(K249/10))/(10^(I249/10)),3)</f>
        <v>1</v>
      </c>
      <c r="M249" s="15"/>
      <c r="N249" s="15">
        <f t="shared" ref="N249:N266" si="159">J249*L249</f>
        <v>0</v>
      </c>
    </row>
    <row r="250" spans="1:14" x14ac:dyDescent="0.4">
      <c r="A250" s="11" t="s">
        <v>5</v>
      </c>
      <c r="B250" s="40"/>
      <c r="C250" s="40"/>
      <c r="D250" s="40"/>
      <c r="E250" s="40"/>
      <c r="F250" s="13"/>
      <c r="G250" s="11"/>
      <c r="H250" s="17"/>
      <c r="I250" s="13"/>
      <c r="J250" s="16"/>
      <c r="K250" s="13"/>
      <c r="L250" s="15">
        <f t="shared" ref="L250:L266" si="160">ROUND((10^(K250/10))/(10^(I250/10)),3)</f>
        <v>1</v>
      </c>
      <c r="M250" s="15"/>
      <c r="N250" s="15">
        <f t="shared" si="159"/>
        <v>0</v>
      </c>
    </row>
    <row r="251" spans="1:14" x14ac:dyDescent="0.4">
      <c r="A251" s="11" t="s">
        <v>5</v>
      </c>
      <c r="B251" s="40"/>
      <c r="C251" s="40"/>
      <c r="D251" s="40"/>
      <c r="E251" s="40"/>
      <c r="F251" s="13"/>
      <c r="G251" s="11"/>
      <c r="H251" s="17"/>
      <c r="I251" s="13"/>
      <c r="J251" s="16"/>
      <c r="K251" s="13"/>
      <c r="L251" s="15">
        <f t="shared" si="160"/>
        <v>1</v>
      </c>
      <c r="M251" s="15"/>
      <c r="N251" s="15">
        <f t="shared" si="159"/>
        <v>0</v>
      </c>
    </row>
    <row r="252" spans="1:14" x14ac:dyDescent="0.4">
      <c r="A252" s="11" t="s">
        <v>6</v>
      </c>
      <c r="B252" s="41">
        <f t="shared" ref="B252:I254" ca="1" si="161">OFFSET(B252,-3,0)</f>
        <v>0</v>
      </c>
      <c r="C252" s="41"/>
      <c r="D252" s="41"/>
      <c r="E252" s="41"/>
      <c r="F252" s="19">
        <f t="shared" ca="1" si="161"/>
        <v>0</v>
      </c>
      <c r="G252" s="20">
        <f t="shared" ca="1" si="161"/>
        <v>0</v>
      </c>
      <c r="H252" s="20">
        <f t="shared" ca="1" si="161"/>
        <v>0</v>
      </c>
      <c r="I252" s="13">
        <f t="shared" ca="1" si="161"/>
        <v>0</v>
      </c>
      <c r="J252" s="16"/>
      <c r="K252" s="19">
        <f t="shared" ref="K252:K254" ca="1" si="162">OFFSET(K252,-3,0)</f>
        <v>0</v>
      </c>
      <c r="L252" s="15">
        <f t="shared" ca="1" si="160"/>
        <v>1</v>
      </c>
      <c r="M252" s="15"/>
      <c r="N252" s="15">
        <f t="shared" ca="1" si="159"/>
        <v>0</v>
      </c>
    </row>
    <row r="253" spans="1:14" x14ac:dyDescent="0.4">
      <c r="A253" s="11" t="s">
        <v>6</v>
      </c>
      <c r="B253" s="41">
        <f t="shared" ca="1" si="161"/>
        <v>0</v>
      </c>
      <c r="C253" s="41"/>
      <c r="D253" s="41"/>
      <c r="E253" s="41"/>
      <c r="F253" s="19">
        <f t="shared" ca="1" si="161"/>
        <v>0</v>
      </c>
      <c r="G253" s="20">
        <f t="shared" ca="1" si="161"/>
        <v>0</v>
      </c>
      <c r="H253" s="20">
        <f t="shared" ca="1" si="161"/>
        <v>0</v>
      </c>
      <c r="I253" s="13">
        <f t="shared" ca="1" si="161"/>
        <v>0</v>
      </c>
      <c r="J253" s="16"/>
      <c r="K253" s="19">
        <f t="shared" ca="1" si="162"/>
        <v>0</v>
      </c>
      <c r="L253" s="15">
        <f t="shared" ca="1" si="160"/>
        <v>1</v>
      </c>
      <c r="M253" s="15"/>
      <c r="N253" s="15">
        <f t="shared" ca="1" si="159"/>
        <v>0</v>
      </c>
    </row>
    <row r="254" spans="1:14" x14ac:dyDescent="0.4">
      <c r="A254" s="11" t="s">
        <v>6</v>
      </c>
      <c r="B254" s="41">
        <f t="shared" ca="1" si="161"/>
        <v>0</v>
      </c>
      <c r="C254" s="41"/>
      <c r="D254" s="41"/>
      <c r="E254" s="41"/>
      <c r="F254" s="19">
        <f t="shared" ca="1" si="161"/>
        <v>0</v>
      </c>
      <c r="G254" s="20">
        <f t="shared" ca="1" si="161"/>
        <v>0</v>
      </c>
      <c r="H254" s="20">
        <f t="shared" ca="1" si="161"/>
        <v>0</v>
      </c>
      <c r="I254" s="13">
        <f t="shared" ca="1" si="161"/>
        <v>0</v>
      </c>
      <c r="J254" s="16"/>
      <c r="K254" s="19">
        <f t="shared" ca="1" si="162"/>
        <v>0</v>
      </c>
      <c r="L254" s="15">
        <f t="shared" ca="1" si="160"/>
        <v>1</v>
      </c>
      <c r="M254" s="15"/>
      <c r="N254" s="15">
        <f t="shared" ca="1" si="159"/>
        <v>0</v>
      </c>
    </row>
    <row r="255" spans="1:14" x14ac:dyDescent="0.4">
      <c r="A255" s="11" t="s">
        <v>10</v>
      </c>
      <c r="B255" s="40">
        <f t="shared" ref="B255:I257" ca="1" si="163">OFFSET(B255,-6,0)</f>
        <v>0</v>
      </c>
      <c r="C255" s="40"/>
      <c r="D255" s="40"/>
      <c r="E255" s="40"/>
      <c r="F255" s="13">
        <f t="shared" ca="1" si="163"/>
        <v>0</v>
      </c>
      <c r="G255" s="17">
        <f t="shared" ca="1" si="163"/>
        <v>0</v>
      </c>
      <c r="H255" s="17">
        <f t="shared" ca="1" si="163"/>
        <v>0</v>
      </c>
      <c r="I255" s="13">
        <f t="shared" ca="1" si="163"/>
        <v>0</v>
      </c>
      <c r="J255" s="16"/>
      <c r="K255" s="13">
        <f t="shared" ref="K255:K257" ca="1" si="164">OFFSET(K255,-6,0)</f>
        <v>0</v>
      </c>
      <c r="L255" s="15">
        <f t="shared" ca="1" si="160"/>
        <v>1</v>
      </c>
      <c r="M255" s="15"/>
      <c r="N255" s="15">
        <f t="shared" ca="1" si="159"/>
        <v>0</v>
      </c>
    </row>
    <row r="256" spans="1:14" x14ac:dyDescent="0.4">
      <c r="A256" s="11" t="s">
        <v>10</v>
      </c>
      <c r="B256" s="40">
        <f t="shared" ca="1" si="163"/>
        <v>0</v>
      </c>
      <c r="C256" s="40"/>
      <c r="D256" s="40"/>
      <c r="E256" s="40"/>
      <c r="F256" s="13">
        <f t="shared" ca="1" si="163"/>
        <v>0</v>
      </c>
      <c r="G256" s="17">
        <f t="shared" ca="1" si="163"/>
        <v>0</v>
      </c>
      <c r="H256" s="17">
        <f t="shared" ca="1" si="163"/>
        <v>0</v>
      </c>
      <c r="I256" s="13">
        <f t="shared" ca="1" si="163"/>
        <v>0</v>
      </c>
      <c r="J256" s="16"/>
      <c r="K256" s="13">
        <f t="shared" ca="1" si="164"/>
        <v>0</v>
      </c>
      <c r="L256" s="15">
        <f t="shared" ca="1" si="160"/>
        <v>1</v>
      </c>
      <c r="M256" s="15"/>
      <c r="N256" s="15">
        <f t="shared" ca="1" si="159"/>
        <v>0</v>
      </c>
    </row>
    <row r="257" spans="1:14" x14ac:dyDescent="0.4">
      <c r="A257" s="11" t="s">
        <v>10</v>
      </c>
      <c r="B257" s="40">
        <f t="shared" ca="1" si="163"/>
        <v>0</v>
      </c>
      <c r="C257" s="40"/>
      <c r="D257" s="40"/>
      <c r="E257" s="40"/>
      <c r="F257" s="13">
        <f t="shared" ca="1" si="163"/>
        <v>0</v>
      </c>
      <c r="G257" s="17">
        <f t="shared" ca="1" si="163"/>
        <v>0</v>
      </c>
      <c r="H257" s="17">
        <f t="shared" ca="1" si="163"/>
        <v>0</v>
      </c>
      <c r="I257" s="13">
        <f t="shared" ca="1" si="163"/>
        <v>0</v>
      </c>
      <c r="J257" s="16"/>
      <c r="K257" s="13">
        <f t="shared" ca="1" si="164"/>
        <v>0</v>
      </c>
      <c r="L257" s="15">
        <f t="shared" ca="1" si="160"/>
        <v>1</v>
      </c>
      <c r="M257" s="15"/>
      <c r="N257" s="15">
        <f t="shared" ca="1" si="159"/>
        <v>0</v>
      </c>
    </row>
    <row r="258" spans="1:14" x14ac:dyDescent="0.4">
      <c r="A258" s="11" t="s">
        <v>7</v>
      </c>
      <c r="B258" s="40">
        <f t="shared" ref="B258:I260" ca="1" si="165">OFFSET(B258,-9,0)</f>
        <v>0</v>
      </c>
      <c r="C258" s="40"/>
      <c r="D258" s="40"/>
      <c r="E258" s="40"/>
      <c r="F258" s="13">
        <f t="shared" ca="1" si="165"/>
        <v>0</v>
      </c>
      <c r="G258" s="17">
        <f t="shared" ca="1" si="165"/>
        <v>0</v>
      </c>
      <c r="H258" s="17">
        <f t="shared" ca="1" si="165"/>
        <v>0</v>
      </c>
      <c r="I258" s="13">
        <f t="shared" ca="1" si="165"/>
        <v>0</v>
      </c>
      <c r="J258" s="16"/>
      <c r="K258" s="13">
        <f t="shared" ref="K258:K260" ca="1" si="166">OFFSET(K258,-9,0)</f>
        <v>0</v>
      </c>
      <c r="L258" s="15">
        <f t="shared" ca="1" si="160"/>
        <v>1</v>
      </c>
      <c r="M258" s="15"/>
      <c r="N258" s="15">
        <f t="shared" ca="1" si="159"/>
        <v>0</v>
      </c>
    </row>
    <row r="259" spans="1:14" x14ac:dyDescent="0.4">
      <c r="A259" s="11" t="s">
        <v>7</v>
      </c>
      <c r="B259" s="40">
        <f t="shared" ca="1" si="165"/>
        <v>0</v>
      </c>
      <c r="C259" s="40"/>
      <c r="D259" s="40"/>
      <c r="E259" s="40"/>
      <c r="F259" s="13">
        <f t="shared" ca="1" si="165"/>
        <v>0</v>
      </c>
      <c r="G259" s="17">
        <f t="shared" ca="1" si="165"/>
        <v>0</v>
      </c>
      <c r="H259" s="17">
        <f t="shared" ca="1" si="165"/>
        <v>0</v>
      </c>
      <c r="I259" s="13">
        <f t="shared" ca="1" si="165"/>
        <v>0</v>
      </c>
      <c r="J259" s="16"/>
      <c r="K259" s="13">
        <f t="shared" ca="1" si="166"/>
        <v>0</v>
      </c>
      <c r="L259" s="15">
        <f t="shared" ca="1" si="160"/>
        <v>1</v>
      </c>
      <c r="M259" s="15"/>
      <c r="N259" s="15">
        <f t="shared" ca="1" si="159"/>
        <v>0</v>
      </c>
    </row>
    <row r="260" spans="1:14" x14ac:dyDescent="0.4">
      <c r="A260" s="11" t="s">
        <v>7</v>
      </c>
      <c r="B260" s="40">
        <f t="shared" ca="1" si="165"/>
        <v>0</v>
      </c>
      <c r="C260" s="40"/>
      <c r="D260" s="40"/>
      <c r="E260" s="40"/>
      <c r="F260" s="13">
        <f t="shared" ca="1" si="165"/>
        <v>0</v>
      </c>
      <c r="G260" s="17">
        <f t="shared" ca="1" si="165"/>
        <v>0</v>
      </c>
      <c r="H260" s="17">
        <f t="shared" ca="1" si="165"/>
        <v>0</v>
      </c>
      <c r="I260" s="13">
        <f t="shared" ca="1" si="165"/>
        <v>0</v>
      </c>
      <c r="J260" s="16"/>
      <c r="K260" s="13">
        <f t="shared" ca="1" si="166"/>
        <v>0</v>
      </c>
      <c r="L260" s="15">
        <f t="shared" ca="1" si="160"/>
        <v>1</v>
      </c>
      <c r="M260" s="15"/>
      <c r="N260" s="15">
        <f t="shared" ca="1" si="159"/>
        <v>0</v>
      </c>
    </row>
    <row r="261" spans="1:14" x14ac:dyDescent="0.4">
      <c r="A261" s="11" t="s">
        <v>8</v>
      </c>
      <c r="B261" s="40">
        <f t="shared" ref="B261:I263" ca="1" si="167">OFFSET(B261,-12,0)</f>
        <v>0</v>
      </c>
      <c r="C261" s="40"/>
      <c r="D261" s="40"/>
      <c r="E261" s="40"/>
      <c r="F261" s="13">
        <f t="shared" ca="1" si="167"/>
        <v>0</v>
      </c>
      <c r="G261" s="17">
        <f t="shared" ca="1" si="167"/>
        <v>0</v>
      </c>
      <c r="H261" s="17">
        <f t="shared" ca="1" si="167"/>
        <v>0</v>
      </c>
      <c r="I261" s="13">
        <f t="shared" ca="1" si="167"/>
        <v>0</v>
      </c>
      <c r="J261" s="16"/>
      <c r="K261" s="13">
        <f t="shared" ref="K261:K263" ca="1" si="168">OFFSET(K261,-12,0)</f>
        <v>0</v>
      </c>
      <c r="L261" s="15">
        <f t="shared" ca="1" si="160"/>
        <v>1</v>
      </c>
      <c r="M261" s="15"/>
      <c r="N261" s="15">
        <f t="shared" ca="1" si="159"/>
        <v>0</v>
      </c>
    </row>
    <row r="262" spans="1:14" x14ac:dyDescent="0.4">
      <c r="A262" s="11" t="s">
        <v>8</v>
      </c>
      <c r="B262" s="40">
        <f t="shared" ca="1" si="167"/>
        <v>0</v>
      </c>
      <c r="C262" s="40"/>
      <c r="D262" s="40"/>
      <c r="E262" s="40"/>
      <c r="F262" s="13">
        <f t="shared" ca="1" si="167"/>
        <v>0</v>
      </c>
      <c r="G262" s="17">
        <f t="shared" ca="1" si="167"/>
        <v>0</v>
      </c>
      <c r="H262" s="17">
        <f t="shared" ca="1" si="167"/>
        <v>0</v>
      </c>
      <c r="I262" s="13">
        <f t="shared" ca="1" si="167"/>
        <v>0</v>
      </c>
      <c r="J262" s="16"/>
      <c r="K262" s="13">
        <f t="shared" ca="1" si="168"/>
        <v>0</v>
      </c>
      <c r="L262" s="15">
        <f t="shared" ca="1" si="160"/>
        <v>1</v>
      </c>
      <c r="M262" s="15"/>
      <c r="N262" s="15">
        <f t="shared" ca="1" si="159"/>
        <v>0</v>
      </c>
    </row>
    <row r="263" spans="1:14" x14ac:dyDescent="0.4">
      <c r="A263" s="11" t="s">
        <v>8</v>
      </c>
      <c r="B263" s="40">
        <f t="shared" ca="1" si="167"/>
        <v>0</v>
      </c>
      <c r="C263" s="40"/>
      <c r="D263" s="40"/>
      <c r="E263" s="40"/>
      <c r="F263" s="13">
        <f t="shared" ca="1" si="167"/>
        <v>0</v>
      </c>
      <c r="G263" s="17">
        <f t="shared" ca="1" si="167"/>
        <v>0</v>
      </c>
      <c r="H263" s="17">
        <f t="shared" ca="1" si="167"/>
        <v>0</v>
      </c>
      <c r="I263" s="13">
        <f t="shared" ca="1" si="167"/>
        <v>0</v>
      </c>
      <c r="J263" s="16"/>
      <c r="K263" s="13">
        <f t="shared" ca="1" si="168"/>
        <v>0</v>
      </c>
      <c r="L263" s="15">
        <f t="shared" ca="1" si="160"/>
        <v>1</v>
      </c>
      <c r="M263" s="15"/>
      <c r="N263" s="15">
        <f t="shared" ca="1" si="159"/>
        <v>0</v>
      </c>
    </row>
    <row r="264" spans="1:14" x14ac:dyDescent="0.4">
      <c r="A264" s="11" t="s">
        <v>9</v>
      </c>
      <c r="B264" s="41">
        <f t="shared" ref="B264:G266" ca="1" si="169">OFFSET(B264,-15,0)</f>
        <v>0</v>
      </c>
      <c r="C264" s="41"/>
      <c r="D264" s="41"/>
      <c r="E264" s="41"/>
      <c r="F264" s="19">
        <f t="shared" ca="1" si="169"/>
        <v>0</v>
      </c>
      <c r="G264" s="20">
        <f t="shared" ca="1" si="169"/>
        <v>0</v>
      </c>
      <c r="H264" s="20">
        <f ca="1">OFFSET(H264,-15,0)</f>
        <v>0</v>
      </c>
      <c r="I264" s="13">
        <f t="shared" ref="H264:I266" ca="1" si="170">OFFSET(I264,-15,0)</f>
        <v>0</v>
      </c>
      <c r="J264" s="16"/>
      <c r="K264" s="19">
        <f t="shared" ref="K264:K266" ca="1" si="171">OFFSET(K264,-15,0)</f>
        <v>0</v>
      </c>
      <c r="L264" s="15">
        <f t="shared" ca="1" si="160"/>
        <v>1</v>
      </c>
      <c r="M264" s="15"/>
      <c r="N264" s="15">
        <f t="shared" ca="1" si="159"/>
        <v>0</v>
      </c>
    </row>
    <row r="265" spans="1:14" x14ac:dyDescent="0.4">
      <c r="A265" s="11" t="s">
        <v>9</v>
      </c>
      <c r="B265" s="41">
        <f t="shared" ca="1" si="169"/>
        <v>0</v>
      </c>
      <c r="C265" s="41"/>
      <c r="D265" s="41"/>
      <c r="E265" s="41"/>
      <c r="F265" s="19">
        <f t="shared" ca="1" si="169"/>
        <v>0</v>
      </c>
      <c r="G265" s="20">
        <f t="shared" ca="1" si="169"/>
        <v>0</v>
      </c>
      <c r="H265" s="20">
        <f t="shared" ca="1" si="170"/>
        <v>0</v>
      </c>
      <c r="I265" s="13">
        <f t="shared" ca="1" si="170"/>
        <v>0</v>
      </c>
      <c r="J265" s="16"/>
      <c r="K265" s="19">
        <f t="shared" ca="1" si="171"/>
        <v>0</v>
      </c>
      <c r="L265" s="15">
        <f t="shared" ca="1" si="160"/>
        <v>1</v>
      </c>
      <c r="M265" s="15"/>
      <c r="N265" s="15">
        <f t="shared" ca="1" si="159"/>
        <v>0</v>
      </c>
    </row>
    <row r="266" spans="1:14" x14ac:dyDescent="0.4">
      <c r="A266" s="11" t="s">
        <v>9</v>
      </c>
      <c r="B266" s="41">
        <f t="shared" ca="1" si="169"/>
        <v>0</v>
      </c>
      <c r="C266" s="41"/>
      <c r="D266" s="41"/>
      <c r="E266" s="41"/>
      <c r="F266" s="19">
        <f t="shared" ca="1" si="169"/>
        <v>0</v>
      </c>
      <c r="G266" s="20">
        <f t="shared" ca="1" si="169"/>
        <v>0</v>
      </c>
      <c r="H266" s="20">
        <f t="shared" ca="1" si="170"/>
        <v>0</v>
      </c>
      <c r="I266" s="13">
        <f t="shared" ca="1" si="170"/>
        <v>0</v>
      </c>
      <c r="J266" s="16"/>
      <c r="K266" s="19">
        <f t="shared" ca="1" si="171"/>
        <v>0</v>
      </c>
      <c r="L266" s="15">
        <f t="shared" ca="1" si="160"/>
        <v>1</v>
      </c>
      <c r="M266" s="15"/>
      <c r="N266" s="15">
        <f t="shared" ca="1" si="159"/>
        <v>0</v>
      </c>
    </row>
    <row r="267" spans="1:14" ht="17.399999999999999" x14ac:dyDescent="0.4">
      <c r="A267" s="74" t="s">
        <v>28</v>
      </c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6"/>
    </row>
    <row r="268" spans="1:14" x14ac:dyDescent="0.4">
      <c r="A268" s="11" t="s">
        <v>5</v>
      </c>
      <c r="B268" s="40"/>
      <c r="C268" s="40"/>
      <c r="D268" s="40"/>
      <c r="E268" s="40"/>
      <c r="F268" s="13"/>
      <c r="G268" s="11"/>
      <c r="H268" s="17"/>
      <c r="I268" s="13"/>
      <c r="J268" s="16"/>
      <c r="K268" s="13"/>
      <c r="L268" s="15">
        <f>ROUND((10^(K268/10))/(10^(I268/10)),3)</f>
        <v>1</v>
      </c>
      <c r="M268" s="15"/>
      <c r="N268" s="15">
        <f t="shared" ref="N268:N285" si="172">J268*L268</f>
        <v>0</v>
      </c>
    </row>
    <row r="269" spans="1:14" x14ac:dyDescent="0.4">
      <c r="A269" s="11" t="s">
        <v>5</v>
      </c>
      <c r="B269" s="40"/>
      <c r="C269" s="40"/>
      <c r="D269" s="40"/>
      <c r="E269" s="40"/>
      <c r="F269" s="13"/>
      <c r="G269" s="11"/>
      <c r="H269" s="17"/>
      <c r="I269" s="13"/>
      <c r="J269" s="16"/>
      <c r="K269" s="13"/>
      <c r="L269" s="15">
        <f t="shared" ref="L269:L285" si="173">ROUND((10^(K269/10))/(10^(I269/10)),3)</f>
        <v>1</v>
      </c>
      <c r="M269" s="15"/>
      <c r="N269" s="15">
        <f t="shared" si="172"/>
        <v>0</v>
      </c>
    </row>
    <row r="270" spans="1:14" x14ac:dyDescent="0.4">
      <c r="A270" s="11" t="s">
        <v>5</v>
      </c>
      <c r="B270" s="40"/>
      <c r="C270" s="40"/>
      <c r="D270" s="40"/>
      <c r="E270" s="40"/>
      <c r="F270" s="13"/>
      <c r="G270" s="11"/>
      <c r="H270" s="17"/>
      <c r="I270" s="13"/>
      <c r="J270" s="16"/>
      <c r="K270" s="13"/>
      <c r="L270" s="15">
        <f t="shared" si="173"/>
        <v>1</v>
      </c>
      <c r="M270" s="15"/>
      <c r="N270" s="15">
        <f t="shared" si="172"/>
        <v>0</v>
      </c>
    </row>
    <row r="271" spans="1:14" x14ac:dyDescent="0.4">
      <c r="A271" s="11" t="s">
        <v>6</v>
      </c>
      <c r="B271" s="41">
        <f t="shared" ref="B271:I273" ca="1" si="174">OFFSET(B271,-3,0)</f>
        <v>0</v>
      </c>
      <c r="C271" s="41"/>
      <c r="D271" s="41"/>
      <c r="E271" s="41"/>
      <c r="F271" s="19">
        <f t="shared" ca="1" si="174"/>
        <v>0</v>
      </c>
      <c r="G271" s="20">
        <f t="shared" ca="1" si="174"/>
        <v>0</v>
      </c>
      <c r="H271" s="20">
        <f t="shared" ca="1" si="174"/>
        <v>0</v>
      </c>
      <c r="I271" s="13">
        <f t="shared" ca="1" si="174"/>
        <v>0</v>
      </c>
      <c r="J271" s="16"/>
      <c r="K271" s="19">
        <f t="shared" ref="K271:K273" ca="1" si="175">OFFSET(K271,-3,0)</f>
        <v>0</v>
      </c>
      <c r="L271" s="15">
        <f t="shared" ca="1" si="173"/>
        <v>1</v>
      </c>
      <c r="M271" s="15"/>
      <c r="N271" s="15">
        <f t="shared" ca="1" si="172"/>
        <v>0</v>
      </c>
    </row>
    <row r="272" spans="1:14" x14ac:dyDescent="0.4">
      <c r="A272" s="11" t="s">
        <v>6</v>
      </c>
      <c r="B272" s="41">
        <f t="shared" ca="1" si="174"/>
        <v>0</v>
      </c>
      <c r="C272" s="41"/>
      <c r="D272" s="41"/>
      <c r="E272" s="41"/>
      <c r="F272" s="19">
        <f t="shared" ca="1" si="174"/>
        <v>0</v>
      </c>
      <c r="G272" s="20">
        <f t="shared" ca="1" si="174"/>
        <v>0</v>
      </c>
      <c r="H272" s="20">
        <f t="shared" ca="1" si="174"/>
        <v>0</v>
      </c>
      <c r="I272" s="13">
        <f t="shared" ca="1" si="174"/>
        <v>0</v>
      </c>
      <c r="J272" s="16"/>
      <c r="K272" s="19">
        <f t="shared" ca="1" si="175"/>
        <v>0</v>
      </c>
      <c r="L272" s="15">
        <f t="shared" ca="1" si="173"/>
        <v>1</v>
      </c>
      <c r="M272" s="15"/>
      <c r="N272" s="15">
        <f t="shared" ca="1" si="172"/>
        <v>0</v>
      </c>
    </row>
    <row r="273" spans="1:14" x14ac:dyDescent="0.4">
      <c r="A273" s="11" t="s">
        <v>6</v>
      </c>
      <c r="B273" s="41">
        <f t="shared" ca="1" si="174"/>
        <v>0</v>
      </c>
      <c r="C273" s="41"/>
      <c r="D273" s="41"/>
      <c r="E273" s="41"/>
      <c r="F273" s="19">
        <f t="shared" ca="1" si="174"/>
        <v>0</v>
      </c>
      <c r="G273" s="20">
        <f t="shared" ca="1" si="174"/>
        <v>0</v>
      </c>
      <c r="H273" s="20">
        <f t="shared" ca="1" si="174"/>
        <v>0</v>
      </c>
      <c r="I273" s="13">
        <f t="shared" ca="1" si="174"/>
        <v>0</v>
      </c>
      <c r="J273" s="16"/>
      <c r="K273" s="19">
        <f t="shared" ca="1" si="175"/>
        <v>0</v>
      </c>
      <c r="L273" s="15">
        <f t="shared" ca="1" si="173"/>
        <v>1</v>
      </c>
      <c r="M273" s="15"/>
      <c r="N273" s="15">
        <f t="shared" ca="1" si="172"/>
        <v>0</v>
      </c>
    </row>
    <row r="274" spans="1:14" x14ac:dyDescent="0.4">
      <c r="A274" s="11" t="s">
        <v>10</v>
      </c>
      <c r="B274" s="40">
        <f t="shared" ref="B274:I276" ca="1" si="176">OFFSET(B274,-6,0)</f>
        <v>0</v>
      </c>
      <c r="C274" s="40"/>
      <c r="D274" s="40"/>
      <c r="E274" s="40"/>
      <c r="F274" s="13">
        <f t="shared" ca="1" si="176"/>
        <v>0</v>
      </c>
      <c r="G274" s="17">
        <f t="shared" ca="1" si="176"/>
        <v>0</v>
      </c>
      <c r="H274" s="17">
        <f t="shared" ca="1" si="176"/>
        <v>0</v>
      </c>
      <c r="I274" s="13">
        <f t="shared" ca="1" si="176"/>
        <v>0</v>
      </c>
      <c r="J274" s="16"/>
      <c r="K274" s="13">
        <f t="shared" ref="K274:K276" ca="1" si="177">OFFSET(K274,-6,0)</f>
        <v>0</v>
      </c>
      <c r="L274" s="15">
        <f t="shared" ca="1" si="173"/>
        <v>1</v>
      </c>
      <c r="M274" s="15"/>
      <c r="N274" s="15">
        <f t="shared" ca="1" si="172"/>
        <v>0</v>
      </c>
    </row>
    <row r="275" spans="1:14" x14ac:dyDescent="0.4">
      <c r="A275" s="11" t="s">
        <v>10</v>
      </c>
      <c r="B275" s="40">
        <f t="shared" ca="1" si="176"/>
        <v>0</v>
      </c>
      <c r="C275" s="40"/>
      <c r="D275" s="40"/>
      <c r="E275" s="40"/>
      <c r="F275" s="13">
        <f t="shared" ca="1" si="176"/>
        <v>0</v>
      </c>
      <c r="G275" s="17">
        <f t="shared" ca="1" si="176"/>
        <v>0</v>
      </c>
      <c r="H275" s="17">
        <f t="shared" ca="1" si="176"/>
        <v>0</v>
      </c>
      <c r="I275" s="13">
        <f t="shared" ca="1" si="176"/>
        <v>0</v>
      </c>
      <c r="J275" s="16"/>
      <c r="K275" s="13">
        <f t="shared" ca="1" si="177"/>
        <v>0</v>
      </c>
      <c r="L275" s="15">
        <f t="shared" ca="1" si="173"/>
        <v>1</v>
      </c>
      <c r="M275" s="15"/>
      <c r="N275" s="15">
        <f t="shared" ca="1" si="172"/>
        <v>0</v>
      </c>
    </row>
    <row r="276" spans="1:14" x14ac:dyDescent="0.4">
      <c r="A276" s="11" t="s">
        <v>10</v>
      </c>
      <c r="B276" s="40">
        <f t="shared" ca="1" si="176"/>
        <v>0</v>
      </c>
      <c r="C276" s="40"/>
      <c r="D276" s="40"/>
      <c r="E276" s="40"/>
      <c r="F276" s="13">
        <f t="shared" ca="1" si="176"/>
        <v>0</v>
      </c>
      <c r="G276" s="17">
        <f t="shared" ca="1" si="176"/>
        <v>0</v>
      </c>
      <c r="H276" s="17">
        <f t="shared" ca="1" si="176"/>
        <v>0</v>
      </c>
      <c r="I276" s="13">
        <f t="shared" ca="1" si="176"/>
        <v>0</v>
      </c>
      <c r="J276" s="16"/>
      <c r="K276" s="13">
        <f t="shared" ca="1" si="177"/>
        <v>0</v>
      </c>
      <c r="L276" s="15">
        <f t="shared" ca="1" si="173"/>
        <v>1</v>
      </c>
      <c r="M276" s="15"/>
      <c r="N276" s="15">
        <f t="shared" ca="1" si="172"/>
        <v>0</v>
      </c>
    </row>
    <row r="277" spans="1:14" x14ac:dyDescent="0.4">
      <c r="A277" s="11" t="s">
        <v>7</v>
      </c>
      <c r="B277" s="40">
        <f t="shared" ref="B277:I279" ca="1" si="178">OFFSET(B277,-9,0)</f>
        <v>0</v>
      </c>
      <c r="C277" s="40"/>
      <c r="D277" s="40"/>
      <c r="E277" s="40"/>
      <c r="F277" s="13">
        <f t="shared" ca="1" si="178"/>
        <v>0</v>
      </c>
      <c r="G277" s="17">
        <f t="shared" ca="1" si="178"/>
        <v>0</v>
      </c>
      <c r="H277" s="17">
        <f t="shared" ca="1" si="178"/>
        <v>0</v>
      </c>
      <c r="I277" s="13">
        <f t="shared" ca="1" si="178"/>
        <v>0</v>
      </c>
      <c r="J277" s="16"/>
      <c r="K277" s="13">
        <f t="shared" ref="K277:K279" ca="1" si="179">OFFSET(K277,-9,0)</f>
        <v>0</v>
      </c>
      <c r="L277" s="15">
        <f t="shared" ca="1" si="173"/>
        <v>1</v>
      </c>
      <c r="M277" s="15"/>
      <c r="N277" s="15">
        <f t="shared" ca="1" si="172"/>
        <v>0</v>
      </c>
    </row>
    <row r="278" spans="1:14" x14ac:dyDescent="0.4">
      <c r="A278" s="11" t="s">
        <v>7</v>
      </c>
      <c r="B278" s="40">
        <f t="shared" ca="1" si="178"/>
        <v>0</v>
      </c>
      <c r="C278" s="40"/>
      <c r="D278" s="40"/>
      <c r="E278" s="40"/>
      <c r="F278" s="13">
        <f t="shared" ca="1" si="178"/>
        <v>0</v>
      </c>
      <c r="G278" s="17">
        <f t="shared" ca="1" si="178"/>
        <v>0</v>
      </c>
      <c r="H278" s="17">
        <f t="shared" ca="1" si="178"/>
        <v>0</v>
      </c>
      <c r="I278" s="13">
        <f t="shared" ca="1" si="178"/>
        <v>0</v>
      </c>
      <c r="J278" s="16"/>
      <c r="K278" s="13">
        <f t="shared" ca="1" si="179"/>
        <v>0</v>
      </c>
      <c r="L278" s="15">
        <f t="shared" ca="1" si="173"/>
        <v>1</v>
      </c>
      <c r="M278" s="15"/>
      <c r="N278" s="15">
        <f t="shared" ca="1" si="172"/>
        <v>0</v>
      </c>
    </row>
    <row r="279" spans="1:14" x14ac:dyDescent="0.4">
      <c r="A279" s="11" t="s">
        <v>7</v>
      </c>
      <c r="B279" s="40">
        <f t="shared" ca="1" si="178"/>
        <v>0</v>
      </c>
      <c r="C279" s="40"/>
      <c r="D279" s="40"/>
      <c r="E279" s="40"/>
      <c r="F279" s="13">
        <f t="shared" ca="1" si="178"/>
        <v>0</v>
      </c>
      <c r="G279" s="17">
        <f t="shared" ca="1" si="178"/>
        <v>0</v>
      </c>
      <c r="H279" s="17">
        <f t="shared" ca="1" si="178"/>
        <v>0</v>
      </c>
      <c r="I279" s="13">
        <f t="shared" ca="1" si="178"/>
        <v>0</v>
      </c>
      <c r="J279" s="16"/>
      <c r="K279" s="13">
        <f t="shared" ca="1" si="179"/>
        <v>0</v>
      </c>
      <c r="L279" s="15">
        <f t="shared" ca="1" si="173"/>
        <v>1</v>
      </c>
      <c r="M279" s="15"/>
      <c r="N279" s="15">
        <f t="shared" ca="1" si="172"/>
        <v>0</v>
      </c>
    </row>
    <row r="280" spans="1:14" x14ac:dyDescent="0.4">
      <c r="A280" s="11" t="s">
        <v>8</v>
      </c>
      <c r="B280" s="40">
        <f t="shared" ref="B280:I282" ca="1" si="180">OFFSET(B280,-12,0)</f>
        <v>0</v>
      </c>
      <c r="C280" s="40"/>
      <c r="D280" s="40"/>
      <c r="E280" s="40"/>
      <c r="F280" s="13">
        <f t="shared" ca="1" si="180"/>
        <v>0</v>
      </c>
      <c r="G280" s="17">
        <f t="shared" ca="1" si="180"/>
        <v>0</v>
      </c>
      <c r="H280" s="17">
        <f t="shared" ca="1" si="180"/>
        <v>0</v>
      </c>
      <c r="I280" s="13">
        <f t="shared" ca="1" si="180"/>
        <v>0</v>
      </c>
      <c r="J280" s="16"/>
      <c r="K280" s="13">
        <f t="shared" ref="K280:K282" ca="1" si="181">OFFSET(K280,-12,0)</f>
        <v>0</v>
      </c>
      <c r="L280" s="15">
        <f t="shared" ca="1" si="173"/>
        <v>1</v>
      </c>
      <c r="M280" s="15"/>
      <c r="N280" s="15">
        <f t="shared" ca="1" si="172"/>
        <v>0</v>
      </c>
    </row>
    <row r="281" spans="1:14" x14ac:dyDescent="0.4">
      <c r="A281" s="11" t="s">
        <v>8</v>
      </c>
      <c r="B281" s="40">
        <f t="shared" ca="1" si="180"/>
        <v>0</v>
      </c>
      <c r="C281" s="40"/>
      <c r="D281" s="40"/>
      <c r="E281" s="40"/>
      <c r="F281" s="13">
        <f t="shared" ca="1" si="180"/>
        <v>0</v>
      </c>
      <c r="G281" s="17">
        <f t="shared" ca="1" si="180"/>
        <v>0</v>
      </c>
      <c r="H281" s="17">
        <f t="shared" ca="1" si="180"/>
        <v>0</v>
      </c>
      <c r="I281" s="13">
        <f t="shared" ca="1" si="180"/>
        <v>0</v>
      </c>
      <c r="J281" s="16"/>
      <c r="K281" s="13">
        <f t="shared" ca="1" si="181"/>
        <v>0</v>
      </c>
      <c r="L281" s="15">
        <f t="shared" ca="1" si="173"/>
        <v>1</v>
      </c>
      <c r="M281" s="15"/>
      <c r="N281" s="15">
        <f t="shared" ca="1" si="172"/>
        <v>0</v>
      </c>
    </row>
    <row r="282" spans="1:14" x14ac:dyDescent="0.4">
      <c r="A282" s="11" t="s">
        <v>8</v>
      </c>
      <c r="B282" s="40">
        <f t="shared" ca="1" si="180"/>
        <v>0</v>
      </c>
      <c r="C282" s="40"/>
      <c r="D282" s="40"/>
      <c r="E282" s="40"/>
      <c r="F282" s="13">
        <f t="shared" ca="1" si="180"/>
        <v>0</v>
      </c>
      <c r="G282" s="17">
        <f t="shared" ca="1" si="180"/>
        <v>0</v>
      </c>
      <c r="H282" s="17">
        <f t="shared" ca="1" si="180"/>
        <v>0</v>
      </c>
      <c r="I282" s="13">
        <f t="shared" ca="1" si="180"/>
        <v>0</v>
      </c>
      <c r="J282" s="16"/>
      <c r="K282" s="13">
        <f t="shared" ca="1" si="181"/>
        <v>0</v>
      </c>
      <c r="L282" s="15">
        <f t="shared" ca="1" si="173"/>
        <v>1</v>
      </c>
      <c r="M282" s="15"/>
      <c r="N282" s="15">
        <f t="shared" ca="1" si="172"/>
        <v>0</v>
      </c>
    </row>
    <row r="283" spans="1:14" x14ac:dyDescent="0.4">
      <c r="A283" s="11" t="s">
        <v>9</v>
      </c>
      <c r="B283" s="41">
        <f t="shared" ref="B283:H285" ca="1" si="182">OFFSET(B283,-15,0)</f>
        <v>0</v>
      </c>
      <c r="C283" s="41"/>
      <c r="D283" s="41"/>
      <c r="E283" s="41"/>
      <c r="F283" s="19">
        <f t="shared" ca="1" si="182"/>
        <v>0</v>
      </c>
      <c r="G283" s="20">
        <f t="shared" ca="1" si="182"/>
        <v>0</v>
      </c>
      <c r="H283" s="20">
        <f ca="1">OFFSET(H283,-15,0)</f>
        <v>0</v>
      </c>
      <c r="I283" s="13">
        <f t="shared" ref="I283:I285" ca="1" si="183">OFFSET(I283,-15,0)</f>
        <v>0</v>
      </c>
      <c r="J283" s="16"/>
      <c r="K283" s="19">
        <f t="shared" ref="K283:K285" ca="1" si="184">OFFSET(K283,-15,0)</f>
        <v>0</v>
      </c>
      <c r="L283" s="15">
        <f t="shared" ca="1" si="173"/>
        <v>1</v>
      </c>
      <c r="M283" s="15"/>
      <c r="N283" s="15">
        <f t="shared" ca="1" si="172"/>
        <v>0</v>
      </c>
    </row>
    <row r="284" spans="1:14" x14ac:dyDescent="0.4">
      <c r="A284" s="11" t="s">
        <v>9</v>
      </c>
      <c r="B284" s="41">
        <f t="shared" ca="1" si="182"/>
        <v>0</v>
      </c>
      <c r="C284" s="41"/>
      <c r="D284" s="41"/>
      <c r="E284" s="41"/>
      <c r="F284" s="19">
        <f t="shared" ca="1" si="182"/>
        <v>0</v>
      </c>
      <c r="G284" s="20">
        <f t="shared" ca="1" si="182"/>
        <v>0</v>
      </c>
      <c r="H284" s="20">
        <f t="shared" ca="1" si="182"/>
        <v>0</v>
      </c>
      <c r="I284" s="13">
        <f t="shared" ca="1" si="183"/>
        <v>0</v>
      </c>
      <c r="J284" s="16"/>
      <c r="K284" s="19">
        <f t="shared" ca="1" si="184"/>
        <v>0</v>
      </c>
      <c r="L284" s="15">
        <f t="shared" ca="1" si="173"/>
        <v>1</v>
      </c>
      <c r="M284" s="15"/>
      <c r="N284" s="15">
        <f t="shared" ca="1" si="172"/>
        <v>0</v>
      </c>
    </row>
    <row r="285" spans="1:14" x14ac:dyDescent="0.4">
      <c r="A285" s="11" t="s">
        <v>9</v>
      </c>
      <c r="B285" s="41">
        <f t="shared" ca="1" si="182"/>
        <v>0</v>
      </c>
      <c r="C285" s="41"/>
      <c r="D285" s="41"/>
      <c r="E285" s="41"/>
      <c r="F285" s="19">
        <f t="shared" ca="1" si="182"/>
        <v>0</v>
      </c>
      <c r="G285" s="20">
        <f t="shared" ca="1" si="182"/>
        <v>0</v>
      </c>
      <c r="H285" s="20">
        <f t="shared" ca="1" si="182"/>
        <v>0</v>
      </c>
      <c r="I285" s="13">
        <f t="shared" ca="1" si="183"/>
        <v>0</v>
      </c>
      <c r="J285" s="16"/>
      <c r="K285" s="19">
        <f t="shared" ca="1" si="184"/>
        <v>0</v>
      </c>
      <c r="L285" s="15">
        <f t="shared" ca="1" si="173"/>
        <v>1</v>
      </c>
      <c r="M285" s="15"/>
      <c r="N285" s="15">
        <f t="shared" ca="1" si="172"/>
        <v>0</v>
      </c>
    </row>
    <row r="286" spans="1:14" ht="17.399999999999999" x14ac:dyDescent="0.4">
      <c r="A286" s="74" t="s">
        <v>25</v>
      </c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6"/>
    </row>
    <row r="287" spans="1:14" x14ac:dyDescent="0.4">
      <c r="A287" s="11" t="s">
        <v>5</v>
      </c>
      <c r="B287" s="40"/>
      <c r="C287" s="40"/>
      <c r="D287" s="40"/>
      <c r="E287" s="40"/>
      <c r="F287" s="13"/>
      <c r="G287" s="11"/>
      <c r="H287" s="17"/>
      <c r="I287" s="13"/>
      <c r="J287" s="16"/>
      <c r="K287" s="13"/>
      <c r="L287" s="15">
        <f>ROUND((10^(K287/10))/(10^(I287/10)),3)</f>
        <v>1</v>
      </c>
      <c r="M287" s="15"/>
      <c r="N287" s="15">
        <f t="shared" ref="N287:N304" si="185">J287*L287</f>
        <v>0</v>
      </c>
    </row>
    <row r="288" spans="1:14" x14ac:dyDescent="0.4">
      <c r="A288" s="11" t="s">
        <v>5</v>
      </c>
      <c r="B288" s="40"/>
      <c r="C288" s="40"/>
      <c r="D288" s="40"/>
      <c r="E288" s="40"/>
      <c r="F288" s="13"/>
      <c r="G288" s="11"/>
      <c r="H288" s="17"/>
      <c r="I288" s="13"/>
      <c r="J288" s="16"/>
      <c r="K288" s="13"/>
      <c r="L288" s="15">
        <f t="shared" ref="L288:L304" si="186">ROUND((10^(K288/10))/(10^(I288/10)),3)</f>
        <v>1</v>
      </c>
      <c r="M288" s="15"/>
      <c r="N288" s="15">
        <f t="shared" si="185"/>
        <v>0</v>
      </c>
    </row>
    <row r="289" spans="1:14" x14ac:dyDescent="0.4">
      <c r="A289" s="11" t="s">
        <v>5</v>
      </c>
      <c r="B289" s="40"/>
      <c r="C289" s="40"/>
      <c r="D289" s="40"/>
      <c r="E289" s="40"/>
      <c r="F289" s="13"/>
      <c r="G289" s="11"/>
      <c r="H289" s="17"/>
      <c r="I289" s="13"/>
      <c r="J289" s="16"/>
      <c r="K289" s="13"/>
      <c r="L289" s="15">
        <f t="shared" si="186"/>
        <v>1</v>
      </c>
      <c r="M289" s="15"/>
      <c r="N289" s="15">
        <f t="shared" si="185"/>
        <v>0</v>
      </c>
    </row>
    <row r="290" spans="1:14" x14ac:dyDescent="0.4">
      <c r="A290" s="11" t="s">
        <v>6</v>
      </c>
      <c r="B290" s="41">
        <f t="shared" ref="B290:I292" ca="1" si="187">OFFSET(B290,-3,0)</f>
        <v>0</v>
      </c>
      <c r="C290" s="41"/>
      <c r="D290" s="41"/>
      <c r="E290" s="41"/>
      <c r="F290" s="19">
        <f t="shared" ca="1" si="187"/>
        <v>0</v>
      </c>
      <c r="G290" s="20">
        <f t="shared" ca="1" si="187"/>
        <v>0</v>
      </c>
      <c r="H290" s="20">
        <f t="shared" ca="1" si="187"/>
        <v>0</v>
      </c>
      <c r="I290" s="13">
        <f t="shared" ca="1" si="187"/>
        <v>0</v>
      </c>
      <c r="J290" s="16"/>
      <c r="K290" s="19">
        <f t="shared" ref="K290:K292" ca="1" si="188">OFFSET(K290,-3,0)</f>
        <v>0</v>
      </c>
      <c r="L290" s="15">
        <f t="shared" ca="1" si="186"/>
        <v>1</v>
      </c>
      <c r="M290" s="15"/>
      <c r="N290" s="15">
        <f t="shared" ca="1" si="185"/>
        <v>0</v>
      </c>
    </row>
    <row r="291" spans="1:14" x14ac:dyDescent="0.4">
      <c r="A291" s="11" t="s">
        <v>6</v>
      </c>
      <c r="B291" s="41">
        <f t="shared" ca="1" si="187"/>
        <v>0</v>
      </c>
      <c r="C291" s="41"/>
      <c r="D291" s="41"/>
      <c r="E291" s="41"/>
      <c r="F291" s="19">
        <f t="shared" ca="1" si="187"/>
        <v>0</v>
      </c>
      <c r="G291" s="20">
        <f t="shared" ca="1" si="187"/>
        <v>0</v>
      </c>
      <c r="H291" s="20">
        <f t="shared" ca="1" si="187"/>
        <v>0</v>
      </c>
      <c r="I291" s="13">
        <f t="shared" ca="1" si="187"/>
        <v>0</v>
      </c>
      <c r="J291" s="16"/>
      <c r="K291" s="19">
        <f t="shared" ca="1" si="188"/>
        <v>0</v>
      </c>
      <c r="L291" s="15">
        <f t="shared" ca="1" si="186"/>
        <v>1</v>
      </c>
      <c r="M291" s="15"/>
      <c r="N291" s="15">
        <f t="shared" ca="1" si="185"/>
        <v>0</v>
      </c>
    </row>
    <row r="292" spans="1:14" x14ac:dyDescent="0.4">
      <c r="A292" s="11" t="s">
        <v>6</v>
      </c>
      <c r="B292" s="41">
        <f t="shared" ca="1" si="187"/>
        <v>0</v>
      </c>
      <c r="C292" s="41"/>
      <c r="D292" s="41"/>
      <c r="E292" s="41"/>
      <c r="F292" s="19">
        <f t="shared" ca="1" si="187"/>
        <v>0</v>
      </c>
      <c r="G292" s="20">
        <f t="shared" ca="1" si="187"/>
        <v>0</v>
      </c>
      <c r="H292" s="20">
        <f t="shared" ca="1" si="187"/>
        <v>0</v>
      </c>
      <c r="I292" s="13">
        <f t="shared" ca="1" si="187"/>
        <v>0</v>
      </c>
      <c r="J292" s="16"/>
      <c r="K292" s="19">
        <f t="shared" ca="1" si="188"/>
        <v>0</v>
      </c>
      <c r="L292" s="15">
        <f t="shared" ca="1" si="186"/>
        <v>1</v>
      </c>
      <c r="M292" s="15"/>
      <c r="N292" s="15">
        <f t="shared" ca="1" si="185"/>
        <v>0</v>
      </c>
    </row>
    <row r="293" spans="1:14" x14ac:dyDescent="0.4">
      <c r="A293" s="11" t="s">
        <v>10</v>
      </c>
      <c r="B293" s="40">
        <f t="shared" ref="B293:I295" ca="1" si="189">OFFSET(B293,-6,0)</f>
        <v>0</v>
      </c>
      <c r="C293" s="40"/>
      <c r="D293" s="40"/>
      <c r="E293" s="40"/>
      <c r="F293" s="13">
        <f t="shared" ca="1" si="189"/>
        <v>0</v>
      </c>
      <c r="G293" s="17">
        <f t="shared" ca="1" si="189"/>
        <v>0</v>
      </c>
      <c r="H293" s="17">
        <f t="shared" ca="1" si="189"/>
        <v>0</v>
      </c>
      <c r="I293" s="13">
        <f t="shared" ca="1" si="189"/>
        <v>0</v>
      </c>
      <c r="J293" s="16"/>
      <c r="K293" s="13">
        <f t="shared" ref="K293:K295" ca="1" si="190">OFFSET(K293,-6,0)</f>
        <v>0</v>
      </c>
      <c r="L293" s="15">
        <f t="shared" ca="1" si="186"/>
        <v>1</v>
      </c>
      <c r="M293" s="15"/>
      <c r="N293" s="15">
        <f t="shared" ca="1" si="185"/>
        <v>0</v>
      </c>
    </row>
    <row r="294" spans="1:14" x14ac:dyDescent="0.4">
      <c r="A294" s="11" t="s">
        <v>10</v>
      </c>
      <c r="B294" s="40">
        <f t="shared" ca="1" si="189"/>
        <v>0</v>
      </c>
      <c r="C294" s="40"/>
      <c r="D294" s="40"/>
      <c r="E294" s="40"/>
      <c r="F294" s="13">
        <f t="shared" ca="1" si="189"/>
        <v>0</v>
      </c>
      <c r="G294" s="17">
        <f t="shared" ca="1" si="189"/>
        <v>0</v>
      </c>
      <c r="H294" s="17">
        <f t="shared" ca="1" si="189"/>
        <v>0</v>
      </c>
      <c r="I294" s="13">
        <f t="shared" ca="1" si="189"/>
        <v>0</v>
      </c>
      <c r="J294" s="16"/>
      <c r="K294" s="13">
        <f t="shared" ca="1" si="190"/>
        <v>0</v>
      </c>
      <c r="L294" s="15">
        <f t="shared" ca="1" si="186"/>
        <v>1</v>
      </c>
      <c r="M294" s="15"/>
      <c r="N294" s="15">
        <f t="shared" ca="1" si="185"/>
        <v>0</v>
      </c>
    </row>
    <row r="295" spans="1:14" x14ac:dyDescent="0.4">
      <c r="A295" s="11" t="s">
        <v>10</v>
      </c>
      <c r="B295" s="40">
        <f t="shared" ca="1" si="189"/>
        <v>0</v>
      </c>
      <c r="C295" s="40"/>
      <c r="D295" s="40"/>
      <c r="E295" s="40"/>
      <c r="F295" s="13">
        <f t="shared" ca="1" si="189"/>
        <v>0</v>
      </c>
      <c r="G295" s="17">
        <f t="shared" ca="1" si="189"/>
        <v>0</v>
      </c>
      <c r="H295" s="17">
        <f t="shared" ca="1" si="189"/>
        <v>0</v>
      </c>
      <c r="I295" s="13">
        <f t="shared" ca="1" si="189"/>
        <v>0</v>
      </c>
      <c r="J295" s="16"/>
      <c r="K295" s="13">
        <f t="shared" ca="1" si="190"/>
        <v>0</v>
      </c>
      <c r="L295" s="15">
        <f t="shared" ca="1" si="186"/>
        <v>1</v>
      </c>
      <c r="M295" s="15"/>
      <c r="N295" s="15">
        <f t="shared" ca="1" si="185"/>
        <v>0</v>
      </c>
    </row>
    <row r="296" spans="1:14" x14ac:dyDescent="0.4">
      <c r="A296" s="11" t="s">
        <v>7</v>
      </c>
      <c r="B296" s="40">
        <f t="shared" ref="B296:I298" ca="1" si="191">OFFSET(B296,-9,0)</f>
        <v>0</v>
      </c>
      <c r="C296" s="40"/>
      <c r="D296" s="40"/>
      <c r="E296" s="40"/>
      <c r="F296" s="13">
        <f t="shared" ca="1" si="191"/>
        <v>0</v>
      </c>
      <c r="G296" s="17">
        <f t="shared" ca="1" si="191"/>
        <v>0</v>
      </c>
      <c r="H296" s="17">
        <f t="shared" ca="1" si="191"/>
        <v>0</v>
      </c>
      <c r="I296" s="13">
        <f t="shared" ca="1" si="191"/>
        <v>0</v>
      </c>
      <c r="J296" s="16"/>
      <c r="K296" s="13">
        <f t="shared" ref="K296:K298" ca="1" si="192">OFFSET(K296,-9,0)</f>
        <v>0</v>
      </c>
      <c r="L296" s="15">
        <f t="shared" ca="1" si="186"/>
        <v>1</v>
      </c>
      <c r="M296" s="15"/>
      <c r="N296" s="15">
        <f t="shared" ca="1" si="185"/>
        <v>0</v>
      </c>
    </row>
    <row r="297" spans="1:14" x14ac:dyDescent="0.4">
      <c r="A297" s="11" t="s">
        <v>7</v>
      </c>
      <c r="B297" s="40">
        <f t="shared" ca="1" si="191"/>
        <v>0</v>
      </c>
      <c r="C297" s="40"/>
      <c r="D297" s="40"/>
      <c r="E297" s="40"/>
      <c r="F297" s="13">
        <f t="shared" ca="1" si="191"/>
        <v>0</v>
      </c>
      <c r="G297" s="17">
        <f t="shared" ca="1" si="191"/>
        <v>0</v>
      </c>
      <c r="H297" s="17">
        <f t="shared" ca="1" si="191"/>
        <v>0</v>
      </c>
      <c r="I297" s="13">
        <f t="shared" ca="1" si="191"/>
        <v>0</v>
      </c>
      <c r="J297" s="16"/>
      <c r="K297" s="13">
        <f t="shared" ca="1" si="192"/>
        <v>0</v>
      </c>
      <c r="L297" s="15">
        <f t="shared" ca="1" si="186"/>
        <v>1</v>
      </c>
      <c r="M297" s="15"/>
      <c r="N297" s="15">
        <f t="shared" ca="1" si="185"/>
        <v>0</v>
      </c>
    </row>
    <row r="298" spans="1:14" x14ac:dyDescent="0.4">
      <c r="A298" s="11" t="s">
        <v>7</v>
      </c>
      <c r="B298" s="40">
        <f t="shared" ca="1" si="191"/>
        <v>0</v>
      </c>
      <c r="C298" s="40"/>
      <c r="D298" s="40"/>
      <c r="E298" s="40"/>
      <c r="F298" s="13">
        <f t="shared" ca="1" si="191"/>
        <v>0</v>
      </c>
      <c r="G298" s="17">
        <f t="shared" ca="1" si="191"/>
        <v>0</v>
      </c>
      <c r="H298" s="17">
        <f t="shared" ca="1" si="191"/>
        <v>0</v>
      </c>
      <c r="I298" s="13">
        <f t="shared" ca="1" si="191"/>
        <v>0</v>
      </c>
      <c r="J298" s="16"/>
      <c r="K298" s="13">
        <f t="shared" ca="1" si="192"/>
        <v>0</v>
      </c>
      <c r="L298" s="15">
        <f t="shared" ca="1" si="186"/>
        <v>1</v>
      </c>
      <c r="M298" s="15"/>
      <c r="N298" s="15">
        <f t="shared" ca="1" si="185"/>
        <v>0</v>
      </c>
    </row>
    <row r="299" spans="1:14" x14ac:dyDescent="0.4">
      <c r="A299" s="11" t="s">
        <v>8</v>
      </c>
      <c r="B299" s="40">
        <f t="shared" ref="B299:I301" ca="1" si="193">OFFSET(B299,-12,0)</f>
        <v>0</v>
      </c>
      <c r="C299" s="40"/>
      <c r="D299" s="40"/>
      <c r="E299" s="40"/>
      <c r="F299" s="13">
        <f t="shared" ca="1" si="193"/>
        <v>0</v>
      </c>
      <c r="G299" s="17">
        <f t="shared" ca="1" si="193"/>
        <v>0</v>
      </c>
      <c r="H299" s="17">
        <f t="shared" ca="1" si="193"/>
        <v>0</v>
      </c>
      <c r="I299" s="13">
        <f t="shared" ca="1" si="193"/>
        <v>0</v>
      </c>
      <c r="J299" s="16"/>
      <c r="K299" s="13">
        <f t="shared" ref="K299:K301" ca="1" si="194">OFFSET(K299,-12,0)</f>
        <v>0</v>
      </c>
      <c r="L299" s="15">
        <f t="shared" ca="1" si="186"/>
        <v>1</v>
      </c>
      <c r="M299" s="15"/>
      <c r="N299" s="15">
        <f t="shared" ca="1" si="185"/>
        <v>0</v>
      </c>
    </row>
    <row r="300" spans="1:14" x14ac:dyDescent="0.4">
      <c r="A300" s="11" t="s">
        <v>8</v>
      </c>
      <c r="B300" s="40">
        <f t="shared" ca="1" si="193"/>
        <v>0</v>
      </c>
      <c r="C300" s="40"/>
      <c r="D300" s="40"/>
      <c r="E300" s="40"/>
      <c r="F300" s="13">
        <f t="shared" ca="1" si="193"/>
        <v>0</v>
      </c>
      <c r="G300" s="17">
        <f t="shared" ca="1" si="193"/>
        <v>0</v>
      </c>
      <c r="H300" s="17">
        <f t="shared" ca="1" si="193"/>
        <v>0</v>
      </c>
      <c r="I300" s="13">
        <f t="shared" ca="1" si="193"/>
        <v>0</v>
      </c>
      <c r="J300" s="16"/>
      <c r="K300" s="13">
        <f t="shared" ca="1" si="194"/>
        <v>0</v>
      </c>
      <c r="L300" s="15">
        <f t="shared" ca="1" si="186"/>
        <v>1</v>
      </c>
      <c r="M300" s="15"/>
      <c r="N300" s="15">
        <f t="shared" ca="1" si="185"/>
        <v>0</v>
      </c>
    </row>
    <row r="301" spans="1:14" x14ac:dyDescent="0.4">
      <c r="A301" s="11" t="s">
        <v>8</v>
      </c>
      <c r="B301" s="40">
        <f t="shared" ca="1" si="193"/>
        <v>0</v>
      </c>
      <c r="C301" s="40"/>
      <c r="D301" s="40"/>
      <c r="E301" s="40"/>
      <c r="F301" s="13">
        <f t="shared" ca="1" si="193"/>
        <v>0</v>
      </c>
      <c r="G301" s="17">
        <f t="shared" ca="1" si="193"/>
        <v>0</v>
      </c>
      <c r="H301" s="17">
        <f t="shared" ca="1" si="193"/>
        <v>0</v>
      </c>
      <c r="I301" s="13">
        <f t="shared" ca="1" si="193"/>
        <v>0</v>
      </c>
      <c r="J301" s="16"/>
      <c r="K301" s="13">
        <f t="shared" ca="1" si="194"/>
        <v>0</v>
      </c>
      <c r="L301" s="15">
        <f t="shared" ca="1" si="186"/>
        <v>1</v>
      </c>
      <c r="M301" s="15"/>
      <c r="N301" s="15">
        <f t="shared" ca="1" si="185"/>
        <v>0</v>
      </c>
    </row>
    <row r="302" spans="1:14" x14ac:dyDescent="0.4">
      <c r="A302" s="11" t="s">
        <v>9</v>
      </c>
      <c r="B302" s="41">
        <f t="shared" ref="B302:I304" ca="1" si="195">OFFSET(B302,-15,0)</f>
        <v>0</v>
      </c>
      <c r="C302" s="41"/>
      <c r="D302" s="41"/>
      <c r="E302" s="41"/>
      <c r="F302" s="19">
        <f t="shared" ca="1" si="195"/>
        <v>0</v>
      </c>
      <c r="G302" s="20">
        <f t="shared" ca="1" si="195"/>
        <v>0</v>
      </c>
      <c r="H302" s="20">
        <f t="shared" ca="1" si="195"/>
        <v>0</v>
      </c>
      <c r="I302" s="13">
        <f t="shared" ca="1" si="195"/>
        <v>0</v>
      </c>
      <c r="J302" s="16"/>
      <c r="K302" s="19">
        <f t="shared" ref="K302:K304" ca="1" si="196">OFFSET(K302,-15,0)</f>
        <v>0</v>
      </c>
      <c r="L302" s="15">
        <f t="shared" ca="1" si="186"/>
        <v>1</v>
      </c>
      <c r="M302" s="15"/>
      <c r="N302" s="15">
        <f t="shared" ca="1" si="185"/>
        <v>0</v>
      </c>
    </row>
    <row r="303" spans="1:14" x14ac:dyDescent="0.4">
      <c r="A303" s="11" t="s">
        <v>9</v>
      </c>
      <c r="B303" s="41">
        <f t="shared" ca="1" si="195"/>
        <v>0</v>
      </c>
      <c r="C303" s="41"/>
      <c r="D303" s="41"/>
      <c r="E303" s="41"/>
      <c r="F303" s="19">
        <f t="shared" ca="1" si="195"/>
        <v>0</v>
      </c>
      <c r="G303" s="20">
        <f t="shared" ca="1" si="195"/>
        <v>0</v>
      </c>
      <c r="H303" s="20">
        <f t="shared" ca="1" si="195"/>
        <v>0</v>
      </c>
      <c r="I303" s="13">
        <f t="shared" ca="1" si="195"/>
        <v>0</v>
      </c>
      <c r="J303" s="16"/>
      <c r="K303" s="19">
        <f t="shared" ca="1" si="196"/>
        <v>0</v>
      </c>
      <c r="L303" s="15">
        <f t="shared" ca="1" si="186"/>
        <v>1</v>
      </c>
      <c r="M303" s="15"/>
      <c r="N303" s="15">
        <f t="shared" ca="1" si="185"/>
        <v>0</v>
      </c>
    </row>
    <row r="304" spans="1:14" x14ac:dyDescent="0.4">
      <c r="A304" s="11" t="s">
        <v>9</v>
      </c>
      <c r="B304" s="41">
        <f t="shared" ca="1" si="195"/>
        <v>0</v>
      </c>
      <c r="C304" s="41"/>
      <c r="D304" s="41"/>
      <c r="E304" s="41"/>
      <c r="F304" s="19">
        <f t="shared" ca="1" si="195"/>
        <v>0</v>
      </c>
      <c r="G304" s="20">
        <f t="shared" ca="1" si="195"/>
        <v>0</v>
      </c>
      <c r="H304" s="20">
        <f t="shared" ca="1" si="195"/>
        <v>0</v>
      </c>
      <c r="I304" s="13">
        <f t="shared" ca="1" si="195"/>
        <v>0</v>
      </c>
      <c r="J304" s="16"/>
      <c r="K304" s="19">
        <f t="shared" ca="1" si="196"/>
        <v>0</v>
      </c>
      <c r="L304" s="15">
        <f t="shared" ca="1" si="186"/>
        <v>1</v>
      </c>
      <c r="M304" s="15"/>
      <c r="N304" s="15">
        <f t="shared" ca="1" si="185"/>
        <v>0</v>
      </c>
    </row>
    <row r="305" spans="1:14" ht="17.399999999999999" x14ac:dyDescent="0.4">
      <c r="A305" s="74" t="s">
        <v>29</v>
      </c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6"/>
    </row>
    <row r="306" spans="1:14" x14ac:dyDescent="0.4">
      <c r="A306" s="11" t="s">
        <v>5</v>
      </c>
      <c r="B306" s="40"/>
      <c r="C306" s="40"/>
      <c r="D306" s="40"/>
      <c r="E306" s="40"/>
      <c r="F306" s="13"/>
      <c r="G306" s="11"/>
      <c r="H306" s="17"/>
      <c r="I306" s="13"/>
      <c r="J306" s="16"/>
      <c r="K306" s="13"/>
      <c r="L306" s="15">
        <f>ROUND((10^(K306/10))/(10^(I306/10)),3)</f>
        <v>1</v>
      </c>
      <c r="M306" s="15"/>
      <c r="N306" s="15">
        <f t="shared" ref="N306:N323" si="197">J306*L306</f>
        <v>0</v>
      </c>
    </row>
    <row r="307" spans="1:14" x14ac:dyDescent="0.4">
      <c r="A307" s="11" t="s">
        <v>5</v>
      </c>
      <c r="B307" s="40"/>
      <c r="C307" s="40"/>
      <c r="D307" s="40"/>
      <c r="E307" s="40"/>
      <c r="F307" s="13"/>
      <c r="G307" s="11"/>
      <c r="H307" s="17"/>
      <c r="I307" s="13"/>
      <c r="J307" s="16"/>
      <c r="K307" s="13"/>
      <c r="L307" s="15">
        <f t="shared" ref="L307:L323" si="198">ROUND((10^(K307/10))/(10^(I307/10)),3)</f>
        <v>1</v>
      </c>
      <c r="M307" s="15"/>
      <c r="N307" s="15">
        <f t="shared" si="197"/>
        <v>0</v>
      </c>
    </row>
    <row r="308" spans="1:14" x14ac:dyDescent="0.4">
      <c r="A308" s="11" t="s">
        <v>5</v>
      </c>
      <c r="B308" s="40"/>
      <c r="C308" s="40"/>
      <c r="D308" s="40"/>
      <c r="E308" s="40"/>
      <c r="F308" s="13"/>
      <c r="G308" s="11"/>
      <c r="H308" s="17"/>
      <c r="I308" s="13"/>
      <c r="J308" s="16"/>
      <c r="K308" s="13"/>
      <c r="L308" s="15">
        <f t="shared" si="198"/>
        <v>1</v>
      </c>
      <c r="M308" s="15"/>
      <c r="N308" s="15">
        <f t="shared" si="197"/>
        <v>0</v>
      </c>
    </row>
    <row r="309" spans="1:14" x14ac:dyDescent="0.4">
      <c r="A309" s="11" t="s">
        <v>6</v>
      </c>
      <c r="B309" s="41">
        <f t="shared" ref="B309:I311" ca="1" si="199">OFFSET(B309,-3,0)</f>
        <v>0</v>
      </c>
      <c r="C309" s="41"/>
      <c r="D309" s="41"/>
      <c r="E309" s="41"/>
      <c r="F309" s="19">
        <f t="shared" ca="1" si="199"/>
        <v>0</v>
      </c>
      <c r="G309" s="20">
        <f t="shared" ca="1" si="199"/>
        <v>0</v>
      </c>
      <c r="H309" s="20">
        <f t="shared" ca="1" si="199"/>
        <v>0</v>
      </c>
      <c r="I309" s="13">
        <f t="shared" ca="1" si="199"/>
        <v>0</v>
      </c>
      <c r="J309" s="16"/>
      <c r="K309" s="19">
        <f t="shared" ref="K309:K311" ca="1" si="200">OFFSET(K309,-3,0)</f>
        <v>0</v>
      </c>
      <c r="L309" s="15">
        <f t="shared" ca="1" si="198"/>
        <v>1</v>
      </c>
      <c r="M309" s="15"/>
      <c r="N309" s="15">
        <f t="shared" ca="1" si="197"/>
        <v>0</v>
      </c>
    </row>
    <row r="310" spans="1:14" x14ac:dyDescent="0.4">
      <c r="A310" s="11" t="s">
        <v>6</v>
      </c>
      <c r="B310" s="41">
        <f t="shared" ca="1" si="199"/>
        <v>0</v>
      </c>
      <c r="C310" s="41"/>
      <c r="D310" s="41"/>
      <c r="E310" s="41"/>
      <c r="F310" s="19">
        <f t="shared" ca="1" si="199"/>
        <v>0</v>
      </c>
      <c r="G310" s="20">
        <f t="shared" ca="1" si="199"/>
        <v>0</v>
      </c>
      <c r="H310" s="20">
        <f t="shared" ca="1" si="199"/>
        <v>0</v>
      </c>
      <c r="I310" s="13">
        <f t="shared" ca="1" si="199"/>
        <v>0</v>
      </c>
      <c r="J310" s="16"/>
      <c r="K310" s="19">
        <f t="shared" ca="1" si="200"/>
        <v>0</v>
      </c>
      <c r="L310" s="15">
        <f t="shared" ca="1" si="198"/>
        <v>1</v>
      </c>
      <c r="M310" s="15"/>
      <c r="N310" s="15">
        <f t="shared" ca="1" si="197"/>
        <v>0</v>
      </c>
    </row>
    <row r="311" spans="1:14" x14ac:dyDescent="0.4">
      <c r="A311" s="11" t="s">
        <v>6</v>
      </c>
      <c r="B311" s="41">
        <f t="shared" ca="1" si="199"/>
        <v>0</v>
      </c>
      <c r="C311" s="41"/>
      <c r="D311" s="41"/>
      <c r="E311" s="41"/>
      <c r="F311" s="19">
        <f t="shared" ca="1" si="199"/>
        <v>0</v>
      </c>
      <c r="G311" s="20">
        <f t="shared" ca="1" si="199"/>
        <v>0</v>
      </c>
      <c r="H311" s="20">
        <f t="shared" ca="1" si="199"/>
        <v>0</v>
      </c>
      <c r="I311" s="13">
        <f t="shared" ca="1" si="199"/>
        <v>0</v>
      </c>
      <c r="J311" s="16"/>
      <c r="K311" s="19">
        <f t="shared" ca="1" si="200"/>
        <v>0</v>
      </c>
      <c r="L311" s="15">
        <f t="shared" ca="1" si="198"/>
        <v>1</v>
      </c>
      <c r="M311" s="15"/>
      <c r="N311" s="15">
        <f t="shared" ca="1" si="197"/>
        <v>0</v>
      </c>
    </row>
    <row r="312" spans="1:14" x14ac:dyDescent="0.4">
      <c r="A312" s="11" t="s">
        <v>10</v>
      </c>
      <c r="B312" s="40">
        <f t="shared" ref="B312:I314" ca="1" si="201">OFFSET(B312,-6,0)</f>
        <v>0</v>
      </c>
      <c r="C312" s="40"/>
      <c r="D312" s="40"/>
      <c r="E312" s="40"/>
      <c r="F312" s="13">
        <f t="shared" ca="1" si="201"/>
        <v>0</v>
      </c>
      <c r="G312" s="17">
        <f t="shared" ca="1" si="201"/>
        <v>0</v>
      </c>
      <c r="H312" s="17">
        <f t="shared" ca="1" si="201"/>
        <v>0</v>
      </c>
      <c r="I312" s="13">
        <f t="shared" ca="1" si="201"/>
        <v>0</v>
      </c>
      <c r="J312" s="16"/>
      <c r="K312" s="13">
        <f t="shared" ref="K312:K314" ca="1" si="202">OFFSET(K312,-6,0)</f>
        <v>0</v>
      </c>
      <c r="L312" s="15">
        <f t="shared" ca="1" si="198"/>
        <v>1</v>
      </c>
      <c r="M312" s="15"/>
      <c r="N312" s="15">
        <f t="shared" ca="1" si="197"/>
        <v>0</v>
      </c>
    </row>
    <row r="313" spans="1:14" x14ac:dyDescent="0.4">
      <c r="A313" s="11" t="s">
        <v>10</v>
      </c>
      <c r="B313" s="40">
        <f t="shared" ca="1" si="201"/>
        <v>0</v>
      </c>
      <c r="C313" s="40"/>
      <c r="D313" s="40"/>
      <c r="E313" s="40"/>
      <c r="F313" s="13">
        <f t="shared" ca="1" si="201"/>
        <v>0</v>
      </c>
      <c r="G313" s="17">
        <f t="shared" ca="1" si="201"/>
        <v>0</v>
      </c>
      <c r="H313" s="17">
        <f t="shared" ca="1" si="201"/>
        <v>0</v>
      </c>
      <c r="I313" s="13">
        <f t="shared" ca="1" si="201"/>
        <v>0</v>
      </c>
      <c r="J313" s="16"/>
      <c r="K313" s="13">
        <f t="shared" ca="1" si="202"/>
        <v>0</v>
      </c>
      <c r="L313" s="15">
        <f t="shared" ca="1" si="198"/>
        <v>1</v>
      </c>
      <c r="M313" s="15"/>
      <c r="N313" s="15">
        <f t="shared" ca="1" si="197"/>
        <v>0</v>
      </c>
    </row>
    <row r="314" spans="1:14" x14ac:dyDescent="0.4">
      <c r="A314" s="11" t="s">
        <v>10</v>
      </c>
      <c r="B314" s="40">
        <f t="shared" ca="1" si="201"/>
        <v>0</v>
      </c>
      <c r="C314" s="40"/>
      <c r="D314" s="40"/>
      <c r="E314" s="40"/>
      <c r="F314" s="13">
        <f t="shared" ca="1" si="201"/>
        <v>0</v>
      </c>
      <c r="G314" s="17">
        <f t="shared" ca="1" si="201"/>
        <v>0</v>
      </c>
      <c r="H314" s="17">
        <f t="shared" ca="1" si="201"/>
        <v>0</v>
      </c>
      <c r="I314" s="13">
        <f t="shared" ca="1" si="201"/>
        <v>0</v>
      </c>
      <c r="J314" s="16"/>
      <c r="K314" s="13">
        <f t="shared" ca="1" si="202"/>
        <v>0</v>
      </c>
      <c r="L314" s="15">
        <f t="shared" ca="1" si="198"/>
        <v>1</v>
      </c>
      <c r="M314" s="15"/>
      <c r="N314" s="15">
        <f t="shared" ca="1" si="197"/>
        <v>0</v>
      </c>
    </row>
    <row r="315" spans="1:14" x14ac:dyDescent="0.4">
      <c r="A315" s="11" t="s">
        <v>7</v>
      </c>
      <c r="B315" s="40">
        <f t="shared" ref="B315:I317" ca="1" si="203">OFFSET(B315,-9,0)</f>
        <v>0</v>
      </c>
      <c r="C315" s="40"/>
      <c r="D315" s="40"/>
      <c r="E315" s="40"/>
      <c r="F315" s="13">
        <f t="shared" ca="1" si="203"/>
        <v>0</v>
      </c>
      <c r="G315" s="17">
        <f t="shared" ca="1" si="203"/>
        <v>0</v>
      </c>
      <c r="H315" s="17">
        <f t="shared" ca="1" si="203"/>
        <v>0</v>
      </c>
      <c r="I315" s="13">
        <f t="shared" ca="1" si="203"/>
        <v>0</v>
      </c>
      <c r="J315" s="16"/>
      <c r="K315" s="13">
        <f t="shared" ref="K315:K317" ca="1" si="204">OFFSET(K315,-9,0)</f>
        <v>0</v>
      </c>
      <c r="L315" s="15">
        <f t="shared" ca="1" si="198"/>
        <v>1</v>
      </c>
      <c r="M315" s="15"/>
      <c r="N315" s="15">
        <f t="shared" ca="1" si="197"/>
        <v>0</v>
      </c>
    </row>
    <row r="316" spans="1:14" x14ac:dyDescent="0.4">
      <c r="A316" s="11" t="s">
        <v>7</v>
      </c>
      <c r="B316" s="40">
        <f t="shared" ca="1" si="203"/>
        <v>0</v>
      </c>
      <c r="C316" s="40"/>
      <c r="D316" s="40"/>
      <c r="E316" s="40"/>
      <c r="F316" s="13">
        <f t="shared" ca="1" si="203"/>
        <v>0</v>
      </c>
      <c r="G316" s="17">
        <f t="shared" ca="1" si="203"/>
        <v>0</v>
      </c>
      <c r="H316" s="17">
        <f t="shared" ca="1" si="203"/>
        <v>0</v>
      </c>
      <c r="I316" s="13">
        <f t="shared" ca="1" si="203"/>
        <v>0</v>
      </c>
      <c r="J316" s="16"/>
      <c r="K316" s="13">
        <f t="shared" ca="1" si="204"/>
        <v>0</v>
      </c>
      <c r="L316" s="15">
        <f t="shared" ca="1" si="198"/>
        <v>1</v>
      </c>
      <c r="M316" s="15"/>
      <c r="N316" s="15">
        <f t="shared" ca="1" si="197"/>
        <v>0</v>
      </c>
    </row>
    <row r="317" spans="1:14" x14ac:dyDescent="0.4">
      <c r="A317" s="11" t="s">
        <v>7</v>
      </c>
      <c r="B317" s="40">
        <f t="shared" ca="1" si="203"/>
        <v>0</v>
      </c>
      <c r="C317" s="40"/>
      <c r="D317" s="40"/>
      <c r="E317" s="40"/>
      <c r="F317" s="13">
        <f t="shared" ca="1" si="203"/>
        <v>0</v>
      </c>
      <c r="G317" s="17">
        <f t="shared" ca="1" si="203"/>
        <v>0</v>
      </c>
      <c r="H317" s="17">
        <f t="shared" ca="1" si="203"/>
        <v>0</v>
      </c>
      <c r="I317" s="13">
        <f t="shared" ca="1" si="203"/>
        <v>0</v>
      </c>
      <c r="J317" s="16"/>
      <c r="K317" s="13">
        <f t="shared" ca="1" si="204"/>
        <v>0</v>
      </c>
      <c r="L317" s="15">
        <f t="shared" ca="1" si="198"/>
        <v>1</v>
      </c>
      <c r="M317" s="15"/>
      <c r="N317" s="15">
        <f t="shared" ca="1" si="197"/>
        <v>0</v>
      </c>
    </row>
    <row r="318" spans="1:14" x14ac:dyDescent="0.4">
      <c r="A318" s="11" t="s">
        <v>8</v>
      </c>
      <c r="B318" s="40">
        <f t="shared" ref="B318:I320" ca="1" si="205">OFFSET(B318,-12,0)</f>
        <v>0</v>
      </c>
      <c r="C318" s="40"/>
      <c r="D318" s="40"/>
      <c r="E318" s="40"/>
      <c r="F318" s="13">
        <f t="shared" ca="1" si="205"/>
        <v>0</v>
      </c>
      <c r="G318" s="17">
        <f t="shared" ca="1" si="205"/>
        <v>0</v>
      </c>
      <c r="H318" s="17">
        <f t="shared" ca="1" si="205"/>
        <v>0</v>
      </c>
      <c r="I318" s="13">
        <f t="shared" ca="1" si="205"/>
        <v>0</v>
      </c>
      <c r="J318" s="16"/>
      <c r="K318" s="13">
        <f t="shared" ref="K318:K320" ca="1" si="206">OFFSET(K318,-12,0)</f>
        <v>0</v>
      </c>
      <c r="L318" s="15">
        <f t="shared" ca="1" si="198"/>
        <v>1</v>
      </c>
      <c r="M318" s="15"/>
      <c r="N318" s="15">
        <f t="shared" ca="1" si="197"/>
        <v>0</v>
      </c>
    </row>
    <row r="319" spans="1:14" x14ac:dyDescent="0.4">
      <c r="A319" s="11" t="s">
        <v>8</v>
      </c>
      <c r="B319" s="40">
        <f t="shared" ca="1" si="205"/>
        <v>0</v>
      </c>
      <c r="C319" s="40"/>
      <c r="D319" s="40"/>
      <c r="E319" s="40"/>
      <c r="F319" s="13">
        <f t="shared" ca="1" si="205"/>
        <v>0</v>
      </c>
      <c r="G319" s="17">
        <f t="shared" ca="1" si="205"/>
        <v>0</v>
      </c>
      <c r="H319" s="17">
        <f t="shared" ca="1" si="205"/>
        <v>0</v>
      </c>
      <c r="I319" s="13">
        <f t="shared" ca="1" si="205"/>
        <v>0</v>
      </c>
      <c r="J319" s="16"/>
      <c r="K319" s="13">
        <f t="shared" ca="1" si="206"/>
        <v>0</v>
      </c>
      <c r="L319" s="15">
        <f t="shared" ca="1" si="198"/>
        <v>1</v>
      </c>
      <c r="M319" s="15"/>
      <c r="N319" s="15">
        <f t="shared" ca="1" si="197"/>
        <v>0</v>
      </c>
    </row>
    <row r="320" spans="1:14" x14ac:dyDescent="0.4">
      <c r="A320" s="11" t="s">
        <v>8</v>
      </c>
      <c r="B320" s="40">
        <f t="shared" ca="1" si="205"/>
        <v>0</v>
      </c>
      <c r="C320" s="40"/>
      <c r="D320" s="40"/>
      <c r="E320" s="40"/>
      <c r="F320" s="13">
        <f t="shared" ca="1" si="205"/>
        <v>0</v>
      </c>
      <c r="G320" s="17">
        <f t="shared" ca="1" si="205"/>
        <v>0</v>
      </c>
      <c r="H320" s="17">
        <f t="shared" ca="1" si="205"/>
        <v>0</v>
      </c>
      <c r="I320" s="13">
        <f t="shared" ca="1" si="205"/>
        <v>0</v>
      </c>
      <c r="J320" s="16"/>
      <c r="K320" s="13">
        <f t="shared" ca="1" si="206"/>
        <v>0</v>
      </c>
      <c r="L320" s="15">
        <f t="shared" ca="1" si="198"/>
        <v>1</v>
      </c>
      <c r="M320" s="15"/>
      <c r="N320" s="15">
        <f t="shared" ca="1" si="197"/>
        <v>0</v>
      </c>
    </row>
    <row r="321" spans="1:14" x14ac:dyDescent="0.4">
      <c r="A321" s="11" t="s">
        <v>9</v>
      </c>
      <c r="B321" s="41">
        <f t="shared" ref="B321:I323" ca="1" si="207">OFFSET(B321,-15,0)</f>
        <v>0</v>
      </c>
      <c r="C321" s="41"/>
      <c r="D321" s="41"/>
      <c r="E321" s="41"/>
      <c r="F321" s="19">
        <f t="shared" ca="1" si="207"/>
        <v>0</v>
      </c>
      <c r="G321" s="20">
        <f t="shared" ca="1" si="207"/>
        <v>0</v>
      </c>
      <c r="H321" s="20">
        <f t="shared" ca="1" si="207"/>
        <v>0</v>
      </c>
      <c r="I321" s="13">
        <f t="shared" ca="1" si="207"/>
        <v>0</v>
      </c>
      <c r="J321" s="16"/>
      <c r="K321" s="19">
        <f t="shared" ref="K321:K323" ca="1" si="208">OFFSET(K321,-15,0)</f>
        <v>0</v>
      </c>
      <c r="L321" s="15">
        <f t="shared" ca="1" si="198"/>
        <v>1</v>
      </c>
      <c r="M321" s="15"/>
      <c r="N321" s="15">
        <f t="shared" ca="1" si="197"/>
        <v>0</v>
      </c>
    </row>
    <row r="322" spans="1:14" x14ac:dyDescent="0.4">
      <c r="A322" s="11" t="s">
        <v>9</v>
      </c>
      <c r="B322" s="41">
        <f t="shared" ca="1" si="207"/>
        <v>0</v>
      </c>
      <c r="C322" s="41"/>
      <c r="D322" s="41"/>
      <c r="E322" s="41"/>
      <c r="F322" s="19">
        <f t="shared" ca="1" si="207"/>
        <v>0</v>
      </c>
      <c r="G322" s="20">
        <f t="shared" ca="1" si="207"/>
        <v>0</v>
      </c>
      <c r="H322" s="20">
        <f t="shared" ca="1" si="207"/>
        <v>0</v>
      </c>
      <c r="I322" s="13">
        <f t="shared" ca="1" si="207"/>
        <v>0</v>
      </c>
      <c r="J322" s="16"/>
      <c r="K322" s="19">
        <f t="shared" ca="1" si="208"/>
        <v>0</v>
      </c>
      <c r="L322" s="15">
        <f t="shared" ca="1" si="198"/>
        <v>1</v>
      </c>
      <c r="M322" s="15"/>
      <c r="N322" s="15">
        <f t="shared" ca="1" si="197"/>
        <v>0</v>
      </c>
    </row>
    <row r="323" spans="1:14" x14ac:dyDescent="0.4">
      <c r="A323" s="11" t="s">
        <v>9</v>
      </c>
      <c r="B323" s="41">
        <f t="shared" ca="1" si="207"/>
        <v>0</v>
      </c>
      <c r="C323" s="41"/>
      <c r="D323" s="41"/>
      <c r="E323" s="41"/>
      <c r="F323" s="19">
        <f t="shared" ca="1" si="207"/>
        <v>0</v>
      </c>
      <c r="G323" s="20">
        <f t="shared" ca="1" si="207"/>
        <v>0</v>
      </c>
      <c r="H323" s="20">
        <f t="shared" ca="1" si="207"/>
        <v>0</v>
      </c>
      <c r="I323" s="13">
        <f t="shared" ca="1" si="207"/>
        <v>0</v>
      </c>
      <c r="J323" s="16"/>
      <c r="K323" s="19">
        <f t="shared" ca="1" si="208"/>
        <v>0</v>
      </c>
      <c r="L323" s="15">
        <f t="shared" ca="1" si="198"/>
        <v>1</v>
      </c>
      <c r="M323" s="15"/>
      <c r="N323" s="15">
        <f t="shared" ca="1" si="197"/>
        <v>0</v>
      </c>
    </row>
    <row r="324" spans="1:14" ht="17.399999999999999" x14ac:dyDescent="0.4">
      <c r="A324" s="74" t="s">
        <v>32</v>
      </c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6"/>
    </row>
    <row r="325" spans="1:14" x14ac:dyDescent="0.4">
      <c r="A325" s="11" t="s">
        <v>5</v>
      </c>
      <c r="B325" s="40"/>
      <c r="C325" s="40"/>
      <c r="D325" s="40"/>
      <c r="E325" s="40"/>
      <c r="F325" s="13"/>
      <c r="G325" s="11"/>
      <c r="H325" s="17"/>
      <c r="I325" s="13"/>
      <c r="J325" s="16"/>
      <c r="K325" s="13"/>
      <c r="L325" s="15">
        <f>ROUND((10^(K325/10))/(10^(I325/10)),3)</f>
        <v>1</v>
      </c>
      <c r="M325" s="15"/>
      <c r="N325" s="15">
        <f t="shared" ref="N325:N342" si="209">J325*L325</f>
        <v>0</v>
      </c>
    </row>
    <row r="326" spans="1:14" x14ac:dyDescent="0.4">
      <c r="A326" s="11" t="s">
        <v>5</v>
      </c>
      <c r="B326" s="40"/>
      <c r="C326" s="40"/>
      <c r="D326" s="40"/>
      <c r="E326" s="40"/>
      <c r="F326" s="13"/>
      <c r="G326" s="11"/>
      <c r="H326" s="17"/>
      <c r="I326" s="13"/>
      <c r="J326" s="16"/>
      <c r="K326" s="13"/>
      <c r="L326" s="15">
        <f t="shared" ref="L326:L342" si="210">ROUND((10^(K326/10))/(10^(I326/10)),3)</f>
        <v>1</v>
      </c>
      <c r="M326" s="15"/>
      <c r="N326" s="15">
        <f t="shared" si="209"/>
        <v>0</v>
      </c>
    </row>
    <row r="327" spans="1:14" x14ac:dyDescent="0.4">
      <c r="A327" s="11" t="s">
        <v>5</v>
      </c>
      <c r="B327" s="40"/>
      <c r="C327" s="40"/>
      <c r="D327" s="40"/>
      <c r="E327" s="40"/>
      <c r="F327" s="13"/>
      <c r="G327" s="11"/>
      <c r="H327" s="17"/>
      <c r="I327" s="13"/>
      <c r="J327" s="16"/>
      <c r="K327" s="13"/>
      <c r="L327" s="15">
        <f t="shared" si="210"/>
        <v>1</v>
      </c>
      <c r="M327" s="15"/>
      <c r="N327" s="15">
        <f t="shared" si="209"/>
        <v>0</v>
      </c>
    </row>
    <row r="328" spans="1:14" x14ac:dyDescent="0.4">
      <c r="A328" s="11" t="s">
        <v>6</v>
      </c>
      <c r="B328" s="41">
        <f t="shared" ref="B328:I330" ca="1" si="211">OFFSET(B328,-3,0)</f>
        <v>0</v>
      </c>
      <c r="C328" s="41"/>
      <c r="D328" s="41"/>
      <c r="E328" s="41"/>
      <c r="F328" s="19">
        <f t="shared" ca="1" si="211"/>
        <v>0</v>
      </c>
      <c r="G328" s="20">
        <f t="shared" ca="1" si="211"/>
        <v>0</v>
      </c>
      <c r="H328" s="20">
        <f t="shared" ca="1" si="211"/>
        <v>0</v>
      </c>
      <c r="I328" s="13">
        <f t="shared" ca="1" si="211"/>
        <v>0</v>
      </c>
      <c r="J328" s="16"/>
      <c r="K328" s="19">
        <f t="shared" ref="K328:K330" ca="1" si="212">OFFSET(K328,-3,0)</f>
        <v>0</v>
      </c>
      <c r="L328" s="15">
        <f t="shared" ca="1" si="210"/>
        <v>1</v>
      </c>
      <c r="M328" s="15"/>
      <c r="N328" s="15">
        <f t="shared" ca="1" si="209"/>
        <v>0</v>
      </c>
    </row>
    <row r="329" spans="1:14" x14ac:dyDescent="0.4">
      <c r="A329" s="11" t="s">
        <v>6</v>
      </c>
      <c r="B329" s="41">
        <f t="shared" ca="1" si="211"/>
        <v>0</v>
      </c>
      <c r="C329" s="41"/>
      <c r="D329" s="41"/>
      <c r="E329" s="41"/>
      <c r="F329" s="19">
        <f t="shared" ca="1" si="211"/>
        <v>0</v>
      </c>
      <c r="G329" s="20">
        <f t="shared" ca="1" si="211"/>
        <v>0</v>
      </c>
      <c r="H329" s="20">
        <f t="shared" ca="1" si="211"/>
        <v>0</v>
      </c>
      <c r="I329" s="13">
        <f t="shared" ca="1" si="211"/>
        <v>0</v>
      </c>
      <c r="J329" s="16"/>
      <c r="K329" s="19">
        <f t="shared" ca="1" si="212"/>
        <v>0</v>
      </c>
      <c r="L329" s="15">
        <f t="shared" ca="1" si="210"/>
        <v>1</v>
      </c>
      <c r="M329" s="15"/>
      <c r="N329" s="15">
        <f t="shared" ca="1" si="209"/>
        <v>0</v>
      </c>
    </row>
    <row r="330" spans="1:14" x14ac:dyDescent="0.4">
      <c r="A330" s="11" t="s">
        <v>6</v>
      </c>
      <c r="B330" s="41">
        <f t="shared" ca="1" si="211"/>
        <v>0</v>
      </c>
      <c r="C330" s="41"/>
      <c r="D330" s="41"/>
      <c r="E330" s="41"/>
      <c r="F330" s="19">
        <f t="shared" ca="1" si="211"/>
        <v>0</v>
      </c>
      <c r="G330" s="20">
        <f t="shared" ca="1" si="211"/>
        <v>0</v>
      </c>
      <c r="H330" s="20">
        <f t="shared" ca="1" si="211"/>
        <v>0</v>
      </c>
      <c r="I330" s="13">
        <f t="shared" ca="1" si="211"/>
        <v>0</v>
      </c>
      <c r="J330" s="16"/>
      <c r="K330" s="19">
        <f t="shared" ca="1" si="212"/>
        <v>0</v>
      </c>
      <c r="L330" s="15">
        <f t="shared" ca="1" si="210"/>
        <v>1</v>
      </c>
      <c r="M330" s="15"/>
      <c r="N330" s="15">
        <f t="shared" ca="1" si="209"/>
        <v>0</v>
      </c>
    </row>
    <row r="331" spans="1:14" x14ac:dyDescent="0.4">
      <c r="A331" s="11" t="s">
        <v>10</v>
      </c>
      <c r="B331" s="40">
        <f t="shared" ref="B331:I333" ca="1" si="213">OFFSET(B331,-6,0)</f>
        <v>0</v>
      </c>
      <c r="C331" s="40"/>
      <c r="D331" s="40"/>
      <c r="E331" s="40"/>
      <c r="F331" s="13">
        <f t="shared" ca="1" si="213"/>
        <v>0</v>
      </c>
      <c r="G331" s="17">
        <f t="shared" ca="1" si="213"/>
        <v>0</v>
      </c>
      <c r="H331" s="17">
        <f t="shared" ca="1" si="213"/>
        <v>0</v>
      </c>
      <c r="I331" s="13">
        <f t="shared" ca="1" si="213"/>
        <v>0</v>
      </c>
      <c r="J331" s="16"/>
      <c r="K331" s="13">
        <f t="shared" ref="K331:K333" ca="1" si="214">OFFSET(K331,-6,0)</f>
        <v>0</v>
      </c>
      <c r="L331" s="15">
        <f t="shared" ca="1" si="210"/>
        <v>1</v>
      </c>
      <c r="M331" s="15"/>
      <c r="N331" s="15">
        <f t="shared" ca="1" si="209"/>
        <v>0</v>
      </c>
    </row>
    <row r="332" spans="1:14" x14ac:dyDescent="0.4">
      <c r="A332" s="11" t="s">
        <v>10</v>
      </c>
      <c r="B332" s="40">
        <f t="shared" ca="1" si="213"/>
        <v>0</v>
      </c>
      <c r="C332" s="40"/>
      <c r="D332" s="40"/>
      <c r="E332" s="40"/>
      <c r="F332" s="13">
        <f t="shared" ca="1" si="213"/>
        <v>0</v>
      </c>
      <c r="G332" s="17">
        <f t="shared" ca="1" si="213"/>
        <v>0</v>
      </c>
      <c r="H332" s="17">
        <f t="shared" ca="1" si="213"/>
        <v>0</v>
      </c>
      <c r="I332" s="13">
        <f t="shared" ca="1" si="213"/>
        <v>0</v>
      </c>
      <c r="J332" s="16"/>
      <c r="K332" s="13">
        <f t="shared" ca="1" si="214"/>
        <v>0</v>
      </c>
      <c r="L332" s="15">
        <f t="shared" ca="1" si="210"/>
        <v>1</v>
      </c>
      <c r="M332" s="15"/>
      <c r="N332" s="15">
        <f t="shared" ca="1" si="209"/>
        <v>0</v>
      </c>
    </row>
    <row r="333" spans="1:14" x14ac:dyDescent="0.4">
      <c r="A333" s="11" t="s">
        <v>10</v>
      </c>
      <c r="B333" s="40">
        <f t="shared" ca="1" si="213"/>
        <v>0</v>
      </c>
      <c r="C333" s="40"/>
      <c r="D333" s="40"/>
      <c r="E333" s="40"/>
      <c r="F333" s="13">
        <f t="shared" ca="1" si="213"/>
        <v>0</v>
      </c>
      <c r="G333" s="17">
        <f t="shared" ca="1" si="213"/>
        <v>0</v>
      </c>
      <c r="H333" s="17">
        <f t="shared" ca="1" si="213"/>
        <v>0</v>
      </c>
      <c r="I333" s="13">
        <f t="shared" ca="1" si="213"/>
        <v>0</v>
      </c>
      <c r="J333" s="16"/>
      <c r="K333" s="13">
        <f t="shared" ca="1" si="214"/>
        <v>0</v>
      </c>
      <c r="L333" s="15">
        <f t="shared" ca="1" si="210"/>
        <v>1</v>
      </c>
      <c r="M333" s="15"/>
      <c r="N333" s="15">
        <f t="shared" ca="1" si="209"/>
        <v>0</v>
      </c>
    </row>
    <row r="334" spans="1:14" x14ac:dyDescent="0.4">
      <c r="A334" s="11" t="s">
        <v>7</v>
      </c>
      <c r="B334" s="40">
        <f t="shared" ref="B334:I336" ca="1" si="215">OFFSET(B334,-9,0)</f>
        <v>0</v>
      </c>
      <c r="C334" s="40"/>
      <c r="D334" s="40"/>
      <c r="E334" s="40"/>
      <c r="F334" s="13">
        <f t="shared" ca="1" si="215"/>
        <v>0</v>
      </c>
      <c r="G334" s="17">
        <f t="shared" ca="1" si="215"/>
        <v>0</v>
      </c>
      <c r="H334" s="17">
        <f t="shared" ca="1" si="215"/>
        <v>0</v>
      </c>
      <c r="I334" s="13">
        <f t="shared" ca="1" si="215"/>
        <v>0</v>
      </c>
      <c r="J334" s="16"/>
      <c r="K334" s="13">
        <f t="shared" ref="K334:K336" ca="1" si="216">OFFSET(K334,-9,0)</f>
        <v>0</v>
      </c>
      <c r="L334" s="15">
        <f t="shared" ca="1" si="210"/>
        <v>1</v>
      </c>
      <c r="M334" s="15"/>
      <c r="N334" s="15">
        <f t="shared" ca="1" si="209"/>
        <v>0</v>
      </c>
    </row>
    <row r="335" spans="1:14" x14ac:dyDescent="0.4">
      <c r="A335" s="11" t="s">
        <v>7</v>
      </c>
      <c r="B335" s="40">
        <f t="shared" ca="1" si="215"/>
        <v>0</v>
      </c>
      <c r="C335" s="40"/>
      <c r="D335" s="40"/>
      <c r="E335" s="40"/>
      <c r="F335" s="13">
        <f t="shared" ca="1" si="215"/>
        <v>0</v>
      </c>
      <c r="G335" s="17">
        <f t="shared" ca="1" si="215"/>
        <v>0</v>
      </c>
      <c r="H335" s="17">
        <f t="shared" ca="1" si="215"/>
        <v>0</v>
      </c>
      <c r="I335" s="13">
        <f t="shared" ca="1" si="215"/>
        <v>0</v>
      </c>
      <c r="J335" s="16"/>
      <c r="K335" s="13">
        <f t="shared" ca="1" si="216"/>
        <v>0</v>
      </c>
      <c r="L335" s="15">
        <f t="shared" ca="1" si="210"/>
        <v>1</v>
      </c>
      <c r="M335" s="15"/>
      <c r="N335" s="15">
        <f t="shared" ca="1" si="209"/>
        <v>0</v>
      </c>
    </row>
    <row r="336" spans="1:14" x14ac:dyDescent="0.4">
      <c r="A336" s="11" t="s">
        <v>7</v>
      </c>
      <c r="B336" s="40">
        <f t="shared" ca="1" si="215"/>
        <v>0</v>
      </c>
      <c r="C336" s="40"/>
      <c r="D336" s="40"/>
      <c r="E336" s="40"/>
      <c r="F336" s="13">
        <f t="shared" ca="1" si="215"/>
        <v>0</v>
      </c>
      <c r="G336" s="17">
        <f t="shared" ca="1" si="215"/>
        <v>0</v>
      </c>
      <c r="H336" s="17">
        <f t="shared" ca="1" si="215"/>
        <v>0</v>
      </c>
      <c r="I336" s="13">
        <f t="shared" ca="1" si="215"/>
        <v>0</v>
      </c>
      <c r="J336" s="16"/>
      <c r="K336" s="13">
        <f t="shared" ca="1" si="216"/>
        <v>0</v>
      </c>
      <c r="L336" s="15">
        <f t="shared" ca="1" si="210"/>
        <v>1</v>
      </c>
      <c r="M336" s="15"/>
      <c r="N336" s="15">
        <f t="shared" ca="1" si="209"/>
        <v>0</v>
      </c>
    </row>
    <row r="337" spans="1:14" x14ac:dyDescent="0.4">
      <c r="A337" s="11" t="s">
        <v>8</v>
      </c>
      <c r="B337" s="40">
        <f t="shared" ref="B337:I339" ca="1" si="217">OFFSET(B337,-12,0)</f>
        <v>0</v>
      </c>
      <c r="C337" s="40"/>
      <c r="D337" s="40"/>
      <c r="E337" s="40"/>
      <c r="F337" s="13">
        <f t="shared" ca="1" si="217"/>
        <v>0</v>
      </c>
      <c r="G337" s="17">
        <f t="shared" ca="1" si="217"/>
        <v>0</v>
      </c>
      <c r="H337" s="17">
        <f t="shared" ca="1" si="217"/>
        <v>0</v>
      </c>
      <c r="I337" s="13">
        <f t="shared" ca="1" si="217"/>
        <v>0</v>
      </c>
      <c r="J337" s="16"/>
      <c r="K337" s="13">
        <f t="shared" ref="K337:K339" ca="1" si="218">OFFSET(K337,-12,0)</f>
        <v>0</v>
      </c>
      <c r="L337" s="15">
        <f t="shared" ca="1" si="210"/>
        <v>1</v>
      </c>
      <c r="M337" s="15"/>
      <c r="N337" s="15">
        <f t="shared" ca="1" si="209"/>
        <v>0</v>
      </c>
    </row>
    <row r="338" spans="1:14" x14ac:dyDescent="0.4">
      <c r="A338" s="11" t="s">
        <v>8</v>
      </c>
      <c r="B338" s="40">
        <f t="shared" ca="1" si="217"/>
        <v>0</v>
      </c>
      <c r="C338" s="40"/>
      <c r="D338" s="40"/>
      <c r="E338" s="40"/>
      <c r="F338" s="13">
        <f t="shared" ca="1" si="217"/>
        <v>0</v>
      </c>
      <c r="G338" s="17">
        <f t="shared" ca="1" si="217"/>
        <v>0</v>
      </c>
      <c r="H338" s="17">
        <f t="shared" ca="1" si="217"/>
        <v>0</v>
      </c>
      <c r="I338" s="13">
        <f t="shared" ca="1" si="217"/>
        <v>0</v>
      </c>
      <c r="J338" s="16"/>
      <c r="K338" s="13">
        <f t="shared" ca="1" si="218"/>
        <v>0</v>
      </c>
      <c r="L338" s="15">
        <f t="shared" ca="1" si="210"/>
        <v>1</v>
      </c>
      <c r="M338" s="15"/>
      <c r="N338" s="15">
        <f t="shared" ca="1" si="209"/>
        <v>0</v>
      </c>
    </row>
    <row r="339" spans="1:14" x14ac:dyDescent="0.4">
      <c r="A339" s="11" t="s">
        <v>8</v>
      </c>
      <c r="B339" s="40">
        <f t="shared" ca="1" si="217"/>
        <v>0</v>
      </c>
      <c r="C339" s="40"/>
      <c r="D339" s="40"/>
      <c r="E339" s="40"/>
      <c r="F339" s="13">
        <f t="shared" ca="1" si="217"/>
        <v>0</v>
      </c>
      <c r="G339" s="17">
        <f t="shared" ca="1" si="217"/>
        <v>0</v>
      </c>
      <c r="H339" s="17">
        <f t="shared" ca="1" si="217"/>
        <v>0</v>
      </c>
      <c r="I339" s="13">
        <f t="shared" ca="1" si="217"/>
        <v>0</v>
      </c>
      <c r="J339" s="16"/>
      <c r="K339" s="13">
        <f t="shared" ca="1" si="218"/>
        <v>0</v>
      </c>
      <c r="L339" s="15">
        <f t="shared" ca="1" si="210"/>
        <v>1</v>
      </c>
      <c r="M339" s="15"/>
      <c r="N339" s="15">
        <f t="shared" ca="1" si="209"/>
        <v>0</v>
      </c>
    </row>
    <row r="340" spans="1:14" x14ac:dyDescent="0.4">
      <c r="A340" s="11" t="s">
        <v>9</v>
      </c>
      <c r="B340" s="41">
        <f t="shared" ref="B340:H342" ca="1" si="219">OFFSET(B340,-15,0)</f>
        <v>0</v>
      </c>
      <c r="C340" s="41"/>
      <c r="D340" s="41"/>
      <c r="E340" s="41"/>
      <c r="F340" s="19">
        <f t="shared" ca="1" si="219"/>
        <v>0</v>
      </c>
      <c r="G340" s="20">
        <f t="shared" ca="1" si="219"/>
        <v>0</v>
      </c>
      <c r="H340" s="20">
        <f ca="1">OFFSET(H340,-15,0)</f>
        <v>0</v>
      </c>
      <c r="I340" s="13">
        <f t="shared" ref="I340:I342" ca="1" si="220">OFFSET(I340,-15,0)</f>
        <v>0</v>
      </c>
      <c r="J340" s="16"/>
      <c r="K340" s="19">
        <f t="shared" ref="K340:K342" ca="1" si="221">OFFSET(K340,-15,0)</f>
        <v>0</v>
      </c>
      <c r="L340" s="15">
        <f t="shared" ca="1" si="210"/>
        <v>1</v>
      </c>
      <c r="M340" s="15"/>
      <c r="N340" s="15">
        <f t="shared" ca="1" si="209"/>
        <v>0</v>
      </c>
    </row>
    <row r="341" spans="1:14" x14ac:dyDescent="0.4">
      <c r="A341" s="11" t="s">
        <v>9</v>
      </c>
      <c r="B341" s="41">
        <f t="shared" ca="1" si="219"/>
        <v>0</v>
      </c>
      <c r="C341" s="41"/>
      <c r="D341" s="41"/>
      <c r="E341" s="41"/>
      <c r="F341" s="19">
        <f t="shared" ca="1" si="219"/>
        <v>0</v>
      </c>
      <c r="G341" s="20">
        <f t="shared" ca="1" si="219"/>
        <v>0</v>
      </c>
      <c r="H341" s="20">
        <f t="shared" ca="1" si="219"/>
        <v>0</v>
      </c>
      <c r="I341" s="13">
        <f t="shared" ca="1" si="220"/>
        <v>0</v>
      </c>
      <c r="J341" s="16"/>
      <c r="K341" s="19">
        <f t="shared" ca="1" si="221"/>
        <v>0</v>
      </c>
      <c r="L341" s="15">
        <f t="shared" ca="1" si="210"/>
        <v>1</v>
      </c>
      <c r="M341" s="15"/>
      <c r="N341" s="15">
        <f t="shared" ca="1" si="209"/>
        <v>0</v>
      </c>
    </row>
    <row r="342" spans="1:14" x14ac:dyDescent="0.4">
      <c r="A342" s="11" t="s">
        <v>9</v>
      </c>
      <c r="B342" s="41">
        <f t="shared" ca="1" si="219"/>
        <v>0</v>
      </c>
      <c r="C342" s="41"/>
      <c r="D342" s="41"/>
      <c r="E342" s="41"/>
      <c r="F342" s="19">
        <f t="shared" ca="1" si="219"/>
        <v>0</v>
      </c>
      <c r="G342" s="20">
        <f t="shared" ca="1" si="219"/>
        <v>0</v>
      </c>
      <c r="H342" s="20">
        <f t="shared" ca="1" si="219"/>
        <v>0</v>
      </c>
      <c r="I342" s="13">
        <f t="shared" ca="1" si="220"/>
        <v>0</v>
      </c>
      <c r="J342" s="16"/>
      <c r="K342" s="19">
        <f t="shared" ca="1" si="221"/>
        <v>0</v>
      </c>
      <c r="L342" s="15">
        <f t="shared" ca="1" si="210"/>
        <v>1</v>
      </c>
      <c r="M342" s="15"/>
      <c r="N342" s="15">
        <f t="shared" ca="1" si="209"/>
        <v>0</v>
      </c>
    </row>
    <row r="343" spans="1:14" ht="17.399999999999999" x14ac:dyDescent="0.4">
      <c r="A343" s="74" t="s">
        <v>30</v>
      </c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6"/>
    </row>
    <row r="344" spans="1:14" x14ac:dyDescent="0.4">
      <c r="A344" s="11" t="s">
        <v>5</v>
      </c>
      <c r="B344" s="40"/>
      <c r="C344" s="40"/>
      <c r="D344" s="40"/>
      <c r="E344" s="40"/>
      <c r="F344" s="13"/>
      <c r="G344" s="11"/>
      <c r="H344" s="17"/>
      <c r="I344" s="13"/>
      <c r="J344" s="16"/>
      <c r="K344" s="13"/>
      <c r="L344" s="15">
        <f>ROUND((10^(K344/10))/(10^(I344/10)),3)</f>
        <v>1</v>
      </c>
      <c r="M344" s="15"/>
      <c r="N344" s="15">
        <f t="shared" ref="N344:N361" si="222">J344*L344</f>
        <v>0</v>
      </c>
    </row>
    <row r="345" spans="1:14" x14ac:dyDescent="0.4">
      <c r="A345" s="11" t="s">
        <v>5</v>
      </c>
      <c r="B345" s="40"/>
      <c r="C345" s="40"/>
      <c r="D345" s="40"/>
      <c r="E345" s="40"/>
      <c r="F345" s="13"/>
      <c r="G345" s="11"/>
      <c r="H345" s="17"/>
      <c r="I345" s="13"/>
      <c r="J345" s="16"/>
      <c r="K345" s="13"/>
      <c r="L345" s="15">
        <f t="shared" ref="L345:L361" si="223">ROUND((10^(K345/10))/(10^(I345/10)),3)</f>
        <v>1</v>
      </c>
      <c r="M345" s="15"/>
      <c r="N345" s="15">
        <f t="shared" si="222"/>
        <v>0</v>
      </c>
    </row>
    <row r="346" spans="1:14" x14ac:dyDescent="0.4">
      <c r="A346" s="11" t="s">
        <v>5</v>
      </c>
      <c r="B346" s="40"/>
      <c r="C346" s="40"/>
      <c r="D346" s="40"/>
      <c r="E346" s="40"/>
      <c r="F346" s="13"/>
      <c r="G346" s="11"/>
      <c r="H346" s="17"/>
      <c r="I346" s="13"/>
      <c r="J346" s="16"/>
      <c r="K346" s="13"/>
      <c r="L346" s="15">
        <f t="shared" si="223"/>
        <v>1</v>
      </c>
      <c r="M346" s="15"/>
      <c r="N346" s="15">
        <f t="shared" si="222"/>
        <v>0</v>
      </c>
    </row>
    <row r="347" spans="1:14" x14ac:dyDescent="0.4">
      <c r="A347" s="11" t="s">
        <v>6</v>
      </c>
      <c r="B347" s="41">
        <f t="shared" ref="B347:I349" ca="1" si="224">OFFSET(B347,-3,0)</f>
        <v>0</v>
      </c>
      <c r="C347" s="41"/>
      <c r="D347" s="41"/>
      <c r="E347" s="41"/>
      <c r="F347" s="19">
        <f t="shared" ca="1" si="224"/>
        <v>0</v>
      </c>
      <c r="G347" s="20">
        <f t="shared" ca="1" si="224"/>
        <v>0</v>
      </c>
      <c r="H347" s="20">
        <f t="shared" ca="1" si="224"/>
        <v>0</v>
      </c>
      <c r="I347" s="13">
        <f t="shared" ca="1" si="224"/>
        <v>0</v>
      </c>
      <c r="J347" s="16"/>
      <c r="K347" s="19">
        <f t="shared" ref="K347:K349" ca="1" si="225">OFFSET(K347,-3,0)</f>
        <v>0</v>
      </c>
      <c r="L347" s="15">
        <f t="shared" ca="1" si="223"/>
        <v>1</v>
      </c>
      <c r="M347" s="15"/>
      <c r="N347" s="15">
        <f t="shared" ca="1" si="222"/>
        <v>0</v>
      </c>
    </row>
    <row r="348" spans="1:14" x14ac:dyDescent="0.4">
      <c r="A348" s="11" t="s">
        <v>6</v>
      </c>
      <c r="B348" s="41">
        <f t="shared" ca="1" si="224"/>
        <v>0</v>
      </c>
      <c r="C348" s="41"/>
      <c r="D348" s="41"/>
      <c r="E348" s="41"/>
      <c r="F348" s="19">
        <f t="shared" ca="1" si="224"/>
        <v>0</v>
      </c>
      <c r="G348" s="20">
        <f t="shared" ca="1" si="224"/>
        <v>0</v>
      </c>
      <c r="H348" s="20">
        <f t="shared" ca="1" si="224"/>
        <v>0</v>
      </c>
      <c r="I348" s="13">
        <f t="shared" ca="1" si="224"/>
        <v>0</v>
      </c>
      <c r="J348" s="16"/>
      <c r="K348" s="19">
        <f t="shared" ca="1" si="225"/>
        <v>0</v>
      </c>
      <c r="L348" s="15">
        <f t="shared" ca="1" si="223"/>
        <v>1</v>
      </c>
      <c r="M348" s="15"/>
      <c r="N348" s="15">
        <f t="shared" ca="1" si="222"/>
        <v>0</v>
      </c>
    </row>
    <row r="349" spans="1:14" x14ac:dyDescent="0.4">
      <c r="A349" s="11" t="s">
        <v>6</v>
      </c>
      <c r="B349" s="41">
        <f t="shared" ca="1" si="224"/>
        <v>0</v>
      </c>
      <c r="C349" s="41"/>
      <c r="D349" s="41"/>
      <c r="E349" s="41"/>
      <c r="F349" s="19">
        <f t="shared" ca="1" si="224"/>
        <v>0</v>
      </c>
      <c r="G349" s="20">
        <f t="shared" ca="1" si="224"/>
        <v>0</v>
      </c>
      <c r="H349" s="20">
        <f t="shared" ca="1" si="224"/>
        <v>0</v>
      </c>
      <c r="I349" s="13">
        <f t="shared" ca="1" si="224"/>
        <v>0</v>
      </c>
      <c r="J349" s="16"/>
      <c r="K349" s="19">
        <f t="shared" ca="1" si="225"/>
        <v>0</v>
      </c>
      <c r="L349" s="15">
        <f t="shared" ca="1" si="223"/>
        <v>1</v>
      </c>
      <c r="M349" s="15"/>
      <c r="N349" s="15">
        <f t="shared" ca="1" si="222"/>
        <v>0</v>
      </c>
    </row>
    <row r="350" spans="1:14" x14ac:dyDescent="0.4">
      <c r="A350" s="11" t="s">
        <v>57</v>
      </c>
      <c r="B350" s="40">
        <f t="shared" ref="B350:I352" ca="1" si="226">OFFSET(B350,-6,0)</f>
        <v>0</v>
      </c>
      <c r="C350" s="40"/>
      <c r="D350" s="40"/>
      <c r="E350" s="40"/>
      <c r="F350" s="13">
        <f t="shared" ca="1" si="226"/>
        <v>0</v>
      </c>
      <c r="G350" s="17">
        <f t="shared" ca="1" si="226"/>
        <v>0</v>
      </c>
      <c r="H350" s="17">
        <f t="shared" ca="1" si="226"/>
        <v>0</v>
      </c>
      <c r="I350" s="13">
        <f t="shared" ca="1" si="226"/>
        <v>0</v>
      </c>
      <c r="J350" s="16"/>
      <c r="K350" s="13">
        <f t="shared" ref="K350:K352" ca="1" si="227">OFFSET(K350,-6,0)</f>
        <v>0</v>
      </c>
      <c r="L350" s="15">
        <f t="shared" ca="1" si="223"/>
        <v>1</v>
      </c>
      <c r="M350" s="15"/>
      <c r="N350" s="15">
        <f t="shared" ca="1" si="222"/>
        <v>0</v>
      </c>
    </row>
    <row r="351" spans="1:14" x14ac:dyDescent="0.4">
      <c r="A351" s="11" t="s">
        <v>57</v>
      </c>
      <c r="B351" s="40">
        <f t="shared" ca="1" si="226"/>
        <v>0</v>
      </c>
      <c r="C351" s="40"/>
      <c r="D351" s="40"/>
      <c r="E351" s="40"/>
      <c r="F351" s="13">
        <f t="shared" ca="1" si="226"/>
        <v>0</v>
      </c>
      <c r="G351" s="17">
        <f t="shared" ca="1" si="226"/>
        <v>0</v>
      </c>
      <c r="H351" s="17">
        <f t="shared" ca="1" si="226"/>
        <v>0</v>
      </c>
      <c r="I351" s="13">
        <f t="shared" ca="1" si="226"/>
        <v>0</v>
      </c>
      <c r="J351" s="16"/>
      <c r="K351" s="13">
        <f t="shared" ca="1" si="227"/>
        <v>0</v>
      </c>
      <c r="L351" s="15">
        <f t="shared" ca="1" si="223"/>
        <v>1</v>
      </c>
      <c r="M351" s="15"/>
      <c r="N351" s="15">
        <f t="shared" ca="1" si="222"/>
        <v>0</v>
      </c>
    </row>
    <row r="352" spans="1:14" x14ac:dyDescent="0.4">
      <c r="A352" s="11" t="s">
        <v>57</v>
      </c>
      <c r="B352" s="40">
        <f t="shared" ca="1" si="226"/>
        <v>0</v>
      </c>
      <c r="C352" s="40"/>
      <c r="D352" s="40"/>
      <c r="E352" s="40"/>
      <c r="F352" s="13">
        <f t="shared" ca="1" si="226"/>
        <v>0</v>
      </c>
      <c r="G352" s="17">
        <f t="shared" ca="1" si="226"/>
        <v>0</v>
      </c>
      <c r="H352" s="17">
        <f t="shared" ca="1" si="226"/>
        <v>0</v>
      </c>
      <c r="I352" s="13">
        <f t="shared" ca="1" si="226"/>
        <v>0</v>
      </c>
      <c r="J352" s="16"/>
      <c r="K352" s="13">
        <f t="shared" ca="1" si="227"/>
        <v>0</v>
      </c>
      <c r="L352" s="15">
        <f t="shared" ca="1" si="223"/>
        <v>1</v>
      </c>
      <c r="M352" s="15"/>
      <c r="N352" s="15">
        <f t="shared" ca="1" si="222"/>
        <v>0</v>
      </c>
    </row>
    <row r="353" spans="1:14" x14ac:dyDescent="0.4">
      <c r="A353" s="11" t="s">
        <v>7</v>
      </c>
      <c r="B353" s="40">
        <f t="shared" ref="B353:I355" ca="1" si="228">OFFSET(B353,-9,0)</f>
        <v>0</v>
      </c>
      <c r="C353" s="40"/>
      <c r="D353" s="40"/>
      <c r="E353" s="40"/>
      <c r="F353" s="13">
        <f t="shared" ca="1" si="228"/>
        <v>0</v>
      </c>
      <c r="G353" s="17">
        <f t="shared" ca="1" si="228"/>
        <v>0</v>
      </c>
      <c r="H353" s="17">
        <f t="shared" ca="1" si="228"/>
        <v>0</v>
      </c>
      <c r="I353" s="13">
        <f t="shared" ca="1" si="228"/>
        <v>0</v>
      </c>
      <c r="J353" s="16"/>
      <c r="K353" s="13">
        <f t="shared" ref="K353:K355" ca="1" si="229">OFFSET(K353,-9,0)</f>
        <v>0</v>
      </c>
      <c r="L353" s="15">
        <f t="shared" ca="1" si="223"/>
        <v>1</v>
      </c>
      <c r="M353" s="15"/>
      <c r="N353" s="15">
        <f t="shared" ca="1" si="222"/>
        <v>0</v>
      </c>
    </row>
    <row r="354" spans="1:14" x14ac:dyDescent="0.4">
      <c r="A354" s="11" t="s">
        <v>7</v>
      </c>
      <c r="B354" s="40">
        <f t="shared" ca="1" si="228"/>
        <v>0</v>
      </c>
      <c r="C354" s="40"/>
      <c r="D354" s="40"/>
      <c r="E354" s="40"/>
      <c r="F354" s="13">
        <f t="shared" ca="1" si="228"/>
        <v>0</v>
      </c>
      <c r="G354" s="17">
        <f t="shared" ca="1" si="228"/>
        <v>0</v>
      </c>
      <c r="H354" s="17">
        <f t="shared" ca="1" si="228"/>
        <v>0</v>
      </c>
      <c r="I354" s="13">
        <f t="shared" ca="1" si="228"/>
        <v>0</v>
      </c>
      <c r="J354" s="16"/>
      <c r="K354" s="13">
        <f t="shared" ca="1" si="229"/>
        <v>0</v>
      </c>
      <c r="L354" s="15">
        <f t="shared" ca="1" si="223"/>
        <v>1</v>
      </c>
      <c r="M354" s="15"/>
      <c r="N354" s="15">
        <f t="shared" ca="1" si="222"/>
        <v>0</v>
      </c>
    </row>
    <row r="355" spans="1:14" x14ac:dyDescent="0.4">
      <c r="A355" s="11" t="s">
        <v>7</v>
      </c>
      <c r="B355" s="40">
        <f t="shared" ca="1" si="228"/>
        <v>0</v>
      </c>
      <c r="C355" s="40"/>
      <c r="D355" s="40"/>
      <c r="E355" s="40"/>
      <c r="F355" s="13">
        <f t="shared" ca="1" si="228"/>
        <v>0</v>
      </c>
      <c r="G355" s="17">
        <f t="shared" ca="1" si="228"/>
        <v>0</v>
      </c>
      <c r="H355" s="17">
        <f t="shared" ca="1" si="228"/>
        <v>0</v>
      </c>
      <c r="I355" s="13">
        <f t="shared" ca="1" si="228"/>
        <v>0</v>
      </c>
      <c r="J355" s="16"/>
      <c r="K355" s="13">
        <f t="shared" ca="1" si="229"/>
        <v>0</v>
      </c>
      <c r="L355" s="15">
        <f t="shared" ca="1" si="223"/>
        <v>1</v>
      </c>
      <c r="M355" s="15"/>
      <c r="N355" s="15">
        <f t="shared" ca="1" si="222"/>
        <v>0</v>
      </c>
    </row>
    <row r="356" spans="1:14" x14ac:dyDescent="0.4">
      <c r="A356" s="11" t="s">
        <v>8</v>
      </c>
      <c r="B356" s="40">
        <f t="shared" ref="B356:I358" ca="1" si="230">OFFSET(B356,-12,0)</f>
        <v>0</v>
      </c>
      <c r="C356" s="40"/>
      <c r="D356" s="40"/>
      <c r="E356" s="40"/>
      <c r="F356" s="13">
        <f t="shared" ca="1" si="230"/>
        <v>0</v>
      </c>
      <c r="G356" s="17">
        <f t="shared" ca="1" si="230"/>
        <v>0</v>
      </c>
      <c r="H356" s="17">
        <f t="shared" ca="1" si="230"/>
        <v>0</v>
      </c>
      <c r="I356" s="13">
        <f t="shared" ca="1" si="230"/>
        <v>0</v>
      </c>
      <c r="J356" s="16"/>
      <c r="K356" s="13">
        <f t="shared" ref="K356:K358" ca="1" si="231">OFFSET(K356,-12,0)</f>
        <v>0</v>
      </c>
      <c r="L356" s="15">
        <f t="shared" ca="1" si="223"/>
        <v>1</v>
      </c>
      <c r="M356" s="15"/>
      <c r="N356" s="15">
        <f t="shared" ca="1" si="222"/>
        <v>0</v>
      </c>
    </row>
    <row r="357" spans="1:14" x14ac:dyDescent="0.4">
      <c r="A357" s="11" t="s">
        <v>8</v>
      </c>
      <c r="B357" s="40">
        <f t="shared" ca="1" si="230"/>
        <v>0</v>
      </c>
      <c r="C357" s="40"/>
      <c r="D357" s="40"/>
      <c r="E357" s="40"/>
      <c r="F357" s="13">
        <f t="shared" ca="1" si="230"/>
        <v>0</v>
      </c>
      <c r="G357" s="17">
        <f t="shared" ca="1" si="230"/>
        <v>0</v>
      </c>
      <c r="H357" s="17">
        <f t="shared" ca="1" si="230"/>
        <v>0</v>
      </c>
      <c r="I357" s="13">
        <f t="shared" ca="1" si="230"/>
        <v>0</v>
      </c>
      <c r="J357" s="16"/>
      <c r="K357" s="13">
        <f t="shared" ca="1" si="231"/>
        <v>0</v>
      </c>
      <c r="L357" s="15">
        <f t="shared" ca="1" si="223"/>
        <v>1</v>
      </c>
      <c r="M357" s="15"/>
      <c r="N357" s="15">
        <f t="shared" ca="1" si="222"/>
        <v>0</v>
      </c>
    </row>
    <row r="358" spans="1:14" x14ac:dyDescent="0.4">
      <c r="A358" s="11" t="s">
        <v>8</v>
      </c>
      <c r="B358" s="40">
        <f t="shared" ca="1" si="230"/>
        <v>0</v>
      </c>
      <c r="C358" s="40"/>
      <c r="D358" s="40"/>
      <c r="E358" s="40"/>
      <c r="F358" s="13">
        <f t="shared" ca="1" si="230"/>
        <v>0</v>
      </c>
      <c r="G358" s="17">
        <f t="shared" ca="1" si="230"/>
        <v>0</v>
      </c>
      <c r="H358" s="17">
        <f t="shared" ca="1" si="230"/>
        <v>0</v>
      </c>
      <c r="I358" s="13">
        <f t="shared" ca="1" si="230"/>
        <v>0</v>
      </c>
      <c r="J358" s="16"/>
      <c r="K358" s="13">
        <f t="shared" ca="1" si="231"/>
        <v>0</v>
      </c>
      <c r="L358" s="15">
        <f t="shared" ca="1" si="223"/>
        <v>1</v>
      </c>
      <c r="M358" s="15"/>
      <c r="N358" s="15">
        <f t="shared" ca="1" si="222"/>
        <v>0</v>
      </c>
    </row>
    <row r="359" spans="1:14" x14ac:dyDescent="0.4">
      <c r="A359" s="11" t="s">
        <v>9</v>
      </c>
      <c r="B359" s="41">
        <f t="shared" ref="B359:I361" ca="1" si="232">OFFSET(B359,-15,0)</f>
        <v>0</v>
      </c>
      <c r="C359" s="41"/>
      <c r="D359" s="41"/>
      <c r="E359" s="41"/>
      <c r="F359" s="19">
        <f t="shared" ca="1" si="232"/>
        <v>0</v>
      </c>
      <c r="G359" s="20">
        <f t="shared" ca="1" si="232"/>
        <v>0</v>
      </c>
      <c r="H359" s="20">
        <f t="shared" ca="1" si="232"/>
        <v>0</v>
      </c>
      <c r="I359" s="13">
        <f t="shared" ca="1" si="232"/>
        <v>0</v>
      </c>
      <c r="J359" s="16"/>
      <c r="K359" s="19">
        <f t="shared" ref="K359:K361" ca="1" si="233">OFFSET(K359,-15,0)</f>
        <v>0</v>
      </c>
      <c r="L359" s="15">
        <f t="shared" ca="1" si="223"/>
        <v>1</v>
      </c>
      <c r="M359" s="15"/>
      <c r="N359" s="15">
        <f t="shared" ca="1" si="222"/>
        <v>0</v>
      </c>
    </row>
    <row r="360" spans="1:14" x14ac:dyDescent="0.4">
      <c r="A360" s="11" t="s">
        <v>9</v>
      </c>
      <c r="B360" s="41">
        <f t="shared" ca="1" si="232"/>
        <v>0</v>
      </c>
      <c r="C360" s="41"/>
      <c r="D360" s="41"/>
      <c r="E360" s="41"/>
      <c r="F360" s="19">
        <f t="shared" ca="1" si="232"/>
        <v>0</v>
      </c>
      <c r="G360" s="20">
        <f t="shared" ca="1" si="232"/>
        <v>0</v>
      </c>
      <c r="H360" s="20">
        <f t="shared" ca="1" si="232"/>
        <v>0</v>
      </c>
      <c r="I360" s="13">
        <f t="shared" ca="1" si="232"/>
        <v>0</v>
      </c>
      <c r="J360" s="16"/>
      <c r="K360" s="19">
        <f t="shared" ca="1" si="233"/>
        <v>0</v>
      </c>
      <c r="L360" s="15">
        <f t="shared" ca="1" si="223"/>
        <v>1</v>
      </c>
      <c r="M360" s="15"/>
      <c r="N360" s="15">
        <f t="shared" ca="1" si="222"/>
        <v>0</v>
      </c>
    </row>
    <row r="361" spans="1:14" x14ac:dyDescent="0.4">
      <c r="A361" s="11" t="s">
        <v>9</v>
      </c>
      <c r="B361" s="41">
        <f t="shared" ca="1" si="232"/>
        <v>0</v>
      </c>
      <c r="C361" s="41"/>
      <c r="D361" s="41"/>
      <c r="E361" s="41"/>
      <c r="F361" s="19">
        <f t="shared" ca="1" si="232"/>
        <v>0</v>
      </c>
      <c r="G361" s="20">
        <f t="shared" ca="1" si="232"/>
        <v>0</v>
      </c>
      <c r="H361" s="20">
        <f t="shared" ca="1" si="232"/>
        <v>0</v>
      </c>
      <c r="I361" s="13">
        <f t="shared" ca="1" si="232"/>
        <v>0</v>
      </c>
      <c r="J361" s="16"/>
      <c r="K361" s="19">
        <f t="shared" ca="1" si="233"/>
        <v>0</v>
      </c>
      <c r="L361" s="15">
        <f t="shared" ca="1" si="223"/>
        <v>1</v>
      </c>
      <c r="M361" s="15"/>
      <c r="N361" s="15">
        <f t="shared" ca="1" si="222"/>
        <v>0</v>
      </c>
    </row>
    <row r="362" spans="1:14" ht="17.399999999999999" x14ac:dyDescent="0.4">
      <c r="A362" s="77" t="s">
        <v>27</v>
      </c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6"/>
    </row>
    <row r="363" spans="1:14" x14ac:dyDescent="0.4">
      <c r="A363" s="11" t="s">
        <v>5</v>
      </c>
      <c r="B363" s="40"/>
      <c r="C363" s="40"/>
      <c r="D363" s="40"/>
      <c r="E363" s="40"/>
      <c r="F363" s="13"/>
      <c r="G363" s="11"/>
      <c r="H363" s="17"/>
      <c r="I363" s="13"/>
      <c r="J363" s="16"/>
      <c r="K363" s="13"/>
      <c r="L363" s="15">
        <f>ROUND((10^(K363/10))/(10^(I363/10)),3)</f>
        <v>1</v>
      </c>
      <c r="M363" s="15"/>
      <c r="N363" s="15">
        <f t="shared" ref="N363:N380" si="234">J363*L363</f>
        <v>0</v>
      </c>
    </row>
    <row r="364" spans="1:14" x14ac:dyDescent="0.4">
      <c r="A364" s="11" t="s">
        <v>5</v>
      </c>
      <c r="B364" s="40"/>
      <c r="C364" s="40"/>
      <c r="D364" s="40"/>
      <c r="E364" s="40"/>
      <c r="F364" s="13"/>
      <c r="G364" s="11"/>
      <c r="H364" s="17"/>
      <c r="I364" s="13"/>
      <c r="J364" s="16"/>
      <c r="K364" s="13"/>
      <c r="L364" s="15">
        <f t="shared" ref="L364:L380" si="235">ROUND((10^(K364/10))/(10^(I364/10)),3)</f>
        <v>1</v>
      </c>
      <c r="M364" s="15"/>
      <c r="N364" s="15">
        <f t="shared" si="234"/>
        <v>0</v>
      </c>
    </row>
    <row r="365" spans="1:14" x14ac:dyDescent="0.4">
      <c r="A365" s="11" t="s">
        <v>5</v>
      </c>
      <c r="B365" s="40"/>
      <c r="C365" s="40"/>
      <c r="D365" s="40"/>
      <c r="E365" s="40"/>
      <c r="F365" s="13"/>
      <c r="G365" s="11"/>
      <c r="H365" s="17"/>
      <c r="I365" s="13"/>
      <c r="J365" s="16"/>
      <c r="K365" s="13"/>
      <c r="L365" s="15">
        <f t="shared" si="235"/>
        <v>1</v>
      </c>
      <c r="M365" s="15"/>
      <c r="N365" s="15">
        <f t="shared" si="234"/>
        <v>0</v>
      </c>
    </row>
    <row r="366" spans="1:14" x14ac:dyDescent="0.4">
      <c r="A366" s="11" t="s">
        <v>6</v>
      </c>
      <c r="B366" s="41">
        <f t="shared" ref="B366:I368" ca="1" si="236">OFFSET(B366,-3,0)</f>
        <v>0</v>
      </c>
      <c r="C366" s="41"/>
      <c r="D366" s="41"/>
      <c r="E366" s="41"/>
      <c r="F366" s="19">
        <f t="shared" ca="1" si="236"/>
        <v>0</v>
      </c>
      <c r="G366" s="20">
        <f t="shared" ca="1" si="236"/>
        <v>0</v>
      </c>
      <c r="H366" s="20">
        <f t="shared" ca="1" si="236"/>
        <v>0</v>
      </c>
      <c r="I366" s="13">
        <f t="shared" ca="1" si="236"/>
        <v>0</v>
      </c>
      <c r="J366" s="16"/>
      <c r="K366" s="19">
        <f t="shared" ref="K366:K368" ca="1" si="237">OFFSET(K366,-3,0)</f>
        <v>0</v>
      </c>
      <c r="L366" s="15">
        <f t="shared" ca="1" si="235"/>
        <v>1</v>
      </c>
      <c r="M366" s="15"/>
      <c r="N366" s="15">
        <f t="shared" ca="1" si="234"/>
        <v>0</v>
      </c>
    </row>
    <row r="367" spans="1:14" x14ac:dyDescent="0.4">
      <c r="A367" s="11" t="s">
        <v>6</v>
      </c>
      <c r="B367" s="41">
        <f t="shared" ca="1" si="236"/>
        <v>0</v>
      </c>
      <c r="C367" s="41"/>
      <c r="D367" s="41"/>
      <c r="E367" s="41"/>
      <c r="F367" s="19">
        <f t="shared" ca="1" si="236"/>
        <v>0</v>
      </c>
      <c r="G367" s="20">
        <f t="shared" ca="1" si="236"/>
        <v>0</v>
      </c>
      <c r="H367" s="20">
        <f t="shared" ca="1" si="236"/>
        <v>0</v>
      </c>
      <c r="I367" s="13">
        <f t="shared" ca="1" si="236"/>
        <v>0</v>
      </c>
      <c r="J367" s="16"/>
      <c r="K367" s="19">
        <f t="shared" ca="1" si="237"/>
        <v>0</v>
      </c>
      <c r="L367" s="15">
        <f t="shared" ca="1" si="235"/>
        <v>1</v>
      </c>
      <c r="M367" s="15"/>
      <c r="N367" s="15">
        <f t="shared" ca="1" si="234"/>
        <v>0</v>
      </c>
    </row>
    <row r="368" spans="1:14" x14ac:dyDescent="0.4">
      <c r="A368" s="11" t="s">
        <v>6</v>
      </c>
      <c r="B368" s="41">
        <f t="shared" ca="1" si="236"/>
        <v>0</v>
      </c>
      <c r="C368" s="41"/>
      <c r="D368" s="41"/>
      <c r="E368" s="41"/>
      <c r="F368" s="19">
        <f t="shared" ca="1" si="236"/>
        <v>0</v>
      </c>
      <c r="G368" s="20">
        <f t="shared" ca="1" si="236"/>
        <v>0</v>
      </c>
      <c r="H368" s="20">
        <f t="shared" ca="1" si="236"/>
        <v>0</v>
      </c>
      <c r="I368" s="13">
        <f t="shared" ca="1" si="236"/>
        <v>0</v>
      </c>
      <c r="J368" s="16"/>
      <c r="K368" s="19">
        <f t="shared" ca="1" si="237"/>
        <v>0</v>
      </c>
      <c r="L368" s="15">
        <f t="shared" ca="1" si="235"/>
        <v>1</v>
      </c>
      <c r="M368" s="15"/>
      <c r="N368" s="15">
        <f t="shared" ca="1" si="234"/>
        <v>0</v>
      </c>
    </row>
    <row r="369" spans="1:14" x14ac:dyDescent="0.4">
      <c r="A369" s="11" t="s">
        <v>57</v>
      </c>
      <c r="B369" s="40">
        <f t="shared" ref="B369:I371" ca="1" si="238">OFFSET(B369,-6,0)</f>
        <v>0</v>
      </c>
      <c r="C369" s="40"/>
      <c r="D369" s="40"/>
      <c r="E369" s="40"/>
      <c r="F369" s="13">
        <f t="shared" ca="1" si="238"/>
        <v>0</v>
      </c>
      <c r="G369" s="17">
        <f t="shared" ca="1" si="238"/>
        <v>0</v>
      </c>
      <c r="H369" s="17">
        <f t="shared" ca="1" si="238"/>
        <v>0</v>
      </c>
      <c r="I369" s="13">
        <f t="shared" ca="1" si="238"/>
        <v>0</v>
      </c>
      <c r="J369" s="16"/>
      <c r="K369" s="13">
        <f t="shared" ref="K369:K371" ca="1" si="239">OFFSET(K369,-6,0)</f>
        <v>0</v>
      </c>
      <c r="L369" s="15">
        <f t="shared" ca="1" si="235"/>
        <v>1</v>
      </c>
      <c r="M369" s="15"/>
      <c r="N369" s="15">
        <f t="shared" ca="1" si="234"/>
        <v>0</v>
      </c>
    </row>
    <row r="370" spans="1:14" x14ac:dyDescent="0.4">
      <c r="A370" s="11" t="s">
        <v>57</v>
      </c>
      <c r="B370" s="40">
        <f t="shared" ca="1" si="238"/>
        <v>0</v>
      </c>
      <c r="C370" s="40"/>
      <c r="D370" s="40"/>
      <c r="E370" s="40"/>
      <c r="F370" s="13">
        <f t="shared" ca="1" si="238"/>
        <v>0</v>
      </c>
      <c r="G370" s="17">
        <f t="shared" ca="1" si="238"/>
        <v>0</v>
      </c>
      <c r="H370" s="17">
        <f t="shared" ca="1" si="238"/>
        <v>0</v>
      </c>
      <c r="I370" s="13">
        <f t="shared" ca="1" si="238"/>
        <v>0</v>
      </c>
      <c r="J370" s="16"/>
      <c r="K370" s="13">
        <f t="shared" ca="1" si="239"/>
        <v>0</v>
      </c>
      <c r="L370" s="15">
        <f t="shared" ca="1" si="235"/>
        <v>1</v>
      </c>
      <c r="M370" s="15"/>
      <c r="N370" s="15">
        <f t="shared" ca="1" si="234"/>
        <v>0</v>
      </c>
    </row>
    <row r="371" spans="1:14" x14ac:dyDescent="0.4">
      <c r="A371" s="11" t="s">
        <v>57</v>
      </c>
      <c r="B371" s="40">
        <f t="shared" ca="1" si="238"/>
        <v>0</v>
      </c>
      <c r="C371" s="40"/>
      <c r="D371" s="40"/>
      <c r="E371" s="40"/>
      <c r="F371" s="13">
        <f t="shared" ca="1" si="238"/>
        <v>0</v>
      </c>
      <c r="G371" s="17">
        <f t="shared" ca="1" si="238"/>
        <v>0</v>
      </c>
      <c r="H371" s="17">
        <f t="shared" ca="1" si="238"/>
        <v>0</v>
      </c>
      <c r="I371" s="13">
        <f t="shared" ca="1" si="238"/>
        <v>0</v>
      </c>
      <c r="J371" s="16"/>
      <c r="K371" s="13">
        <f t="shared" ca="1" si="239"/>
        <v>0</v>
      </c>
      <c r="L371" s="15">
        <f t="shared" ca="1" si="235"/>
        <v>1</v>
      </c>
      <c r="M371" s="15"/>
      <c r="N371" s="15">
        <f t="shared" ca="1" si="234"/>
        <v>0</v>
      </c>
    </row>
    <row r="372" spans="1:14" x14ac:dyDescent="0.4">
      <c r="A372" s="11" t="s">
        <v>7</v>
      </c>
      <c r="B372" s="40">
        <f t="shared" ref="B372:I374" ca="1" si="240">OFFSET(B372,-9,0)</f>
        <v>0</v>
      </c>
      <c r="C372" s="40"/>
      <c r="D372" s="40"/>
      <c r="E372" s="40"/>
      <c r="F372" s="13">
        <f t="shared" ca="1" si="240"/>
        <v>0</v>
      </c>
      <c r="G372" s="17">
        <f t="shared" ca="1" si="240"/>
        <v>0</v>
      </c>
      <c r="H372" s="17">
        <f t="shared" ca="1" si="240"/>
        <v>0</v>
      </c>
      <c r="I372" s="13">
        <f t="shared" ca="1" si="240"/>
        <v>0</v>
      </c>
      <c r="J372" s="16"/>
      <c r="K372" s="13">
        <f t="shared" ref="K372:K374" ca="1" si="241">OFFSET(K372,-9,0)</f>
        <v>0</v>
      </c>
      <c r="L372" s="15">
        <f t="shared" ca="1" si="235"/>
        <v>1</v>
      </c>
      <c r="M372" s="15"/>
      <c r="N372" s="15">
        <f t="shared" ca="1" si="234"/>
        <v>0</v>
      </c>
    </row>
    <row r="373" spans="1:14" x14ac:dyDescent="0.4">
      <c r="A373" s="11" t="s">
        <v>7</v>
      </c>
      <c r="B373" s="40">
        <f t="shared" ca="1" si="240"/>
        <v>0</v>
      </c>
      <c r="C373" s="40"/>
      <c r="D373" s="40"/>
      <c r="E373" s="40"/>
      <c r="F373" s="13">
        <f t="shared" ca="1" si="240"/>
        <v>0</v>
      </c>
      <c r="G373" s="17">
        <f t="shared" ca="1" si="240"/>
        <v>0</v>
      </c>
      <c r="H373" s="17">
        <f t="shared" ca="1" si="240"/>
        <v>0</v>
      </c>
      <c r="I373" s="13">
        <f t="shared" ca="1" si="240"/>
        <v>0</v>
      </c>
      <c r="J373" s="16"/>
      <c r="K373" s="13">
        <f t="shared" ca="1" si="241"/>
        <v>0</v>
      </c>
      <c r="L373" s="15">
        <f t="shared" ca="1" si="235"/>
        <v>1</v>
      </c>
      <c r="M373" s="15"/>
      <c r="N373" s="15">
        <f t="shared" ca="1" si="234"/>
        <v>0</v>
      </c>
    </row>
    <row r="374" spans="1:14" x14ac:dyDescent="0.4">
      <c r="A374" s="11" t="s">
        <v>7</v>
      </c>
      <c r="B374" s="40">
        <f t="shared" ca="1" si="240"/>
        <v>0</v>
      </c>
      <c r="C374" s="40"/>
      <c r="D374" s="40"/>
      <c r="E374" s="40"/>
      <c r="F374" s="13">
        <f t="shared" ca="1" si="240"/>
        <v>0</v>
      </c>
      <c r="G374" s="17">
        <f t="shared" ca="1" si="240"/>
        <v>0</v>
      </c>
      <c r="H374" s="17">
        <f t="shared" ca="1" si="240"/>
        <v>0</v>
      </c>
      <c r="I374" s="13">
        <f t="shared" ca="1" si="240"/>
        <v>0</v>
      </c>
      <c r="J374" s="16"/>
      <c r="K374" s="13">
        <f t="shared" ca="1" si="241"/>
        <v>0</v>
      </c>
      <c r="L374" s="15">
        <f t="shared" ca="1" si="235"/>
        <v>1</v>
      </c>
      <c r="M374" s="15"/>
      <c r="N374" s="15">
        <f t="shared" ca="1" si="234"/>
        <v>0</v>
      </c>
    </row>
    <row r="375" spans="1:14" x14ac:dyDescent="0.4">
      <c r="A375" s="11" t="s">
        <v>8</v>
      </c>
      <c r="B375" s="40">
        <f t="shared" ref="B375:I377" ca="1" si="242">OFFSET(B375,-12,0)</f>
        <v>0</v>
      </c>
      <c r="C375" s="40"/>
      <c r="D375" s="40"/>
      <c r="E375" s="40"/>
      <c r="F375" s="13">
        <f t="shared" ca="1" si="242"/>
        <v>0</v>
      </c>
      <c r="G375" s="17">
        <f t="shared" ca="1" si="242"/>
        <v>0</v>
      </c>
      <c r="H375" s="17">
        <f t="shared" ca="1" si="242"/>
        <v>0</v>
      </c>
      <c r="I375" s="13">
        <f t="shared" ca="1" si="242"/>
        <v>0</v>
      </c>
      <c r="J375" s="16"/>
      <c r="K375" s="13">
        <f t="shared" ref="K375:K377" ca="1" si="243">OFFSET(K375,-12,0)</f>
        <v>0</v>
      </c>
      <c r="L375" s="15">
        <f t="shared" ca="1" si="235"/>
        <v>1</v>
      </c>
      <c r="M375" s="15"/>
      <c r="N375" s="15">
        <f t="shared" ca="1" si="234"/>
        <v>0</v>
      </c>
    </row>
    <row r="376" spans="1:14" x14ac:dyDescent="0.4">
      <c r="A376" s="11" t="s">
        <v>8</v>
      </c>
      <c r="B376" s="40">
        <f t="shared" ca="1" si="242"/>
        <v>0</v>
      </c>
      <c r="C376" s="40"/>
      <c r="D376" s="40"/>
      <c r="E376" s="40"/>
      <c r="F376" s="13">
        <f t="shared" ca="1" si="242"/>
        <v>0</v>
      </c>
      <c r="G376" s="17">
        <f t="shared" ca="1" si="242"/>
        <v>0</v>
      </c>
      <c r="H376" s="17">
        <f t="shared" ca="1" si="242"/>
        <v>0</v>
      </c>
      <c r="I376" s="13">
        <f t="shared" ca="1" si="242"/>
        <v>0</v>
      </c>
      <c r="J376" s="16"/>
      <c r="K376" s="13">
        <f t="shared" ca="1" si="243"/>
        <v>0</v>
      </c>
      <c r="L376" s="15">
        <f t="shared" ca="1" si="235"/>
        <v>1</v>
      </c>
      <c r="M376" s="15"/>
      <c r="N376" s="15">
        <f t="shared" ca="1" si="234"/>
        <v>0</v>
      </c>
    </row>
    <row r="377" spans="1:14" x14ac:dyDescent="0.4">
      <c r="A377" s="11" t="s">
        <v>8</v>
      </c>
      <c r="B377" s="40">
        <f t="shared" ca="1" si="242"/>
        <v>0</v>
      </c>
      <c r="C377" s="40"/>
      <c r="D377" s="40"/>
      <c r="E377" s="40"/>
      <c r="F377" s="13">
        <f t="shared" ca="1" si="242"/>
        <v>0</v>
      </c>
      <c r="G377" s="17">
        <f t="shared" ca="1" si="242"/>
        <v>0</v>
      </c>
      <c r="H377" s="17">
        <f t="shared" ca="1" si="242"/>
        <v>0</v>
      </c>
      <c r="I377" s="13">
        <f t="shared" ca="1" si="242"/>
        <v>0</v>
      </c>
      <c r="J377" s="16"/>
      <c r="K377" s="13">
        <f t="shared" ca="1" si="243"/>
        <v>0</v>
      </c>
      <c r="L377" s="15">
        <f t="shared" ca="1" si="235"/>
        <v>1</v>
      </c>
      <c r="M377" s="15"/>
      <c r="N377" s="15">
        <f t="shared" ca="1" si="234"/>
        <v>0</v>
      </c>
    </row>
    <row r="378" spans="1:14" x14ac:dyDescent="0.4">
      <c r="A378" s="11" t="s">
        <v>9</v>
      </c>
      <c r="B378" s="41">
        <f t="shared" ref="B378:I380" ca="1" si="244">OFFSET(B378,-15,0)</f>
        <v>0</v>
      </c>
      <c r="C378" s="41"/>
      <c r="D378" s="41"/>
      <c r="E378" s="41"/>
      <c r="F378" s="19">
        <f t="shared" ca="1" si="244"/>
        <v>0</v>
      </c>
      <c r="G378" s="20">
        <f t="shared" ca="1" si="244"/>
        <v>0</v>
      </c>
      <c r="H378" s="20">
        <f t="shared" ca="1" si="244"/>
        <v>0</v>
      </c>
      <c r="I378" s="13">
        <f t="shared" ca="1" si="244"/>
        <v>0</v>
      </c>
      <c r="J378" s="16"/>
      <c r="K378" s="19">
        <f t="shared" ref="K378:K380" ca="1" si="245">OFFSET(K378,-15,0)</f>
        <v>0</v>
      </c>
      <c r="L378" s="15">
        <f t="shared" ca="1" si="235"/>
        <v>1</v>
      </c>
      <c r="M378" s="15"/>
      <c r="N378" s="15">
        <f t="shared" ca="1" si="234"/>
        <v>0</v>
      </c>
    </row>
    <row r="379" spans="1:14" x14ac:dyDescent="0.4">
      <c r="A379" s="11" t="s">
        <v>9</v>
      </c>
      <c r="B379" s="41">
        <f t="shared" ca="1" si="244"/>
        <v>0</v>
      </c>
      <c r="C379" s="41"/>
      <c r="D379" s="41"/>
      <c r="E379" s="41"/>
      <c r="F379" s="19">
        <f t="shared" ca="1" si="244"/>
        <v>0</v>
      </c>
      <c r="G379" s="20">
        <f t="shared" ca="1" si="244"/>
        <v>0</v>
      </c>
      <c r="H379" s="20">
        <f t="shared" ca="1" si="244"/>
        <v>0</v>
      </c>
      <c r="I379" s="13">
        <f t="shared" ca="1" si="244"/>
        <v>0</v>
      </c>
      <c r="J379" s="16"/>
      <c r="K379" s="19">
        <f t="shared" ca="1" si="245"/>
        <v>0</v>
      </c>
      <c r="L379" s="15">
        <f t="shared" ca="1" si="235"/>
        <v>1</v>
      </c>
      <c r="M379" s="15"/>
      <c r="N379" s="15">
        <f t="shared" ca="1" si="234"/>
        <v>0</v>
      </c>
    </row>
    <row r="380" spans="1:14" x14ac:dyDescent="0.4">
      <c r="A380" s="11" t="s">
        <v>9</v>
      </c>
      <c r="B380" s="41">
        <f t="shared" ca="1" si="244"/>
        <v>0</v>
      </c>
      <c r="C380" s="41"/>
      <c r="D380" s="41"/>
      <c r="E380" s="41"/>
      <c r="F380" s="19">
        <f t="shared" ca="1" si="244"/>
        <v>0</v>
      </c>
      <c r="G380" s="20">
        <f t="shared" ca="1" si="244"/>
        <v>0</v>
      </c>
      <c r="H380" s="20">
        <f t="shared" ca="1" si="244"/>
        <v>0</v>
      </c>
      <c r="I380" s="13">
        <f t="shared" ca="1" si="244"/>
        <v>0</v>
      </c>
      <c r="J380" s="16"/>
      <c r="K380" s="19">
        <f t="shared" ca="1" si="245"/>
        <v>0</v>
      </c>
      <c r="L380" s="15">
        <f t="shared" ca="1" si="235"/>
        <v>1</v>
      </c>
      <c r="M380" s="15"/>
      <c r="N380" s="15">
        <f t="shared" ca="1" si="234"/>
        <v>0</v>
      </c>
    </row>
    <row r="381" spans="1:14" ht="17.399999999999999" x14ac:dyDescent="0.4">
      <c r="A381" s="77" t="s">
        <v>31</v>
      </c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6"/>
    </row>
    <row r="382" spans="1:14" x14ac:dyDescent="0.4">
      <c r="A382" s="11" t="s">
        <v>5</v>
      </c>
      <c r="B382" s="40"/>
      <c r="C382" s="40"/>
      <c r="D382" s="40"/>
      <c r="E382" s="40"/>
      <c r="F382" s="13"/>
      <c r="G382" s="11"/>
      <c r="H382" s="17"/>
      <c r="I382" s="13"/>
      <c r="J382" s="16"/>
      <c r="K382" s="13"/>
      <c r="L382" s="15">
        <f>ROUND((10^(K382/10))/(10^(I382/10)),3)</f>
        <v>1</v>
      </c>
      <c r="M382" s="15"/>
      <c r="N382" s="15">
        <f t="shared" ref="N382:N399" si="246">J382*L382</f>
        <v>0</v>
      </c>
    </row>
    <row r="383" spans="1:14" x14ac:dyDescent="0.4">
      <c r="A383" s="11" t="s">
        <v>5</v>
      </c>
      <c r="B383" s="40"/>
      <c r="C383" s="40"/>
      <c r="D383" s="40"/>
      <c r="E383" s="40"/>
      <c r="F383" s="13"/>
      <c r="G383" s="11"/>
      <c r="H383" s="17"/>
      <c r="I383" s="13"/>
      <c r="J383" s="16"/>
      <c r="K383" s="13"/>
      <c r="L383" s="15">
        <f t="shared" ref="L383:L399" si="247">ROUND((10^(K383/10))/(10^(I383/10)),3)</f>
        <v>1</v>
      </c>
      <c r="M383" s="15"/>
      <c r="N383" s="15">
        <f t="shared" si="246"/>
        <v>0</v>
      </c>
    </row>
    <row r="384" spans="1:14" x14ac:dyDescent="0.4">
      <c r="A384" s="11" t="s">
        <v>5</v>
      </c>
      <c r="B384" s="40"/>
      <c r="C384" s="40"/>
      <c r="D384" s="40"/>
      <c r="E384" s="40"/>
      <c r="F384" s="13"/>
      <c r="G384" s="11"/>
      <c r="H384" s="17"/>
      <c r="I384" s="13"/>
      <c r="J384" s="16"/>
      <c r="K384" s="13"/>
      <c r="L384" s="15">
        <f t="shared" si="247"/>
        <v>1</v>
      </c>
      <c r="M384" s="15"/>
      <c r="N384" s="15">
        <f t="shared" si="246"/>
        <v>0</v>
      </c>
    </row>
    <row r="385" spans="1:14" x14ac:dyDescent="0.4">
      <c r="A385" s="11" t="s">
        <v>6</v>
      </c>
      <c r="B385" s="41">
        <f t="shared" ref="B385:I387" ca="1" si="248">OFFSET(B385,-3,0)</f>
        <v>0</v>
      </c>
      <c r="C385" s="41"/>
      <c r="D385" s="41"/>
      <c r="E385" s="41"/>
      <c r="F385" s="19">
        <f t="shared" ca="1" si="248"/>
        <v>0</v>
      </c>
      <c r="G385" s="20">
        <f t="shared" ca="1" si="248"/>
        <v>0</v>
      </c>
      <c r="H385" s="20">
        <f t="shared" ca="1" si="248"/>
        <v>0</v>
      </c>
      <c r="I385" s="13">
        <f t="shared" ca="1" si="248"/>
        <v>0</v>
      </c>
      <c r="J385" s="16"/>
      <c r="K385" s="19">
        <f t="shared" ref="K385:K387" ca="1" si="249">OFFSET(K385,-3,0)</f>
        <v>0</v>
      </c>
      <c r="L385" s="15">
        <f t="shared" ca="1" si="247"/>
        <v>1</v>
      </c>
      <c r="M385" s="15"/>
      <c r="N385" s="15">
        <f t="shared" ca="1" si="246"/>
        <v>0</v>
      </c>
    </row>
    <row r="386" spans="1:14" x14ac:dyDescent="0.4">
      <c r="A386" s="11" t="s">
        <v>6</v>
      </c>
      <c r="B386" s="41">
        <f t="shared" ca="1" si="248"/>
        <v>0</v>
      </c>
      <c r="C386" s="41"/>
      <c r="D386" s="41"/>
      <c r="E386" s="41"/>
      <c r="F386" s="19">
        <f t="shared" ca="1" si="248"/>
        <v>0</v>
      </c>
      <c r="G386" s="20">
        <f t="shared" ca="1" si="248"/>
        <v>0</v>
      </c>
      <c r="H386" s="20">
        <f t="shared" ca="1" si="248"/>
        <v>0</v>
      </c>
      <c r="I386" s="13">
        <f t="shared" ca="1" si="248"/>
        <v>0</v>
      </c>
      <c r="J386" s="16"/>
      <c r="K386" s="19">
        <f t="shared" ca="1" si="249"/>
        <v>0</v>
      </c>
      <c r="L386" s="15">
        <f t="shared" ca="1" si="247"/>
        <v>1</v>
      </c>
      <c r="M386" s="15"/>
      <c r="N386" s="15">
        <f t="shared" ca="1" si="246"/>
        <v>0</v>
      </c>
    </row>
    <row r="387" spans="1:14" x14ac:dyDescent="0.4">
      <c r="A387" s="11" t="s">
        <v>6</v>
      </c>
      <c r="B387" s="41">
        <f t="shared" ca="1" si="248"/>
        <v>0</v>
      </c>
      <c r="C387" s="41"/>
      <c r="D387" s="41"/>
      <c r="E387" s="41"/>
      <c r="F387" s="19">
        <f t="shared" ca="1" si="248"/>
        <v>0</v>
      </c>
      <c r="G387" s="20">
        <f t="shared" ca="1" si="248"/>
        <v>0</v>
      </c>
      <c r="H387" s="20">
        <f t="shared" ca="1" si="248"/>
        <v>0</v>
      </c>
      <c r="I387" s="13">
        <f t="shared" ca="1" si="248"/>
        <v>0</v>
      </c>
      <c r="J387" s="16"/>
      <c r="K387" s="19">
        <f t="shared" ca="1" si="249"/>
        <v>0</v>
      </c>
      <c r="L387" s="15">
        <f t="shared" ca="1" si="247"/>
        <v>1</v>
      </c>
      <c r="M387" s="15"/>
      <c r="N387" s="15">
        <f t="shared" ca="1" si="246"/>
        <v>0</v>
      </c>
    </row>
    <row r="388" spans="1:14" x14ac:dyDescent="0.4">
      <c r="A388" s="11" t="s">
        <v>10</v>
      </c>
      <c r="B388" s="40">
        <f t="shared" ref="B388:I390" ca="1" si="250">OFFSET(B388,-6,0)</f>
        <v>0</v>
      </c>
      <c r="C388" s="40"/>
      <c r="D388" s="40"/>
      <c r="E388" s="40"/>
      <c r="F388" s="13">
        <f t="shared" ca="1" si="250"/>
        <v>0</v>
      </c>
      <c r="G388" s="17">
        <f t="shared" ca="1" si="250"/>
        <v>0</v>
      </c>
      <c r="H388" s="17">
        <f t="shared" ca="1" si="250"/>
        <v>0</v>
      </c>
      <c r="I388" s="13">
        <f t="shared" ca="1" si="250"/>
        <v>0</v>
      </c>
      <c r="J388" s="16"/>
      <c r="K388" s="13">
        <f t="shared" ref="K388:K390" ca="1" si="251">OFFSET(K388,-6,0)</f>
        <v>0</v>
      </c>
      <c r="L388" s="15">
        <f t="shared" ca="1" si="247"/>
        <v>1</v>
      </c>
      <c r="M388" s="15"/>
      <c r="N388" s="15">
        <f t="shared" ca="1" si="246"/>
        <v>0</v>
      </c>
    </row>
    <row r="389" spans="1:14" x14ac:dyDescent="0.4">
      <c r="A389" s="11" t="s">
        <v>10</v>
      </c>
      <c r="B389" s="40">
        <f t="shared" ca="1" si="250"/>
        <v>0</v>
      </c>
      <c r="C389" s="40"/>
      <c r="D389" s="40"/>
      <c r="E389" s="40"/>
      <c r="F389" s="13">
        <f t="shared" ca="1" si="250"/>
        <v>0</v>
      </c>
      <c r="G389" s="17">
        <f t="shared" ca="1" si="250"/>
        <v>0</v>
      </c>
      <c r="H389" s="17">
        <f t="shared" ca="1" si="250"/>
        <v>0</v>
      </c>
      <c r="I389" s="13">
        <f t="shared" ca="1" si="250"/>
        <v>0</v>
      </c>
      <c r="J389" s="16"/>
      <c r="K389" s="13">
        <f t="shared" ca="1" si="251"/>
        <v>0</v>
      </c>
      <c r="L389" s="15">
        <f t="shared" ca="1" si="247"/>
        <v>1</v>
      </c>
      <c r="M389" s="15"/>
      <c r="N389" s="15">
        <f t="shared" ca="1" si="246"/>
        <v>0</v>
      </c>
    </row>
    <row r="390" spans="1:14" x14ac:dyDescent="0.4">
      <c r="A390" s="11" t="s">
        <v>10</v>
      </c>
      <c r="B390" s="40">
        <f t="shared" ca="1" si="250"/>
        <v>0</v>
      </c>
      <c r="C390" s="40"/>
      <c r="D390" s="40"/>
      <c r="E390" s="40"/>
      <c r="F390" s="13">
        <f t="shared" ca="1" si="250"/>
        <v>0</v>
      </c>
      <c r="G390" s="17">
        <f t="shared" ca="1" si="250"/>
        <v>0</v>
      </c>
      <c r="H390" s="17">
        <f t="shared" ca="1" si="250"/>
        <v>0</v>
      </c>
      <c r="I390" s="13">
        <f t="shared" ca="1" si="250"/>
        <v>0</v>
      </c>
      <c r="J390" s="16"/>
      <c r="K390" s="13">
        <f t="shared" ca="1" si="251"/>
        <v>0</v>
      </c>
      <c r="L390" s="15">
        <f t="shared" ca="1" si="247"/>
        <v>1</v>
      </c>
      <c r="M390" s="15"/>
      <c r="N390" s="15">
        <f t="shared" ca="1" si="246"/>
        <v>0</v>
      </c>
    </row>
    <row r="391" spans="1:14" x14ac:dyDescent="0.4">
      <c r="A391" s="11" t="s">
        <v>7</v>
      </c>
      <c r="B391" s="40">
        <f t="shared" ref="B391:I393" ca="1" si="252">OFFSET(B391,-9,0)</f>
        <v>0</v>
      </c>
      <c r="C391" s="40"/>
      <c r="D391" s="40"/>
      <c r="E391" s="40"/>
      <c r="F391" s="13">
        <f t="shared" ca="1" si="252"/>
        <v>0</v>
      </c>
      <c r="G391" s="17">
        <f t="shared" ca="1" si="252"/>
        <v>0</v>
      </c>
      <c r="H391" s="17">
        <f t="shared" ca="1" si="252"/>
        <v>0</v>
      </c>
      <c r="I391" s="13">
        <f t="shared" ca="1" si="252"/>
        <v>0</v>
      </c>
      <c r="J391" s="16"/>
      <c r="K391" s="13">
        <f t="shared" ref="K391:K393" ca="1" si="253">OFFSET(K391,-9,0)</f>
        <v>0</v>
      </c>
      <c r="L391" s="15">
        <f t="shared" ca="1" si="247"/>
        <v>1</v>
      </c>
      <c r="M391" s="15"/>
      <c r="N391" s="15">
        <f t="shared" ca="1" si="246"/>
        <v>0</v>
      </c>
    </row>
    <row r="392" spans="1:14" x14ac:dyDescent="0.4">
      <c r="A392" s="11" t="s">
        <v>7</v>
      </c>
      <c r="B392" s="40">
        <f t="shared" ca="1" si="252"/>
        <v>0</v>
      </c>
      <c r="C392" s="40"/>
      <c r="D392" s="40"/>
      <c r="E392" s="40"/>
      <c r="F392" s="13">
        <f t="shared" ca="1" si="252"/>
        <v>0</v>
      </c>
      <c r="G392" s="17">
        <f t="shared" ca="1" si="252"/>
        <v>0</v>
      </c>
      <c r="H392" s="17">
        <f t="shared" ca="1" si="252"/>
        <v>0</v>
      </c>
      <c r="I392" s="13">
        <f t="shared" ca="1" si="252"/>
        <v>0</v>
      </c>
      <c r="J392" s="16"/>
      <c r="K392" s="13">
        <f t="shared" ca="1" si="253"/>
        <v>0</v>
      </c>
      <c r="L392" s="15">
        <f t="shared" ca="1" si="247"/>
        <v>1</v>
      </c>
      <c r="M392" s="15"/>
      <c r="N392" s="15">
        <f t="shared" ca="1" si="246"/>
        <v>0</v>
      </c>
    </row>
    <row r="393" spans="1:14" x14ac:dyDescent="0.4">
      <c r="A393" s="11" t="s">
        <v>7</v>
      </c>
      <c r="B393" s="40">
        <f t="shared" ca="1" si="252"/>
        <v>0</v>
      </c>
      <c r="C393" s="40"/>
      <c r="D393" s="40"/>
      <c r="E393" s="40"/>
      <c r="F393" s="13">
        <f t="shared" ca="1" si="252"/>
        <v>0</v>
      </c>
      <c r="G393" s="17">
        <f t="shared" ca="1" si="252"/>
        <v>0</v>
      </c>
      <c r="H393" s="17">
        <f t="shared" ca="1" si="252"/>
        <v>0</v>
      </c>
      <c r="I393" s="13">
        <f t="shared" ca="1" si="252"/>
        <v>0</v>
      </c>
      <c r="J393" s="16"/>
      <c r="K393" s="13">
        <f t="shared" ca="1" si="253"/>
        <v>0</v>
      </c>
      <c r="L393" s="15">
        <f t="shared" ca="1" si="247"/>
        <v>1</v>
      </c>
      <c r="M393" s="15"/>
      <c r="N393" s="15">
        <f t="shared" ca="1" si="246"/>
        <v>0</v>
      </c>
    </row>
    <row r="394" spans="1:14" x14ac:dyDescent="0.4">
      <c r="A394" s="11" t="s">
        <v>8</v>
      </c>
      <c r="B394" s="40">
        <f t="shared" ref="B394:I396" ca="1" si="254">OFFSET(B394,-12,0)</f>
        <v>0</v>
      </c>
      <c r="C394" s="40"/>
      <c r="D394" s="40"/>
      <c r="E394" s="40"/>
      <c r="F394" s="13">
        <f t="shared" ca="1" si="254"/>
        <v>0</v>
      </c>
      <c r="G394" s="17">
        <f t="shared" ca="1" si="254"/>
        <v>0</v>
      </c>
      <c r="H394" s="17">
        <f t="shared" ca="1" si="254"/>
        <v>0</v>
      </c>
      <c r="I394" s="13">
        <f t="shared" ca="1" si="254"/>
        <v>0</v>
      </c>
      <c r="J394" s="16"/>
      <c r="K394" s="13">
        <f t="shared" ref="K394:K396" ca="1" si="255">OFFSET(K394,-12,0)</f>
        <v>0</v>
      </c>
      <c r="L394" s="15">
        <f t="shared" ca="1" si="247"/>
        <v>1</v>
      </c>
      <c r="M394" s="15"/>
      <c r="N394" s="15">
        <f t="shared" ca="1" si="246"/>
        <v>0</v>
      </c>
    </row>
    <row r="395" spans="1:14" x14ac:dyDescent="0.4">
      <c r="A395" s="11" t="s">
        <v>8</v>
      </c>
      <c r="B395" s="40">
        <f t="shared" ca="1" si="254"/>
        <v>0</v>
      </c>
      <c r="C395" s="40"/>
      <c r="D395" s="40"/>
      <c r="E395" s="40"/>
      <c r="F395" s="13">
        <f t="shared" ca="1" si="254"/>
        <v>0</v>
      </c>
      <c r="G395" s="17">
        <f t="shared" ca="1" si="254"/>
        <v>0</v>
      </c>
      <c r="H395" s="17">
        <f t="shared" ca="1" si="254"/>
        <v>0</v>
      </c>
      <c r="I395" s="13">
        <f t="shared" ca="1" si="254"/>
        <v>0</v>
      </c>
      <c r="J395" s="16"/>
      <c r="K395" s="13">
        <f t="shared" ca="1" si="255"/>
        <v>0</v>
      </c>
      <c r="L395" s="15">
        <f t="shared" ca="1" si="247"/>
        <v>1</v>
      </c>
      <c r="M395" s="15"/>
      <c r="N395" s="15">
        <f t="shared" ca="1" si="246"/>
        <v>0</v>
      </c>
    </row>
    <row r="396" spans="1:14" x14ac:dyDescent="0.4">
      <c r="A396" s="11" t="s">
        <v>8</v>
      </c>
      <c r="B396" s="40">
        <f t="shared" ca="1" si="254"/>
        <v>0</v>
      </c>
      <c r="C396" s="40"/>
      <c r="D396" s="40"/>
      <c r="E396" s="40"/>
      <c r="F396" s="13">
        <f t="shared" ca="1" si="254"/>
        <v>0</v>
      </c>
      <c r="G396" s="17">
        <f t="shared" ca="1" si="254"/>
        <v>0</v>
      </c>
      <c r="H396" s="17">
        <f t="shared" ca="1" si="254"/>
        <v>0</v>
      </c>
      <c r="I396" s="13">
        <f t="shared" ca="1" si="254"/>
        <v>0</v>
      </c>
      <c r="J396" s="16"/>
      <c r="K396" s="13">
        <f t="shared" ca="1" si="255"/>
        <v>0</v>
      </c>
      <c r="L396" s="15">
        <f t="shared" ca="1" si="247"/>
        <v>1</v>
      </c>
      <c r="M396" s="15"/>
      <c r="N396" s="15">
        <f t="shared" ca="1" si="246"/>
        <v>0</v>
      </c>
    </row>
    <row r="397" spans="1:14" x14ac:dyDescent="0.4">
      <c r="A397" s="11" t="s">
        <v>9</v>
      </c>
      <c r="B397" s="41">
        <f t="shared" ref="B397:I399" ca="1" si="256">OFFSET(B397,-15,0)</f>
        <v>0</v>
      </c>
      <c r="C397" s="41"/>
      <c r="D397" s="41"/>
      <c r="E397" s="41"/>
      <c r="F397" s="19">
        <f t="shared" ca="1" si="256"/>
        <v>0</v>
      </c>
      <c r="G397" s="20">
        <f t="shared" ca="1" si="256"/>
        <v>0</v>
      </c>
      <c r="H397" s="20">
        <f t="shared" ca="1" si="256"/>
        <v>0</v>
      </c>
      <c r="I397" s="13">
        <f t="shared" ca="1" si="256"/>
        <v>0</v>
      </c>
      <c r="J397" s="16"/>
      <c r="K397" s="19">
        <f t="shared" ref="K397:K399" ca="1" si="257">OFFSET(K397,-15,0)</f>
        <v>0</v>
      </c>
      <c r="L397" s="15">
        <f t="shared" ca="1" si="247"/>
        <v>1</v>
      </c>
      <c r="M397" s="15"/>
      <c r="N397" s="15">
        <f t="shared" ca="1" si="246"/>
        <v>0</v>
      </c>
    </row>
    <row r="398" spans="1:14" x14ac:dyDescent="0.4">
      <c r="A398" s="11" t="s">
        <v>9</v>
      </c>
      <c r="B398" s="41">
        <f t="shared" ca="1" si="256"/>
        <v>0</v>
      </c>
      <c r="C398" s="41"/>
      <c r="D398" s="41"/>
      <c r="E398" s="41"/>
      <c r="F398" s="19">
        <f t="shared" ca="1" si="256"/>
        <v>0</v>
      </c>
      <c r="G398" s="20">
        <f t="shared" ca="1" si="256"/>
        <v>0</v>
      </c>
      <c r="H398" s="20">
        <f t="shared" ca="1" si="256"/>
        <v>0</v>
      </c>
      <c r="I398" s="13">
        <f t="shared" ca="1" si="256"/>
        <v>0</v>
      </c>
      <c r="J398" s="16"/>
      <c r="K398" s="19">
        <f t="shared" ca="1" si="257"/>
        <v>0</v>
      </c>
      <c r="L398" s="15">
        <f t="shared" ca="1" si="247"/>
        <v>1</v>
      </c>
      <c r="M398" s="15"/>
      <c r="N398" s="15">
        <f t="shared" ca="1" si="246"/>
        <v>0</v>
      </c>
    </row>
    <row r="399" spans="1:14" x14ac:dyDescent="0.4">
      <c r="A399" s="11" t="s">
        <v>9</v>
      </c>
      <c r="B399" s="41">
        <f t="shared" ca="1" si="256"/>
        <v>0</v>
      </c>
      <c r="C399" s="41"/>
      <c r="D399" s="41"/>
      <c r="E399" s="41"/>
      <c r="F399" s="19">
        <f t="shared" ca="1" si="256"/>
        <v>0</v>
      </c>
      <c r="G399" s="20">
        <f t="shared" ca="1" si="256"/>
        <v>0</v>
      </c>
      <c r="H399" s="20">
        <f t="shared" ca="1" si="256"/>
        <v>0</v>
      </c>
      <c r="I399" s="13">
        <f t="shared" ca="1" si="256"/>
        <v>0</v>
      </c>
      <c r="J399" s="16"/>
      <c r="K399" s="19">
        <f t="shared" ca="1" si="257"/>
        <v>0</v>
      </c>
      <c r="L399" s="15">
        <f t="shared" ca="1" si="247"/>
        <v>1</v>
      </c>
      <c r="M399" s="15"/>
      <c r="N399" s="15">
        <f t="shared" ca="1" si="246"/>
        <v>0</v>
      </c>
    </row>
    <row r="400" spans="1:14" ht="17.399999999999999" x14ac:dyDescent="0.4">
      <c r="A400" s="77" t="s">
        <v>23</v>
      </c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6"/>
    </row>
    <row r="401" spans="1:14" x14ac:dyDescent="0.4">
      <c r="A401" s="11" t="str">
        <f ca="1">INDEX(A249:A399, MATCH(MAX(N249:N399), N249:N399, 0), 0)</f>
        <v>Front</v>
      </c>
      <c r="B401" s="40">
        <f ca="1">INDEX(B249:B399, MATCH(MAX(N249:N399), N249:N399, 0), 0)</f>
        <v>0</v>
      </c>
      <c r="C401" s="40"/>
      <c r="D401" s="40"/>
      <c r="E401" s="40"/>
      <c r="F401" s="13">
        <f ca="1">INDEX(F249:F399, MATCH(MAX(N249:N399), N249:N399, 0), 0)</f>
        <v>0</v>
      </c>
      <c r="G401" s="11">
        <f ca="1">INDEX(G249:G399, MATCH(MAX(N249:N399), N249:N399, 0), 0)</f>
        <v>0</v>
      </c>
      <c r="H401" s="17">
        <f ca="1">INDEX(H249:H399, MATCH(MAX(N249:N399), N249:N399, 0), 0)</f>
        <v>0</v>
      </c>
      <c r="I401" s="13">
        <f ca="1">INDEX(I249:I399, MATCH(MAX(N249:N399), N249:N399, 0), 0)</f>
        <v>0</v>
      </c>
      <c r="J401" s="16"/>
      <c r="K401" s="13">
        <f ca="1">INDEX(K249:K399, MATCH(MAX(N249:N399), N249:N399, 0), 0)</f>
        <v>0</v>
      </c>
      <c r="L401" s="15">
        <f ca="1">ROUND((10^(K401/10))/(10^(I401/10)),3)</f>
        <v>1</v>
      </c>
      <c r="M401" s="15"/>
      <c r="N401" s="15">
        <f t="shared" ref="N401" ca="1" si="258">J401*L401</f>
        <v>0</v>
      </c>
    </row>
    <row r="402" spans="1:14" x14ac:dyDescent="0.4">
      <c r="A402" s="11"/>
      <c r="B402" s="40"/>
      <c r="C402" s="40"/>
      <c r="D402" s="40"/>
      <c r="E402" s="40"/>
      <c r="F402" s="13"/>
      <c r="G402" s="11"/>
      <c r="H402" s="17"/>
      <c r="I402" s="13"/>
      <c r="J402" s="16"/>
      <c r="K402" s="13"/>
      <c r="L402" s="15"/>
      <c r="M402" s="15"/>
      <c r="N402" s="15"/>
    </row>
    <row r="403" spans="1:14" x14ac:dyDescent="0.4">
      <c r="A403" s="11"/>
      <c r="B403" s="40"/>
      <c r="C403" s="40"/>
      <c r="D403" s="40"/>
      <c r="E403" s="40"/>
      <c r="F403" s="13"/>
      <c r="G403" s="11"/>
      <c r="H403" s="17"/>
      <c r="I403" s="13"/>
      <c r="J403" s="16"/>
      <c r="K403" s="13"/>
      <c r="L403" s="15"/>
      <c r="M403" s="15"/>
      <c r="N403" s="15"/>
    </row>
    <row r="404" spans="1:14" x14ac:dyDescent="0.4">
      <c r="A404" s="11"/>
      <c r="B404" s="41"/>
      <c r="C404" s="41"/>
      <c r="D404" s="41"/>
      <c r="E404" s="41"/>
      <c r="F404" s="19"/>
      <c r="G404" s="11"/>
      <c r="H404" s="20"/>
      <c r="I404" s="19"/>
      <c r="J404" s="16"/>
      <c r="K404" s="19"/>
      <c r="L404" s="15"/>
      <c r="M404" s="15"/>
      <c r="N404" s="15"/>
    </row>
    <row r="405" spans="1:14" x14ac:dyDescent="0.4">
      <c r="A405" s="11"/>
      <c r="B405" s="41"/>
      <c r="C405" s="41"/>
      <c r="D405" s="41"/>
      <c r="E405" s="41"/>
      <c r="F405" s="19"/>
      <c r="G405" s="11"/>
      <c r="H405" s="20"/>
      <c r="I405" s="19"/>
      <c r="J405" s="16"/>
      <c r="K405" s="19"/>
      <c r="L405" s="15"/>
      <c r="M405" s="15"/>
      <c r="N405" s="15"/>
    </row>
    <row r="406" spans="1:14" x14ac:dyDescent="0.4">
      <c r="A406" s="11"/>
      <c r="B406" s="41"/>
      <c r="C406" s="41"/>
      <c r="D406" s="41"/>
      <c r="E406" s="41"/>
      <c r="F406" s="19"/>
      <c r="G406" s="11"/>
      <c r="H406" s="20"/>
      <c r="I406" s="19"/>
      <c r="J406" s="16"/>
      <c r="K406" s="19"/>
      <c r="L406" s="15"/>
      <c r="M406" s="15"/>
      <c r="N406" s="15"/>
    </row>
    <row r="407" spans="1:14" x14ac:dyDescent="0.4">
      <c r="A407" s="11"/>
      <c r="B407" s="40"/>
      <c r="C407" s="40"/>
      <c r="D407" s="40"/>
      <c r="E407" s="40"/>
      <c r="F407" s="13"/>
      <c r="G407" s="11"/>
      <c r="H407" s="17"/>
      <c r="I407" s="13"/>
      <c r="J407" s="16"/>
      <c r="K407" s="13"/>
      <c r="L407" s="15"/>
      <c r="M407" s="15"/>
      <c r="N407" s="15"/>
    </row>
    <row r="408" spans="1:14" x14ac:dyDescent="0.4">
      <c r="A408" s="11"/>
      <c r="B408" s="40"/>
      <c r="C408" s="40"/>
      <c r="D408" s="40"/>
      <c r="E408" s="40"/>
      <c r="F408" s="13"/>
      <c r="G408" s="11"/>
      <c r="H408" s="17"/>
      <c r="I408" s="13"/>
      <c r="J408" s="16"/>
      <c r="K408" s="13"/>
      <c r="L408" s="15"/>
      <c r="M408" s="15"/>
      <c r="N408" s="15"/>
    </row>
    <row r="409" spans="1:14" x14ac:dyDescent="0.4">
      <c r="A409" s="11"/>
      <c r="B409" s="40"/>
      <c r="C409" s="40"/>
      <c r="D409" s="40"/>
      <c r="E409" s="40"/>
      <c r="F409" s="13"/>
      <c r="G409" s="11"/>
      <c r="H409" s="17"/>
      <c r="I409" s="13"/>
      <c r="J409" s="16"/>
      <c r="K409" s="13"/>
      <c r="L409" s="15"/>
      <c r="M409" s="15"/>
      <c r="N409" s="15"/>
    </row>
    <row r="410" spans="1:14" x14ac:dyDescent="0.4">
      <c r="A410" s="11"/>
      <c r="B410" s="40"/>
      <c r="C410" s="40"/>
      <c r="D410" s="40"/>
      <c r="E410" s="40"/>
      <c r="F410" s="13"/>
      <c r="G410" s="11"/>
      <c r="H410" s="17"/>
      <c r="I410" s="13"/>
      <c r="J410" s="16"/>
      <c r="K410" s="13"/>
      <c r="L410" s="15"/>
      <c r="M410" s="15"/>
      <c r="N410" s="15"/>
    </row>
    <row r="411" spans="1:14" x14ac:dyDescent="0.4">
      <c r="A411" s="11"/>
      <c r="B411" s="40"/>
      <c r="C411" s="40"/>
      <c r="D411" s="40"/>
      <c r="E411" s="40"/>
      <c r="F411" s="13"/>
      <c r="G411" s="11"/>
      <c r="H411" s="17"/>
      <c r="I411" s="13"/>
      <c r="J411" s="16"/>
      <c r="K411" s="13"/>
      <c r="L411" s="15"/>
      <c r="M411" s="15"/>
      <c r="N411" s="15"/>
    </row>
    <row r="412" spans="1:14" x14ac:dyDescent="0.4">
      <c r="A412" s="11"/>
      <c r="B412" s="40"/>
      <c r="C412" s="40"/>
      <c r="D412" s="40"/>
      <c r="E412" s="40"/>
      <c r="F412" s="13"/>
      <c r="G412" s="11"/>
      <c r="H412" s="17"/>
      <c r="I412" s="13"/>
      <c r="J412" s="16"/>
      <c r="K412" s="13"/>
      <c r="L412" s="15"/>
      <c r="M412" s="15"/>
      <c r="N412" s="15"/>
    </row>
    <row r="413" spans="1:14" x14ac:dyDescent="0.4">
      <c r="A413" s="11"/>
      <c r="B413" s="40"/>
      <c r="C413" s="40"/>
      <c r="D413" s="40"/>
      <c r="E413" s="40"/>
      <c r="F413" s="13"/>
      <c r="G413" s="11"/>
      <c r="H413" s="17"/>
      <c r="I413" s="13"/>
      <c r="J413" s="16"/>
      <c r="K413" s="13"/>
      <c r="L413" s="15"/>
      <c r="M413" s="15"/>
      <c r="N413" s="15"/>
    </row>
    <row r="414" spans="1:14" x14ac:dyDescent="0.4">
      <c r="A414" s="11"/>
      <c r="B414" s="40"/>
      <c r="C414" s="40"/>
      <c r="D414" s="40"/>
      <c r="E414" s="40"/>
      <c r="F414" s="13"/>
      <c r="G414" s="11"/>
      <c r="H414" s="17"/>
      <c r="I414" s="13"/>
      <c r="J414" s="16"/>
      <c r="K414" s="13"/>
      <c r="L414" s="15"/>
      <c r="M414" s="15"/>
      <c r="N414" s="15"/>
    </row>
    <row r="415" spans="1:14" x14ac:dyDescent="0.4">
      <c r="A415" s="11"/>
      <c r="B415" s="40"/>
      <c r="C415" s="40"/>
      <c r="D415" s="40"/>
      <c r="E415" s="40"/>
      <c r="F415" s="13"/>
      <c r="G415" s="11"/>
      <c r="H415" s="17"/>
      <c r="I415" s="13"/>
      <c r="J415" s="16"/>
      <c r="K415" s="13"/>
      <c r="L415" s="15"/>
      <c r="M415" s="15"/>
      <c r="N415" s="15"/>
    </row>
    <row r="416" spans="1:14" x14ac:dyDescent="0.4">
      <c r="A416" s="11"/>
      <c r="B416" s="41"/>
      <c r="C416" s="41"/>
      <c r="D416" s="41"/>
      <c r="E416" s="41"/>
      <c r="F416" s="19"/>
      <c r="G416" s="11"/>
      <c r="H416" s="20"/>
      <c r="I416" s="19"/>
      <c r="J416" s="16"/>
      <c r="K416" s="19"/>
      <c r="L416" s="15"/>
      <c r="M416" s="15"/>
      <c r="N416" s="15"/>
    </row>
    <row r="417" spans="1:14" x14ac:dyDescent="0.4">
      <c r="A417" s="11"/>
      <c r="B417" s="41"/>
      <c r="C417" s="41"/>
      <c r="D417" s="41"/>
      <c r="E417" s="41"/>
      <c r="F417" s="19"/>
      <c r="G417" s="11"/>
      <c r="H417" s="20"/>
      <c r="I417" s="19"/>
      <c r="J417" s="16"/>
      <c r="K417" s="19"/>
      <c r="L417" s="15"/>
      <c r="M417" s="15"/>
      <c r="N417" s="15"/>
    </row>
    <row r="418" spans="1:14" x14ac:dyDescent="0.4">
      <c r="A418" s="11"/>
      <c r="B418" s="41"/>
      <c r="C418" s="41"/>
      <c r="D418" s="41"/>
      <c r="E418" s="41"/>
      <c r="F418" s="19"/>
      <c r="G418" s="11"/>
      <c r="H418" s="20"/>
      <c r="I418" s="19"/>
      <c r="J418" s="16"/>
      <c r="K418" s="19"/>
      <c r="L418" s="15"/>
      <c r="M418" s="15"/>
      <c r="N418" s="15"/>
    </row>
    <row r="419" spans="1:14" ht="17.399999999999999" x14ac:dyDescent="0.4">
      <c r="A419" s="77" t="s">
        <v>24</v>
      </c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6"/>
    </row>
    <row r="420" spans="1:14" x14ac:dyDescent="0.4">
      <c r="A420" s="11" t="str">
        <f ca="1">INDEX(A249:A399, MATCH(MAX(N249:N399), N249:N399, 0), 0)</f>
        <v>Front</v>
      </c>
      <c r="B420" s="40">
        <f ca="1">INDEX(B249:B399, MATCH(MAX(N249:N399), N249:N399, 0), 0)</f>
        <v>0</v>
      </c>
      <c r="C420" s="40"/>
      <c r="D420" s="40"/>
      <c r="E420" s="40"/>
      <c r="F420" s="13">
        <f ca="1">INDEX(F249:F399, MATCH(MAX(N249:N399), N249:N399, 0), 0)</f>
        <v>0</v>
      </c>
      <c r="G420" s="11">
        <f ca="1">INDEX(G249:G399, MATCH(MAX(N249:N399), N249:N399, 0), 0)</f>
        <v>0</v>
      </c>
      <c r="H420" s="17">
        <f ca="1">INDEX(H249:H399, MATCH(MAX(N249:N399), N249:N399, 0), 0)</f>
        <v>0</v>
      </c>
      <c r="I420" s="13">
        <f ca="1">INDEX(I249:I399, MATCH(MAX(N249:N399), N249:N399, 0), 0)</f>
        <v>0</v>
      </c>
      <c r="J420" s="16"/>
      <c r="K420" s="13">
        <f ca="1">INDEX(K249:K399, MATCH(MAX(N249:N399), N249:N399, 0), 0)</f>
        <v>0</v>
      </c>
      <c r="L420" s="15">
        <f ca="1">ROUND((10^(K420/10))/(10^(I420/10)),3)</f>
        <v>1</v>
      </c>
      <c r="M420" s="15"/>
      <c r="N420" s="15">
        <f t="shared" ref="N420" ca="1" si="259">J420*L420</f>
        <v>0</v>
      </c>
    </row>
    <row r="421" spans="1:14" x14ac:dyDescent="0.4">
      <c r="A421" s="11"/>
      <c r="B421" s="40"/>
      <c r="C421" s="40"/>
      <c r="D421" s="40"/>
      <c r="E421" s="40"/>
      <c r="F421" s="13"/>
      <c r="G421" s="11"/>
      <c r="H421" s="17"/>
      <c r="I421" s="13"/>
      <c r="J421" s="16"/>
      <c r="K421" s="13"/>
      <c r="L421" s="15"/>
      <c r="M421" s="15"/>
      <c r="N421" s="52"/>
    </row>
    <row r="422" spans="1:14" x14ac:dyDescent="0.4">
      <c r="A422" s="11"/>
      <c r="B422" s="40"/>
      <c r="C422" s="40"/>
      <c r="D422" s="40"/>
      <c r="E422" s="40"/>
      <c r="F422" s="13"/>
      <c r="G422" s="11"/>
      <c r="H422" s="17"/>
      <c r="I422" s="13"/>
      <c r="J422" s="16"/>
      <c r="K422" s="13"/>
      <c r="L422" s="15"/>
      <c r="M422" s="15"/>
      <c r="N422" s="52"/>
    </row>
    <row r="423" spans="1:14" x14ac:dyDescent="0.4">
      <c r="A423" s="11"/>
      <c r="B423" s="41"/>
      <c r="C423" s="41"/>
      <c r="D423" s="41"/>
      <c r="E423" s="41"/>
      <c r="F423" s="19"/>
      <c r="G423" s="11"/>
      <c r="H423" s="20"/>
      <c r="I423" s="19"/>
      <c r="J423" s="16"/>
      <c r="K423" s="19"/>
      <c r="L423" s="15"/>
      <c r="M423" s="15"/>
      <c r="N423" s="52"/>
    </row>
    <row r="424" spans="1:14" x14ac:dyDescent="0.4">
      <c r="A424" s="11"/>
      <c r="B424" s="41"/>
      <c r="C424" s="41"/>
      <c r="D424" s="41"/>
      <c r="E424" s="41"/>
      <c r="F424" s="19"/>
      <c r="G424" s="11"/>
      <c r="H424" s="20"/>
      <c r="I424" s="19"/>
      <c r="J424" s="16"/>
      <c r="K424" s="19"/>
      <c r="L424" s="15"/>
      <c r="M424" s="15"/>
      <c r="N424" s="52"/>
    </row>
    <row r="425" spans="1:14" x14ac:dyDescent="0.4">
      <c r="A425" s="11"/>
      <c r="B425" s="41"/>
      <c r="C425" s="41"/>
      <c r="D425" s="41"/>
      <c r="E425" s="41"/>
      <c r="F425" s="19"/>
      <c r="G425" s="11"/>
      <c r="H425" s="20"/>
      <c r="I425" s="19"/>
      <c r="J425" s="16"/>
      <c r="K425" s="19"/>
      <c r="L425" s="15"/>
      <c r="M425" s="15"/>
      <c r="N425" s="52"/>
    </row>
    <row r="426" spans="1:14" x14ac:dyDescent="0.4">
      <c r="A426" s="11"/>
      <c r="B426" s="40"/>
      <c r="C426" s="40"/>
      <c r="D426" s="40"/>
      <c r="E426" s="40"/>
      <c r="F426" s="13"/>
      <c r="G426" s="11"/>
      <c r="H426" s="17"/>
      <c r="I426" s="13"/>
      <c r="J426" s="16"/>
      <c r="K426" s="13"/>
      <c r="L426" s="15"/>
      <c r="M426" s="15"/>
      <c r="N426" s="52"/>
    </row>
    <row r="427" spans="1:14" x14ac:dyDescent="0.4">
      <c r="A427" s="11"/>
      <c r="B427" s="40"/>
      <c r="C427" s="40"/>
      <c r="D427" s="40"/>
      <c r="E427" s="40"/>
      <c r="F427" s="13"/>
      <c r="G427" s="11"/>
      <c r="H427" s="17"/>
      <c r="I427" s="13"/>
      <c r="J427" s="16"/>
      <c r="K427" s="13"/>
      <c r="L427" s="15"/>
      <c r="M427" s="15"/>
      <c r="N427" s="52"/>
    </row>
    <row r="428" spans="1:14" x14ac:dyDescent="0.4">
      <c r="A428" s="11"/>
      <c r="B428" s="40"/>
      <c r="C428" s="40"/>
      <c r="D428" s="40"/>
      <c r="E428" s="40"/>
      <c r="F428" s="13"/>
      <c r="G428" s="11"/>
      <c r="H428" s="17"/>
      <c r="I428" s="13"/>
      <c r="J428" s="16"/>
      <c r="K428" s="13"/>
      <c r="L428" s="15"/>
      <c r="M428" s="15"/>
      <c r="N428" s="52"/>
    </row>
    <row r="429" spans="1:14" x14ac:dyDescent="0.4">
      <c r="A429" s="11"/>
      <c r="B429" s="40"/>
      <c r="C429" s="40"/>
      <c r="D429" s="40"/>
      <c r="E429" s="40"/>
      <c r="F429" s="13"/>
      <c r="G429" s="11"/>
      <c r="H429" s="17"/>
      <c r="I429" s="13"/>
      <c r="J429" s="16"/>
      <c r="K429" s="13"/>
      <c r="L429" s="15"/>
      <c r="M429" s="15"/>
      <c r="N429" s="52"/>
    </row>
    <row r="430" spans="1:14" x14ac:dyDescent="0.4">
      <c r="A430" s="11"/>
      <c r="B430" s="40"/>
      <c r="C430" s="40"/>
      <c r="D430" s="40"/>
      <c r="E430" s="40"/>
      <c r="F430" s="13"/>
      <c r="G430" s="11"/>
      <c r="H430" s="17"/>
      <c r="I430" s="13"/>
      <c r="J430" s="16"/>
      <c r="K430" s="13"/>
      <c r="L430" s="15"/>
      <c r="M430" s="15"/>
      <c r="N430" s="52"/>
    </row>
    <row r="431" spans="1:14" x14ac:dyDescent="0.4">
      <c r="A431" s="11"/>
      <c r="B431" s="40"/>
      <c r="C431" s="40"/>
      <c r="D431" s="40"/>
      <c r="E431" s="40"/>
      <c r="F431" s="13"/>
      <c r="G431" s="11"/>
      <c r="H431" s="17"/>
      <c r="I431" s="13"/>
      <c r="J431" s="16"/>
      <c r="K431" s="13"/>
      <c r="L431" s="15"/>
      <c r="M431" s="15"/>
      <c r="N431" s="52"/>
    </row>
    <row r="432" spans="1:14" x14ac:dyDescent="0.4">
      <c r="A432" s="11"/>
      <c r="B432" s="40"/>
      <c r="C432" s="40"/>
      <c r="D432" s="40"/>
      <c r="E432" s="40"/>
      <c r="F432" s="13"/>
      <c r="G432" s="11"/>
      <c r="H432" s="17"/>
      <c r="I432" s="13"/>
      <c r="J432" s="16"/>
      <c r="K432" s="13"/>
      <c r="L432" s="15"/>
      <c r="M432" s="15"/>
      <c r="N432" s="52"/>
    </row>
    <row r="433" spans="1:14" x14ac:dyDescent="0.4">
      <c r="A433" s="11"/>
      <c r="B433" s="40"/>
      <c r="C433" s="40"/>
      <c r="D433" s="40"/>
      <c r="E433" s="40"/>
      <c r="F433" s="13"/>
      <c r="G433" s="11"/>
      <c r="H433" s="17"/>
      <c r="I433" s="13"/>
      <c r="J433" s="16"/>
      <c r="K433" s="13"/>
      <c r="L433" s="15"/>
      <c r="M433" s="15"/>
      <c r="N433" s="52"/>
    </row>
    <row r="434" spans="1:14" x14ac:dyDescent="0.4">
      <c r="A434" s="11"/>
      <c r="B434" s="40"/>
      <c r="C434" s="40"/>
      <c r="D434" s="40"/>
      <c r="E434" s="40"/>
      <c r="F434" s="13"/>
      <c r="G434" s="11"/>
      <c r="H434" s="17"/>
      <c r="I434" s="13"/>
      <c r="J434" s="16"/>
      <c r="K434" s="13"/>
      <c r="L434" s="15"/>
      <c r="M434" s="15"/>
      <c r="N434" s="52"/>
    </row>
    <row r="435" spans="1:14" x14ac:dyDescent="0.4">
      <c r="A435" s="11"/>
      <c r="B435" s="41"/>
      <c r="C435" s="41"/>
      <c r="D435" s="41"/>
      <c r="E435" s="41"/>
      <c r="F435" s="19"/>
      <c r="G435" s="11"/>
      <c r="H435" s="20"/>
      <c r="I435" s="19"/>
      <c r="J435" s="16"/>
      <c r="K435" s="19"/>
      <c r="L435" s="15"/>
      <c r="M435" s="15"/>
      <c r="N435" s="52"/>
    </row>
    <row r="436" spans="1:14" x14ac:dyDescent="0.4">
      <c r="A436" s="11"/>
      <c r="B436" s="41"/>
      <c r="C436" s="41"/>
      <c r="D436" s="41"/>
      <c r="E436" s="41"/>
      <c r="F436" s="19"/>
      <c r="G436" s="11"/>
      <c r="H436" s="20"/>
      <c r="I436" s="19"/>
      <c r="J436" s="16"/>
      <c r="K436" s="19"/>
      <c r="L436" s="15"/>
      <c r="M436" s="15"/>
      <c r="N436" s="52"/>
    </row>
    <row r="437" spans="1:14" x14ac:dyDescent="0.4">
      <c r="A437" s="11"/>
      <c r="B437" s="41"/>
      <c r="C437" s="41"/>
      <c r="D437" s="41"/>
      <c r="E437" s="41"/>
      <c r="F437" s="19"/>
      <c r="G437" s="11"/>
      <c r="H437" s="20"/>
      <c r="I437" s="19"/>
      <c r="J437" s="16"/>
      <c r="K437" s="19"/>
      <c r="L437" s="15"/>
      <c r="M437" s="15"/>
      <c r="N437" s="52"/>
    </row>
    <row r="440" spans="1:14" x14ac:dyDescent="0.4">
      <c r="A440" s="58" t="s">
        <v>156</v>
      </c>
      <c r="B440" s="59"/>
      <c r="C440" s="59"/>
      <c r="D440" s="59"/>
      <c r="E440" s="59"/>
      <c r="F440" s="59"/>
      <c r="G440" s="59"/>
      <c r="H440" s="60"/>
      <c r="I440" s="54" t="s">
        <v>3</v>
      </c>
      <c r="J440" s="54"/>
      <c r="K440" s="54"/>
      <c r="L440" s="7"/>
      <c r="M440" s="7"/>
      <c r="N440" s="8"/>
    </row>
    <row r="441" spans="1:14" x14ac:dyDescent="0.4">
      <c r="A441" s="61"/>
      <c r="B441" s="62"/>
      <c r="C441" s="62"/>
      <c r="D441" s="62"/>
      <c r="E441" s="62"/>
      <c r="F441" s="62"/>
      <c r="G441" s="62"/>
      <c r="H441" s="63"/>
      <c r="I441" s="54" t="s">
        <v>4</v>
      </c>
      <c r="J441" s="54"/>
      <c r="K441" s="54"/>
      <c r="L441" s="7"/>
      <c r="M441" s="7"/>
      <c r="N441" s="8"/>
    </row>
    <row r="442" spans="1:14" x14ac:dyDescent="0.4">
      <c r="A442" s="64"/>
      <c r="B442" s="65"/>
      <c r="C442" s="65"/>
      <c r="D442" s="65"/>
      <c r="E442" s="65"/>
      <c r="F442" s="65"/>
      <c r="G442" s="65"/>
      <c r="H442" s="66"/>
      <c r="I442" s="54" t="s">
        <v>0</v>
      </c>
      <c r="J442" s="54"/>
      <c r="K442" s="54"/>
      <c r="L442" s="9"/>
      <c r="M442" s="9"/>
      <c r="N442" s="8"/>
    </row>
    <row r="443" spans="1:14" x14ac:dyDescent="0.4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8"/>
    </row>
    <row r="444" spans="1:14" x14ac:dyDescent="0.4">
      <c r="A444" s="53" t="s">
        <v>14</v>
      </c>
      <c r="B444" s="55" t="s">
        <v>34</v>
      </c>
      <c r="C444" s="71" t="s">
        <v>152</v>
      </c>
      <c r="D444" s="71" t="s">
        <v>153</v>
      </c>
      <c r="E444" s="71" t="s">
        <v>145</v>
      </c>
      <c r="F444" s="53" t="s">
        <v>1</v>
      </c>
      <c r="G444" s="53"/>
      <c r="H444" s="57" t="s">
        <v>15</v>
      </c>
      <c r="I444" s="57" t="s">
        <v>16</v>
      </c>
      <c r="J444" s="53" t="s">
        <v>17</v>
      </c>
      <c r="K444" s="67" t="s">
        <v>84</v>
      </c>
      <c r="L444" s="68"/>
      <c r="M444" s="53" t="s">
        <v>20</v>
      </c>
      <c r="N444" s="8"/>
    </row>
    <row r="445" spans="1:14" x14ac:dyDescent="0.4">
      <c r="A445" s="53"/>
      <c r="B445" s="55"/>
      <c r="C445" s="72"/>
      <c r="D445" s="72"/>
      <c r="E445" s="72"/>
      <c r="F445" s="53" t="s">
        <v>18</v>
      </c>
      <c r="G445" s="53" t="s">
        <v>2</v>
      </c>
      <c r="H445" s="57"/>
      <c r="I445" s="57"/>
      <c r="J445" s="53"/>
      <c r="K445" s="69"/>
      <c r="L445" s="70"/>
      <c r="M445" s="53"/>
      <c r="N445" s="8"/>
    </row>
    <row r="446" spans="1:14" x14ac:dyDescent="0.4">
      <c r="A446" s="53"/>
      <c r="B446" s="56"/>
      <c r="C446" s="73"/>
      <c r="D446" s="73"/>
      <c r="E446" s="73"/>
      <c r="F446" s="53"/>
      <c r="G446" s="53"/>
      <c r="H446" s="57"/>
      <c r="I446" s="57"/>
      <c r="J446" s="53"/>
      <c r="K446" s="42" t="s">
        <v>85</v>
      </c>
      <c r="L446" s="42" t="s">
        <v>86</v>
      </c>
      <c r="M446" s="53"/>
      <c r="N446" s="8"/>
    </row>
    <row r="447" spans="1:14" x14ac:dyDescent="0.4">
      <c r="A447" s="11" t="s">
        <v>11</v>
      </c>
      <c r="B447" s="40"/>
      <c r="C447" s="40"/>
      <c r="D447" s="40"/>
      <c r="E447" s="40"/>
      <c r="F447" s="13"/>
      <c r="G447" s="11"/>
      <c r="H447" s="13"/>
      <c r="I447" s="14"/>
      <c r="J447" s="13"/>
      <c r="K447" s="15">
        <f>ROUND((10^(J447/10))/(10^(H447/10)),3)</f>
        <v>1</v>
      </c>
      <c r="L447" s="15"/>
      <c r="M447" s="15">
        <f t="shared" ref="M447:M458" si="260">I447*K447</f>
        <v>0</v>
      </c>
      <c r="N447" s="8"/>
    </row>
    <row r="448" spans="1:14" x14ac:dyDescent="0.4">
      <c r="A448" s="11" t="s">
        <v>11</v>
      </c>
      <c r="B448" s="40"/>
      <c r="C448" s="40"/>
      <c r="D448" s="40"/>
      <c r="E448" s="40"/>
      <c r="F448" s="13"/>
      <c r="G448" s="11"/>
      <c r="H448" s="13"/>
      <c r="I448" s="14"/>
      <c r="J448" s="13"/>
      <c r="K448" s="15">
        <f t="shared" ref="K448:K458" si="261">ROUND((10^(J448/10))/(10^(H448/10)),3)</f>
        <v>1</v>
      </c>
      <c r="L448" s="15"/>
      <c r="M448" s="15">
        <f t="shared" si="260"/>
        <v>0</v>
      </c>
      <c r="N448" s="8"/>
    </row>
    <row r="449" spans="1:14" x14ac:dyDescent="0.4">
      <c r="A449" s="11" t="s">
        <v>11</v>
      </c>
      <c r="B449" s="40"/>
      <c r="C449" s="40"/>
      <c r="D449" s="40"/>
      <c r="E449" s="40"/>
      <c r="F449" s="13"/>
      <c r="G449" s="11"/>
      <c r="H449" s="13"/>
      <c r="I449" s="14"/>
      <c r="J449" s="13"/>
      <c r="K449" s="15">
        <f t="shared" si="261"/>
        <v>1</v>
      </c>
      <c r="L449" s="15"/>
      <c r="M449" s="15">
        <f t="shared" si="260"/>
        <v>0</v>
      </c>
      <c r="N449" s="8"/>
    </row>
    <row r="450" spans="1:14" x14ac:dyDescent="0.4">
      <c r="A450" s="11" t="s">
        <v>13</v>
      </c>
      <c r="B450" s="40">
        <f t="shared" ref="B450" si="262">B447</f>
        <v>0</v>
      </c>
      <c r="C450" s="40"/>
      <c r="D450" s="40"/>
      <c r="E450" s="40">
        <f t="shared" ref="E450:G450" si="263">E447</f>
        <v>0</v>
      </c>
      <c r="F450" s="13">
        <f t="shared" si="263"/>
        <v>0</v>
      </c>
      <c r="G450" s="40">
        <f t="shared" si="263"/>
        <v>0</v>
      </c>
      <c r="H450" s="13">
        <f>H447</f>
        <v>0</v>
      </c>
      <c r="I450" s="16"/>
      <c r="J450" s="13">
        <f t="shared" ref="J450:J452" si="264">J447</f>
        <v>0</v>
      </c>
      <c r="K450" s="15">
        <f t="shared" si="261"/>
        <v>1</v>
      </c>
      <c r="L450" s="15"/>
      <c r="M450" s="15">
        <f t="shared" si="260"/>
        <v>0</v>
      </c>
      <c r="N450" s="8"/>
    </row>
    <row r="451" spans="1:14" x14ac:dyDescent="0.4">
      <c r="A451" s="11" t="s">
        <v>13</v>
      </c>
      <c r="B451" s="40">
        <f t="shared" ref="B451" si="265">B448</f>
        <v>0</v>
      </c>
      <c r="C451" s="40"/>
      <c r="D451" s="40"/>
      <c r="E451" s="40">
        <f t="shared" ref="E451:H451" si="266">E448</f>
        <v>0</v>
      </c>
      <c r="F451" s="13">
        <f t="shared" si="266"/>
        <v>0</v>
      </c>
      <c r="G451" s="40">
        <f t="shared" si="266"/>
        <v>0</v>
      </c>
      <c r="H451" s="13">
        <f t="shared" si="266"/>
        <v>0</v>
      </c>
      <c r="I451" s="16"/>
      <c r="J451" s="13">
        <f t="shared" si="264"/>
        <v>0</v>
      </c>
      <c r="K451" s="15">
        <f t="shared" si="261"/>
        <v>1</v>
      </c>
      <c r="L451" s="15"/>
      <c r="M451" s="15">
        <f t="shared" si="260"/>
        <v>0</v>
      </c>
      <c r="N451" s="8"/>
    </row>
    <row r="452" spans="1:14" x14ac:dyDescent="0.4">
      <c r="A452" s="11" t="s">
        <v>13</v>
      </c>
      <c r="B452" s="40">
        <f t="shared" ref="B452" si="267">B449</f>
        <v>0</v>
      </c>
      <c r="C452" s="40"/>
      <c r="D452" s="40"/>
      <c r="E452" s="40">
        <f t="shared" ref="E452:H452" si="268">E449</f>
        <v>0</v>
      </c>
      <c r="F452" s="13">
        <f t="shared" si="268"/>
        <v>0</v>
      </c>
      <c r="G452" s="40">
        <f t="shared" si="268"/>
        <v>0</v>
      </c>
      <c r="H452" s="13">
        <f t="shared" si="268"/>
        <v>0</v>
      </c>
      <c r="I452" s="16"/>
      <c r="J452" s="13">
        <f t="shared" si="264"/>
        <v>0</v>
      </c>
      <c r="K452" s="15">
        <f t="shared" si="261"/>
        <v>1</v>
      </c>
      <c r="L452" s="15"/>
      <c r="M452" s="15">
        <f t="shared" si="260"/>
        <v>0</v>
      </c>
      <c r="N452" s="8"/>
    </row>
    <row r="453" spans="1:14" x14ac:dyDescent="0.4">
      <c r="A453" s="11" t="s">
        <v>12</v>
      </c>
      <c r="B453" s="40">
        <f t="shared" ref="B453:J458" ca="1" si="269">OFFSET(B453,-6,0)</f>
        <v>0</v>
      </c>
      <c r="C453" s="40"/>
      <c r="D453" s="40"/>
      <c r="E453" s="40">
        <f t="shared" ca="1" si="269"/>
        <v>0</v>
      </c>
      <c r="F453" s="13">
        <f t="shared" ca="1" si="269"/>
        <v>0</v>
      </c>
      <c r="G453" s="17">
        <f t="shared" ca="1" si="269"/>
        <v>0</v>
      </c>
      <c r="H453" s="13">
        <f t="shared" ca="1" si="269"/>
        <v>0</v>
      </c>
      <c r="I453" s="16"/>
      <c r="J453" s="13">
        <f t="shared" ca="1" si="269"/>
        <v>0</v>
      </c>
      <c r="K453" s="15">
        <f t="shared" ca="1" si="261"/>
        <v>1</v>
      </c>
      <c r="L453" s="15"/>
      <c r="M453" s="15">
        <f t="shared" ca="1" si="260"/>
        <v>0</v>
      </c>
      <c r="N453" s="8"/>
    </row>
    <row r="454" spans="1:14" x14ac:dyDescent="0.4">
      <c r="A454" s="11" t="s">
        <v>12</v>
      </c>
      <c r="B454" s="40">
        <f t="shared" ca="1" si="269"/>
        <v>0</v>
      </c>
      <c r="C454" s="40"/>
      <c r="D454" s="40"/>
      <c r="E454" s="40">
        <f t="shared" ca="1" si="269"/>
        <v>0</v>
      </c>
      <c r="F454" s="13">
        <f t="shared" ca="1" si="269"/>
        <v>0</v>
      </c>
      <c r="G454" s="17">
        <f t="shared" ca="1" si="269"/>
        <v>0</v>
      </c>
      <c r="H454" s="13">
        <f t="shared" ca="1" si="269"/>
        <v>0</v>
      </c>
      <c r="I454" s="16"/>
      <c r="J454" s="13">
        <f t="shared" ca="1" si="269"/>
        <v>0</v>
      </c>
      <c r="K454" s="15">
        <f t="shared" ca="1" si="261"/>
        <v>1</v>
      </c>
      <c r="L454" s="15"/>
      <c r="M454" s="15">
        <f t="shared" ca="1" si="260"/>
        <v>0</v>
      </c>
      <c r="N454" s="8"/>
    </row>
    <row r="455" spans="1:14" x14ac:dyDescent="0.4">
      <c r="A455" s="11" t="s">
        <v>12</v>
      </c>
      <c r="B455" s="40">
        <f t="shared" ca="1" si="269"/>
        <v>0</v>
      </c>
      <c r="C455" s="40"/>
      <c r="D455" s="40"/>
      <c r="E455" s="40">
        <f t="shared" ca="1" si="269"/>
        <v>0</v>
      </c>
      <c r="F455" s="13">
        <f t="shared" ca="1" si="269"/>
        <v>0</v>
      </c>
      <c r="G455" s="17">
        <f t="shared" ca="1" si="269"/>
        <v>0</v>
      </c>
      <c r="H455" s="13">
        <f t="shared" ca="1" si="269"/>
        <v>0</v>
      </c>
      <c r="I455" s="16"/>
      <c r="J455" s="13">
        <f t="shared" ca="1" si="269"/>
        <v>0</v>
      </c>
      <c r="K455" s="15">
        <f t="shared" ca="1" si="261"/>
        <v>1</v>
      </c>
      <c r="L455" s="15"/>
      <c r="M455" s="15">
        <f t="shared" ca="1" si="260"/>
        <v>0</v>
      </c>
      <c r="N455" s="8"/>
    </row>
    <row r="456" spans="1:14" x14ac:dyDescent="0.4">
      <c r="A456" s="11" t="s">
        <v>21</v>
      </c>
      <c r="B456" s="40">
        <f t="shared" ca="1" si="269"/>
        <v>0</v>
      </c>
      <c r="C456" s="40"/>
      <c r="D456" s="40"/>
      <c r="E456" s="40">
        <f t="shared" ca="1" si="269"/>
        <v>0</v>
      </c>
      <c r="F456" s="13">
        <f t="shared" ca="1" si="269"/>
        <v>0</v>
      </c>
      <c r="G456" s="17">
        <f t="shared" ca="1" si="269"/>
        <v>0</v>
      </c>
      <c r="H456" s="13">
        <f t="shared" ca="1" si="269"/>
        <v>0</v>
      </c>
      <c r="I456" s="16"/>
      <c r="J456" s="13">
        <f t="shared" ca="1" si="269"/>
        <v>0</v>
      </c>
      <c r="K456" s="15">
        <f t="shared" ca="1" si="261"/>
        <v>1</v>
      </c>
      <c r="L456" s="15"/>
      <c r="M456" s="15">
        <f t="shared" ca="1" si="260"/>
        <v>0</v>
      </c>
      <c r="N456" s="8"/>
    </row>
    <row r="457" spans="1:14" x14ac:dyDescent="0.4">
      <c r="A457" s="11" t="s">
        <v>21</v>
      </c>
      <c r="B457" s="40">
        <f t="shared" ca="1" si="269"/>
        <v>0</v>
      </c>
      <c r="C457" s="40"/>
      <c r="D457" s="40"/>
      <c r="E457" s="40">
        <f t="shared" ca="1" si="269"/>
        <v>0</v>
      </c>
      <c r="F457" s="13">
        <f t="shared" ca="1" si="269"/>
        <v>0</v>
      </c>
      <c r="G457" s="17">
        <f t="shared" ca="1" si="269"/>
        <v>0</v>
      </c>
      <c r="H457" s="13">
        <f t="shared" ca="1" si="269"/>
        <v>0</v>
      </c>
      <c r="I457" s="16"/>
      <c r="J457" s="13">
        <f t="shared" ca="1" si="269"/>
        <v>0</v>
      </c>
      <c r="K457" s="15">
        <f t="shared" ca="1" si="261"/>
        <v>1</v>
      </c>
      <c r="L457" s="15"/>
      <c r="M457" s="15">
        <f t="shared" ca="1" si="260"/>
        <v>0</v>
      </c>
      <c r="N457" s="8"/>
    </row>
    <row r="458" spans="1:14" x14ac:dyDescent="0.4">
      <c r="A458" s="11" t="s">
        <v>21</v>
      </c>
      <c r="B458" s="40">
        <f t="shared" ca="1" si="269"/>
        <v>0</v>
      </c>
      <c r="C458" s="40"/>
      <c r="D458" s="40"/>
      <c r="E458" s="40">
        <f t="shared" ca="1" si="269"/>
        <v>0</v>
      </c>
      <c r="F458" s="13">
        <f t="shared" ca="1" si="269"/>
        <v>0</v>
      </c>
      <c r="G458" s="17">
        <f t="shared" ca="1" si="269"/>
        <v>0</v>
      </c>
      <c r="H458" s="13">
        <f t="shared" ca="1" si="269"/>
        <v>0</v>
      </c>
      <c r="I458" s="16"/>
      <c r="J458" s="13">
        <f t="shared" ca="1" si="269"/>
        <v>0</v>
      </c>
      <c r="K458" s="15">
        <f t="shared" ca="1" si="261"/>
        <v>1</v>
      </c>
      <c r="L458" s="15"/>
      <c r="M458" s="15">
        <f t="shared" ca="1" si="260"/>
        <v>0</v>
      </c>
      <c r="N458" s="8"/>
    </row>
    <row r="459" spans="1:14" x14ac:dyDescent="0.4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7"/>
    </row>
    <row r="460" spans="1:14" x14ac:dyDescent="0.4">
      <c r="A460" s="58" t="s">
        <v>157</v>
      </c>
      <c r="B460" s="59"/>
      <c r="C460" s="59"/>
      <c r="D460" s="59"/>
      <c r="E460" s="59"/>
      <c r="F460" s="59"/>
      <c r="G460" s="59"/>
      <c r="H460" s="59"/>
      <c r="I460" s="60"/>
      <c r="J460" s="54" t="s">
        <v>3</v>
      </c>
      <c r="K460" s="54"/>
      <c r="L460" s="54"/>
      <c r="M460" s="7"/>
      <c r="N460" s="7"/>
    </row>
    <row r="461" spans="1:14" x14ac:dyDescent="0.4">
      <c r="A461" s="61"/>
      <c r="B461" s="62"/>
      <c r="C461" s="62"/>
      <c r="D461" s="62"/>
      <c r="E461" s="62"/>
      <c r="F461" s="62"/>
      <c r="G461" s="62"/>
      <c r="H461" s="62"/>
      <c r="I461" s="63"/>
      <c r="J461" s="54" t="s">
        <v>4</v>
      </c>
      <c r="K461" s="54"/>
      <c r="L461" s="54"/>
      <c r="M461" s="7"/>
      <c r="N461" s="7"/>
    </row>
    <row r="462" spans="1:14" x14ac:dyDescent="0.4">
      <c r="A462" s="64"/>
      <c r="B462" s="65"/>
      <c r="C462" s="65"/>
      <c r="D462" s="65"/>
      <c r="E462" s="65"/>
      <c r="F462" s="65"/>
      <c r="G462" s="65"/>
      <c r="H462" s="65"/>
      <c r="I462" s="66"/>
      <c r="J462" s="54" t="s">
        <v>0</v>
      </c>
      <c r="K462" s="54"/>
      <c r="L462" s="54"/>
      <c r="M462" s="9"/>
      <c r="N462" s="9"/>
    </row>
    <row r="463" spans="1:14" x14ac:dyDescent="0.4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</row>
    <row r="464" spans="1:14" x14ac:dyDescent="0.4">
      <c r="A464" s="53" t="s">
        <v>14</v>
      </c>
      <c r="B464" s="55" t="s">
        <v>33</v>
      </c>
      <c r="C464" s="71" t="s">
        <v>152</v>
      </c>
      <c r="D464" s="71" t="s">
        <v>153</v>
      </c>
      <c r="E464" s="55" t="s">
        <v>145</v>
      </c>
      <c r="F464" s="53" t="s">
        <v>1</v>
      </c>
      <c r="G464" s="53"/>
      <c r="H464" s="53" t="s">
        <v>19</v>
      </c>
      <c r="I464" s="57" t="s">
        <v>15</v>
      </c>
      <c r="J464" s="57" t="s">
        <v>16</v>
      </c>
      <c r="K464" s="53" t="s">
        <v>17</v>
      </c>
      <c r="L464" s="53" t="s">
        <v>84</v>
      </c>
      <c r="M464" s="53"/>
      <c r="N464" s="53" t="s">
        <v>20</v>
      </c>
    </row>
    <row r="465" spans="1:14" x14ac:dyDescent="0.4">
      <c r="A465" s="53"/>
      <c r="B465" s="55"/>
      <c r="C465" s="72"/>
      <c r="D465" s="72"/>
      <c r="E465" s="55"/>
      <c r="F465" s="53" t="s">
        <v>18</v>
      </c>
      <c r="G465" s="53" t="s">
        <v>2</v>
      </c>
      <c r="H465" s="53"/>
      <c r="I465" s="57"/>
      <c r="J465" s="57"/>
      <c r="K465" s="53"/>
      <c r="L465" s="53"/>
      <c r="M465" s="53"/>
      <c r="N465" s="53"/>
    </row>
    <row r="466" spans="1:14" x14ac:dyDescent="0.4">
      <c r="A466" s="53"/>
      <c r="B466" s="56"/>
      <c r="C466" s="73"/>
      <c r="D466" s="73"/>
      <c r="E466" s="55"/>
      <c r="F466" s="53"/>
      <c r="G466" s="53"/>
      <c r="H466" s="53"/>
      <c r="I466" s="57"/>
      <c r="J466" s="57"/>
      <c r="K466" s="53"/>
      <c r="L466" s="42" t="s">
        <v>85</v>
      </c>
      <c r="M466" s="42" t="s">
        <v>86</v>
      </c>
      <c r="N466" s="53"/>
    </row>
    <row r="467" spans="1:14" x14ac:dyDescent="0.4">
      <c r="A467" s="74" t="s">
        <v>26</v>
      </c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9"/>
    </row>
    <row r="468" spans="1:14" x14ac:dyDescent="0.4">
      <c r="A468" s="11" t="s">
        <v>5</v>
      </c>
      <c r="B468" s="40"/>
      <c r="C468" s="40"/>
      <c r="D468" s="40"/>
      <c r="E468" s="40"/>
      <c r="F468" s="13"/>
      <c r="G468" s="11"/>
      <c r="H468" s="17">
        <v>11</v>
      </c>
      <c r="I468" s="13"/>
      <c r="J468" s="16"/>
      <c r="K468" s="13"/>
      <c r="L468" s="15">
        <f>ROUND((10^(K468/10))/(10^(I468/10)),3)</f>
        <v>1</v>
      </c>
      <c r="M468" s="15"/>
      <c r="N468" s="15">
        <f t="shared" ref="N468:N485" si="270">J468*L468</f>
        <v>0</v>
      </c>
    </row>
    <row r="469" spans="1:14" x14ac:dyDescent="0.4">
      <c r="A469" s="11" t="s">
        <v>5</v>
      </c>
      <c r="B469" s="40"/>
      <c r="C469" s="40"/>
      <c r="D469" s="40"/>
      <c r="E469" s="40"/>
      <c r="F469" s="13"/>
      <c r="G469" s="11"/>
      <c r="H469" s="17"/>
      <c r="I469" s="13"/>
      <c r="J469" s="16"/>
      <c r="K469" s="13"/>
      <c r="L469" s="15">
        <f t="shared" ref="L469:L485" si="271">ROUND((10^(K469/10))/(10^(I469/10)),3)</f>
        <v>1</v>
      </c>
      <c r="M469" s="15"/>
      <c r="N469" s="15">
        <f t="shared" si="270"/>
        <v>0</v>
      </c>
    </row>
    <row r="470" spans="1:14" x14ac:dyDescent="0.4">
      <c r="A470" s="11" t="s">
        <v>5</v>
      </c>
      <c r="B470" s="40"/>
      <c r="C470" s="40"/>
      <c r="D470" s="40"/>
      <c r="E470" s="40"/>
      <c r="F470" s="13"/>
      <c r="G470" s="11"/>
      <c r="H470" s="17"/>
      <c r="I470" s="13"/>
      <c r="J470" s="16"/>
      <c r="K470" s="13"/>
      <c r="L470" s="15">
        <f t="shared" si="271"/>
        <v>1</v>
      </c>
      <c r="M470" s="15"/>
      <c r="N470" s="15">
        <f t="shared" si="270"/>
        <v>0</v>
      </c>
    </row>
    <row r="471" spans="1:14" x14ac:dyDescent="0.4">
      <c r="A471" s="11" t="s">
        <v>6</v>
      </c>
      <c r="B471" s="41">
        <f t="shared" ref="B471:I473" ca="1" si="272">OFFSET(B471,-3,0)</f>
        <v>0</v>
      </c>
      <c r="C471" s="41"/>
      <c r="D471" s="41"/>
      <c r="E471" s="41"/>
      <c r="F471" s="19">
        <f t="shared" ca="1" si="272"/>
        <v>0</v>
      </c>
      <c r="G471" s="20">
        <f t="shared" ca="1" si="272"/>
        <v>0</v>
      </c>
      <c r="H471" s="20">
        <f t="shared" ca="1" si="272"/>
        <v>11</v>
      </c>
      <c r="I471" s="13">
        <f t="shared" ca="1" si="272"/>
        <v>0</v>
      </c>
      <c r="J471" s="16"/>
      <c r="K471" s="19">
        <f t="shared" ref="K471:K473" ca="1" si="273">OFFSET(K471,-3,0)</f>
        <v>0</v>
      </c>
      <c r="L471" s="15">
        <f t="shared" ca="1" si="271"/>
        <v>1</v>
      </c>
      <c r="M471" s="15"/>
      <c r="N471" s="15">
        <f t="shared" ca="1" si="270"/>
        <v>0</v>
      </c>
    </row>
    <row r="472" spans="1:14" x14ac:dyDescent="0.4">
      <c r="A472" s="11" t="s">
        <v>6</v>
      </c>
      <c r="B472" s="41">
        <f t="shared" ca="1" si="272"/>
        <v>0</v>
      </c>
      <c r="C472" s="41"/>
      <c r="D472" s="41"/>
      <c r="E472" s="41"/>
      <c r="F472" s="19">
        <f t="shared" ca="1" si="272"/>
        <v>0</v>
      </c>
      <c r="G472" s="20">
        <f t="shared" ca="1" si="272"/>
        <v>0</v>
      </c>
      <c r="H472" s="20">
        <f t="shared" ca="1" si="272"/>
        <v>0</v>
      </c>
      <c r="I472" s="13">
        <f t="shared" ca="1" si="272"/>
        <v>0</v>
      </c>
      <c r="J472" s="16"/>
      <c r="K472" s="19">
        <f t="shared" ca="1" si="273"/>
        <v>0</v>
      </c>
      <c r="L472" s="15">
        <f t="shared" ca="1" si="271"/>
        <v>1</v>
      </c>
      <c r="M472" s="15"/>
      <c r="N472" s="15">
        <f t="shared" ca="1" si="270"/>
        <v>0</v>
      </c>
    </row>
    <row r="473" spans="1:14" x14ac:dyDescent="0.4">
      <c r="A473" s="11" t="s">
        <v>6</v>
      </c>
      <c r="B473" s="41">
        <f t="shared" ca="1" si="272"/>
        <v>0</v>
      </c>
      <c r="C473" s="41"/>
      <c r="D473" s="41"/>
      <c r="E473" s="41"/>
      <c r="F473" s="19">
        <f t="shared" ca="1" si="272"/>
        <v>0</v>
      </c>
      <c r="G473" s="20">
        <f t="shared" ca="1" si="272"/>
        <v>0</v>
      </c>
      <c r="H473" s="20">
        <f t="shared" ca="1" si="272"/>
        <v>0</v>
      </c>
      <c r="I473" s="13">
        <f t="shared" ca="1" si="272"/>
        <v>0</v>
      </c>
      <c r="J473" s="16"/>
      <c r="K473" s="19">
        <f t="shared" ca="1" si="273"/>
        <v>0</v>
      </c>
      <c r="L473" s="15">
        <f t="shared" ca="1" si="271"/>
        <v>1</v>
      </c>
      <c r="M473" s="15"/>
      <c r="N473" s="15">
        <f t="shared" ca="1" si="270"/>
        <v>0</v>
      </c>
    </row>
    <row r="474" spans="1:14" x14ac:dyDescent="0.4">
      <c r="A474" s="11" t="s">
        <v>10</v>
      </c>
      <c r="B474" s="40">
        <f t="shared" ref="B474:I476" ca="1" si="274">OFFSET(B474,-6,0)</f>
        <v>0</v>
      </c>
      <c r="C474" s="40"/>
      <c r="D474" s="40"/>
      <c r="E474" s="40"/>
      <c r="F474" s="13">
        <f t="shared" ca="1" si="274"/>
        <v>0</v>
      </c>
      <c r="G474" s="17">
        <f t="shared" ca="1" si="274"/>
        <v>0</v>
      </c>
      <c r="H474" s="17">
        <f t="shared" ca="1" si="274"/>
        <v>11</v>
      </c>
      <c r="I474" s="13">
        <f t="shared" ca="1" si="274"/>
        <v>0</v>
      </c>
      <c r="J474" s="16"/>
      <c r="K474" s="13">
        <f t="shared" ref="K474:K476" ca="1" si="275">OFFSET(K474,-6,0)</f>
        <v>0</v>
      </c>
      <c r="L474" s="15">
        <f t="shared" ca="1" si="271"/>
        <v>1</v>
      </c>
      <c r="M474" s="15"/>
      <c r="N474" s="15">
        <f t="shared" ca="1" si="270"/>
        <v>0</v>
      </c>
    </row>
    <row r="475" spans="1:14" x14ac:dyDescent="0.4">
      <c r="A475" s="11" t="s">
        <v>10</v>
      </c>
      <c r="B475" s="40">
        <f t="shared" ca="1" si="274"/>
        <v>0</v>
      </c>
      <c r="C475" s="40"/>
      <c r="D475" s="40"/>
      <c r="E475" s="40"/>
      <c r="F475" s="13">
        <f t="shared" ca="1" si="274"/>
        <v>0</v>
      </c>
      <c r="G475" s="17">
        <f t="shared" ca="1" si="274"/>
        <v>0</v>
      </c>
      <c r="H475" s="17">
        <f t="shared" ca="1" si="274"/>
        <v>0</v>
      </c>
      <c r="I475" s="13">
        <f t="shared" ca="1" si="274"/>
        <v>0</v>
      </c>
      <c r="J475" s="16"/>
      <c r="K475" s="13">
        <f t="shared" ca="1" si="275"/>
        <v>0</v>
      </c>
      <c r="L475" s="15">
        <f t="shared" ca="1" si="271"/>
        <v>1</v>
      </c>
      <c r="M475" s="15"/>
      <c r="N475" s="15">
        <f t="shared" ca="1" si="270"/>
        <v>0</v>
      </c>
    </row>
    <row r="476" spans="1:14" x14ac:dyDescent="0.4">
      <c r="A476" s="11" t="s">
        <v>10</v>
      </c>
      <c r="B476" s="40">
        <f t="shared" ca="1" si="274"/>
        <v>0</v>
      </c>
      <c r="C476" s="40"/>
      <c r="D476" s="40"/>
      <c r="E476" s="40"/>
      <c r="F476" s="13">
        <f t="shared" ca="1" si="274"/>
        <v>0</v>
      </c>
      <c r="G476" s="17">
        <f t="shared" ca="1" si="274"/>
        <v>0</v>
      </c>
      <c r="H476" s="17">
        <f t="shared" ca="1" si="274"/>
        <v>0</v>
      </c>
      <c r="I476" s="13">
        <f t="shared" ca="1" si="274"/>
        <v>0</v>
      </c>
      <c r="J476" s="16"/>
      <c r="K476" s="13">
        <f t="shared" ca="1" si="275"/>
        <v>0</v>
      </c>
      <c r="L476" s="15">
        <f t="shared" ca="1" si="271"/>
        <v>1</v>
      </c>
      <c r="M476" s="15"/>
      <c r="N476" s="15">
        <f t="shared" ca="1" si="270"/>
        <v>0</v>
      </c>
    </row>
    <row r="477" spans="1:14" x14ac:dyDescent="0.4">
      <c r="A477" s="11" t="s">
        <v>7</v>
      </c>
      <c r="B477" s="40">
        <f t="shared" ref="B477:I479" ca="1" si="276">OFFSET(B477,-9,0)</f>
        <v>0</v>
      </c>
      <c r="C477" s="40"/>
      <c r="D477" s="40"/>
      <c r="E477" s="40"/>
      <c r="F477" s="13">
        <f t="shared" ca="1" si="276"/>
        <v>0</v>
      </c>
      <c r="G477" s="17">
        <f t="shared" ca="1" si="276"/>
        <v>0</v>
      </c>
      <c r="H477" s="17">
        <f t="shared" ca="1" si="276"/>
        <v>11</v>
      </c>
      <c r="I477" s="13">
        <f t="shared" ca="1" si="276"/>
        <v>0</v>
      </c>
      <c r="J477" s="16"/>
      <c r="K477" s="13">
        <f t="shared" ref="K477:K479" ca="1" si="277">OFFSET(K477,-9,0)</f>
        <v>0</v>
      </c>
      <c r="L477" s="15">
        <f t="shared" ca="1" si="271"/>
        <v>1</v>
      </c>
      <c r="M477" s="15"/>
      <c r="N477" s="15">
        <f t="shared" ca="1" si="270"/>
        <v>0</v>
      </c>
    </row>
    <row r="478" spans="1:14" x14ac:dyDescent="0.4">
      <c r="A478" s="11" t="s">
        <v>7</v>
      </c>
      <c r="B478" s="40">
        <f t="shared" ca="1" si="276"/>
        <v>0</v>
      </c>
      <c r="C478" s="40"/>
      <c r="D478" s="40"/>
      <c r="E478" s="40"/>
      <c r="F478" s="13">
        <f t="shared" ca="1" si="276"/>
        <v>0</v>
      </c>
      <c r="G478" s="17">
        <f t="shared" ca="1" si="276"/>
        <v>0</v>
      </c>
      <c r="H478" s="17">
        <f t="shared" ca="1" si="276"/>
        <v>0</v>
      </c>
      <c r="I478" s="13">
        <f t="shared" ca="1" si="276"/>
        <v>0</v>
      </c>
      <c r="J478" s="16"/>
      <c r="K478" s="13">
        <f t="shared" ca="1" si="277"/>
        <v>0</v>
      </c>
      <c r="L478" s="15">
        <f t="shared" ca="1" si="271"/>
        <v>1</v>
      </c>
      <c r="M478" s="15"/>
      <c r="N478" s="15">
        <f t="shared" ca="1" si="270"/>
        <v>0</v>
      </c>
    </row>
    <row r="479" spans="1:14" x14ac:dyDescent="0.4">
      <c r="A479" s="11" t="s">
        <v>7</v>
      </c>
      <c r="B479" s="40">
        <f t="shared" ca="1" si="276"/>
        <v>0</v>
      </c>
      <c r="C479" s="40"/>
      <c r="D479" s="40"/>
      <c r="E479" s="40"/>
      <c r="F479" s="13">
        <f t="shared" ca="1" si="276"/>
        <v>0</v>
      </c>
      <c r="G479" s="17">
        <f t="shared" ca="1" si="276"/>
        <v>0</v>
      </c>
      <c r="H479" s="17">
        <f t="shared" ca="1" si="276"/>
        <v>0</v>
      </c>
      <c r="I479" s="13">
        <f t="shared" ca="1" si="276"/>
        <v>0</v>
      </c>
      <c r="J479" s="16"/>
      <c r="K479" s="13">
        <f t="shared" ca="1" si="277"/>
        <v>0</v>
      </c>
      <c r="L479" s="15">
        <f t="shared" ca="1" si="271"/>
        <v>1</v>
      </c>
      <c r="M479" s="15"/>
      <c r="N479" s="15">
        <f t="shared" ca="1" si="270"/>
        <v>0</v>
      </c>
    </row>
    <row r="480" spans="1:14" x14ac:dyDescent="0.4">
      <c r="A480" s="11" t="s">
        <v>8</v>
      </c>
      <c r="B480" s="40">
        <f t="shared" ref="B480:I482" ca="1" si="278">OFFSET(B480,-12,0)</f>
        <v>0</v>
      </c>
      <c r="C480" s="40"/>
      <c r="D480" s="40"/>
      <c r="E480" s="40"/>
      <c r="F480" s="13">
        <f t="shared" ca="1" si="278"/>
        <v>0</v>
      </c>
      <c r="G480" s="17">
        <f t="shared" ca="1" si="278"/>
        <v>0</v>
      </c>
      <c r="H480" s="17">
        <f t="shared" ca="1" si="278"/>
        <v>11</v>
      </c>
      <c r="I480" s="13">
        <f t="shared" ca="1" si="278"/>
        <v>0</v>
      </c>
      <c r="J480" s="16"/>
      <c r="K480" s="13">
        <f t="shared" ref="K480:K482" ca="1" si="279">OFFSET(K480,-12,0)</f>
        <v>0</v>
      </c>
      <c r="L480" s="15">
        <f t="shared" ca="1" si="271"/>
        <v>1</v>
      </c>
      <c r="M480" s="15"/>
      <c r="N480" s="15">
        <f t="shared" ca="1" si="270"/>
        <v>0</v>
      </c>
    </row>
    <row r="481" spans="1:14" x14ac:dyDescent="0.4">
      <c r="A481" s="11" t="s">
        <v>8</v>
      </c>
      <c r="B481" s="40">
        <f t="shared" ca="1" si="278"/>
        <v>0</v>
      </c>
      <c r="C481" s="40"/>
      <c r="D481" s="40"/>
      <c r="E481" s="40"/>
      <c r="F481" s="13">
        <f t="shared" ca="1" si="278"/>
        <v>0</v>
      </c>
      <c r="G481" s="17">
        <f t="shared" ca="1" si="278"/>
        <v>0</v>
      </c>
      <c r="H481" s="17">
        <f t="shared" ca="1" si="278"/>
        <v>0</v>
      </c>
      <c r="I481" s="13">
        <f t="shared" ca="1" si="278"/>
        <v>0</v>
      </c>
      <c r="J481" s="16"/>
      <c r="K481" s="13">
        <f t="shared" ca="1" si="279"/>
        <v>0</v>
      </c>
      <c r="L481" s="15">
        <f t="shared" ca="1" si="271"/>
        <v>1</v>
      </c>
      <c r="M481" s="15"/>
      <c r="N481" s="15">
        <f t="shared" ca="1" si="270"/>
        <v>0</v>
      </c>
    </row>
    <row r="482" spans="1:14" x14ac:dyDescent="0.4">
      <c r="A482" s="11" t="s">
        <v>8</v>
      </c>
      <c r="B482" s="40">
        <f t="shared" ca="1" si="278"/>
        <v>0</v>
      </c>
      <c r="C482" s="40"/>
      <c r="D482" s="40"/>
      <c r="E482" s="40"/>
      <c r="F482" s="13">
        <f t="shared" ca="1" si="278"/>
        <v>0</v>
      </c>
      <c r="G482" s="17">
        <f t="shared" ca="1" si="278"/>
        <v>0</v>
      </c>
      <c r="H482" s="17">
        <f t="shared" ca="1" si="278"/>
        <v>0</v>
      </c>
      <c r="I482" s="13">
        <f t="shared" ca="1" si="278"/>
        <v>0</v>
      </c>
      <c r="J482" s="16"/>
      <c r="K482" s="13">
        <f t="shared" ca="1" si="279"/>
        <v>0</v>
      </c>
      <c r="L482" s="15">
        <f t="shared" ca="1" si="271"/>
        <v>1</v>
      </c>
      <c r="M482" s="15"/>
      <c r="N482" s="15">
        <f t="shared" ca="1" si="270"/>
        <v>0</v>
      </c>
    </row>
    <row r="483" spans="1:14" x14ac:dyDescent="0.4">
      <c r="A483" s="11" t="s">
        <v>9</v>
      </c>
      <c r="B483" s="41">
        <f t="shared" ref="B483:G485" ca="1" si="280">OFFSET(B483,-15,0)</f>
        <v>0</v>
      </c>
      <c r="C483" s="41"/>
      <c r="D483" s="41"/>
      <c r="E483" s="41"/>
      <c r="F483" s="19">
        <f t="shared" ca="1" si="280"/>
        <v>0</v>
      </c>
      <c r="G483" s="20">
        <f t="shared" ca="1" si="280"/>
        <v>0</v>
      </c>
      <c r="H483" s="20">
        <f ca="1">OFFSET(H483,-15,0)</f>
        <v>11</v>
      </c>
      <c r="I483" s="13">
        <f t="shared" ref="H483:I485" ca="1" si="281">OFFSET(I483,-15,0)</f>
        <v>0</v>
      </c>
      <c r="J483" s="16"/>
      <c r="K483" s="19">
        <f t="shared" ref="K483:K485" ca="1" si="282">OFFSET(K483,-15,0)</f>
        <v>0</v>
      </c>
      <c r="L483" s="15">
        <f t="shared" ca="1" si="271"/>
        <v>1</v>
      </c>
      <c r="M483" s="15"/>
      <c r="N483" s="15">
        <f t="shared" ca="1" si="270"/>
        <v>0</v>
      </c>
    </row>
    <row r="484" spans="1:14" x14ac:dyDescent="0.4">
      <c r="A484" s="11" t="s">
        <v>9</v>
      </c>
      <c r="B484" s="41">
        <f t="shared" ca="1" si="280"/>
        <v>0</v>
      </c>
      <c r="C484" s="41"/>
      <c r="D484" s="41"/>
      <c r="E484" s="41"/>
      <c r="F484" s="19">
        <f t="shared" ca="1" si="280"/>
        <v>0</v>
      </c>
      <c r="G484" s="20">
        <f t="shared" ca="1" si="280"/>
        <v>0</v>
      </c>
      <c r="H484" s="20">
        <f t="shared" ca="1" si="281"/>
        <v>0</v>
      </c>
      <c r="I484" s="13">
        <f t="shared" ca="1" si="281"/>
        <v>0</v>
      </c>
      <c r="J484" s="16"/>
      <c r="K484" s="19">
        <f t="shared" ca="1" si="282"/>
        <v>0</v>
      </c>
      <c r="L484" s="15">
        <f t="shared" ca="1" si="271"/>
        <v>1</v>
      </c>
      <c r="M484" s="15"/>
      <c r="N484" s="15">
        <f t="shared" ca="1" si="270"/>
        <v>0</v>
      </c>
    </row>
    <row r="485" spans="1:14" x14ac:dyDescent="0.4">
      <c r="A485" s="11" t="s">
        <v>9</v>
      </c>
      <c r="B485" s="41">
        <f t="shared" ca="1" si="280"/>
        <v>0</v>
      </c>
      <c r="C485" s="41"/>
      <c r="D485" s="41"/>
      <c r="E485" s="41"/>
      <c r="F485" s="19">
        <f t="shared" ca="1" si="280"/>
        <v>0</v>
      </c>
      <c r="G485" s="20">
        <f t="shared" ca="1" si="280"/>
        <v>0</v>
      </c>
      <c r="H485" s="20">
        <f t="shared" ca="1" si="281"/>
        <v>0</v>
      </c>
      <c r="I485" s="13">
        <f t="shared" ca="1" si="281"/>
        <v>0</v>
      </c>
      <c r="J485" s="16"/>
      <c r="K485" s="19">
        <f t="shared" ca="1" si="282"/>
        <v>0</v>
      </c>
      <c r="L485" s="15">
        <f t="shared" ca="1" si="271"/>
        <v>1</v>
      </c>
      <c r="M485" s="15"/>
      <c r="N485" s="15">
        <f t="shared" ca="1" si="270"/>
        <v>0</v>
      </c>
    </row>
    <row r="486" spans="1:14" ht="17.399999999999999" x14ac:dyDescent="0.4">
      <c r="A486" s="74" t="s">
        <v>28</v>
      </c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6"/>
    </row>
    <row r="487" spans="1:14" x14ac:dyDescent="0.4">
      <c r="A487" s="11" t="s">
        <v>5</v>
      </c>
      <c r="B487" s="40"/>
      <c r="C487" s="40"/>
      <c r="D487" s="40"/>
      <c r="E487" s="40"/>
      <c r="F487" s="13"/>
      <c r="G487" s="11"/>
      <c r="H487" s="17"/>
      <c r="I487" s="13"/>
      <c r="J487" s="16"/>
      <c r="K487" s="13"/>
      <c r="L487" s="15">
        <f>ROUND((10^(K487/10))/(10^(I487/10)),3)</f>
        <v>1</v>
      </c>
      <c r="M487" s="15"/>
      <c r="N487" s="15">
        <f t="shared" ref="N487:N504" si="283">J487*L487</f>
        <v>0</v>
      </c>
    </row>
    <row r="488" spans="1:14" x14ac:dyDescent="0.4">
      <c r="A488" s="11" t="s">
        <v>5</v>
      </c>
      <c r="B488" s="40"/>
      <c r="C488" s="40"/>
      <c r="D488" s="40"/>
      <c r="E488" s="40"/>
      <c r="F488" s="13"/>
      <c r="G488" s="11"/>
      <c r="H488" s="17"/>
      <c r="I488" s="13"/>
      <c r="J488" s="16"/>
      <c r="K488" s="13"/>
      <c r="L488" s="15">
        <f t="shared" ref="L488:L504" si="284">ROUND((10^(K488/10))/(10^(I488/10)),3)</f>
        <v>1</v>
      </c>
      <c r="M488" s="15"/>
      <c r="N488" s="15">
        <f t="shared" si="283"/>
        <v>0</v>
      </c>
    </row>
    <row r="489" spans="1:14" x14ac:dyDescent="0.4">
      <c r="A489" s="11" t="s">
        <v>5</v>
      </c>
      <c r="B489" s="40"/>
      <c r="C489" s="40"/>
      <c r="D489" s="40"/>
      <c r="E489" s="40"/>
      <c r="F489" s="13"/>
      <c r="G489" s="11"/>
      <c r="H489" s="17"/>
      <c r="I489" s="13"/>
      <c r="J489" s="16"/>
      <c r="K489" s="13"/>
      <c r="L489" s="15">
        <f t="shared" si="284"/>
        <v>1</v>
      </c>
      <c r="M489" s="15"/>
      <c r="N489" s="15">
        <f t="shared" si="283"/>
        <v>0</v>
      </c>
    </row>
    <row r="490" spans="1:14" x14ac:dyDescent="0.4">
      <c r="A490" s="11" t="s">
        <v>6</v>
      </c>
      <c r="B490" s="41">
        <f t="shared" ref="B490:I492" ca="1" si="285">OFFSET(B490,-3,0)</f>
        <v>0</v>
      </c>
      <c r="C490" s="41"/>
      <c r="D490" s="41"/>
      <c r="E490" s="41"/>
      <c r="F490" s="19">
        <f t="shared" ca="1" si="285"/>
        <v>0</v>
      </c>
      <c r="G490" s="20">
        <f t="shared" ca="1" si="285"/>
        <v>0</v>
      </c>
      <c r="H490" s="20">
        <f t="shared" ca="1" si="285"/>
        <v>0</v>
      </c>
      <c r="I490" s="13">
        <f t="shared" ca="1" si="285"/>
        <v>0</v>
      </c>
      <c r="J490" s="16"/>
      <c r="K490" s="19">
        <f t="shared" ref="K490:K492" ca="1" si="286">OFFSET(K490,-3,0)</f>
        <v>0</v>
      </c>
      <c r="L490" s="15">
        <f t="shared" ca="1" si="284"/>
        <v>1</v>
      </c>
      <c r="M490" s="15"/>
      <c r="N490" s="15">
        <f t="shared" ca="1" si="283"/>
        <v>0</v>
      </c>
    </row>
    <row r="491" spans="1:14" x14ac:dyDescent="0.4">
      <c r="A491" s="11" t="s">
        <v>6</v>
      </c>
      <c r="B491" s="41">
        <f t="shared" ca="1" si="285"/>
        <v>0</v>
      </c>
      <c r="C491" s="41"/>
      <c r="D491" s="41"/>
      <c r="E491" s="41"/>
      <c r="F491" s="19">
        <f t="shared" ca="1" si="285"/>
        <v>0</v>
      </c>
      <c r="G491" s="20">
        <f t="shared" ca="1" si="285"/>
        <v>0</v>
      </c>
      <c r="H491" s="20">
        <f t="shared" ca="1" si="285"/>
        <v>0</v>
      </c>
      <c r="I491" s="13">
        <f t="shared" ca="1" si="285"/>
        <v>0</v>
      </c>
      <c r="J491" s="16"/>
      <c r="K491" s="19">
        <f t="shared" ca="1" si="286"/>
        <v>0</v>
      </c>
      <c r="L491" s="15">
        <f t="shared" ca="1" si="284"/>
        <v>1</v>
      </c>
      <c r="M491" s="15"/>
      <c r="N491" s="15">
        <f t="shared" ca="1" si="283"/>
        <v>0</v>
      </c>
    </row>
    <row r="492" spans="1:14" x14ac:dyDescent="0.4">
      <c r="A492" s="11" t="s">
        <v>6</v>
      </c>
      <c r="B492" s="41">
        <f t="shared" ca="1" si="285"/>
        <v>0</v>
      </c>
      <c r="C492" s="41"/>
      <c r="D492" s="41"/>
      <c r="E492" s="41"/>
      <c r="F492" s="19">
        <f t="shared" ca="1" si="285"/>
        <v>0</v>
      </c>
      <c r="G492" s="20">
        <f t="shared" ca="1" si="285"/>
        <v>0</v>
      </c>
      <c r="H492" s="20">
        <f t="shared" ca="1" si="285"/>
        <v>0</v>
      </c>
      <c r="I492" s="13">
        <f t="shared" ca="1" si="285"/>
        <v>0</v>
      </c>
      <c r="J492" s="16"/>
      <c r="K492" s="19">
        <f t="shared" ca="1" si="286"/>
        <v>0</v>
      </c>
      <c r="L492" s="15">
        <f t="shared" ca="1" si="284"/>
        <v>1</v>
      </c>
      <c r="M492" s="15"/>
      <c r="N492" s="15">
        <f t="shared" ca="1" si="283"/>
        <v>0</v>
      </c>
    </row>
    <row r="493" spans="1:14" x14ac:dyDescent="0.4">
      <c r="A493" s="11" t="s">
        <v>10</v>
      </c>
      <c r="B493" s="40">
        <f t="shared" ref="B493:I495" ca="1" si="287">OFFSET(B493,-6,0)</f>
        <v>0</v>
      </c>
      <c r="C493" s="40"/>
      <c r="D493" s="40"/>
      <c r="E493" s="40"/>
      <c r="F493" s="13">
        <f t="shared" ca="1" si="287"/>
        <v>0</v>
      </c>
      <c r="G493" s="17">
        <f t="shared" ca="1" si="287"/>
        <v>0</v>
      </c>
      <c r="H493" s="17">
        <f t="shared" ca="1" si="287"/>
        <v>0</v>
      </c>
      <c r="I493" s="13">
        <f t="shared" ca="1" si="287"/>
        <v>0</v>
      </c>
      <c r="J493" s="16"/>
      <c r="K493" s="13">
        <f t="shared" ref="K493:K495" ca="1" si="288">OFFSET(K493,-6,0)</f>
        <v>0</v>
      </c>
      <c r="L493" s="15">
        <f t="shared" ca="1" si="284"/>
        <v>1</v>
      </c>
      <c r="M493" s="15"/>
      <c r="N493" s="15">
        <f t="shared" ca="1" si="283"/>
        <v>0</v>
      </c>
    </row>
    <row r="494" spans="1:14" x14ac:dyDescent="0.4">
      <c r="A494" s="11" t="s">
        <v>10</v>
      </c>
      <c r="B494" s="40">
        <f t="shared" ca="1" si="287"/>
        <v>0</v>
      </c>
      <c r="C494" s="40"/>
      <c r="D494" s="40"/>
      <c r="E494" s="40"/>
      <c r="F494" s="13">
        <f t="shared" ca="1" si="287"/>
        <v>0</v>
      </c>
      <c r="G494" s="17">
        <f t="shared" ca="1" si="287"/>
        <v>0</v>
      </c>
      <c r="H494" s="17">
        <f t="shared" ca="1" si="287"/>
        <v>0</v>
      </c>
      <c r="I494" s="13">
        <f t="shared" ca="1" si="287"/>
        <v>0</v>
      </c>
      <c r="J494" s="16"/>
      <c r="K494" s="13">
        <f t="shared" ca="1" si="288"/>
        <v>0</v>
      </c>
      <c r="L494" s="15">
        <f t="shared" ca="1" si="284"/>
        <v>1</v>
      </c>
      <c r="M494" s="15"/>
      <c r="N494" s="15">
        <f t="shared" ca="1" si="283"/>
        <v>0</v>
      </c>
    </row>
    <row r="495" spans="1:14" x14ac:dyDescent="0.4">
      <c r="A495" s="11" t="s">
        <v>10</v>
      </c>
      <c r="B495" s="40">
        <f t="shared" ca="1" si="287"/>
        <v>0</v>
      </c>
      <c r="C495" s="40"/>
      <c r="D495" s="40"/>
      <c r="E495" s="40"/>
      <c r="F495" s="13">
        <f t="shared" ca="1" si="287"/>
        <v>0</v>
      </c>
      <c r="G495" s="17">
        <f t="shared" ca="1" si="287"/>
        <v>0</v>
      </c>
      <c r="H495" s="17">
        <f t="shared" ca="1" si="287"/>
        <v>0</v>
      </c>
      <c r="I495" s="13">
        <f t="shared" ca="1" si="287"/>
        <v>0</v>
      </c>
      <c r="J495" s="16"/>
      <c r="K495" s="13">
        <f t="shared" ca="1" si="288"/>
        <v>0</v>
      </c>
      <c r="L495" s="15">
        <f t="shared" ca="1" si="284"/>
        <v>1</v>
      </c>
      <c r="M495" s="15"/>
      <c r="N495" s="15">
        <f t="shared" ca="1" si="283"/>
        <v>0</v>
      </c>
    </row>
    <row r="496" spans="1:14" x14ac:dyDescent="0.4">
      <c r="A496" s="11" t="s">
        <v>7</v>
      </c>
      <c r="B496" s="40">
        <f t="shared" ref="B496:I498" ca="1" si="289">OFFSET(B496,-9,0)</f>
        <v>0</v>
      </c>
      <c r="C496" s="40"/>
      <c r="D496" s="40"/>
      <c r="E496" s="40"/>
      <c r="F496" s="13">
        <f t="shared" ca="1" si="289"/>
        <v>0</v>
      </c>
      <c r="G496" s="17">
        <f t="shared" ca="1" si="289"/>
        <v>0</v>
      </c>
      <c r="H496" s="17">
        <f t="shared" ca="1" si="289"/>
        <v>0</v>
      </c>
      <c r="I496" s="13">
        <f t="shared" ca="1" si="289"/>
        <v>0</v>
      </c>
      <c r="J496" s="16"/>
      <c r="K496" s="13">
        <f t="shared" ref="K496:K498" ca="1" si="290">OFFSET(K496,-9,0)</f>
        <v>0</v>
      </c>
      <c r="L496" s="15">
        <f t="shared" ca="1" si="284"/>
        <v>1</v>
      </c>
      <c r="M496" s="15"/>
      <c r="N496" s="15">
        <f t="shared" ca="1" si="283"/>
        <v>0</v>
      </c>
    </row>
    <row r="497" spans="1:14" x14ac:dyDescent="0.4">
      <c r="A497" s="11" t="s">
        <v>7</v>
      </c>
      <c r="B497" s="40">
        <f t="shared" ca="1" si="289"/>
        <v>0</v>
      </c>
      <c r="C497" s="40"/>
      <c r="D497" s="40"/>
      <c r="E497" s="40"/>
      <c r="F497" s="13">
        <f t="shared" ca="1" si="289"/>
        <v>0</v>
      </c>
      <c r="G497" s="17">
        <f t="shared" ca="1" si="289"/>
        <v>0</v>
      </c>
      <c r="H497" s="17">
        <f t="shared" ca="1" si="289"/>
        <v>0</v>
      </c>
      <c r="I497" s="13">
        <f t="shared" ca="1" si="289"/>
        <v>0</v>
      </c>
      <c r="J497" s="16"/>
      <c r="K497" s="13">
        <f t="shared" ca="1" si="290"/>
        <v>0</v>
      </c>
      <c r="L497" s="15">
        <f t="shared" ca="1" si="284"/>
        <v>1</v>
      </c>
      <c r="M497" s="15"/>
      <c r="N497" s="15">
        <f t="shared" ca="1" si="283"/>
        <v>0</v>
      </c>
    </row>
    <row r="498" spans="1:14" x14ac:dyDescent="0.4">
      <c r="A498" s="11" t="s">
        <v>7</v>
      </c>
      <c r="B498" s="40">
        <f t="shared" ca="1" si="289"/>
        <v>0</v>
      </c>
      <c r="C498" s="40"/>
      <c r="D498" s="40"/>
      <c r="E498" s="40"/>
      <c r="F498" s="13">
        <f t="shared" ca="1" si="289"/>
        <v>0</v>
      </c>
      <c r="G498" s="17">
        <f t="shared" ca="1" si="289"/>
        <v>0</v>
      </c>
      <c r="H498" s="17">
        <f t="shared" ca="1" si="289"/>
        <v>0</v>
      </c>
      <c r="I498" s="13">
        <f t="shared" ca="1" si="289"/>
        <v>0</v>
      </c>
      <c r="J498" s="16"/>
      <c r="K498" s="13">
        <f t="shared" ca="1" si="290"/>
        <v>0</v>
      </c>
      <c r="L498" s="15">
        <f t="shared" ca="1" si="284"/>
        <v>1</v>
      </c>
      <c r="M498" s="15"/>
      <c r="N498" s="15">
        <f t="shared" ca="1" si="283"/>
        <v>0</v>
      </c>
    </row>
    <row r="499" spans="1:14" x14ac:dyDescent="0.4">
      <c r="A499" s="11" t="s">
        <v>8</v>
      </c>
      <c r="B499" s="40">
        <f t="shared" ref="B499:I501" ca="1" si="291">OFFSET(B499,-12,0)</f>
        <v>0</v>
      </c>
      <c r="C499" s="40"/>
      <c r="D499" s="40"/>
      <c r="E499" s="40"/>
      <c r="F499" s="13">
        <f t="shared" ca="1" si="291"/>
        <v>0</v>
      </c>
      <c r="G499" s="17">
        <f t="shared" ca="1" si="291"/>
        <v>0</v>
      </c>
      <c r="H499" s="17">
        <f t="shared" ca="1" si="291"/>
        <v>0</v>
      </c>
      <c r="I499" s="13">
        <f t="shared" ca="1" si="291"/>
        <v>0</v>
      </c>
      <c r="J499" s="16"/>
      <c r="K499" s="13">
        <f t="shared" ref="K499:K501" ca="1" si="292">OFFSET(K499,-12,0)</f>
        <v>0</v>
      </c>
      <c r="L499" s="15">
        <f t="shared" ca="1" si="284"/>
        <v>1</v>
      </c>
      <c r="M499" s="15"/>
      <c r="N499" s="15">
        <f t="shared" ca="1" si="283"/>
        <v>0</v>
      </c>
    </row>
    <row r="500" spans="1:14" x14ac:dyDescent="0.4">
      <c r="A500" s="11" t="s">
        <v>8</v>
      </c>
      <c r="B500" s="40">
        <f t="shared" ca="1" si="291"/>
        <v>0</v>
      </c>
      <c r="C500" s="40"/>
      <c r="D500" s="40"/>
      <c r="E500" s="40"/>
      <c r="F500" s="13">
        <f t="shared" ca="1" si="291"/>
        <v>0</v>
      </c>
      <c r="G500" s="17">
        <f t="shared" ca="1" si="291"/>
        <v>0</v>
      </c>
      <c r="H500" s="17">
        <f t="shared" ca="1" si="291"/>
        <v>0</v>
      </c>
      <c r="I500" s="13">
        <f t="shared" ca="1" si="291"/>
        <v>0</v>
      </c>
      <c r="J500" s="16"/>
      <c r="K500" s="13">
        <f t="shared" ca="1" si="292"/>
        <v>0</v>
      </c>
      <c r="L500" s="15">
        <f t="shared" ca="1" si="284"/>
        <v>1</v>
      </c>
      <c r="M500" s="15"/>
      <c r="N500" s="15">
        <f t="shared" ca="1" si="283"/>
        <v>0</v>
      </c>
    </row>
    <row r="501" spans="1:14" x14ac:dyDescent="0.4">
      <c r="A501" s="11" t="s">
        <v>8</v>
      </c>
      <c r="B501" s="40">
        <f t="shared" ca="1" si="291"/>
        <v>0</v>
      </c>
      <c r="C501" s="40"/>
      <c r="D501" s="40"/>
      <c r="E501" s="40"/>
      <c r="F501" s="13">
        <f t="shared" ca="1" si="291"/>
        <v>0</v>
      </c>
      <c r="G501" s="17">
        <f t="shared" ca="1" si="291"/>
        <v>0</v>
      </c>
      <c r="H501" s="17">
        <f t="shared" ca="1" si="291"/>
        <v>0</v>
      </c>
      <c r="I501" s="13">
        <f t="shared" ca="1" si="291"/>
        <v>0</v>
      </c>
      <c r="J501" s="16"/>
      <c r="K501" s="13">
        <f t="shared" ca="1" si="292"/>
        <v>0</v>
      </c>
      <c r="L501" s="15">
        <f t="shared" ca="1" si="284"/>
        <v>1</v>
      </c>
      <c r="M501" s="15"/>
      <c r="N501" s="15">
        <f t="shared" ca="1" si="283"/>
        <v>0</v>
      </c>
    </row>
    <row r="502" spans="1:14" x14ac:dyDescent="0.4">
      <c r="A502" s="11" t="s">
        <v>9</v>
      </c>
      <c r="B502" s="41">
        <f t="shared" ref="B502:H504" ca="1" si="293">OFFSET(B502,-15,0)</f>
        <v>0</v>
      </c>
      <c r="C502" s="41"/>
      <c r="D502" s="41"/>
      <c r="E502" s="41"/>
      <c r="F502" s="19">
        <f t="shared" ca="1" si="293"/>
        <v>0</v>
      </c>
      <c r="G502" s="20">
        <f t="shared" ca="1" si="293"/>
        <v>0</v>
      </c>
      <c r="H502" s="20">
        <f ca="1">OFFSET(H502,-15,0)</f>
        <v>0</v>
      </c>
      <c r="I502" s="13">
        <f t="shared" ref="I502:I504" ca="1" si="294">OFFSET(I502,-15,0)</f>
        <v>0</v>
      </c>
      <c r="J502" s="16"/>
      <c r="K502" s="19">
        <f t="shared" ref="K502:K504" ca="1" si="295">OFFSET(K502,-15,0)</f>
        <v>0</v>
      </c>
      <c r="L502" s="15">
        <f t="shared" ca="1" si="284"/>
        <v>1</v>
      </c>
      <c r="M502" s="15"/>
      <c r="N502" s="15">
        <f t="shared" ca="1" si="283"/>
        <v>0</v>
      </c>
    </row>
    <row r="503" spans="1:14" x14ac:dyDescent="0.4">
      <c r="A503" s="11" t="s">
        <v>9</v>
      </c>
      <c r="B503" s="41">
        <f t="shared" ca="1" si="293"/>
        <v>0</v>
      </c>
      <c r="C503" s="41"/>
      <c r="D503" s="41"/>
      <c r="E503" s="41"/>
      <c r="F503" s="19">
        <f t="shared" ca="1" si="293"/>
        <v>0</v>
      </c>
      <c r="G503" s="20">
        <f t="shared" ca="1" si="293"/>
        <v>0</v>
      </c>
      <c r="H503" s="20">
        <f t="shared" ca="1" si="293"/>
        <v>0</v>
      </c>
      <c r="I503" s="13">
        <f t="shared" ca="1" si="294"/>
        <v>0</v>
      </c>
      <c r="J503" s="16"/>
      <c r="K503" s="19">
        <f t="shared" ca="1" si="295"/>
        <v>0</v>
      </c>
      <c r="L503" s="15">
        <f t="shared" ca="1" si="284"/>
        <v>1</v>
      </c>
      <c r="M503" s="15"/>
      <c r="N503" s="15">
        <f t="shared" ca="1" si="283"/>
        <v>0</v>
      </c>
    </row>
    <row r="504" spans="1:14" x14ac:dyDescent="0.4">
      <c r="A504" s="11" t="s">
        <v>9</v>
      </c>
      <c r="B504" s="41">
        <f t="shared" ca="1" si="293"/>
        <v>0</v>
      </c>
      <c r="C504" s="41"/>
      <c r="D504" s="41"/>
      <c r="E504" s="41"/>
      <c r="F504" s="19">
        <f t="shared" ca="1" si="293"/>
        <v>0</v>
      </c>
      <c r="G504" s="20">
        <f t="shared" ca="1" si="293"/>
        <v>0</v>
      </c>
      <c r="H504" s="20">
        <f t="shared" ca="1" si="293"/>
        <v>0</v>
      </c>
      <c r="I504" s="13">
        <f t="shared" ca="1" si="294"/>
        <v>0</v>
      </c>
      <c r="J504" s="16"/>
      <c r="K504" s="19">
        <f t="shared" ca="1" si="295"/>
        <v>0</v>
      </c>
      <c r="L504" s="15">
        <f t="shared" ca="1" si="284"/>
        <v>1</v>
      </c>
      <c r="M504" s="15"/>
      <c r="N504" s="15">
        <f t="shared" ca="1" si="283"/>
        <v>0</v>
      </c>
    </row>
    <row r="505" spans="1:14" ht="17.399999999999999" x14ac:dyDescent="0.4">
      <c r="A505" s="74" t="s">
        <v>25</v>
      </c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6"/>
    </row>
    <row r="506" spans="1:14" x14ac:dyDescent="0.4">
      <c r="A506" s="11" t="s">
        <v>5</v>
      </c>
      <c r="B506" s="40"/>
      <c r="C506" s="40"/>
      <c r="D506" s="40"/>
      <c r="E506" s="40"/>
      <c r="F506" s="13"/>
      <c r="G506" s="11"/>
      <c r="H506" s="17"/>
      <c r="I506" s="13"/>
      <c r="J506" s="16"/>
      <c r="K506" s="13"/>
      <c r="L506" s="15">
        <f>ROUND((10^(K506/10))/(10^(I506/10)),3)</f>
        <v>1</v>
      </c>
      <c r="M506" s="15"/>
      <c r="N506" s="15">
        <f t="shared" ref="N506:N523" si="296">J506*L506</f>
        <v>0</v>
      </c>
    </row>
    <row r="507" spans="1:14" x14ac:dyDescent="0.4">
      <c r="A507" s="11" t="s">
        <v>5</v>
      </c>
      <c r="B507" s="40"/>
      <c r="C507" s="40"/>
      <c r="D507" s="40"/>
      <c r="E507" s="40"/>
      <c r="F507" s="13"/>
      <c r="G507" s="11"/>
      <c r="H507" s="17"/>
      <c r="I507" s="13"/>
      <c r="J507" s="16"/>
      <c r="K507" s="13"/>
      <c r="L507" s="15">
        <f t="shared" ref="L507:L523" si="297">ROUND((10^(K507/10))/(10^(I507/10)),3)</f>
        <v>1</v>
      </c>
      <c r="M507" s="15"/>
      <c r="N507" s="15">
        <f t="shared" si="296"/>
        <v>0</v>
      </c>
    </row>
    <row r="508" spans="1:14" x14ac:dyDescent="0.4">
      <c r="A508" s="11" t="s">
        <v>5</v>
      </c>
      <c r="B508" s="40"/>
      <c r="C508" s="40"/>
      <c r="D508" s="40"/>
      <c r="E508" s="40"/>
      <c r="F508" s="13"/>
      <c r="G508" s="11"/>
      <c r="H508" s="17"/>
      <c r="I508" s="13"/>
      <c r="J508" s="16"/>
      <c r="K508" s="13"/>
      <c r="L508" s="15">
        <f t="shared" si="297"/>
        <v>1</v>
      </c>
      <c r="M508" s="15"/>
      <c r="N508" s="15">
        <f t="shared" si="296"/>
        <v>0</v>
      </c>
    </row>
    <row r="509" spans="1:14" x14ac:dyDescent="0.4">
      <c r="A509" s="11" t="s">
        <v>6</v>
      </c>
      <c r="B509" s="41">
        <f t="shared" ref="B509:I511" ca="1" si="298">OFFSET(B509,-3,0)</f>
        <v>0</v>
      </c>
      <c r="C509" s="41"/>
      <c r="D509" s="41"/>
      <c r="E509" s="41"/>
      <c r="F509" s="19">
        <f t="shared" ca="1" si="298"/>
        <v>0</v>
      </c>
      <c r="G509" s="20">
        <f t="shared" ca="1" si="298"/>
        <v>0</v>
      </c>
      <c r="H509" s="20">
        <f t="shared" ca="1" si="298"/>
        <v>0</v>
      </c>
      <c r="I509" s="13">
        <f t="shared" ca="1" si="298"/>
        <v>0</v>
      </c>
      <c r="J509" s="16"/>
      <c r="K509" s="19">
        <f t="shared" ref="K509:K511" ca="1" si="299">OFFSET(K509,-3,0)</f>
        <v>0</v>
      </c>
      <c r="L509" s="15">
        <f t="shared" ca="1" si="297"/>
        <v>1</v>
      </c>
      <c r="M509" s="15"/>
      <c r="N509" s="15">
        <f t="shared" ca="1" si="296"/>
        <v>0</v>
      </c>
    </row>
    <row r="510" spans="1:14" x14ac:dyDescent="0.4">
      <c r="A510" s="11" t="s">
        <v>6</v>
      </c>
      <c r="B510" s="41">
        <f t="shared" ca="1" si="298"/>
        <v>0</v>
      </c>
      <c r="C510" s="41"/>
      <c r="D510" s="41"/>
      <c r="E510" s="41"/>
      <c r="F510" s="19">
        <f t="shared" ca="1" si="298"/>
        <v>0</v>
      </c>
      <c r="G510" s="20">
        <f t="shared" ca="1" si="298"/>
        <v>0</v>
      </c>
      <c r="H510" s="20">
        <f t="shared" ca="1" si="298"/>
        <v>0</v>
      </c>
      <c r="I510" s="13">
        <f t="shared" ca="1" si="298"/>
        <v>0</v>
      </c>
      <c r="J510" s="16"/>
      <c r="K510" s="19">
        <f t="shared" ca="1" si="299"/>
        <v>0</v>
      </c>
      <c r="L510" s="15">
        <f t="shared" ca="1" si="297"/>
        <v>1</v>
      </c>
      <c r="M510" s="15"/>
      <c r="N510" s="15">
        <f t="shared" ca="1" si="296"/>
        <v>0</v>
      </c>
    </row>
    <row r="511" spans="1:14" x14ac:dyDescent="0.4">
      <c r="A511" s="11" t="s">
        <v>6</v>
      </c>
      <c r="B511" s="41">
        <f t="shared" ca="1" si="298"/>
        <v>0</v>
      </c>
      <c r="C511" s="41"/>
      <c r="D511" s="41"/>
      <c r="E511" s="41"/>
      <c r="F511" s="19">
        <f t="shared" ca="1" si="298"/>
        <v>0</v>
      </c>
      <c r="G511" s="20">
        <f t="shared" ca="1" si="298"/>
        <v>0</v>
      </c>
      <c r="H511" s="20">
        <f t="shared" ca="1" si="298"/>
        <v>0</v>
      </c>
      <c r="I511" s="13">
        <f t="shared" ca="1" si="298"/>
        <v>0</v>
      </c>
      <c r="J511" s="16"/>
      <c r="K511" s="19">
        <f t="shared" ca="1" si="299"/>
        <v>0</v>
      </c>
      <c r="L511" s="15">
        <f t="shared" ca="1" si="297"/>
        <v>1</v>
      </c>
      <c r="M511" s="15"/>
      <c r="N511" s="15">
        <f t="shared" ca="1" si="296"/>
        <v>0</v>
      </c>
    </row>
    <row r="512" spans="1:14" x14ac:dyDescent="0.4">
      <c r="A512" s="11" t="s">
        <v>10</v>
      </c>
      <c r="B512" s="40">
        <f t="shared" ref="B512:I514" ca="1" si="300">OFFSET(B512,-6,0)</f>
        <v>0</v>
      </c>
      <c r="C512" s="40"/>
      <c r="D512" s="40"/>
      <c r="E512" s="40"/>
      <c r="F512" s="13">
        <f t="shared" ca="1" si="300"/>
        <v>0</v>
      </c>
      <c r="G512" s="17">
        <f t="shared" ca="1" si="300"/>
        <v>0</v>
      </c>
      <c r="H512" s="17">
        <v>10</v>
      </c>
      <c r="I512" s="13">
        <f t="shared" ca="1" si="300"/>
        <v>0</v>
      </c>
      <c r="J512" s="16"/>
      <c r="K512" s="13">
        <f t="shared" ref="K512:K514" ca="1" si="301">OFFSET(K512,-6,0)</f>
        <v>0</v>
      </c>
      <c r="L512" s="15">
        <f t="shared" ca="1" si="297"/>
        <v>1</v>
      </c>
      <c r="M512" s="15"/>
      <c r="N512" s="15">
        <f t="shared" ca="1" si="296"/>
        <v>0</v>
      </c>
    </row>
    <row r="513" spans="1:14" x14ac:dyDescent="0.4">
      <c r="A513" s="11" t="s">
        <v>10</v>
      </c>
      <c r="B513" s="40">
        <f t="shared" ca="1" si="300"/>
        <v>0</v>
      </c>
      <c r="C513" s="40"/>
      <c r="D513" s="40"/>
      <c r="E513" s="40"/>
      <c r="F513" s="13">
        <f t="shared" ca="1" si="300"/>
        <v>0</v>
      </c>
      <c r="G513" s="17">
        <f t="shared" ca="1" si="300"/>
        <v>0</v>
      </c>
      <c r="H513" s="17">
        <f t="shared" ca="1" si="300"/>
        <v>0</v>
      </c>
      <c r="I513" s="13">
        <f t="shared" ca="1" si="300"/>
        <v>0</v>
      </c>
      <c r="J513" s="16"/>
      <c r="K513" s="13">
        <f t="shared" ca="1" si="301"/>
        <v>0</v>
      </c>
      <c r="L513" s="15">
        <f t="shared" ca="1" si="297"/>
        <v>1</v>
      </c>
      <c r="M513" s="15"/>
      <c r="N513" s="15">
        <f t="shared" ca="1" si="296"/>
        <v>0</v>
      </c>
    </row>
    <row r="514" spans="1:14" x14ac:dyDescent="0.4">
      <c r="A514" s="11" t="s">
        <v>10</v>
      </c>
      <c r="B514" s="40">
        <f t="shared" ca="1" si="300"/>
        <v>0</v>
      </c>
      <c r="C514" s="40"/>
      <c r="D514" s="40"/>
      <c r="E514" s="40"/>
      <c r="F514" s="13">
        <f t="shared" ca="1" si="300"/>
        <v>0</v>
      </c>
      <c r="G514" s="17">
        <f t="shared" ca="1" si="300"/>
        <v>0</v>
      </c>
      <c r="H514" s="17">
        <f t="shared" ca="1" si="300"/>
        <v>0</v>
      </c>
      <c r="I514" s="13">
        <f t="shared" ca="1" si="300"/>
        <v>0</v>
      </c>
      <c r="J514" s="16"/>
      <c r="K514" s="13">
        <f t="shared" ca="1" si="301"/>
        <v>0</v>
      </c>
      <c r="L514" s="15">
        <f t="shared" ca="1" si="297"/>
        <v>1</v>
      </c>
      <c r="M514" s="15"/>
      <c r="N514" s="15">
        <f t="shared" ca="1" si="296"/>
        <v>0</v>
      </c>
    </row>
    <row r="515" spans="1:14" x14ac:dyDescent="0.4">
      <c r="A515" s="11" t="s">
        <v>7</v>
      </c>
      <c r="B515" s="40">
        <f t="shared" ref="B515:I517" ca="1" si="302">OFFSET(B515,-9,0)</f>
        <v>0</v>
      </c>
      <c r="C515" s="40"/>
      <c r="D515" s="40"/>
      <c r="E515" s="40"/>
      <c r="F515" s="13">
        <f t="shared" ca="1" si="302"/>
        <v>0</v>
      </c>
      <c r="G515" s="17">
        <f t="shared" ca="1" si="302"/>
        <v>0</v>
      </c>
      <c r="H515" s="17">
        <f t="shared" ca="1" si="302"/>
        <v>0</v>
      </c>
      <c r="I515" s="13">
        <f t="shared" ca="1" si="302"/>
        <v>0</v>
      </c>
      <c r="J515" s="16"/>
      <c r="K515" s="13">
        <f t="shared" ref="K515:K517" ca="1" si="303">OFFSET(K515,-9,0)</f>
        <v>0</v>
      </c>
      <c r="L515" s="15">
        <f t="shared" ca="1" si="297"/>
        <v>1</v>
      </c>
      <c r="M515" s="15"/>
      <c r="N515" s="15">
        <f t="shared" ca="1" si="296"/>
        <v>0</v>
      </c>
    </row>
    <row r="516" spans="1:14" x14ac:dyDescent="0.4">
      <c r="A516" s="11" t="s">
        <v>7</v>
      </c>
      <c r="B516" s="40">
        <f t="shared" ca="1" si="302"/>
        <v>0</v>
      </c>
      <c r="C516" s="40"/>
      <c r="D516" s="40"/>
      <c r="E516" s="40"/>
      <c r="F516" s="13">
        <f t="shared" ca="1" si="302"/>
        <v>0</v>
      </c>
      <c r="G516" s="17">
        <f t="shared" ca="1" si="302"/>
        <v>0</v>
      </c>
      <c r="H516" s="17">
        <f t="shared" ca="1" si="302"/>
        <v>0</v>
      </c>
      <c r="I516" s="13">
        <f t="shared" ca="1" si="302"/>
        <v>0</v>
      </c>
      <c r="J516" s="16"/>
      <c r="K516" s="13">
        <f t="shared" ca="1" si="303"/>
        <v>0</v>
      </c>
      <c r="L516" s="15">
        <f t="shared" ca="1" si="297"/>
        <v>1</v>
      </c>
      <c r="M516" s="15"/>
      <c r="N516" s="15">
        <f t="shared" ca="1" si="296"/>
        <v>0</v>
      </c>
    </row>
    <row r="517" spans="1:14" x14ac:dyDescent="0.4">
      <c r="A517" s="11" t="s">
        <v>7</v>
      </c>
      <c r="B517" s="40">
        <f t="shared" ca="1" si="302"/>
        <v>0</v>
      </c>
      <c r="C517" s="40"/>
      <c r="D517" s="40"/>
      <c r="E517" s="40"/>
      <c r="F517" s="13">
        <f t="shared" ca="1" si="302"/>
        <v>0</v>
      </c>
      <c r="G517" s="17">
        <f t="shared" ca="1" si="302"/>
        <v>0</v>
      </c>
      <c r="H517" s="17">
        <f t="shared" ca="1" si="302"/>
        <v>0</v>
      </c>
      <c r="I517" s="13">
        <f t="shared" ca="1" si="302"/>
        <v>0</v>
      </c>
      <c r="J517" s="16"/>
      <c r="K517" s="13">
        <f t="shared" ca="1" si="303"/>
        <v>0</v>
      </c>
      <c r="L517" s="15">
        <f t="shared" ca="1" si="297"/>
        <v>1</v>
      </c>
      <c r="M517" s="15"/>
      <c r="N517" s="15">
        <f t="shared" ca="1" si="296"/>
        <v>0</v>
      </c>
    </row>
    <row r="518" spans="1:14" x14ac:dyDescent="0.4">
      <c r="A518" s="11" t="s">
        <v>8</v>
      </c>
      <c r="B518" s="40">
        <f t="shared" ref="B518:I520" ca="1" si="304">OFFSET(B518,-12,0)</f>
        <v>0</v>
      </c>
      <c r="C518" s="40"/>
      <c r="D518" s="40"/>
      <c r="E518" s="40"/>
      <c r="F518" s="13">
        <f t="shared" ca="1" si="304"/>
        <v>0</v>
      </c>
      <c r="G518" s="17">
        <f t="shared" ca="1" si="304"/>
        <v>0</v>
      </c>
      <c r="H518" s="17">
        <f t="shared" ca="1" si="304"/>
        <v>0</v>
      </c>
      <c r="I518" s="13">
        <f t="shared" ca="1" si="304"/>
        <v>0</v>
      </c>
      <c r="J518" s="16"/>
      <c r="K518" s="13">
        <f t="shared" ref="K518:K520" ca="1" si="305">OFFSET(K518,-12,0)</f>
        <v>0</v>
      </c>
      <c r="L518" s="15">
        <f t="shared" ca="1" si="297"/>
        <v>1</v>
      </c>
      <c r="M518" s="15"/>
      <c r="N518" s="15">
        <f t="shared" ca="1" si="296"/>
        <v>0</v>
      </c>
    </row>
    <row r="519" spans="1:14" x14ac:dyDescent="0.4">
      <c r="A519" s="11" t="s">
        <v>8</v>
      </c>
      <c r="B519" s="40">
        <f t="shared" ca="1" si="304"/>
        <v>0</v>
      </c>
      <c r="C519" s="40"/>
      <c r="D519" s="40"/>
      <c r="E519" s="40"/>
      <c r="F519" s="13">
        <f t="shared" ca="1" si="304"/>
        <v>0</v>
      </c>
      <c r="G519" s="17">
        <f t="shared" ca="1" si="304"/>
        <v>0</v>
      </c>
      <c r="H519" s="17">
        <f t="shared" ca="1" si="304"/>
        <v>0</v>
      </c>
      <c r="I519" s="13">
        <f t="shared" ca="1" si="304"/>
        <v>0</v>
      </c>
      <c r="J519" s="16"/>
      <c r="K519" s="13">
        <f t="shared" ca="1" si="305"/>
        <v>0</v>
      </c>
      <c r="L519" s="15">
        <f t="shared" ca="1" si="297"/>
        <v>1</v>
      </c>
      <c r="M519" s="15"/>
      <c r="N519" s="15">
        <f t="shared" ca="1" si="296"/>
        <v>0</v>
      </c>
    </row>
    <row r="520" spans="1:14" x14ac:dyDescent="0.4">
      <c r="A520" s="11" t="s">
        <v>8</v>
      </c>
      <c r="B520" s="40">
        <f t="shared" ca="1" si="304"/>
        <v>0</v>
      </c>
      <c r="C520" s="40"/>
      <c r="D520" s="40"/>
      <c r="E520" s="40"/>
      <c r="F520" s="13">
        <f t="shared" ca="1" si="304"/>
        <v>0</v>
      </c>
      <c r="G520" s="17">
        <f t="shared" ca="1" si="304"/>
        <v>0</v>
      </c>
      <c r="H520" s="17">
        <f t="shared" ca="1" si="304"/>
        <v>0</v>
      </c>
      <c r="I520" s="13">
        <f t="shared" ca="1" si="304"/>
        <v>0</v>
      </c>
      <c r="J520" s="16"/>
      <c r="K520" s="13">
        <f t="shared" ca="1" si="305"/>
        <v>0</v>
      </c>
      <c r="L520" s="15">
        <f t="shared" ca="1" si="297"/>
        <v>1</v>
      </c>
      <c r="M520" s="15"/>
      <c r="N520" s="15">
        <f t="shared" ca="1" si="296"/>
        <v>0</v>
      </c>
    </row>
    <row r="521" spans="1:14" x14ac:dyDescent="0.4">
      <c r="A521" s="11" t="s">
        <v>9</v>
      </c>
      <c r="B521" s="41">
        <f t="shared" ref="B521:I523" ca="1" si="306">OFFSET(B521,-15,0)</f>
        <v>0</v>
      </c>
      <c r="C521" s="41"/>
      <c r="D521" s="41"/>
      <c r="E521" s="41"/>
      <c r="F521" s="19">
        <f t="shared" ca="1" si="306"/>
        <v>0</v>
      </c>
      <c r="G521" s="20">
        <f t="shared" ca="1" si="306"/>
        <v>0</v>
      </c>
      <c r="H521" s="20">
        <f t="shared" ca="1" si="306"/>
        <v>0</v>
      </c>
      <c r="I521" s="13">
        <f t="shared" ca="1" si="306"/>
        <v>0</v>
      </c>
      <c r="J521" s="16"/>
      <c r="K521" s="19">
        <f t="shared" ref="K521:K523" ca="1" si="307">OFFSET(K521,-15,0)</f>
        <v>0</v>
      </c>
      <c r="L521" s="15">
        <f t="shared" ca="1" si="297"/>
        <v>1</v>
      </c>
      <c r="M521" s="15"/>
      <c r="N521" s="15">
        <f t="shared" ca="1" si="296"/>
        <v>0</v>
      </c>
    </row>
    <row r="522" spans="1:14" x14ac:dyDescent="0.4">
      <c r="A522" s="11" t="s">
        <v>9</v>
      </c>
      <c r="B522" s="41">
        <f t="shared" ca="1" si="306"/>
        <v>0</v>
      </c>
      <c r="C522" s="41"/>
      <c r="D522" s="41"/>
      <c r="E522" s="41"/>
      <c r="F522" s="19">
        <f t="shared" ca="1" si="306"/>
        <v>0</v>
      </c>
      <c r="G522" s="20">
        <f t="shared" ca="1" si="306"/>
        <v>0</v>
      </c>
      <c r="H522" s="20">
        <f t="shared" ca="1" si="306"/>
        <v>0</v>
      </c>
      <c r="I522" s="13">
        <f t="shared" ca="1" si="306"/>
        <v>0</v>
      </c>
      <c r="J522" s="16"/>
      <c r="K522" s="19">
        <f t="shared" ca="1" si="307"/>
        <v>0</v>
      </c>
      <c r="L522" s="15">
        <f t="shared" ca="1" si="297"/>
        <v>1</v>
      </c>
      <c r="M522" s="15"/>
      <c r="N522" s="15">
        <f t="shared" ca="1" si="296"/>
        <v>0</v>
      </c>
    </row>
    <row r="523" spans="1:14" x14ac:dyDescent="0.4">
      <c r="A523" s="11" t="s">
        <v>9</v>
      </c>
      <c r="B523" s="41">
        <f t="shared" ca="1" si="306"/>
        <v>0</v>
      </c>
      <c r="C523" s="41"/>
      <c r="D523" s="41"/>
      <c r="E523" s="41"/>
      <c r="F523" s="19">
        <f t="shared" ca="1" si="306"/>
        <v>0</v>
      </c>
      <c r="G523" s="20">
        <f t="shared" ca="1" si="306"/>
        <v>0</v>
      </c>
      <c r="H523" s="20">
        <f t="shared" ca="1" si="306"/>
        <v>0</v>
      </c>
      <c r="I523" s="13">
        <f t="shared" ca="1" si="306"/>
        <v>0</v>
      </c>
      <c r="J523" s="16"/>
      <c r="K523" s="19">
        <f t="shared" ca="1" si="307"/>
        <v>0</v>
      </c>
      <c r="L523" s="15">
        <f t="shared" ca="1" si="297"/>
        <v>1</v>
      </c>
      <c r="M523" s="15"/>
      <c r="N523" s="15">
        <f t="shared" ca="1" si="296"/>
        <v>0</v>
      </c>
    </row>
    <row r="524" spans="1:14" ht="17.399999999999999" x14ac:dyDescent="0.4">
      <c r="A524" s="74" t="s">
        <v>29</v>
      </c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6"/>
    </row>
    <row r="525" spans="1:14" x14ac:dyDescent="0.4">
      <c r="A525" s="11" t="s">
        <v>5</v>
      </c>
      <c r="B525" s="40"/>
      <c r="C525" s="40"/>
      <c r="D525" s="40"/>
      <c r="E525" s="40"/>
      <c r="F525" s="13"/>
      <c r="G525" s="11"/>
      <c r="H525" s="17"/>
      <c r="I525" s="13"/>
      <c r="J525" s="16"/>
      <c r="K525" s="13"/>
      <c r="L525" s="15">
        <f>ROUND((10^(K525/10))/(10^(I525/10)),3)</f>
        <v>1</v>
      </c>
      <c r="M525" s="15"/>
      <c r="N525" s="15">
        <f t="shared" ref="N525:N542" si="308">J525*L525</f>
        <v>0</v>
      </c>
    </row>
    <row r="526" spans="1:14" x14ac:dyDescent="0.4">
      <c r="A526" s="11" t="s">
        <v>5</v>
      </c>
      <c r="B526" s="40"/>
      <c r="C526" s="40"/>
      <c r="D526" s="40"/>
      <c r="E526" s="40"/>
      <c r="F526" s="13"/>
      <c r="G526" s="11"/>
      <c r="H526" s="17"/>
      <c r="I526" s="13"/>
      <c r="J526" s="16"/>
      <c r="K526" s="13"/>
      <c r="L526" s="15">
        <f t="shared" ref="L526:L542" si="309">ROUND((10^(K526/10))/(10^(I526/10)),3)</f>
        <v>1</v>
      </c>
      <c r="M526" s="15"/>
      <c r="N526" s="15">
        <f t="shared" si="308"/>
        <v>0</v>
      </c>
    </row>
    <row r="527" spans="1:14" x14ac:dyDescent="0.4">
      <c r="A527" s="11" t="s">
        <v>5</v>
      </c>
      <c r="B527" s="40"/>
      <c r="C527" s="40"/>
      <c r="D527" s="40"/>
      <c r="E527" s="40"/>
      <c r="F527" s="13"/>
      <c r="G527" s="11"/>
      <c r="H527" s="17"/>
      <c r="I527" s="13"/>
      <c r="J527" s="16"/>
      <c r="K527" s="13"/>
      <c r="L527" s="15">
        <f t="shared" si="309"/>
        <v>1</v>
      </c>
      <c r="M527" s="15"/>
      <c r="N527" s="15">
        <f t="shared" si="308"/>
        <v>0</v>
      </c>
    </row>
    <row r="528" spans="1:14" x14ac:dyDescent="0.4">
      <c r="A528" s="11" t="s">
        <v>6</v>
      </c>
      <c r="B528" s="41">
        <f t="shared" ref="B528:I530" ca="1" si="310">OFFSET(B528,-3,0)</f>
        <v>0</v>
      </c>
      <c r="C528" s="41"/>
      <c r="D528" s="41"/>
      <c r="E528" s="41"/>
      <c r="F528" s="19">
        <f t="shared" ca="1" si="310"/>
        <v>0</v>
      </c>
      <c r="G528" s="20">
        <f t="shared" ca="1" si="310"/>
        <v>0</v>
      </c>
      <c r="H528" s="20">
        <f t="shared" ca="1" si="310"/>
        <v>0</v>
      </c>
      <c r="I528" s="13">
        <f t="shared" ca="1" si="310"/>
        <v>0</v>
      </c>
      <c r="J528" s="16"/>
      <c r="K528" s="19">
        <f t="shared" ref="K528:K530" ca="1" si="311">OFFSET(K528,-3,0)</f>
        <v>0</v>
      </c>
      <c r="L528" s="15">
        <f t="shared" ca="1" si="309"/>
        <v>1</v>
      </c>
      <c r="M528" s="15"/>
      <c r="N528" s="15">
        <f t="shared" ca="1" si="308"/>
        <v>0</v>
      </c>
    </row>
    <row r="529" spans="1:14" x14ac:dyDescent="0.4">
      <c r="A529" s="11" t="s">
        <v>6</v>
      </c>
      <c r="B529" s="41">
        <f t="shared" ca="1" si="310"/>
        <v>0</v>
      </c>
      <c r="C529" s="41"/>
      <c r="D529" s="41"/>
      <c r="E529" s="41"/>
      <c r="F529" s="19">
        <f t="shared" ca="1" si="310"/>
        <v>0</v>
      </c>
      <c r="G529" s="20">
        <f t="shared" ca="1" si="310"/>
        <v>0</v>
      </c>
      <c r="H529" s="20">
        <f t="shared" ca="1" si="310"/>
        <v>0</v>
      </c>
      <c r="I529" s="13">
        <f t="shared" ca="1" si="310"/>
        <v>0</v>
      </c>
      <c r="J529" s="16"/>
      <c r="K529" s="19">
        <f t="shared" ca="1" si="311"/>
        <v>0</v>
      </c>
      <c r="L529" s="15">
        <f t="shared" ca="1" si="309"/>
        <v>1</v>
      </c>
      <c r="M529" s="15"/>
      <c r="N529" s="15">
        <f t="shared" ca="1" si="308"/>
        <v>0</v>
      </c>
    </row>
    <row r="530" spans="1:14" x14ac:dyDescent="0.4">
      <c r="A530" s="11" t="s">
        <v>6</v>
      </c>
      <c r="B530" s="41">
        <f t="shared" ca="1" si="310"/>
        <v>0</v>
      </c>
      <c r="C530" s="41"/>
      <c r="D530" s="41"/>
      <c r="E530" s="41"/>
      <c r="F530" s="19">
        <f t="shared" ca="1" si="310"/>
        <v>0</v>
      </c>
      <c r="G530" s="20">
        <f t="shared" ca="1" si="310"/>
        <v>0</v>
      </c>
      <c r="H530" s="20">
        <f t="shared" ca="1" si="310"/>
        <v>0</v>
      </c>
      <c r="I530" s="13">
        <f t="shared" ca="1" si="310"/>
        <v>0</v>
      </c>
      <c r="J530" s="16"/>
      <c r="K530" s="19">
        <f t="shared" ca="1" si="311"/>
        <v>0</v>
      </c>
      <c r="L530" s="15">
        <f t="shared" ca="1" si="309"/>
        <v>1</v>
      </c>
      <c r="M530" s="15"/>
      <c r="N530" s="15">
        <f t="shared" ca="1" si="308"/>
        <v>0</v>
      </c>
    </row>
    <row r="531" spans="1:14" x14ac:dyDescent="0.4">
      <c r="A531" s="11" t="s">
        <v>10</v>
      </c>
      <c r="B531" s="40">
        <f t="shared" ref="B531:I533" ca="1" si="312">OFFSET(B531,-6,0)</f>
        <v>0</v>
      </c>
      <c r="C531" s="40"/>
      <c r="D531" s="40"/>
      <c r="E531" s="40"/>
      <c r="F531" s="13">
        <f t="shared" ca="1" si="312"/>
        <v>0</v>
      </c>
      <c r="G531" s="17">
        <f t="shared" ca="1" si="312"/>
        <v>0</v>
      </c>
      <c r="H531" s="17">
        <f t="shared" ca="1" si="312"/>
        <v>0</v>
      </c>
      <c r="I531" s="13">
        <f t="shared" ca="1" si="312"/>
        <v>0</v>
      </c>
      <c r="J531" s="16"/>
      <c r="K531" s="13">
        <f t="shared" ref="K531:K533" ca="1" si="313">OFFSET(K531,-6,0)</f>
        <v>0</v>
      </c>
      <c r="L531" s="15">
        <f t="shared" ca="1" si="309"/>
        <v>1</v>
      </c>
      <c r="M531" s="15"/>
      <c r="N531" s="15">
        <f t="shared" ca="1" si="308"/>
        <v>0</v>
      </c>
    </row>
    <row r="532" spans="1:14" x14ac:dyDescent="0.4">
      <c r="A532" s="11" t="s">
        <v>10</v>
      </c>
      <c r="B532" s="40">
        <f t="shared" ca="1" si="312"/>
        <v>0</v>
      </c>
      <c r="C532" s="40"/>
      <c r="D532" s="40"/>
      <c r="E532" s="40"/>
      <c r="F532" s="13">
        <f t="shared" ca="1" si="312"/>
        <v>0</v>
      </c>
      <c r="G532" s="17">
        <f t="shared" ca="1" si="312"/>
        <v>0</v>
      </c>
      <c r="H532" s="17">
        <f t="shared" ca="1" si="312"/>
        <v>0</v>
      </c>
      <c r="I532" s="13">
        <f t="shared" ca="1" si="312"/>
        <v>0</v>
      </c>
      <c r="J532" s="16"/>
      <c r="K532" s="13">
        <f t="shared" ca="1" si="313"/>
        <v>0</v>
      </c>
      <c r="L532" s="15">
        <f t="shared" ca="1" si="309"/>
        <v>1</v>
      </c>
      <c r="M532" s="15"/>
      <c r="N532" s="15">
        <f t="shared" ca="1" si="308"/>
        <v>0</v>
      </c>
    </row>
    <row r="533" spans="1:14" x14ac:dyDescent="0.4">
      <c r="A533" s="11" t="s">
        <v>10</v>
      </c>
      <c r="B533" s="40">
        <f t="shared" ca="1" si="312"/>
        <v>0</v>
      </c>
      <c r="C533" s="40"/>
      <c r="D533" s="40"/>
      <c r="E533" s="40"/>
      <c r="F533" s="13">
        <f t="shared" ca="1" si="312"/>
        <v>0</v>
      </c>
      <c r="G533" s="17">
        <f t="shared" ca="1" si="312"/>
        <v>0</v>
      </c>
      <c r="H533" s="17">
        <f t="shared" ca="1" si="312"/>
        <v>0</v>
      </c>
      <c r="I533" s="13">
        <f t="shared" ca="1" si="312"/>
        <v>0</v>
      </c>
      <c r="J533" s="16"/>
      <c r="K533" s="13">
        <f t="shared" ca="1" si="313"/>
        <v>0</v>
      </c>
      <c r="L533" s="15">
        <f t="shared" ca="1" si="309"/>
        <v>1</v>
      </c>
      <c r="M533" s="15"/>
      <c r="N533" s="15">
        <f t="shared" ca="1" si="308"/>
        <v>0</v>
      </c>
    </row>
    <row r="534" spans="1:14" x14ac:dyDescent="0.4">
      <c r="A534" s="11" t="s">
        <v>7</v>
      </c>
      <c r="B534" s="40">
        <f t="shared" ref="B534:I536" ca="1" si="314">OFFSET(B534,-9,0)</f>
        <v>0</v>
      </c>
      <c r="C534" s="40"/>
      <c r="D534" s="40"/>
      <c r="E534" s="40"/>
      <c r="F534" s="13">
        <f t="shared" ca="1" si="314"/>
        <v>0</v>
      </c>
      <c r="G534" s="17">
        <f t="shared" ca="1" si="314"/>
        <v>0</v>
      </c>
      <c r="H534" s="17">
        <f t="shared" ca="1" si="314"/>
        <v>0</v>
      </c>
      <c r="I534" s="13">
        <f t="shared" ca="1" si="314"/>
        <v>0</v>
      </c>
      <c r="J534" s="16"/>
      <c r="K534" s="13">
        <f t="shared" ref="K534:K536" ca="1" si="315">OFFSET(K534,-9,0)</f>
        <v>0</v>
      </c>
      <c r="L534" s="15">
        <f t="shared" ca="1" si="309"/>
        <v>1</v>
      </c>
      <c r="M534" s="15"/>
      <c r="N534" s="15">
        <f t="shared" ca="1" si="308"/>
        <v>0</v>
      </c>
    </row>
    <row r="535" spans="1:14" x14ac:dyDescent="0.4">
      <c r="A535" s="11" t="s">
        <v>7</v>
      </c>
      <c r="B535" s="40">
        <f t="shared" ca="1" si="314"/>
        <v>0</v>
      </c>
      <c r="C535" s="40"/>
      <c r="D535" s="40"/>
      <c r="E535" s="40"/>
      <c r="F535" s="13">
        <f t="shared" ca="1" si="314"/>
        <v>0</v>
      </c>
      <c r="G535" s="17">
        <f t="shared" ca="1" si="314"/>
        <v>0</v>
      </c>
      <c r="H535" s="17">
        <f t="shared" ca="1" si="314"/>
        <v>0</v>
      </c>
      <c r="I535" s="13">
        <f t="shared" ca="1" si="314"/>
        <v>0</v>
      </c>
      <c r="J535" s="16"/>
      <c r="K535" s="13">
        <f t="shared" ca="1" si="315"/>
        <v>0</v>
      </c>
      <c r="L535" s="15">
        <f t="shared" ca="1" si="309"/>
        <v>1</v>
      </c>
      <c r="M535" s="15"/>
      <c r="N535" s="15">
        <f t="shared" ca="1" si="308"/>
        <v>0</v>
      </c>
    </row>
    <row r="536" spans="1:14" x14ac:dyDescent="0.4">
      <c r="A536" s="11" t="s">
        <v>7</v>
      </c>
      <c r="B536" s="40">
        <f t="shared" ca="1" si="314"/>
        <v>0</v>
      </c>
      <c r="C536" s="40"/>
      <c r="D536" s="40"/>
      <c r="E536" s="40"/>
      <c r="F536" s="13">
        <f t="shared" ca="1" si="314"/>
        <v>0</v>
      </c>
      <c r="G536" s="17">
        <f t="shared" ca="1" si="314"/>
        <v>0</v>
      </c>
      <c r="H536" s="17">
        <f t="shared" ca="1" si="314"/>
        <v>0</v>
      </c>
      <c r="I536" s="13">
        <f t="shared" ca="1" si="314"/>
        <v>0</v>
      </c>
      <c r="J536" s="16"/>
      <c r="K536" s="13">
        <f t="shared" ca="1" si="315"/>
        <v>0</v>
      </c>
      <c r="L536" s="15">
        <f t="shared" ca="1" si="309"/>
        <v>1</v>
      </c>
      <c r="M536" s="15"/>
      <c r="N536" s="15">
        <f t="shared" ca="1" si="308"/>
        <v>0</v>
      </c>
    </row>
    <row r="537" spans="1:14" x14ac:dyDescent="0.4">
      <c r="A537" s="11" t="s">
        <v>8</v>
      </c>
      <c r="B537" s="40">
        <f t="shared" ref="B537:I539" ca="1" si="316">OFFSET(B537,-12,0)</f>
        <v>0</v>
      </c>
      <c r="C537" s="40"/>
      <c r="D537" s="40"/>
      <c r="E537" s="40"/>
      <c r="F537" s="13">
        <f t="shared" ca="1" si="316"/>
        <v>0</v>
      </c>
      <c r="G537" s="17">
        <f t="shared" ca="1" si="316"/>
        <v>0</v>
      </c>
      <c r="H537" s="17">
        <f t="shared" ca="1" si="316"/>
        <v>0</v>
      </c>
      <c r="I537" s="13">
        <f t="shared" ca="1" si="316"/>
        <v>0</v>
      </c>
      <c r="J537" s="16"/>
      <c r="K537" s="13">
        <f t="shared" ref="K537:K539" ca="1" si="317">OFFSET(K537,-12,0)</f>
        <v>0</v>
      </c>
      <c r="L537" s="15">
        <f t="shared" ca="1" si="309"/>
        <v>1</v>
      </c>
      <c r="M537" s="15"/>
      <c r="N537" s="15">
        <f t="shared" ca="1" si="308"/>
        <v>0</v>
      </c>
    </row>
    <row r="538" spans="1:14" x14ac:dyDescent="0.4">
      <c r="A538" s="11" t="s">
        <v>8</v>
      </c>
      <c r="B538" s="40">
        <f t="shared" ca="1" si="316"/>
        <v>0</v>
      </c>
      <c r="C538" s="40"/>
      <c r="D538" s="40"/>
      <c r="E538" s="40"/>
      <c r="F538" s="13">
        <f t="shared" ca="1" si="316"/>
        <v>0</v>
      </c>
      <c r="G538" s="17">
        <f t="shared" ca="1" si="316"/>
        <v>0</v>
      </c>
      <c r="H538" s="17">
        <f t="shared" ca="1" si="316"/>
        <v>0</v>
      </c>
      <c r="I538" s="13">
        <f t="shared" ca="1" si="316"/>
        <v>0</v>
      </c>
      <c r="J538" s="16"/>
      <c r="K538" s="13">
        <f t="shared" ca="1" si="317"/>
        <v>0</v>
      </c>
      <c r="L538" s="15">
        <f t="shared" ca="1" si="309"/>
        <v>1</v>
      </c>
      <c r="M538" s="15"/>
      <c r="N538" s="15">
        <f t="shared" ca="1" si="308"/>
        <v>0</v>
      </c>
    </row>
    <row r="539" spans="1:14" x14ac:dyDescent="0.4">
      <c r="A539" s="11" t="s">
        <v>8</v>
      </c>
      <c r="B539" s="40">
        <f t="shared" ca="1" si="316"/>
        <v>0</v>
      </c>
      <c r="C539" s="40"/>
      <c r="D539" s="40"/>
      <c r="E539" s="40"/>
      <c r="F539" s="13">
        <f t="shared" ca="1" si="316"/>
        <v>0</v>
      </c>
      <c r="G539" s="17">
        <f t="shared" ca="1" si="316"/>
        <v>0</v>
      </c>
      <c r="H539" s="17">
        <f t="shared" ca="1" si="316"/>
        <v>0</v>
      </c>
      <c r="I539" s="13">
        <f t="shared" ca="1" si="316"/>
        <v>0</v>
      </c>
      <c r="J539" s="16"/>
      <c r="K539" s="13">
        <f t="shared" ca="1" si="317"/>
        <v>0</v>
      </c>
      <c r="L539" s="15">
        <f t="shared" ca="1" si="309"/>
        <v>1</v>
      </c>
      <c r="M539" s="15"/>
      <c r="N539" s="15">
        <f t="shared" ca="1" si="308"/>
        <v>0</v>
      </c>
    </row>
    <row r="540" spans="1:14" x14ac:dyDescent="0.4">
      <c r="A540" s="11" t="s">
        <v>9</v>
      </c>
      <c r="B540" s="41">
        <f t="shared" ref="B540:I542" ca="1" si="318">OFFSET(B540,-15,0)</f>
        <v>0</v>
      </c>
      <c r="C540" s="41"/>
      <c r="D540" s="41"/>
      <c r="E540" s="41"/>
      <c r="F540" s="19">
        <f t="shared" ca="1" si="318"/>
        <v>0</v>
      </c>
      <c r="G540" s="20">
        <f t="shared" ca="1" si="318"/>
        <v>0</v>
      </c>
      <c r="H540" s="20">
        <f t="shared" ca="1" si="318"/>
        <v>0</v>
      </c>
      <c r="I540" s="13">
        <f t="shared" ca="1" si="318"/>
        <v>0</v>
      </c>
      <c r="J540" s="16"/>
      <c r="K540" s="19">
        <f t="shared" ref="K540:K542" ca="1" si="319">OFFSET(K540,-15,0)</f>
        <v>0</v>
      </c>
      <c r="L540" s="15">
        <f t="shared" ca="1" si="309"/>
        <v>1</v>
      </c>
      <c r="M540" s="15"/>
      <c r="N540" s="15">
        <f t="shared" ca="1" si="308"/>
        <v>0</v>
      </c>
    </row>
    <row r="541" spans="1:14" x14ac:dyDescent="0.4">
      <c r="A541" s="11" t="s">
        <v>9</v>
      </c>
      <c r="B541" s="41">
        <f t="shared" ca="1" si="318"/>
        <v>0</v>
      </c>
      <c r="C541" s="41"/>
      <c r="D541" s="41"/>
      <c r="E541" s="41"/>
      <c r="F541" s="19">
        <f t="shared" ca="1" si="318"/>
        <v>0</v>
      </c>
      <c r="G541" s="20">
        <f t="shared" ca="1" si="318"/>
        <v>0</v>
      </c>
      <c r="H541" s="20">
        <f t="shared" ca="1" si="318"/>
        <v>0</v>
      </c>
      <c r="I541" s="13">
        <f t="shared" ca="1" si="318"/>
        <v>0</v>
      </c>
      <c r="J541" s="16"/>
      <c r="K541" s="19">
        <f t="shared" ca="1" si="319"/>
        <v>0</v>
      </c>
      <c r="L541" s="15">
        <f t="shared" ca="1" si="309"/>
        <v>1</v>
      </c>
      <c r="M541" s="15"/>
      <c r="N541" s="15">
        <f t="shared" ca="1" si="308"/>
        <v>0</v>
      </c>
    </row>
    <row r="542" spans="1:14" x14ac:dyDescent="0.4">
      <c r="A542" s="11" t="s">
        <v>9</v>
      </c>
      <c r="B542" s="41">
        <f t="shared" ca="1" si="318"/>
        <v>0</v>
      </c>
      <c r="C542" s="41"/>
      <c r="D542" s="41"/>
      <c r="E542" s="41"/>
      <c r="F542" s="19">
        <f t="shared" ca="1" si="318"/>
        <v>0</v>
      </c>
      <c r="G542" s="20">
        <f t="shared" ca="1" si="318"/>
        <v>0</v>
      </c>
      <c r="H542" s="20">
        <f t="shared" ca="1" si="318"/>
        <v>0</v>
      </c>
      <c r="I542" s="13">
        <f t="shared" ca="1" si="318"/>
        <v>0</v>
      </c>
      <c r="J542" s="16"/>
      <c r="K542" s="19">
        <f t="shared" ca="1" si="319"/>
        <v>0</v>
      </c>
      <c r="L542" s="15">
        <f t="shared" ca="1" si="309"/>
        <v>1</v>
      </c>
      <c r="M542" s="15"/>
      <c r="N542" s="15">
        <f t="shared" ca="1" si="308"/>
        <v>0</v>
      </c>
    </row>
    <row r="543" spans="1:14" ht="17.399999999999999" x14ac:dyDescent="0.4">
      <c r="A543" s="74" t="s">
        <v>32</v>
      </c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6"/>
    </row>
    <row r="544" spans="1:14" x14ac:dyDescent="0.4">
      <c r="A544" s="11" t="s">
        <v>5</v>
      </c>
      <c r="B544" s="40"/>
      <c r="C544" s="40"/>
      <c r="D544" s="40"/>
      <c r="E544" s="40"/>
      <c r="F544" s="13"/>
      <c r="G544" s="11"/>
      <c r="H544" s="17"/>
      <c r="I544" s="13"/>
      <c r="J544" s="16"/>
      <c r="K544" s="13"/>
      <c r="L544" s="15">
        <f>ROUND((10^(K544/10))/(10^(I544/10)),3)</f>
        <v>1</v>
      </c>
      <c r="M544" s="15"/>
      <c r="N544" s="15">
        <f t="shared" ref="N544:N561" si="320">J544*L544</f>
        <v>0</v>
      </c>
    </row>
    <row r="545" spans="1:14" x14ac:dyDescent="0.4">
      <c r="A545" s="11" t="s">
        <v>5</v>
      </c>
      <c r="B545" s="40"/>
      <c r="C545" s="40"/>
      <c r="D545" s="40"/>
      <c r="E545" s="40"/>
      <c r="F545" s="13"/>
      <c r="G545" s="11"/>
      <c r="H545" s="17"/>
      <c r="I545" s="13"/>
      <c r="J545" s="16"/>
      <c r="K545" s="13"/>
      <c r="L545" s="15">
        <f t="shared" ref="L545:L561" si="321">ROUND((10^(K545/10))/(10^(I545/10)),3)</f>
        <v>1</v>
      </c>
      <c r="M545" s="15"/>
      <c r="N545" s="15">
        <f t="shared" si="320"/>
        <v>0</v>
      </c>
    </row>
    <row r="546" spans="1:14" x14ac:dyDescent="0.4">
      <c r="A546" s="11" t="s">
        <v>5</v>
      </c>
      <c r="B546" s="40"/>
      <c r="C546" s="40"/>
      <c r="D546" s="40"/>
      <c r="E546" s="40"/>
      <c r="F546" s="13"/>
      <c r="G546" s="11"/>
      <c r="H546" s="17"/>
      <c r="I546" s="13"/>
      <c r="J546" s="16"/>
      <c r="K546" s="13"/>
      <c r="L546" s="15">
        <f t="shared" si="321"/>
        <v>1</v>
      </c>
      <c r="M546" s="15"/>
      <c r="N546" s="15">
        <f t="shared" si="320"/>
        <v>0</v>
      </c>
    </row>
    <row r="547" spans="1:14" x14ac:dyDescent="0.4">
      <c r="A547" s="11" t="s">
        <v>6</v>
      </c>
      <c r="B547" s="41">
        <f t="shared" ref="B547:I549" ca="1" si="322">OFFSET(B547,-3,0)</f>
        <v>0</v>
      </c>
      <c r="C547" s="41"/>
      <c r="D547" s="41"/>
      <c r="E547" s="41"/>
      <c r="F547" s="19">
        <f t="shared" ca="1" si="322"/>
        <v>0</v>
      </c>
      <c r="G547" s="20">
        <f t="shared" ca="1" si="322"/>
        <v>0</v>
      </c>
      <c r="H547" s="20">
        <f t="shared" ca="1" si="322"/>
        <v>0</v>
      </c>
      <c r="I547" s="13">
        <f t="shared" ca="1" si="322"/>
        <v>0</v>
      </c>
      <c r="J547" s="16"/>
      <c r="K547" s="19">
        <f t="shared" ref="K547:K549" ca="1" si="323">OFFSET(K547,-3,0)</f>
        <v>0</v>
      </c>
      <c r="L547" s="15">
        <f t="shared" ca="1" si="321"/>
        <v>1</v>
      </c>
      <c r="M547" s="15"/>
      <c r="N547" s="15">
        <f t="shared" ca="1" si="320"/>
        <v>0</v>
      </c>
    </row>
    <row r="548" spans="1:14" x14ac:dyDescent="0.4">
      <c r="A548" s="11" t="s">
        <v>6</v>
      </c>
      <c r="B548" s="41">
        <f t="shared" ca="1" si="322"/>
        <v>0</v>
      </c>
      <c r="C548" s="41"/>
      <c r="D548" s="41"/>
      <c r="E548" s="41"/>
      <c r="F548" s="19">
        <f t="shared" ca="1" si="322"/>
        <v>0</v>
      </c>
      <c r="G548" s="20">
        <f t="shared" ca="1" si="322"/>
        <v>0</v>
      </c>
      <c r="H548" s="20">
        <f t="shared" ca="1" si="322"/>
        <v>0</v>
      </c>
      <c r="I548" s="13">
        <f t="shared" ca="1" si="322"/>
        <v>0</v>
      </c>
      <c r="J548" s="16"/>
      <c r="K548" s="19">
        <f t="shared" ca="1" si="323"/>
        <v>0</v>
      </c>
      <c r="L548" s="15">
        <f t="shared" ca="1" si="321"/>
        <v>1</v>
      </c>
      <c r="M548" s="15"/>
      <c r="N548" s="15">
        <f t="shared" ca="1" si="320"/>
        <v>0</v>
      </c>
    </row>
    <row r="549" spans="1:14" x14ac:dyDescent="0.4">
      <c r="A549" s="11" t="s">
        <v>6</v>
      </c>
      <c r="B549" s="41">
        <f t="shared" ca="1" si="322"/>
        <v>0</v>
      </c>
      <c r="C549" s="41"/>
      <c r="D549" s="41"/>
      <c r="E549" s="41"/>
      <c r="F549" s="19">
        <f t="shared" ca="1" si="322"/>
        <v>0</v>
      </c>
      <c r="G549" s="20">
        <f t="shared" ca="1" si="322"/>
        <v>0</v>
      </c>
      <c r="H549" s="20">
        <f t="shared" ca="1" si="322"/>
        <v>0</v>
      </c>
      <c r="I549" s="13">
        <f t="shared" ca="1" si="322"/>
        <v>0</v>
      </c>
      <c r="J549" s="16"/>
      <c r="K549" s="19">
        <f t="shared" ca="1" si="323"/>
        <v>0</v>
      </c>
      <c r="L549" s="15">
        <f t="shared" ca="1" si="321"/>
        <v>1</v>
      </c>
      <c r="M549" s="15"/>
      <c r="N549" s="15">
        <f t="shared" ca="1" si="320"/>
        <v>0</v>
      </c>
    </row>
    <row r="550" spans="1:14" x14ac:dyDescent="0.4">
      <c r="A550" s="11" t="s">
        <v>10</v>
      </c>
      <c r="B550" s="40">
        <f t="shared" ref="B550:I552" ca="1" si="324">OFFSET(B550,-6,0)</f>
        <v>0</v>
      </c>
      <c r="C550" s="40"/>
      <c r="D550" s="40"/>
      <c r="E550" s="40"/>
      <c r="F550" s="13">
        <f t="shared" ca="1" si="324"/>
        <v>0</v>
      </c>
      <c r="G550" s="17">
        <f t="shared" ca="1" si="324"/>
        <v>0</v>
      </c>
      <c r="H550" s="17">
        <f t="shared" ca="1" si="324"/>
        <v>0</v>
      </c>
      <c r="I550" s="13">
        <f t="shared" ca="1" si="324"/>
        <v>0</v>
      </c>
      <c r="J550" s="16"/>
      <c r="K550" s="13">
        <f t="shared" ref="K550:K552" ca="1" si="325">OFFSET(K550,-6,0)</f>
        <v>0</v>
      </c>
      <c r="L550" s="15">
        <f t="shared" ca="1" si="321"/>
        <v>1</v>
      </c>
      <c r="M550" s="15"/>
      <c r="N550" s="15">
        <f t="shared" ca="1" si="320"/>
        <v>0</v>
      </c>
    </row>
    <row r="551" spans="1:14" x14ac:dyDescent="0.4">
      <c r="A551" s="11" t="s">
        <v>10</v>
      </c>
      <c r="B551" s="40">
        <f t="shared" ca="1" si="324"/>
        <v>0</v>
      </c>
      <c r="C551" s="40"/>
      <c r="D551" s="40"/>
      <c r="E551" s="40"/>
      <c r="F551" s="13">
        <f t="shared" ca="1" si="324"/>
        <v>0</v>
      </c>
      <c r="G551" s="17">
        <f t="shared" ca="1" si="324"/>
        <v>0</v>
      </c>
      <c r="H551" s="17">
        <f t="shared" ca="1" si="324"/>
        <v>0</v>
      </c>
      <c r="I551" s="13">
        <f t="shared" ca="1" si="324"/>
        <v>0</v>
      </c>
      <c r="J551" s="16"/>
      <c r="K551" s="13">
        <f t="shared" ca="1" si="325"/>
        <v>0</v>
      </c>
      <c r="L551" s="15">
        <f t="shared" ca="1" si="321"/>
        <v>1</v>
      </c>
      <c r="M551" s="15"/>
      <c r="N551" s="15">
        <f t="shared" ca="1" si="320"/>
        <v>0</v>
      </c>
    </row>
    <row r="552" spans="1:14" x14ac:dyDescent="0.4">
      <c r="A552" s="11" t="s">
        <v>10</v>
      </c>
      <c r="B552" s="40">
        <f t="shared" ca="1" si="324"/>
        <v>0</v>
      </c>
      <c r="C552" s="40"/>
      <c r="D552" s="40"/>
      <c r="E552" s="40"/>
      <c r="F552" s="13">
        <f t="shared" ca="1" si="324"/>
        <v>0</v>
      </c>
      <c r="G552" s="17">
        <f t="shared" ca="1" si="324"/>
        <v>0</v>
      </c>
      <c r="H552" s="17">
        <f t="shared" ca="1" si="324"/>
        <v>0</v>
      </c>
      <c r="I552" s="13">
        <f t="shared" ca="1" si="324"/>
        <v>0</v>
      </c>
      <c r="J552" s="16"/>
      <c r="K552" s="13">
        <f t="shared" ca="1" si="325"/>
        <v>0</v>
      </c>
      <c r="L552" s="15">
        <f t="shared" ca="1" si="321"/>
        <v>1</v>
      </c>
      <c r="M552" s="15"/>
      <c r="N552" s="15">
        <f t="shared" ca="1" si="320"/>
        <v>0</v>
      </c>
    </row>
    <row r="553" spans="1:14" x14ac:dyDescent="0.4">
      <c r="A553" s="11" t="s">
        <v>7</v>
      </c>
      <c r="B553" s="40">
        <f t="shared" ref="B553:I555" ca="1" si="326">OFFSET(B553,-9,0)</f>
        <v>0</v>
      </c>
      <c r="C553" s="40"/>
      <c r="D553" s="40"/>
      <c r="E553" s="40"/>
      <c r="F553" s="13">
        <f t="shared" ca="1" si="326"/>
        <v>0</v>
      </c>
      <c r="G553" s="17">
        <f t="shared" ca="1" si="326"/>
        <v>0</v>
      </c>
      <c r="H553" s="17">
        <f t="shared" ca="1" si="326"/>
        <v>0</v>
      </c>
      <c r="I553" s="13">
        <f t="shared" ca="1" si="326"/>
        <v>0</v>
      </c>
      <c r="J553" s="16"/>
      <c r="K553" s="13">
        <f t="shared" ref="K553:K555" ca="1" si="327">OFFSET(K553,-9,0)</f>
        <v>0</v>
      </c>
      <c r="L553" s="15">
        <f t="shared" ca="1" si="321"/>
        <v>1</v>
      </c>
      <c r="M553" s="15"/>
      <c r="N553" s="15">
        <f t="shared" ca="1" si="320"/>
        <v>0</v>
      </c>
    </row>
    <row r="554" spans="1:14" x14ac:dyDescent="0.4">
      <c r="A554" s="11" t="s">
        <v>7</v>
      </c>
      <c r="B554" s="40">
        <f t="shared" ca="1" si="326"/>
        <v>0</v>
      </c>
      <c r="C554" s="40"/>
      <c r="D554" s="40"/>
      <c r="E554" s="40"/>
      <c r="F554" s="13">
        <f t="shared" ca="1" si="326"/>
        <v>0</v>
      </c>
      <c r="G554" s="17">
        <f t="shared" ca="1" si="326"/>
        <v>0</v>
      </c>
      <c r="H554" s="17">
        <f t="shared" ca="1" si="326"/>
        <v>0</v>
      </c>
      <c r="I554" s="13">
        <f t="shared" ca="1" si="326"/>
        <v>0</v>
      </c>
      <c r="J554" s="16"/>
      <c r="K554" s="13">
        <f t="shared" ca="1" si="327"/>
        <v>0</v>
      </c>
      <c r="L554" s="15">
        <f t="shared" ca="1" si="321"/>
        <v>1</v>
      </c>
      <c r="M554" s="15"/>
      <c r="N554" s="15">
        <f t="shared" ca="1" si="320"/>
        <v>0</v>
      </c>
    </row>
    <row r="555" spans="1:14" x14ac:dyDescent="0.4">
      <c r="A555" s="11" t="s">
        <v>7</v>
      </c>
      <c r="B555" s="40">
        <f t="shared" ca="1" si="326"/>
        <v>0</v>
      </c>
      <c r="C555" s="40"/>
      <c r="D555" s="40"/>
      <c r="E555" s="40"/>
      <c r="F555" s="13">
        <f t="shared" ca="1" si="326"/>
        <v>0</v>
      </c>
      <c r="G555" s="17">
        <f t="shared" ca="1" si="326"/>
        <v>0</v>
      </c>
      <c r="H555" s="17">
        <f t="shared" ca="1" si="326"/>
        <v>0</v>
      </c>
      <c r="I555" s="13">
        <f t="shared" ca="1" si="326"/>
        <v>0</v>
      </c>
      <c r="J555" s="16"/>
      <c r="K555" s="13">
        <f t="shared" ca="1" si="327"/>
        <v>0</v>
      </c>
      <c r="L555" s="15">
        <f t="shared" ca="1" si="321"/>
        <v>1</v>
      </c>
      <c r="M555" s="15"/>
      <c r="N555" s="15">
        <f t="shared" ca="1" si="320"/>
        <v>0</v>
      </c>
    </row>
    <row r="556" spans="1:14" x14ac:dyDescent="0.4">
      <c r="A556" s="11" t="s">
        <v>8</v>
      </c>
      <c r="B556" s="40">
        <f t="shared" ref="B556:I558" ca="1" si="328">OFFSET(B556,-12,0)</f>
        <v>0</v>
      </c>
      <c r="C556" s="40"/>
      <c r="D556" s="40"/>
      <c r="E556" s="40"/>
      <c r="F556" s="13">
        <f t="shared" ca="1" si="328"/>
        <v>0</v>
      </c>
      <c r="G556" s="17">
        <f t="shared" ca="1" si="328"/>
        <v>0</v>
      </c>
      <c r="H556" s="17">
        <f t="shared" ca="1" si="328"/>
        <v>0</v>
      </c>
      <c r="I556" s="13">
        <f t="shared" ca="1" si="328"/>
        <v>0</v>
      </c>
      <c r="J556" s="16"/>
      <c r="K556" s="13">
        <f t="shared" ref="K556:K558" ca="1" si="329">OFFSET(K556,-12,0)</f>
        <v>0</v>
      </c>
      <c r="L556" s="15">
        <f t="shared" ca="1" si="321"/>
        <v>1</v>
      </c>
      <c r="M556" s="15"/>
      <c r="N556" s="15">
        <f t="shared" ca="1" si="320"/>
        <v>0</v>
      </c>
    </row>
    <row r="557" spans="1:14" x14ac:dyDescent="0.4">
      <c r="A557" s="11" t="s">
        <v>8</v>
      </c>
      <c r="B557" s="40">
        <f t="shared" ca="1" si="328"/>
        <v>0</v>
      </c>
      <c r="C557" s="40"/>
      <c r="D557" s="40"/>
      <c r="E557" s="40"/>
      <c r="F557" s="13">
        <f t="shared" ca="1" si="328"/>
        <v>0</v>
      </c>
      <c r="G557" s="17">
        <f t="shared" ca="1" si="328"/>
        <v>0</v>
      </c>
      <c r="H557" s="17">
        <f t="shared" ca="1" si="328"/>
        <v>0</v>
      </c>
      <c r="I557" s="13">
        <f t="shared" ca="1" si="328"/>
        <v>0</v>
      </c>
      <c r="J557" s="16"/>
      <c r="K557" s="13">
        <f t="shared" ca="1" si="329"/>
        <v>0</v>
      </c>
      <c r="L557" s="15">
        <f t="shared" ca="1" si="321"/>
        <v>1</v>
      </c>
      <c r="M557" s="15"/>
      <c r="N557" s="15">
        <f t="shared" ca="1" si="320"/>
        <v>0</v>
      </c>
    </row>
    <row r="558" spans="1:14" x14ac:dyDescent="0.4">
      <c r="A558" s="11" t="s">
        <v>8</v>
      </c>
      <c r="B558" s="40">
        <f t="shared" ca="1" si="328"/>
        <v>0</v>
      </c>
      <c r="C558" s="40"/>
      <c r="D558" s="40"/>
      <c r="E558" s="40"/>
      <c r="F558" s="13">
        <f t="shared" ca="1" si="328"/>
        <v>0</v>
      </c>
      <c r="G558" s="17">
        <f t="shared" ca="1" si="328"/>
        <v>0</v>
      </c>
      <c r="H558" s="17">
        <f t="shared" ca="1" si="328"/>
        <v>0</v>
      </c>
      <c r="I558" s="13">
        <f t="shared" ca="1" si="328"/>
        <v>0</v>
      </c>
      <c r="J558" s="16"/>
      <c r="K558" s="13">
        <f t="shared" ca="1" si="329"/>
        <v>0</v>
      </c>
      <c r="L558" s="15">
        <f t="shared" ca="1" si="321"/>
        <v>1</v>
      </c>
      <c r="M558" s="15"/>
      <c r="N558" s="15">
        <f t="shared" ca="1" si="320"/>
        <v>0</v>
      </c>
    </row>
    <row r="559" spans="1:14" x14ac:dyDescent="0.4">
      <c r="A559" s="11" t="s">
        <v>9</v>
      </c>
      <c r="B559" s="41">
        <f t="shared" ref="B559:H561" ca="1" si="330">OFFSET(B559,-15,0)</f>
        <v>0</v>
      </c>
      <c r="C559" s="41"/>
      <c r="D559" s="41"/>
      <c r="E559" s="41"/>
      <c r="F559" s="19">
        <f t="shared" ca="1" si="330"/>
        <v>0</v>
      </c>
      <c r="G559" s="20">
        <f t="shared" ca="1" si="330"/>
        <v>0</v>
      </c>
      <c r="H559" s="20">
        <f ca="1">OFFSET(H559,-15,0)</f>
        <v>0</v>
      </c>
      <c r="I559" s="13">
        <f t="shared" ref="I559:I561" ca="1" si="331">OFFSET(I559,-15,0)</f>
        <v>0</v>
      </c>
      <c r="J559" s="16"/>
      <c r="K559" s="19">
        <f t="shared" ref="K559:K561" ca="1" si="332">OFFSET(K559,-15,0)</f>
        <v>0</v>
      </c>
      <c r="L559" s="15">
        <f t="shared" ca="1" si="321"/>
        <v>1</v>
      </c>
      <c r="M559" s="15"/>
      <c r="N559" s="15">
        <f t="shared" ca="1" si="320"/>
        <v>0</v>
      </c>
    </row>
    <row r="560" spans="1:14" x14ac:dyDescent="0.4">
      <c r="A560" s="11" t="s">
        <v>9</v>
      </c>
      <c r="B560" s="41">
        <f t="shared" ca="1" si="330"/>
        <v>0</v>
      </c>
      <c r="C560" s="41"/>
      <c r="D560" s="41"/>
      <c r="E560" s="41"/>
      <c r="F560" s="19">
        <f t="shared" ca="1" si="330"/>
        <v>0</v>
      </c>
      <c r="G560" s="20">
        <f t="shared" ca="1" si="330"/>
        <v>0</v>
      </c>
      <c r="H560" s="20">
        <f t="shared" ca="1" si="330"/>
        <v>0</v>
      </c>
      <c r="I560" s="13">
        <f t="shared" ca="1" si="331"/>
        <v>0</v>
      </c>
      <c r="J560" s="16"/>
      <c r="K560" s="19">
        <f t="shared" ca="1" si="332"/>
        <v>0</v>
      </c>
      <c r="L560" s="15">
        <f t="shared" ca="1" si="321"/>
        <v>1</v>
      </c>
      <c r="M560" s="15"/>
      <c r="N560" s="15">
        <f t="shared" ca="1" si="320"/>
        <v>0</v>
      </c>
    </row>
    <row r="561" spans="1:14" x14ac:dyDescent="0.4">
      <c r="A561" s="11" t="s">
        <v>9</v>
      </c>
      <c r="B561" s="41">
        <f t="shared" ca="1" si="330"/>
        <v>0</v>
      </c>
      <c r="C561" s="41"/>
      <c r="D561" s="41"/>
      <c r="E561" s="41"/>
      <c r="F561" s="19">
        <f t="shared" ca="1" si="330"/>
        <v>0</v>
      </c>
      <c r="G561" s="20">
        <f t="shared" ca="1" si="330"/>
        <v>0</v>
      </c>
      <c r="H561" s="20">
        <f t="shared" ca="1" si="330"/>
        <v>0</v>
      </c>
      <c r="I561" s="13">
        <f t="shared" ca="1" si="331"/>
        <v>0</v>
      </c>
      <c r="J561" s="16"/>
      <c r="K561" s="19">
        <f t="shared" ca="1" si="332"/>
        <v>0</v>
      </c>
      <c r="L561" s="15">
        <f t="shared" ca="1" si="321"/>
        <v>1</v>
      </c>
      <c r="M561" s="15"/>
      <c r="N561" s="15">
        <f t="shared" ca="1" si="320"/>
        <v>0</v>
      </c>
    </row>
    <row r="562" spans="1:14" ht="17.399999999999999" x14ac:dyDescent="0.4">
      <c r="A562" s="74" t="s">
        <v>30</v>
      </c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6"/>
    </row>
    <row r="563" spans="1:14" x14ac:dyDescent="0.4">
      <c r="A563" s="11" t="s">
        <v>5</v>
      </c>
      <c r="B563" s="40"/>
      <c r="C563" s="40"/>
      <c r="D563" s="40"/>
      <c r="E563" s="40"/>
      <c r="F563" s="13"/>
      <c r="G563" s="11"/>
      <c r="H563" s="17"/>
      <c r="I563" s="13"/>
      <c r="J563" s="16"/>
      <c r="K563" s="13"/>
      <c r="L563" s="15">
        <f>ROUND((10^(K563/10))/(10^(I563/10)),3)</f>
        <v>1</v>
      </c>
      <c r="M563" s="15"/>
      <c r="N563" s="15">
        <f t="shared" ref="N563:N580" si="333">J563*L563</f>
        <v>0</v>
      </c>
    </row>
    <row r="564" spans="1:14" x14ac:dyDescent="0.4">
      <c r="A564" s="11" t="s">
        <v>5</v>
      </c>
      <c r="B564" s="40"/>
      <c r="C564" s="40"/>
      <c r="D564" s="40"/>
      <c r="E564" s="40"/>
      <c r="F564" s="13"/>
      <c r="G564" s="11"/>
      <c r="H564" s="17"/>
      <c r="I564" s="13"/>
      <c r="J564" s="16"/>
      <c r="K564" s="13"/>
      <c r="L564" s="15">
        <f t="shared" ref="L564:L580" si="334">ROUND((10^(K564/10))/(10^(I564/10)),3)</f>
        <v>1</v>
      </c>
      <c r="M564" s="15"/>
      <c r="N564" s="15">
        <f t="shared" si="333"/>
        <v>0</v>
      </c>
    </row>
    <row r="565" spans="1:14" x14ac:dyDescent="0.4">
      <c r="A565" s="11" t="s">
        <v>5</v>
      </c>
      <c r="B565" s="40"/>
      <c r="C565" s="40"/>
      <c r="D565" s="40"/>
      <c r="E565" s="40"/>
      <c r="F565" s="13"/>
      <c r="G565" s="11"/>
      <c r="H565" s="17"/>
      <c r="I565" s="13"/>
      <c r="J565" s="16"/>
      <c r="K565" s="13"/>
      <c r="L565" s="15">
        <f t="shared" si="334"/>
        <v>1</v>
      </c>
      <c r="M565" s="15"/>
      <c r="N565" s="15">
        <f t="shared" si="333"/>
        <v>0</v>
      </c>
    </row>
    <row r="566" spans="1:14" x14ac:dyDescent="0.4">
      <c r="A566" s="11" t="s">
        <v>6</v>
      </c>
      <c r="B566" s="41">
        <f t="shared" ref="B566:I568" ca="1" si="335">OFFSET(B566,-3,0)</f>
        <v>0</v>
      </c>
      <c r="C566" s="41"/>
      <c r="D566" s="41"/>
      <c r="E566" s="41"/>
      <c r="F566" s="19">
        <f t="shared" ca="1" si="335"/>
        <v>0</v>
      </c>
      <c r="G566" s="20">
        <f t="shared" ca="1" si="335"/>
        <v>0</v>
      </c>
      <c r="H566" s="20">
        <f t="shared" ca="1" si="335"/>
        <v>0</v>
      </c>
      <c r="I566" s="13">
        <f t="shared" ca="1" si="335"/>
        <v>0</v>
      </c>
      <c r="J566" s="16"/>
      <c r="K566" s="19">
        <f t="shared" ref="K566:K568" ca="1" si="336">OFFSET(K566,-3,0)</f>
        <v>0</v>
      </c>
      <c r="L566" s="15">
        <f t="shared" ca="1" si="334"/>
        <v>1</v>
      </c>
      <c r="M566" s="15"/>
      <c r="N566" s="15">
        <f t="shared" ca="1" si="333"/>
        <v>0</v>
      </c>
    </row>
    <row r="567" spans="1:14" x14ac:dyDescent="0.4">
      <c r="A567" s="11" t="s">
        <v>6</v>
      </c>
      <c r="B567" s="41">
        <f t="shared" ca="1" si="335"/>
        <v>0</v>
      </c>
      <c r="C567" s="41"/>
      <c r="D567" s="41"/>
      <c r="E567" s="41"/>
      <c r="F567" s="19">
        <f t="shared" ca="1" si="335"/>
        <v>0</v>
      </c>
      <c r="G567" s="20">
        <f t="shared" ca="1" si="335"/>
        <v>0</v>
      </c>
      <c r="H567" s="20">
        <f t="shared" ca="1" si="335"/>
        <v>0</v>
      </c>
      <c r="I567" s="13">
        <f t="shared" ca="1" si="335"/>
        <v>0</v>
      </c>
      <c r="J567" s="16"/>
      <c r="K567" s="19">
        <f t="shared" ca="1" si="336"/>
        <v>0</v>
      </c>
      <c r="L567" s="15">
        <f t="shared" ca="1" si="334"/>
        <v>1</v>
      </c>
      <c r="M567" s="15"/>
      <c r="N567" s="15">
        <f t="shared" ca="1" si="333"/>
        <v>0</v>
      </c>
    </row>
    <row r="568" spans="1:14" x14ac:dyDescent="0.4">
      <c r="A568" s="11" t="s">
        <v>6</v>
      </c>
      <c r="B568" s="41">
        <f t="shared" ca="1" si="335"/>
        <v>0</v>
      </c>
      <c r="C568" s="41"/>
      <c r="D568" s="41"/>
      <c r="E568" s="41"/>
      <c r="F568" s="19">
        <f t="shared" ca="1" si="335"/>
        <v>0</v>
      </c>
      <c r="G568" s="20">
        <f t="shared" ca="1" si="335"/>
        <v>0</v>
      </c>
      <c r="H568" s="20">
        <f t="shared" ca="1" si="335"/>
        <v>0</v>
      </c>
      <c r="I568" s="13">
        <f t="shared" ca="1" si="335"/>
        <v>0</v>
      </c>
      <c r="J568" s="16"/>
      <c r="K568" s="19">
        <f t="shared" ca="1" si="336"/>
        <v>0</v>
      </c>
      <c r="L568" s="15">
        <f t="shared" ca="1" si="334"/>
        <v>1</v>
      </c>
      <c r="M568" s="15"/>
      <c r="N568" s="15">
        <f t="shared" ca="1" si="333"/>
        <v>0</v>
      </c>
    </row>
    <row r="569" spans="1:14" x14ac:dyDescent="0.4">
      <c r="A569" s="11" t="s">
        <v>57</v>
      </c>
      <c r="B569" s="40">
        <f t="shared" ref="B569:I571" ca="1" si="337">OFFSET(B569,-6,0)</f>
        <v>0</v>
      </c>
      <c r="C569" s="40"/>
      <c r="D569" s="40"/>
      <c r="E569" s="40"/>
      <c r="F569" s="13">
        <f t="shared" ca="1" si="337"/>
        <v>0</v>
      </c>
      <c r="G569" s="17">
        <f t="shared" ca="1" si="337"/>
        <v>0</v>
      </c>
      <c r="H569" s="17">
        <f t="shared" ca="1" si="337"/>
        <v>0</v>
      </c>
      <c r="I569" s="13">
        <f t="shared" ca="1" si="337"/>
        <v>0</v>
      </c>
      <c r="J569" s="16"/>
      <c r="K569" s="13">
        <f t="shared" ref="K569:K571" ca="1" si="338">OFFSET(K569,-6,0)</f>
        <v>0</v>
      </c>
      <c r="L569" s="15">
        <f t="shared" ca="1" si="334"/>
        <v>1</v>
      </c>
      <c r="M569" s="15"/>
      <c r="N569" s="15">
        <f t="shared" ca="1" si="333"/>
        <v>0</v>
      </c>
    </row>
    <row r="570" spans="1:14" x14ac:dyDescent="0.4">
      <c r="A570" s="11" t="s">
        <v>57</v>
      </c>
      <c r="B570" s="40">
        <f t="shared" ca="1" si="337"/>
        <v>0</v>
      </c>
      <c r="C570" s="40"/>
      <c r="D570" s="40"/>
      <c r="E570" s="40"/>
      <c r="F570" s="13">
        <f t="shared" ca="1" si="337"/>
        <v>0</v>
      </c>
      <c r="G570" s="17">
        <f t="shared" ca="1" si="337"/>
        <v>0</v>
      </c>
      <c r="H570" s="17">
        <f t="shared" ca="1" si="337"/>
        <v>0</v>
      </c>
      <c r="I570" s="13">
        <f t="shared" ca="1" si="337"/>
        <v>0</v>
      </c>
      <c r="J570" s="16"/>
      <c r="K570" s="13">
        <f t="shared" ca="1" si="338"/>
        <v>0</v>
      </c>
      <c r="L570" s="15">
        <f t="shared" ca="1" si="334"/>
        <v>1</v>
      </c>
      <c r="M570" s="15"/>
      <c r="N570" s="15">
        <f t="shared" ca="1" si="333"/>
        <v>0</v>
      </c>
    </row>
    <row r="571" spans="1:14" x14ac:dyDescent="0.4">
      <c r="A571" s="11" t="s">
        <v>57</v>
      </c>
      <c r="B571" s="40">
        <f t="shared" ca="1" si="337"/>
        <v>0</v>
      </c>
      <c r="C571" s="40"/>
      <c r="D571" s="40"/>
      <c r="E571" s="40"/>
      <c r="F571" s="13">
        <f t="shared" ca="1" si="337"/>
        <v>0</v>
      </c>
      <c r="G571" s="17">
        <f t="shared" ca="1" si="337"/>
        <v>0</v>
      </c>
      <c r="H571" s="17">
        <f t="shared" ca="1" si="337"/>
        <v>0</v>
      </c>
      <c r="I571" s="13">
        <f t="shared" ca="1" si="337"/>
        <v>0</v>
      </c>
      <c r="J571" s="16"/>
      <c r="K571" s="13">
        <f t="shared" ca="1" si="338"/>
        <v>0</v>
      </c>
      <c r="L571" s="15">
        <f t="shared" ca="1" si="334"/>
        <v>1</v>
      </c>
      <c r="M571" s="15"/>
      <c r="N571" s="15">
        <f t="shared" ca="1" si="333"/>
        <v>0</v>
      </c>
    </row>
    <row r="572" spans="1:14" x14ac:dyDescent="0.4">
      <c r="A572" s="11" t="s">
        <v>7</v>
      </c>
      <c r="B572" s="40">
        <f t="shared" ref="B572:I574" ca="1" si="339">OFFSET(B572,-9,0)</f>
        <v>0</v>
      </c>
      <c r="C572" s="40"/>
      <c r="D572" s="40"/>
      <c r="E572" s="40"/>
      <c r="F572" s="13">
        <f t="shared" ca="1" si="339"/>
        <v>0</v>
      </c>
      <c r="G572" s="17">
        <f t="shared" ca="1" si="339"/>
        <v>0</v>
      </c>
      <c r="H572" s="17">
        <f t="shared" ca="1" si="339"/>
        <v>0</v>
      </c>
      <c r="I572" s="13">
        <f t="shared" ca="1" si="339"/>
        <v>0</v>
      </c>
      <c r="J572" s="16"/>
      <c r="K572" s="13">
        <f t="shared" ref="K572:K574" ca="1" si="340">OFFSET(K572,-9,0)</f>
        <v>0</v>
      </c>
      <c r="L572" s="15">
        <f t="shared" ca="1" si="334"/>
        <v>1</v>
      </c>
      <c r="M572" s="15"/>
      <c r="N572" s="15">
        <f t="shared" ca="1" si="333"/>
        <v>0</v>
      </c>
    </row>
    <row r="573" spans="1:14" x14ac:dyDescent="0.4">
      <c r="A573" s="11" t="s">
        <v>7</v>
      </c>
      <c r="B573" s="40">
        <f t="shared" ca="1" si="339"/>
        <v>0</v>
      </c>
      <c r="C573" s="40"/>
      <c r="D573" s="40"/>
      <c r="E573" s="40"/>
      <c r="F573" s="13">
        <f t="shared" ca="1" si="339"/>
        <v>0</v>
      </c>
      <c r="G573" s="17">
        <f t="shared" ca="1" si="339"/>
        <v>0</v>
      </c>
      <c r="H573" s="17">
        <f t="shared" ca="1" si="339"/>
        <v>0</v>
      </c>
      <c r="I573" s="13">
        <f t="shared" ca="1" si="339"/>
        <v>0</v>
      </c>
      <c r="J573" s="16"/>
      <c r="K573" s="13">
        <f t="shared" ca="1" si="340"/>
        <v>0</v>
      </c>
      <c r="L573" s="15">
        <f t="shared" ca="1" si="334"/>
        <v>1</v>
      </c>
      <c r="M573" s="15"/>
      <c r="N573" s="15">
        <f t="shared" ca="1" si="333"/>
        <v>0</v>
      </c>
    </row>
    <row r="574" spans="1:14" x14ac:dyDescent="0.4">
      <c r="A574" s="11" t="s">
        <v>7</v>
      </c>
      <c r="B574" s="40">
        <f t="shared" ca="1" si="339"/>
        <v>0</v>
      </c>
      <c r="C574" s="40"/>
      <c r="D574" s="40"/>
      <c r="E574" s="40"/>
      <c r="F574" s="13">
        <f t="shared" ca="1" si="339"/>
        <v>0</v>
      </c>
      <c r="G574" s="17">
        <f t="shared" ca="1" si="339"/>
        <v>0</v>
      </c>
      <c r="H574" s="17">
        <f t="shared" ca="1" si="339"/>
        <v>0</v>
      </c>
      <c r="I574" s="13">
        <f t="shared" ca="1" si="339"/>
        <v>0</v>
      </c>
      <c r="J574" s="16"/>
      <c r="K574" s="13">
        <f t="shared" ca="1" si="340"/>
        <v>0</v>
      </c>
      <c r="L574" s="15">
        <f t="shared" ca="1" si="334"/>
        <v>1</v>
      </c>
      <c r="M574" s="15"/>
      <c r="N574" s="15">
        <f t="shared" ca="1" si="333"/>
        <v>0</v>
      </c>
    </row>
    <row r="575" spans="1:14" x14ac:dyDescent="0.4">
      <c r="A575" s="11" t="s">
        <v>8</v>
      </c>
      <c r="B575" s="40">
        <f t="shared" ref="B575:I577" ca="1" si="341">OFFSET(B575,-12,0)</f>
        <v>0</v>
      </c>
      <c r="C575" s="40"/>
      <c r="D575" s="40"/>
      <c r="E575" s="40"/>
      <c r="F575" s="13">
        <f t="shared" ca="1" si="341"/>
        <v>0</v>
      </c>
      <c r="G575" s="17">
        <f t="shared" ca="1" si="341"/>
        <v>0</v>
      </c>
      <c r="H575" s="17">
        <f t="shared" ca="1" si="341"/>
        <v>0</v>
      </c>
      <c r="I575" s="13">
        <f t="shared" ca="1" si="341"/>
        <v>0</v>
      </c>
      <c r="J575" s="16"/>
      <c r="K575" s="13">
        <f t="shared" ref="K575:K577" ca="1" si="342">OFFSET(K575,-12,0)</f>
        <v>0</v>
      </c>
      <c r="L575" s="15">
        <f t="shared" ca="1" si="334"/>
        <v>1</v>
      </c>
      <c r="M575" s="15"/>
      <c r="N575" s="15">
        <f t="shared" ca="1" si="333"/>
        <v>0</v>
      </c>
    </row>
    <row r="576" spans="1:14" x14ac:dyDescent="0.4">
      <c r="A576" s="11" t="s">
        <v>8</v>
      </c>
      <c r="B576" s="40">
        <f t="shared" ca="1" si="341"/>
        <v>0</v>
      </c>
      <c r="C576" s="40"/>
      <c r="D576" s="40"/>
      <c r="E576" s="40"/>
      <c r="F576" s="13">
        <f t="shared" ca="1" si="341"/>
        <v>0</v>
      </c>
      <c r="G576" s="17">
        <f t="shared" ca="1" si="341"/>
        <v>0</v>
      </c>
      <c r="H576" s="17">
        <f t="shared" ca="1" si="341"/>
        <v>0</v>
      </c>
      <c r="I576" s="13">
        <f t="shared" ca="1" si="341"/>
        <v>0</v>
      </c>
      <c r="J576" s="16"/>
      <c r="K576" s="13">
        <f t="shared" ca="1" si="342"/>
        <v>0</v>
      </c>
      <c r="L576" s="15">
        <f t="shared" ca="1" si="334"/>
        <v>1</v>
      </c>
      <c r="M576" s="15"/>
      <c r="N576" s="15">
        <f t="shared" ca="1" si="333"/>
        <v>0</v>
      </c>
    </row>
    <row r="577" spans="1:14" x14ac:dyDescent="0.4">
      <c r="A577" s="11" t="s">
        <v>8</v>
      </c>
      <c r="B577" s="40">
        <f t="shared" ca="1" si="341"/>
        <v>0</v>
      </c>
      <c r="C577" s="40"/>
      <c r="D577" s="40"/>
      <c r="E577" s="40"/>
      <c r="F577" s="13">
        <f t="shared" ca="1" si="341"/>
        <v>0</v>
      </c>
      <c r="G577" s="17">
        <f t="shared" ca="1" si="341"/>
        <v>0</v>
      </c>
      <c r="H577" s="17">
        <f t="shared" ca="1" si="341"/>
        <v>0</v>
      </c>
      <c r="I577" s="13">
        <f t="shared" ca="1" si="341"/>
        <v>0</v>
      </c>
      <c r="J577" s="16"/>
      <c r="K577" s="13">
        <f t="shared" ca="1" si="342"/>
        <v>0</v>
      </c>
      <c r="L577" s="15">
        <f t="shared" ca="1" si="334"/>
        <v>1</v>
      </c>
      <c r="M577" s="15"/>
      <c r="N577" s="15">
        <f t="shared" ca="1" si="333"/>
        <v>0</v>
      </c>
    </row>
    <row r="578" spans="1:14" x14ac:dyDescent="0.4">
      <c r="A578" s="11" t="s">
        <v>9</v>
      </c>
      <c r="B578" s="41">
        <f t="shared" ref="B578:I580" ca="1" si="343">OFFSET(B578,-15,0)</f>
        <v>0</v>
      </c>
      <c r="C578" s="41"/>
      <c r="D578" s="41"/>
      <c r="E578" s="41"/>
      <c r="F578" s="19">
        <f t="shared" ca="1" si="343"/>
        <v>0</v>
      </c>
      <c r="G578" s="20">
        <f t="shared" ca="1" si="343"/>
        <v>0</v>
      </c>
      <c r="H578" s="20">
        <f t="shared" ca="1" si="343"/>
        <v>0</v>
      </c>
      <c r="I578" s="13">
        <f t="shared" ca="1" si="343"/>
        <v>0</v>
      </c>
      <c r="J578" s="16"/>
      <c r="K578" s="19">
        <f t="shared" ref="K578:K580" ca="1" si="344">OFFSET(K578,-15,0)</f>
        <v>0</v>
      </c>
      <c r="L578" s="15">
        <f t="shared" ca="1" si="334"/>
        <v>1</v>
      </c>
      <c r="M578" s="15"/>
      <c r="N578" s="15">
        <f t="shared" ca="1" si="333"/>
        <v>0</v>
      </c>
    </row>
    <row r="579" spans="1:14" x14ac:dyDescent="0.4">
      <c r="A579" s="11" t="s">
        <v>9</v>
      </c>
      <c r="B579" s="41">
        <f t="shared" ca="1" si="343"/>
        <v>0</v>
      </c>
      <c r="C579" s="41"/>
      <c r="D579" s="41"/>
      <c r="E579" s="41"/>
      <c r="F579" s="19">
        <f t="shared" ca="1" si="343"/>
        <v>0</v>
      </c>
      <c r="G579" s="20">
        <f t="shared" ca="1" si="343"/>
        <v>0</v>
      </c>
      <c r="H579" s="20">
        <f t="shared" ca="1" si="343"/>
        <v>0</v>
      </c>
      <c r="I579" s="13">
        <f t="shared" ca="1" si="343"/>
        <v>0</v>
      </c>
      <c r="J579" s="16"/>
      <c r="K579" s="19">
        <f t="shared" ca="1" si="344"/>
        <v>0</v>
      </c>
      <c r="L579" s="15">
        <f t="shared" ca="1" si="334"/>
        <v>1</v>
      </c>
      <c r="M579" s="15"/>
      <c r="N579" s="15">
        <f t="shared" ca="1" si="333"/>
        <v>0</v>
      </c>
    </row>
    <row r="580" spans="1:14" x14ac:dyDescent="0.4">
      <c r="A580" s="11" t="s">
        <v>9</v>
      </c>
      <c r="B580" s="41">
        <f t="shared" ca="1" si="343"/>
        <v>0</v>
      </c>
      <c r="C580" s="41"/>
      <c r="D580" s="41"/>
      <c r="E580" s="41"/>
      <c r="F580" s="19">
        <f t="shared" ca="1" si="343"/>
        <v>0</v>
      </c>
      <c r="G580" s="20">
        <f t="shared" ca="1" si="343"/>
        <v>0</v>
      </c>
      <c r="H580" s="20">
        <f t="shared" ca="1" si="343"/>
        <v>0</v>
      </c>
      <c r="I580" s="13">
        <f t="shared" ca="1" si="343"/>
        <v>0</v>
      </c>
      <c r="J580" s="16"/>
      <c r="K580" s="19">
        <f t="shared" ca="1" si="344"/>
        <v>0</v>
      </c>
      <c r="L580" s="15">
        <f t="shared" ca="1" si="334"/>
        <v>1</v>
      </c>
      <c r="M580" s="15"/>
      <c r="N580" s="15">
        <f t="shared" ca="1" si="333"/>
        <v>0</v>
      </c>
    </row>
    <row r="581" spans="1:14" ht="17.399999999999999" x14ac:dyDescent="0.4">
      <c r="A581" s="77" t="s">
        <v>27</v>
      </c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6"/>
    </row>
    <row r="582" spans="1:14" x14ac:dyDescent="0.4">
      <c r="A582" s="11" t="s">
        <v>5</v>
      </c>
      <c r="B582" s="40"/>
      <c r="C582" s="40"/>
      <c r="D582" s="40"/>
      <c r="E582" s="40"/>
      <c r="F582" s="13"/>
      <c r="G582" s="11"/>
      <c r="H582" s="17"/>
      <c r="I582" s="13"/>
      <c r="J582" s="16"/>
      <c r="K582" s="13"/>
      <c r="L582" s="15">
        <f>ROUND((10^(K582/10))/(10^(I582/10)),3)</f>
        <v>1</v>
      </c>
      <c r="M582" s="15"/>
      <c r="N582" s="15">
        <f t="shared" ref="N582:N599" si="345">J582*L582</f>
        <v>0</v>
      </c>
    </row>
    <row r="583" spans="1:14" x14ac:dyDescent="0.4">
      <c r="A583" s="11" t="s">
        <v>5</v>
      </c>
      <c r="B583" s="40"/>
      <c r="C583" s="40"/>
      <c r="D583" s="40"/>
      <c r="E583" s="40"/>
      <c r="F583" s="13"/>
      <c r="G583" s="11"/>
      <c r="H583" s="17"/>
      <c r="I583" s="13"/>
      <c r="J583" s="16"/>
      <c r="K583" s="13"/>
      <c r="L583" s="15">
        <f t="shared" ref="L583:L599" si="346">ROUND((10^(K583/10))/(10^(I583/10)),3)</f>
        <v>1</v>
      </c>
      <c r="M583" s="15"/>
      <c r="N583" s="15">
        <f t="shared" si="345"/>
        <v>0</v>
      </c>
    </row>
    <row r="584" spans="1:14" x14ac:dyDescent="0.4">
      <c r="A584" s="11" t="s">
        <v>5</v>
      </c>
      <c r="B584" s="40"/>
      <c r="C584" s="40"/>
      <c r="D584" s="40"/>
      <c r="E584" s="40"/>
      <c r="F584" s="13"/>
      <c r="G584" s="11"/>
      <c r="H584" s="17"/>
      <c r="I584" s="13"/>
      <c r="J584" s="16"/>
      <c r="K584" s="13"/>
      <c r="L584" s="15">
        <f t="shared" si="346"/>
        <v>1</v>
      </c>
      <c r="M584" s="15"/>
      <c r="N584" s="15">
        <f t="shared" si="345"/>
        <v>0</v>
      </c>
    </row>
    <row r="585" spans="1:14" x14ac:dyDescent="0.4">
      <c r="A585" s="11" t="s">
        <v>6</v>
      </c>
      <c r="B585" s="41">
        <f t="shared" ref="B585:I587" ca="1" si="347">OFFSET(B585,-3,0)</f>
        <v>0</v>
      </c>
      <c r="C585" s="41"/>
      <c r="D585" s="41"/>
      <c r="E585" s="41"/>
      <c r="F585" s="19">
        <f t="shared" ca="1" si="347"/>
        <v>0</v>
      </c>
      <c r="G585" s="20">
        <f t="shared" ca="1" si="347"/>
        <v>0</v>
      </c>
      <c r="H585" s="20">
        <f t="shared" ca="1" si="347"/>
        <v>0</v>
      </c>
      <c r="I585" s="13">
        <f t="shared" ca="1" si="347"/>
        <v>0</v>
      </c>
      <c r="J585" s="16"/>
      <c r="K585" s="19">
        <f t="shared" ref="K585:K587" ca="1" si="348">OFFSET(K585,-3,0)</f>
        <v>0</v>
      </c>
      <c r="L585" s="15">
        <f t="shared" ca="1" si="346"/>
        <v>1</v>
      </c>
      <c r="M585" s="15"/>
      <c r="N585" s="15">
        <f t="shared" ca="1" si="345"/>
        <v>0</v>
      </c>
    </row>
    <row r="586" spans="1:14" x14ac:dyDescent="0.4">
      <c r="A586" s="11" t="s">
        <v>6</v>
      </c>
      <c r="B586" s="41">
        <f t="shared" ca="1" si="347"/>
        <v>0</v>
      </c>
      <c r="C586" s="41"/>
      <c r="D586" s="41"/>
      <c r="E586" s="41"/>
      <c r="F586" s="19">
        <f t="shared" ca="1" si="347"/>
        <v>0</v>
      </c>
      <c r="G586" s="20">
        <f t="shared" ca="1" si="347"/>
        <v>0</v>
      </c>
      <c r="H586" s="20">
        <f t="shared" ca="1" si="347"/>
        <v>0</v>
      </c>
      <c r="I586" s="13">
        <f t="shared" ca="1" si="347"/>
        <v>0</v>
      </c>
      <c r="J586" s="16"/>
      <c r="K586" s="19">
        <f t="shared" ca="1" si="348"/>
        <v>0</v>
      </c>
      <c r="L586" s="15">
        <f t="shared" ca="1" si="346"/>
        <v>1</v>
      </c>
      <c r="M586" s="15"/>
      <c r="N586" s="15">
        <f t="shared" ca="1" si="345"/>
        <v>0</v>
      </c>
    </row>
    <row r="587" spans="1:14" x14ac:dyDescent="0.4">
      <c r="A587" s="11" t="s">
        <v>6</v>
      </c>
      <c r="B587" s="41">
        <f t="shared" ca="1" si="347"/>
        <v>0</v>
      </c>
      <c r="C587" s="41"/>
      <c r="D587" s="41"/>
      <c r="E587" s="41"/>
      <c r="F587" s="19">
        <f t="shared" ca="1" si="347"/>
        <v>0</v>
      </c>
      <c r="G587" s="20">
        <f t="shared" ca="1" si="347"/>
        <v>0</v>
      </c>
      <c r="H587" s="20">
        <f t="shared" ca="1" si="347"/>
        <v>0</v>
      </c>
      <c r="I587" s="13">
        <f t="shared" ca="1" si="347"/>
        <v>0</v>
      </c>
      <c r="J587" s="16"/>
      <c r="K587" s="19">
        <f t="shared" ca="1" si="348"/>
        <v>0</v>
      </c>
      <c r="L587" s="15">
        <f t="shared" ca="1" si="346"/>
        <v>1</v>
      </c>
      <c r="M587" s="15"/>
      <c r="N587" s="15">
        <f t="shared" ca="1" si="345"/>
        <v>0</v>
      </c>
    </row>
    <row r="588" spans="1:14" x14ac:dyDescent="0.4">
      <c r="A588" s="11" t="s">
        <v>57</v>
      </c>
      <c r="B588" s="40">
        <f t="shared" ref="B588:I590" ca="1" si="349">OFFSET(B588,-6,0)</f>
        <v>0</v>
      </c>
      <c r="C588" s="40"/>
      <c r="D588" s="40"/>
      <c r="E588" s="40"/>
      <c r="F588" s="13">
        <f t="shared" ca="1" si="349"/>
        <v>0</v>
      </c>
      <c r="G588" s="17">
        <f t="shared" ca="1" si="349"/>
        <v>0</v>
      </c>
      <c r="H588" s="17">
        <f t="shared" ca="1" si="349"/>
        <v>0</v>
      </c>
      <c r="I588" s="13">
        <f t="shared" ca="1" si="349"/>
        <v>0</v>
      </c>
      <c r="J588" s="16"/>
      <c r="K588" s="13">
        <f t="shared" ref="K588:K590" ca="1" si="350">OFFSET(K588,-6,0)</f>
        <v>0</v>
      </c>
      <c r="L588" s="15">
        <f t="shared" ca="1" si="346"/>
        <v>1</v>
      </c>
      <c r="M588" s="15"/>
      <c r="N588" s="15">
        <f t="shared" ca="1" si="345"/>
        <v>0</v>
      </c>
    </row>
    <row r="589" spans="1:14" x14ac:dyDescent="0.4">
      <c r="A589" s="11" t="s">
        <v>57</v>
      </c>
      <c r="B589" s="40">
        <f t="shared" ca="1" si="349"/>
        <v>0</v>
      </c>
      <c r="C589" s="40"/>
      <c r="D589" s="40"/>
      <c r="E589" s="40"/>
      <c r="F589" s="13">
        <f t="shared" ca="1" si="349"/>
        <v>0</v>
      </c>
      <c r="G589" s="17">
        <f t="shared" ca="1" si="349"/>
        <v>0</v>
      </c>
      <c r="H589" s="17">
        <f t="shared" ca="1" si="349"/>
        <v>0</v>
      </c>
      <c r="I589" s="13">
        <f t="shared" ca="1" si="349"/>
        <v>0</v>
      </c>
      <c r="J589" s="16"/>
      <c r="K589" s="13">
        <f t="shared" ca="1" si="350"/>
        <v>0</v>
      </c>
      <c r="L589" s="15">
        <f t="shared" ca="1" si="346"/>
        <v>1</v>
      </c>
      <c r="M589" s="15"/>
      <c r="N589" s="15">
        <f t="shared" ca="1" si="345"/>
        <v>0</v>
      </c>
    </row>
    <row r="590" spans="1:14" x14ac:dyDescent="0.4">
      <c r="A590" s="11" t="s">
        <v>57</v>
      </c>
      <c r="B590" s="40">
        <f t="shared" ca="1" si="349"/>
        <v>0</v>
      </c>
      <c r="C590" s="40"/>
      <c r="D590" s="40"/>
      <c r="E590" s="40"/>
      <c r="F590" s="13">
        <f t="shared" ca="1" si="349"/>
        <v>0</v>
      </c>
      <c r="G590" s="17">
        <f t="shared" ca="1" si="349"/>
        <v>0</v>
      </c>
      <c r="H590" s="17">
        <f t="shared" ca="1" si="349"/>
        <v>0</v>
      </c>
      <c r="I590" s="13">
        <f t="shared" ca="1" si="349"/>
        <v>0</v>
      </c>
      <c r="J590" s="16"/>
      <c r="K590" s="13">
        <f t="shared" ca="1" si="350"/>
        <v>0</v>
      </c>
      <c r="L590" s="15">
        <f t="shared" ca="1" si="346"/>
        <v>1</v>
      </c>
      <c r="M590" s="15"/>
      <c r="N590" s="15">
        <f t="shared" ca="1" si="345"/>
        <v>0</v>
      </c>
    </row>
    <row r="591" spans="1:14" x14ac:dyDescent="0.4">
      <c r="A591" s="11" t="s">
        <v>7</v>
      </c>
      <c r="B591" s="40">
        <f t="shared" ref="B591:I593" ca="1" si="351">OFFSET(B591,-9,0)</f>
        <v>0</v>
      </c>
      <c r="C591" s="40"/>
      <c r="D591" s="40"/>
      <c r="E591" s="40"/>
      <c r="F591" s="13">
        <f t="shared" ca="1" si="351"/>
        <v>0</v>
      </c>
      <c r="G591" s="17">
        <f t="shared" ca="1" si="351"/>
        <v>0</v>
      </c>
      <c r="H591" s="17">
        <f t="shared" ca="1" si="351"/>
        <v>0</v>
      </c>
      <c r="I591" s="13">
        <f t="shared" ca="1" si="351"/>
        <v>0</v>
      </c>
      <c r="J591" s="16"/>
      <c r="K591" s="13">
        <f t="shared" ref="K591:K593" ca="1" si="352">OFFSET(K591,-9,0)</f>
        <v>0</v>
      </c>
      <c r="L591" s="15">
        <f t="shared" ca="1" si="346"/>
        <v>1</v>
      </c>
      <c r="M591" s="15"/>
      <c r="N591" s="15">
        <f t="shared" ca="1" si="345"/>
        <v>0</v>
      </c>
    </row>
    <row r="592" spans="1:14" x14ac:dyDescent="0.4">
      <c r="A592" s="11" t="s">
        <v>7</v>
      </c>
      <c r="B592" s="40">
        <f t="shared" ca="1" si="351"/>
        <v>0</v>
      </c>
      <c r="C592" s="40"/>
      <c r="D592" s="40"/>
      <c r="E592" s="40"/>
      <c r="F592" s="13">
        <f t="shared" ca="1" si="351"/>
        <v>0</v>
      </c>
      <c r="G592" s="17">
        <f t="shared" ca="1" si="351"/>
        <v>0</v>
      </c>
      <c r="H592" s="17">
        <f t="shared" ca="1" si="351"/>
        <v>0</v>
      </c>
      <c r="I592" s="13">
        <f t="shared" ca="1" si="351"/>
        <v>0</v>
      </c>
      <c r="J592" s="16"/>
      <c r="K592" s="13">
        <f t="shared" ca="1" si="352"/>
        <v>0</v>
      </c>
      <c r="L592" s="15">
        <f t="shared" ca="1" si="346"/>
        <v>1</v>
      </c>
      <c r="M592" s="15"/>
      <c r="N592" s="15">
        <f t="shared" ca="1" si="345"/>
        <v>0</v>
      </c>
    </row>
    <row r="593" spans="1:14" x14ac:dyDescent="0.4">
      <c r="A593" s="11" t="s">
        <v>7</v>
      </c>
      <c r="B593" s="40">
        <f t="shared" ca="1" si="351"/>
        <v>0</v>
      </c>
      <c r="C593" s="40"/>
      <c r="D593" s="40"/>
      <c r="E593" s="40"/>
      <c r="F593" s="13">
        <f t="shared" ca="1" si="351"/>
        <v>0</v>
      </c>
      <c r="G593" s="17">
        <f t="shared" ca="1" si="351"/>
        <v>0</v>
      </c>
      <c r="H593" s="17">
        <f t="shared" ca="1" si="351"/>
        <v>0</v>
      </c>
      <c r="I593" s="13">
        <f t="shared" ca="1" si="351"/>
        <v>0</v>
      </c>
      <c r="J593" s="16"/>
      <c r="K593" s="13">
        <f t="shared" ca="1" si="352"/>
        <v>0</v>
      </c>
      <c r="L593" s="15">
        <f t="shared" ca="1" si="346"/>
        <v>1</v>
      </c>
      <c r="M593" s="15"/>
      <c r="N593" s="15">
        <f t="shared" ca="1" si="345"/>
        <v>0</v>
      </c>
    </row>
    <row r="594" spans="1:14" x14ac:dyDescent="0.4">
      <c r="A594" s="11" t="s">
        <v>8</v>
      </c>
      <c r="B594" s="40">
        <f t="shared" ref="B594:I596" ca="1" si="353">OFFSET(B594,-12,0)</f>
        <v>0</v>
      </c>
      <c r="C594" s="40"/>
      <c r="D594" s="40"/>
      <c r="E594" s="40"/>
      <c r="F594" s="13">
        <f t="shared" ca="1" si="353"/>
        <v>0</v>
      </c>
      <c r="G594" s="17">
        <f t="shared" ca="1" si="353"/>
        <v>0</v>
      </c>
      <c r="H594" s="17">
        <f t="shared" ca="1" si="353"/>
        <v>0</v>
      </c>
      <c r="I594" s="13">
        <f t="shared" ca="1" si="353"/>
        <v>0</v>
      </c>
      <c r="J594" s="16"/>
      <c r="K594" s="13">
        <f t="shared" ref="K594:K596" ca="1" si="354">OFFSET(K594,-12,0)</f>
        <v>0</v>
      </c>
      <c r="L594" s="15">
        <f t="shared" ca="1" si="346"/>
        <v>1</v>
      </c>
      <c r="M594" s="15"/>
      <c r="N594" s="15">
        <f t="shared" ca="1" si="345"/>
        <v>0</v>
      </c>
    </row>
    <row r="595" spans="1:14" x14ac:dyDescent="0.4">
      <c r="A595" s="11" t="s">
        <v>8</v>
      </c>
      <c r="B595" s="40">
        <f t="shared" ca="1" si="353"/>
        <v>0</v>
      </c>
      <c r="C595" s="40"/>
      <c r="D595" s="40"/>
      <c r="E595" s="40"/>
      <c r="F595" s="13">
        <f t="shared" ca="1" si="353"/>
        <v>0</v>
      </c>
      <c r="G595" s="17">
        <f t="shared" ca="1" si="353"/>
        <v>0</v>
      </c>
      <c r="H595" s="17">
        <f t="shared" ca="1" si="353"/>
        <v>0</v>
      </c>
      <c r="I595" s="13">
        <f t="shared" ca="1" si="353"/>
        <v>0</v>
      </c>
      <c r="J595" s="16"/>
      <c r="K595" s="13">
        <f t="shared" ca="1" si="354"/>
        <v>0</v>
      </c>
      <c r="L595" s="15">
        <f t="shared" ca="1" si="346"/>
        <v>1</v>
      </c>
      <c r="M595" s="15"/>
      <c r="N595" s="15">
        <f t="shared" ca="1" si="345"/>
        <v>0</v>
      </c>
    </row>
    <row r="596" spans="1:14" x14ac:dyDescent="0.4">
      <c r="A596" s="11" t="s">
        <v>8</v>
      </c>
      <c r="B596" s="40">
        <f t="shared" ca="1" si="353"/>
        <v>0</v>
      </c>
      <c r="C596" s="40"/>
      <c r="D596" s="40"/>
      <c r="E596" s="40"/>
      <c r="F596" s="13">
        <f t="shared" ca="1" si="353"/>
        <v>0</v>
      </c>
      <c r="G596" s="17">
        <f t="shared" ca="1" si="353"/>
        <v>0</v>
      </c>
      <c r="H596" s="17">
        <f t="shared" ca="1" si="353"/>
        <v>0</v>
      </c>
      <c r="I596" s="13">
        <f t="shared" ca="1" si="353"/>
        <v>0</v>
      </c>
      <c r="J596" s="16"/>
      <c r="K596" s="13">
        <f t="shared" ca="1" si="354"/>
        <v>0</v>
      </c>
      <c r="L596" s="15">
        <f t="shared" ca="1" si="346"/>
        <v>1</v>
      </c>
      <c r="M596" s="15"/>
      <c r="N596" s="15">
        <f t="shared" ca="1" si="345"/>
        <v>0</v>
      </c>
    </row>
    <row r="597" spans="1:14" x14ac:dyDescent="0.4">
      <c r="A597" s="11" t="s">
        <v>9</v>
      </c>
      <c r="B597" s="41">
        <f t="shared" ref="B597:I599" ca="1" si="355">OFFSET(B597,-15,0)</f>
        <v>0</v>
      </c>
      <c r="C597" s="41"/>
      <c r="D597" s="41"/>
      <c r="E597" s="41"/>
      <c r="F597" s="19">
        <f t="shared" ca="1" si="355"/>
        <v>0</v>
      </c>
      <c r="G597" s="20">
        <f t="shared" ca="1" si="355"/>
        <v>0</v>
      </c>
      <c r="H597" s="20">
        <f t="shared" ca="1" si="355"/>
        <v>0</v>
      </c>
      <c r="I597" s="13">
        <f t="shared" ca="1" si="355"/>
        <v>0</v>
      </c>
      <c r="J597" s="16"/>
      <c r="K597" s="19">
        <f t="shared" ref="K597:K599" ca="1" si="356">OFFSET(K597,-15,0)</f>
        <v>0</v>
      </c>
      <c r="L597" s="15">
        <f t="shared" ca="1" si="346"/>
        <v>1</v>
      </c>
      <c r="M597" s="15"/>
      <c r="N597" s="15">
        <f t="shared" ca="1" si="345"/>
        <v>0</v>
      </c>
    </row>
    <row r="598" spans="1:14" x14ac:dyDescent="0.4">
      <c r="A598" s="11" t="s">
        <v>9</v>
      </c>
      <c r="B598" s="41">
        <f t="shared" ca="1" si="355"/>
        <v>0</v>
      </c>
      <c r="C598" s="41"/>
      <c r="D598" s="41"/>
      <c r="E598" s="41"/>
      <c r="F598" s="19">
        <f t="shared" ca="1" si="355"/>
        <v>0</v>
      </c>
      <c r="G598" s="20">
        <f t="shared" ca="1" si="355"/>
        <v>0</v>
      </c>
      <c r="H598" s="20">
        <f t="shared" ca="1" si="355"/>
        <v>0</v>
      </c>
      <c r="I598" s="13">
        <f t="shared" ca="1" si="355"/>
        <v>0</v>
      </c>
      <c r="J598" s="16"/>
      <c r="K598" s="19">
        <f t="shared" ca="1" si="356"/>
        <v>0</v>
      </c>
      <c r="L598" s="15">
        <f t="shared" ca="1" si="346"/>
        <v>1</v>
      </c>
      <c r="M598" s="15"/>
      <c r="N598" s="15">
        <f t="shared" ca="1" si="345"/>
        <v>0</v>
      </c>
    </row>
    <row r="599" spans="1:14" x14ac:dyDescent="0.4">
      <c r="A599" s="11" t="s">
        <v>9</v>
      </c>
      <c r="B599" s="41">
        <f t="shared" ca="1" si="355"/>
        <v>0</v>
      </c>
      <c r="C599" s="41"/>
      <c r="D599" s="41"/>
      <c r="E599" s="41"/>
      <c r="F599" s="19">
        <f t="shared" ca="1" si="355"/>
        <v>0</v>
      </c>
      <c r="G599" s="20">
        <f t="shared" ca="1" si="355"/>
        <v>0</v>
      </c>
      <c r="H599" s="20">
        <f t="shared" ca="1" si="355"/>
        <v>0</v>
      </c>
      <c r="I599" s="13">
        <f t="shared" ca="1" si="355"/>
        <v>0</v>
      </c>
      <c r="J599" s="16"/>
      <c r="K599" s="19">
        <f t="shared" ca="1" si="356"/>
        <v>0</v>
      </c>
      <c r="L599" s="15">
        <f t="shared" ca="1" si="346"/>
        <v>1</v>
      </c>
      <c r="M599" s="15"/>
      <c r="N599" s="15">
        <f t="shared" ca="1" si="345"/>
        <v>0</v>
      </c>
    </row>
    <row r="600" spans="1:14" ht="17.399999999999999" x14ac:dyDescent="0.4">
      <c r="A600" s="77" t="s">
        <v>31</v>
      </c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6"/>
    </row>
    <row r="601" spans="1:14" x14ac:dyDescent="0.4">
      <c r="A601" s="11" t="s">
        <v>5</v>
      </c>
      <c r="B601" s="40"/>
      <c r="C601" s="40"/>
      <c r="D601" s="40"/>
      <c r="E601" s="40"/>
      <c r="F601" s="13"/>
      <c r="G601" s="11"/>
      <c r="H601" s="17"/>
      <c r="I601" s="13"/>
      <c r="J601" s="16"/>
      <c r="K601" s="13"/>
      <c r="L601" s="15">
        <f>ROUND((10^(K601/10))/(10^(I601/10)),3)</f>
        <v>1</v>
      </c>
      <c r="M601" s="15"/>
      <c r="N601" s="15">
        <f t="shared" ref="N601:N618" si="357">J601*L601</f>
        <v>0</v>
      </c>
    </row>
    <row r="602" spans="1:14" x14ac:dyDescent="0.4">
      <c r="A602" s="11" t="s">
        <v>5</v>
      </c>
      <c r="B602" s="40"/>
      <c r="C602" s="40"/>
      <c r="D602" s="40"/>
      <c r="E602" s="40"/>
      <c r="F602" s="13"/>
      <c r="G602" s="11"/>
      <c r="H602" s="17"/>
      <c r="I602" s="13"/>
      <c r="J602" s="16"/>
      <c r="K602" s="13"/>
      <c r="L602" s="15">
        <f t="shared" ref="L602:L618" si="358">ROUND((10^(K602/10))/(10^(I602/10)),3)</f>
        <v>1</v>
      </c>
      <c r="M602" s="15"/>
      <c r="N602" s="15">
        <f t="shared" si="357"/>
        <v>0</v>
      </c>
    </row>
    <row r="603" spans="1:14" x14ac:dyDescent="0.4">
      <c r="A603" s="11" t="s">
        <v>5</v>
      </c>
      <c r="B603" s="40"/>
      <c r="C603" s="40"/>
      <c r="D603" s="40"/>
      <c r="E603" s="40"/>
      <c r="F603" s="13"/>
      <c r="G603" s="11"/>
      <c r="H603" s="17"/>
      <c r="I603" s="13"/>
      <c r="J603" s="16"/>
      <c r="K603" s="13"/>
      <c r="L603" s="15">
        <f t="shared" si="358"/>
        <v>1</v>
      </c>
      <c r="M603" s="15"/>
      <c r="N603" s="15">
        <f t="shared" si="357"/>
        <v>0</v>
      </c>
    </row>
    <row r="604" spans="1:14" x14ac:dyDescent="0.4">
      <c r="A604" s="11" t="s">
        <v>6</v>
      </c>
      <c r="B604" s="41">
        <f t="shared" ref="B604:I606" ca="1" si="359">OFFSET(B604,-3,0)</f>
        <v>0</v>
      </c>
      <c r="C604" s="41"/>
      <c r="D604" s="41"/>
      <c r="E604" s="41"/>
      <c r="F604" s="19">
        <f t="shared" ca="1" si="359"/>
        <v>0</v>
      </c>
      <c r="G604" s="20">
        <f t="shared" ca="1" si="359"/>
        <v>0</v>
      </c>
      <c r="H604" s="20">
        <f t="shared" ca="1" si="359"/>
        <v>0</v>
      </c>
      <c r="I604" s="13">
        <f t="shared" ca="1" si="359"/>
        <v>0</v>
      </c>
      <c r="J604" s="16"/>
      <c r="K604" s="19">
        <f t="shared" ref="K604:K606" ca="1" si="360">OFFSET(K604,-3,0)</f>
        <v>0</v>
      </c>
      <c r="L604" s="15">
        <f t="shared" ca="1" si="358"/>
        <v>1</v>
      </c>
      <c r="M604" s="15"/>
      <c r="N604" s="15">
        <f t="shared" ca="1" si="357"/>
        <v>0</v>
      </c>
    </row>
    <row r="605" spans="1:14" x14ac:dyDescent="0.4">
      <c r="A605" s="11" t="s">
        <v>6</v>
      </c>
      <c r="B605" s="41">
        <f t="shared" ca="1" si="359"/>
        <v>0</v>
      </c>
      <c r="C605" s="41"/>
      <c r="D605" s="41"/>
      <c r="E605" s="41"/>
      <c r="F605" s="19">
        <f t="shared" ca="1" si="359"/>
        <v>0</v>
      </c>
      <c r="G605" s="20">
        <f t="shared" ca="1" si="359"/>
        <v>0</v>
      </c>
      <c r="H605" s="20">
        <f t="shared" ca="1" si="359"/>
        <v>0</v>
      </c>
      <c r="I605" s="13">
        <f t="shared" ca="1" si="359"/>
        <v>0</v>
      </c>
      <c r="J605" s="16"/>
      <c r="K605" s="19">
        <f t="shared" ca="1" si="360"/>
        <v>0</v>
      </c>
      <c r="L605" s="15">
        <f t="shared" ca="1" si="358"/>
        <v>1</v>
      </c>
      <c r="M605" s="15"/>
      <c r="N605" s="15">
        <f t="shared" ca="1" si="357"/>
        <v>0</v>
      </c>
    </row>
    <row r="606" spans="1:14" x14ac:dyDescent="0.4">
      <c r="A606" s="11" t="s">
        <v>6</v>
      </c>
      <c r="B606" s="41">
        <f t="shared" ca="1" si="359"/>
        <v>0</v>
      </c>
      <c r="C606" s="41"/>
      <c r="D606" s="41"/>
      <c r="E606" s="41"/>
      <c r="F606" s="19">
        <f t="shared" ca="1" si="359"/>
        <v>0</v>
      </c>
      <c r="G606" s="20">
        <f t="shared" ca="1" si="359"/>
        <v>0</v>
      </c>
      <c r="H606" s="20">
        <f t="shared" ca="1" si="359"/>
        <v>0</v>
      </c>
      <c r="I606" s="13">
        <f t="shared" ca="1" si="359"/>
        <v>0</v>
      </c>
      <c r="J606" s="16"/>
      <c r="K606" s="19">
        <f t="shared" ca="1" si="360"/>
        <v>0</v>
      </c>
      <c r="L606" s="15">
        <f t="shared" ca="1" si="358"/>
        <v>1</v>
      </c>
      <c r="M606" s="15"/>
      <c r="N606" s="15">
        <f t="shared" ca="1" si="357"/>
        <v>0</v>
      </c>
    </row>
    <row r="607" spans="1:14" x14ac:dyDescent="0.4">
      <c r="A607" s="11" t="s">
        <v>10</v>
      </c>
      <c r="B607" s="40">
        <f t="shared" ref="B607:I609" ca="1" si="361">OFFSET(B607,-6,0)</f>
        <v>0</v>
      </c>
      <c r="C607" s="40"/>
      <c r="D607" s="40"/>
      <c r="E607" s="40"/>
      <c r="F607" s="13">
        <f t="shared" ca="1" si="361"/>
        <v>0</v>
      </c>
      <c r="G607" s="17">
        <f t="shared" ca="1" si="361"/>
        <v>0</v>
      </c>
      <c r="H607" s="17">
        <f t="shared" ca="1" si="361"/>
        <v>0</v>
      </c>
      <c r="I607" s="13">
        <f t="shared" ca="1" si="361"/>
        <v>0</v>
      </c>
      <c r="J607" s="16"/>
      <c r="K607" s="13">
        <f t="shared" ref="K607:K609" ca="1" si="362">OFFSET(K607,-6,0)</f>
        <v>0</v>
      </c>
      <c r="L607" s="15">
        <f t="shared" ca="1" si="358"/>
        <v>1</v>
      </c>
      <c r="M607" s="15"/>
      <c r="N607" s="15">
        <f t="shared" ca="1" si="357"/>
        <v>0</v>
      </c>
    </row>
    <row r="608" spans="1:14" x14ac:dyDescent="0.4">
      <c r="A608" s="11" t="s">
        <v>10</v>
      </c>
      <c r="B608" s="40">
        <f t="shared" ca="1" si="361"/>
        <v>0</v>
      </c>
      <c r="C608" s="40"/>
      <c r="D608" s="40"/>
      <c r="E608" s="40"/>
      <c r="F608" s="13">
        <f t="shared" ca="1" si="361"/>
        <v>0</v>
      </c>
      <c r="G608" s="17">
        <f t="shared" ca="1" si="361"/>
        <v>0</v>
      </c>
      <c r="H608" s="17">
        <f t="shared" ca="1" si="361"/>
        <v>0</v>
      </c>
      <c r="I608" s="13">
        <f t="shared" ca="1" si="361"/>
        <v>0</v>
      </c>
      <c r="J608" s="16"/>
      <c r="K608" s="13">
        <f t="shared" ca="1" si="362"/>
        <v>0</v>
      </c>
      <c r="L608" s="15">
        <f t="shared" ca="1" si="358"/>
        <v>1</v>
      </c>
      <c r="M608" s="15"/>
      <c r="N608" s="15">
        <f t="shared" ca="1" si="357"/>
        <v>0</v>
      </c>
    </row>
    <row r="609" spans="1:14" x14ac:dyDescent="0.4">
      <c r="A609" s="11" t="s">
        <v>10</v>
      </c>
      <c r="B609" s="40">
        <f t="shared" ca="1" si="361"/>
        <v>0</v>
      </c>
      <c r="C609" s="40"/>
      <c r="D609" s="40"/>
      <c r="E609" s="40"/>
      <c r="F609" s="13">
        <f t="shared" ca="1" si="361"/>
        <v>0</v>
      </c>
      <c r="G609" s="17">
        <f t="shared" ca="1" si="361"/>
        <v>0</v>
      </c>
      <c r="H609" s="17">
        <f t="shared" ca="1" si="361"/>
        <v>0</v>
      </c>
      <c r="I609" s="13">
        <f t="shared" ca="1" si="361"/>
        <v>0</v>
      </c>
      <c r="J609" s="16"/>
      <c r="K609" s="13">
        <f t="shared" ca="1" si="362"/>
        <v>0</v>
      </c>
      <c r="L609" s="15">
        <f t="shared" ca="1" si="358"/>
        <v>1</v>
      </c>
      <c r="M609" s="15"/>
      <c r="N609" s="15">
        <f t="shared" ca="1" si="357"/>
        <v>0</v>
      </c>
    </row>
    <row r="610" spans="1:14" x14ac:dyDescent="0.4">
      <c r="A610" s="11" t="s">
        <v>7</v>
      </c>
      <c r="B610" s="40">
        <f t="shared" ref="B610:I612" ca="1" si="363">OFFSET(B610,-9,0)</f>
        <v>0</v>
      </c>
      <c r="C610" s="40"/>
      <c r="D610" s="40"/>
      <c r="E610" s="40"/>
      <c r="F610" s="13">
        <f t="shared" ca="1" si="363"/>
        <v>0</v>
      </c>
      <c r="G610" s="17">
        <f t="shared" ca="1" si="363"/>
        <v>0</v>
      </c>
      <c r="H610" s="17">
        <f t="shared" ca="1" si="363"/>
        <v>0</v>
      </c>
      <c r="I610" s="13">
        <f t="shared" ca="1" si="363"/>
        <v>0</v>
      </c>
      <c r="J610" s="16"/>
      <c r="K610" s="13">
        <f t="shared" ref="K610:K612" ca="1" si="364">OFFSET(K610,-9,0)</f>
        <v>0</v>
      </c>
      <c r="L610" s="15">
        <f t="shared" ca="1" si="358"/>
        <v>1</v>
      </c>
      <c r="M610" s="15"/>
      <c r="N610" s="15">
        <f t="shared" ca="1" si="357"/>
        <v>0</v>
      </c>
    </row>
    <row r="611" spans="1:14" x14ac:dyDescent="0.4">
      <c r="A611" s="11" t="s">
        <v>7</v>
      </c>
      <c r="B611" s="40">
        <f t="shared" ca="1" si="363"/>
        <v>0</v>
      </c>
      <c r="C611" s="40"/>
      <c r="D611" s="40"/>
      <c r="E611" s="40"/>
      <c r="F611" s="13">
        <f t="shared" ca="1" si="363"/>
        <v>0</v>
      </c>
      <c r="G611" s="17">
        <f t="shared" ca="1" si="363"/>
        <v>0</v>
      </c>
      <c r="H611" s="17">
        <f t="shared" ca="1" si="363"/>
        <v>0</v>
      </c>
      <c r="I611" s="13">
        <f t="shared" ca="1" si="363"/>
        <v>0</v>
      </c>
      <c r="J611" s="16"/>
      <c r="K611" s="13">
        <f t="shared" ca="1" si="364"/>
        <v>0</v>
      </c>
      <c r="L611" s="15">
        <f t="shared" ca="1" si="358"/>
        <v>1</v>
      </c>
      <c r="M611" s="15"/>
      <c r="N611" s="15">
        <f t="shared" ca="1" si="357"/>
        <v>0</v>
      </c>
    </row>
    <row r="612" spans="1:14" x14ac:dyDescent="0.4">
      <c r="A612" s="11" t="s">
        <v>7</v>
      </c>
      <c r="B612" s="40">
        <f t="shared" ca="1" si="363"/>
        <v>0</v>
      </c>
      <c r="C612" s="40"/>
      <c r="D612" s="40"/>
      <c r="E612" s="40"/>
      <c r="F612" s="13">
        <f t="shared" ca="1" si="363"/>
        <v>0</v>
      </c>
      <c r="G612" s="17">
        <f t="shared" ca="1" si="363"/>
        <v>0</v>
      </c>
      <c r="H612" s="17">
        <f t="shared" ca="1" si="363"/>
        <v>0</v>
      </c>
      <c r="I612" s="13">
        <f t="shared" ca="1" si="363"/>
        <v>0</v>
      </c>
      <c r="J612" s="16"/>
      <c r="K612" s="13">
        <f t="shared" ca="1" si="364"/>
        <v>0</v>
      </c>
      <c r="L612" s="15">
        <f t="shared" ca="1" si="358"/>
        <v>1</v>
      </c>
      <c r="M612" s="15"/>
      <c r="N612" s="15">
        <f t="shared" ca="1" si="357"/>
        <v>0</v>
      </c>
    </row>
    <row r="613" spans="1:14" x14ac:dyDescent="0.4">
      <c r="A613" s="11" t="s">
        <v>8</v>
      </c>
      <c r="B613" s="40">
        <f t="shared" ref="B613:I615" ca="1" si="365">OFFSET(B613,-12,0)</f>
        <v>0</v>
      </c>
      <c r="C613" s="40"/>
      <c r="D613" s="40"/>
      <c r="E613" s="40"/>
      <c r="F613" s="13">
        <f t="shared" ca="1" si="365"/>
        <v>0</v>
      </c>
      <c r="G613" s="17">
        <f t="shared" ca="1" si="365"/>
        <v>0</v>
      </c>
      <c r="H613" s="17">
        <f t="shared" ca="1" si="365"/>
        <v>0</v>
      </c>
      <c r="I613" s="13">
        <f t="shared" ca="1" si="365"/>
        <v>0</v>
      </c>
      <c r="J613" s="16"/>
      <c r="K613" s="13">
        <f t="shared" ref="K613:K615" ca="1" si="366">OFFSET(K613,-12,0)</f>
        <v>0</v>
      </c>
      <c r="L613" s="15">
        <f t="shared" ca="1" si="358"/>
        <v>1</v>
      </c>
      <c r="M613" s="15"/>
      <c r="N613" s="15">
        <f t="shared" ca="1" si="357"/>
        <v>0</v>
      </c>
    </row>
    <row r="614" spans="1:14" x14ac:dyDescent="0.4">
      <c r="A614" s="11" t="s">
        <v>8</v>
      </c>
      <c r="B614" s="40">
        <f t="shared" ca="1" si="365"/>
        <v>0</v>
      </c>
      <c r="C614" s="40"/>
      <c r="D614" s="40"/>
      <c r="E614" s="40"/>
      <c r="F614" s="13">
        <f t="shared" ca="1" si="365"/>
        <v>0</v>
      </c>
      <c r="G614" s="17">
        <f t="shared" ca="1" si="365"/>
        <v>0</v>
      </c>
      <c r="H614" s="17">
        <f t="shared" ca="1" si="365"/>
        <v>0</v>
      </c>
      <c r="I614" s="13">
        <f t="shared" ca="1" si="365"/>
        <v>0</v>
      </c>
      <c r="J614" s="16"/>
      <c r="K614" s="13">
        <f t="shared" ca="1" si="366"/>
        <v>0</v>
      </c>
      <c r="L614" s="15">
        <f t="shared" ca="1" si="358"/>
        <v>1</v>
      </c>
      <c r="M614" s="15"/>
      <c r="N614" s="15">
        <f t="shared" ca="1" si="357"/>
        <v>0</v>
      </c>
    </row>
    <row r="615" spans="1:14" x14ac:dyDescent="0.4">
      <c r="A615" s="11" t="s">
        <v>8</v>
      </c>
      <c r="B615" s="40">
        <f t="shared" ca="1" si="365"/>
        <v>0</v>
      </c>
      <c r="C615" s="40"/>
      <c r="D615" s="40"/>
      <c r="E615" s="40"/>
      <c r="F615" s="13">
        <f t="shared" ca="1" si="365"/>
        <v>0</v>
      </c>
      <c r="G615" s="17">
        <f t="shared" ca="1" si="365"/>
        <v>0</v>
      </c>
      <c r="H615" s="17">
        <f t="shared" ca="1" si="365"/>
        <v>0</v>
      </c>
      <c r="I615" s="13">
        <f t="shared" ca="1" si="365"/>
        <v>0</v>
      </c>
      <c r="J615" s="16"/>
      <c r="K615" s="13">
        <f t="shared" ca="1" si="366"/>
        <v>0</v>
      </c>
      <c r="L615" s="15">
        <f t="shared" ca="1" si="358"/>
        <v>1</v>
      </c>
      <c r="M615" s="15"/>
      <c r="N615" s="15">
        <f t="shared" ca="1" si="357"/>
        <v>0</v>
      </c>
    </row>
    <row r="616" spans="1:14" x14ac:dyDescent="0.4">
      <c r="A616" s="11" t="s">
        <v>9</v>
      </c>
      <c r="B616" s="41">
        <f t="shared" ref="B616:I618" ca="1" si="367">OFFSET(B616,-15,0)</f>
        <v>0</v>
      </c>
      <c r="C616" s="41"/>
      <c r="D616" s="41"/>
      <c r="E616" s="41"/>
      <c r="F616" s="19">
        <f t="shared" ca="1" si="367"/>
        <v>0</v>
      </c>
      <c r="G616" s="20">
        <f t="shared" ca="1" si="367"/>
        <v>0</v>
      </c>
      <c r="H616" s="20">
        <f t="shared" ca="1" si="367"/>
        <v>0</v>
      </c>
      <c r="I616" s="13">
        <f t="shared" ca="1" si="367"/>
        <v>0</v>
      </c>
      <c r="J616" s="16"/>
      <c r="K616" s="19">
        <f t="shared" ref="K616:K618" ca="1" si="368">OFFSET(K616,-15,0)</f>
        <v>0</v>
      </c>
      <c r="L616" s="15">
        <f t="shared" ca="1" si="358"/>
        <v>1</v>
      </c>
      <c r="M616" s="15"/>
      <c r="N616" s="15">
        <f t="shared" ca="1" si="357"/>
        <v>0</v>
      </c>
    </row>
    <row r="617" spans="1:14" x14ac:dyDescent="0.4">
      <c r="A617" s="11" t="s">
        <v>9</v>
      </c>
      <c r="B617" s="41">
        <f t="shared" ca="1" si="367"/>
        <v>0</v>
      </c>
      <c r="C617" s="41"/>
      <c r="D617" s="41"/>
      <c r="E617" s="41"/>
      <c r="F617" s="19">
        <f t="shared" ca="1" si="367"/>
        <v>0</v>
      </c>
      <c r="G617" s="20">
        <f t="shared" ca="1" si="367"/>
        <v>0</v>
      </c>
      <c r="H617" s="20">
        <f t="shared" ca="1" si="367"/>
        <v>0</v>
      </c>
      <c r="I617" s="13">
        <f t="shared" ca="1" si="367"/>
        <v>0</v>
      </c>
      <c r="J617" s="16"/>
      <c r="K617" s="19">
        <f t="shared" ca="1" si="368"/>
        <v>0</v>
      </c>
      <c r="L617" s="15">
        <f t="shared" ca="1" si="358"/>
        <v>1</v>
      </c>
      <c r="M617" s="15"/>
      <c r="N617" s="15">
        <f t="shared" ca="1" si="357"/>
        <v>0</v>
      </c>
    </row>
    <row r="618" spans="1:14" x14ac:dyDescent="0.4">
      <c r="A618" s="11" t="s">
        <v>9</v>
      </c>
      <c r="B618" s="41">
        <f t="shared" ca="1" si="367"/>
        <v>0</v>
      </c>
      <c r="C618" s="41"/>
      <c r="D618" s="41"/>
      <c r="E618" s="41"/>
      <c r="F618" s="19">
        <f t="shared" ca="1" si="367"/>
        <v>0</v>
      </c>
      <c r="G618" s="20">
        <f t="shared" ca="1" si="367"/>
        <v>0</v>
      </c>
      <c r="H618" s="20">
        <f t="shared" ca="1" si="367"/>
        <v>0</v>
      </c>
      <c r="I618" s="13">
        <f t="shared" ca="1" si="367"/>
        <v>0</v>
      </c>
      <c r="J618" s="16"/>
      <c r="K618" s="19">
        <f t="shared" ca="1" si="368"/>
        <v>0</v>
      </c>
      <c r="L618" s="15">
        <f t="shared" ca="1" si="358"/>
        <v>1</v>
      </c>
      <c r="M618" s="15"/>
      <c r="N618" s="15">
        <f t="shared" ca="1" si="357"/>
        <v>0</v>
      </c>
    </row>
    <row r="619" spans="1:14" ht="17.399999999999999" x14ac:dyDescent="0.4">
      <c r="A619" s="77" t="s">
        <v>23</v>
      </c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6"/>
    </row>
    <row r="620" spans="1:14" x14ac:dyDescent="0.4">
      <c r="A620" s="11" t="str">
        <f ca="1">INDEX(A468:A618, MATCH(MAX(N468:N618), N468:N618, 0), 0)</f>
        <v>Front</v>
      </c>
      <c r="B620" s="40">
        <f ca="1">INDEX(B468:B618, MATCH(MAX(N468:N618), N468:N618, 0), 0)</f>
        <v>0</v>
      </c>
      <c r="C620" s="40"/>
      <c r="D620" s="40"/>
      <c r="E620" s="40"/>
      <c r="F620" s="13">
        <f ca="1">INDEX(F468:F618, MATCH(MAX(N468:N618), N468:N618, 0), 0)</f>
        <v>0</v>
      </c>
      <c r="G620" s="11">
        <f ca="1">INDEX(G468:G618, MATCH(MAX(N468:N618), N468:N618, 0), 0)</f>
        <v>0</v>
      </c>
      <c r="H620" s="17">
        <f ca="1">INDEX(H468:H618, MATCH(MAX(N468:N618), N468:N618, 0), 0)</f>
        <v>11</v>
      </c>
      <c r="I620" s="13">
        <f ca="1">INDEX(I468:I618, MATCH(MAX(N468:N618), N468:N618, 0), 0)</f>
        <v>0</v>
      </c>
      <c r="J620" s="16"/>
      <c r="K620" s="13">
        <f ca="1">INDEX(K468:K618, MATCH(MAX(N468:N618), N468:N618, 0), 0)</f>
        <v>0</v>
      </c>
      <c r="L620" s="15">
        <f ca="1">ROUND((10^(K620/10))/(10^(I620/10)),3)</f>
        <v>1</v>
      </c>
      <c r="M620" s="15"/>
      <c r="N620" s="15">
        <f t="shared" ref="N620" ca="1" si="369">J620*L620</f>
        <v>0</v>
      </c>
    </row>
    <row r="621" spans="1:14" x14ac:dyDescent="0.4">
      <c r="A621" s="11"/>
      <c r="B621" s="40"/>
      <c r="C621" s="40"/>
      <c r="D621" s="40"/>
      <c r="E621" s="40"/>
      <c r="F621" s="13"/>
      <c r="G621" s="11"/>
      <c r="H621" s="17"/>
      <c r="I621" s="13"/>
      <c r="J621" s="16"/>
      <c r="K621" s="13"/>
      <c r="L621" s="15"/>
      <c r="M621" s="15"/>
      <c r="N621" s="15"/>
    </row>
    <row r="622" spans="1:14" x14ac:dyDescent="0.4">
      <c r="A622" s="11"/>
      <c r="B622" s="40"/>
      <c r="C622" s="40"/>
      <c r="D622" s="40"/>
      <c r="E622" s="40"/>
      <c r="F622" s="13"/>
      <c r="G622" s="11"/>
      <c r="H622" s="17"/>
      <c r="I622" s="13"/>
      <c r="J622" s="16"/>
      <c r="K622" s="13"/>
      <c r="L622" s="15"/>
      <c r="M622" s="15"/>
      <c r="N622" s="15"/>
    </row>
    <row r="623" spans="1:14" x14ac:dyDescent="0.4">
      <c r="A623" s="11"/>
      <c r="B623" s="41"/>
      <c r="C623" s="41"/>
      <c r="D623" s="41"/>
      <c r="E623" s="41"/>
      <c r="F623" s="19"/>
      <c r="G623" s="11"/>
      <c r="H623" s="20"/>
      <c r="I623" s="19"/>
      <c r="J623" s="16"/>
      <c r="K623" s="19"/>
      <c r="L623" s="15"/>
      <c r="M623" s="15"/>
      <c r="N623" s="15"/>
    </row>
    <row r="624" spans="1:14" x14ac:dyDescent="0.4">
      <c r="A624" s="11"/>
      <c r="B624" s="41"/>
      <c r="C624" s="41"/>
      <c r="D624" s="41"/>
      <c r="E624" s="41"/>
      <c r="F624" s="19"/>
      <c r="G624" s="11"/>
      <c r="H624" s="20"/>
      <c r="I624" s="19"/>
      <c r="J624" s="16"/>
      <c r="K624" s="19"/>
      <c r="L624" s="15"/>
      <c r="M624" s="15"/>
      <c r="N624" s="15"/>
    </row>
    <row r="625" spans="1:14" x14ac:dyDescent="0.4">
      <c r="A625" s="11"/>
      <c r="B625" s="41"/>
      <c r="C625" s="41"/>
      <c r="D625" s="41"/>
      <c r="E625" s="41"/>
      <c r="F625" s="19"/>
      <c r="G625" s="11"/>
      <c r="H625" s="20"/>
      <c r="I625" s="19"/>
      <c r="J625" s="16"/>
      <c r="K625" s="19"/>
      <c r="L625" s="15"/>
      <c r="M625" s="15"/>
      <c r="N625" s="15"/>
    </row>
    <row r="626" spans="1:14" x14ac:dyDescent="0.4">
      <c r="A626" s="11"/>
      <c r="B626" s="40"/>
      <c r="C626" s="40"/>
      <c r="D626" s="40"/>
      <c r="E626" s="40"/>
      <c r="F626" s="13"/>
      <c r="G626" s="11"/>
      <c r="H626" s="17"/>
      <c r="I626" s="13"/>
      <c r="J626" s="16"/>
      <c r="K626" s="13"/>
      <c r="L626" s="15"/>
      <c r="M626" s="15"/>
      <c r="N626" s="15"/>
    </row>
    <row r="627" spans="1:14" x14ac:dyDescent="0.4">
      <c r="A627" s="11"/>
      <c r="B627" s="40"/>
      <c r="C627" s="40"/>
      <c r="D627" s="40"/>
      <c r="E627" s="40"/>
      <c r="F627" s="13"/>
      <c r="G627" s="11"/>
      <c r="H627" s="17"/>
      <c r="I627" s="13"/>
      <c r="J627" s="16"/>
      <c r="K627" s="13"/>
      <c r="L627" s="15"/>
      <c r="M627" s="15"/>
      <c r="N627" s="15"/>
    </row>
    <row r="628" spans="1:14" x14ac:dyDescent="0.4">
      <c r="A628" s="11"/>
      <c r="B628" s="40"/>
      <c r="C628" s="40"/>
      <c r="D628" s="40"/>
      <c r="E628" s="40"/>
      <c r="F628" s="13"/>
      <c r="G628" s="11"/>
      <c r="H628" s="17"/>
      <c r="I628" s="13"/>
      <c r="J628" s="16"/>
      <c r="K628" s="13"/>
      <c r="L628" s="15"/>
      <c r="M628" s="15"/>
      <c r="N628" s="15"/>
    </row>
    <row r="629" spans="1:14" x14ac:dyDescent="0.4">
      <c r="A629" s="11"/>
      <c r="B629" s="40"/>
      <c r="C629" s="40"/>
      <c r="D629" s="40"/>
      <c r="E629" s="40"/>
      <c r="F629" s="13"/>
      <c r="G629" s="11"/>
      <c r="H629" s="17"/>
      <c r="I629" s="13"/>
      <c r="J629" s="16"/>
      <c r="K629" s="13"/>
      <c r="L629" s="15"/>
      <c r="M629" s="15"/>
      <c r="N629" s="15"/>
    </row>
    <row r="630" spans="1:14" x14ac:dyDescent="0.4">
      <c r="A630" s="11"/>
      <c r="B630" s="40"/>
      <c r="C630" s="40"/>
      <c r="D630" s="40"/>
      <c r="E630" s="40"/>
      <c r="F630" s="13"/>
      <c r="G630" s="11"/>
      <c r="H630" s="17"/>
      <c r="I630" s="13"/>
      <c r="J630" s="16"/>
      <c r="K630" s="13"/>
      <c r="L630" s="15"/>
      <c r="M630" s="15"/>
      <c r="N630" s="15"/>
    </row>
    <row r="631" spans="1:14" x14ac:dyDescent="0.4">
      <c r="A631" s="11"/>
      <c r="B631" s="40"/>
      <c r="C631" s="40"/>
      <c r="D631" s="40"/>
      <c r="E631" s="40"/>
      <c r="F631" s="13"/>
      <c r="G631" s="11"/>
      <c r="H631" s="17"/>
      <c r="I631" s="13"/>
      <c r="J631" s="16"/>
      <c r="K631" s="13"/>
      <c r="L631" s="15"/>
      <c r="M631" s="15"/>
      <c r="N631" s="15"/>
    </row>
    <row r="632" spans="1:14" x14ac:dyDescent="0.4">
      <c r="A632" s="11"/>
      <c r="B632" s="40"/>
      <c r="C632" s="40"/>
      <c r="D632" s="40"/>
      <c r="E632" s="40"/>
      <c r="F632" s="13"/>
      <c r="G632" s="11"/>
      <c r="H632" s="17"/>
      <c r="I632" s="13"/>
      <c r="J632" s="16"/>
      <c r="K632" s="13"/>
      <c r="L632" s="15"/>
      <c r="M632" s="15"/>
      <c r="N632" s="15"/>
    </row>
    <row r="633" spans="1:14" x14ac:dyDescent="0.4">
      <c r="A633" s="11"/>
      <c r="B633" s="40"/>
      <c r="C633" s="40"/>
      <c r="D633" s="40"/>
      <c r="E633" s="40"/>
      <c r="F633" s="13"/>
      <c r="G633" s="11"/>
      <c r="H633" s="17"/>
      <c r="I633" s="13"/>
      <c r="J633" s="16"/>
      <c r="K633" s="13"/>
      <c r="L633" s="15"/>
      <c r="M633" s="15"/>
      <c r="N633" s="15"/>
    </row>
    <row r="634" spans="1:14" x14ac:dyDescent="0.4">
      <c r="A634" s="11"/>
      <c r="B634" s="40"/>
      <c r="C634" s="40"/>
      <c r="D634" s="40"/>
      <c r="E634" s="40"/>
      <c r="F634" s="13"/>
      <c r="G634" s="11"/>
      <c r="H634" s="17"/>
      <c r="I634" s="13"/>
      <c r="J634" s="16"/>
      <c r="K634" s="13"/>
      <c r="L634" s="15"/>
      <c r="M634" s="15"/>
      <c r="N634" s="15"/>
    </row>
    <row r="635" spans="1:14" x14ac:dyDescent="0.4">
      <c r="A635" s="11"/>
      <c r="B635" s="41"/>
      <c r="C635" s="41"/>
      <c r="D635" s="41"/>
      <c r="E635" s="41"/>
      <c r="F635" s="19"/>
      <c r="G635" s="11"/>
      <c r="H635" s="20"/>
      <c r="I635" s="19"/>
      <c r="J635" s="16"/>
      <c r="K635" s="19"/>
      <c r="L635" s="15"/>
      <c r="M635" s="15"/>
      <c r="N635" s="15"/>
    </row>
    <row r="636" spans="1:14" x14ac:dyDescent="0.4">
      <c r="A636" s="11"/>
      <c r="B636" s="41"/>
      <c r="C636" s="41"/>
      <c r="D636" s="41"/>
      <c r="E636" s="41"/>
      <c r="F636" s="19"/>
      <c r="G636" s="11"/>
      <c r="H636" s="20"/>
      <c r="I636" s="19"/>
      <c r="J636" s="16"/>
      <c r="K636" s="19"/>
      <c r="L636" s="15"/>
      <c r="M636" s="15"/>
      <c r="N636" s="15"/>
    </row>
    <row r="637" spans="1:14" x14ac:dyDescent="0.4">
      <c r="A637" s="11"/>
      <c r="B637" s="41"/>
      <c r="C637" s="41"/>
      <c r="D637" s="41"/>
      <c r="E637" s="41"/>
      <c r="F637" s="19"/>
      <c r="G637" s="11"/>
      <c r="H637" s="20"/>
      <c r="I637" s="19"/>
      <c r="J637" s="16"/>
      <c r="K637" s="19"/>
      <c r="L637" s="15"/>
      <c r="M637" s="15"/>
      <c r="N637" s="15"/>
    </row>
    <row r="638" spans="1:14" ht="17.399999999999999" x14ac:dyDescent="0.4">
      <c r="A638" s="77" t="s">
        <v>24</v>
      </c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6"/>
    </row>
    <row r="639" spans="1:14" x14ac:dyDescent="0.4">
      <c r="A639" s="11" t="str">
        <f ca="1">INDEX(A468:A618, MATCH(MAX(N468:N618), N468:N618, 0), 0)</f>
        <v>Front</v>
      </c>
      <c r="B639" s="40">
        <f ca="1">INDEX(B468:B618, MATCH(MAX(N468:N618), N468:N618, 0), 0)</f>
        <v>0</v>
      </c>
      <c r="C639" s="40"/>
      <c r="D639" s="40"/>
      <c r="E639" s="40"/>
      <c r="F639" s="13">
        <f ca="1">INDEX(F468:F618, MATCH(MAX(N468:N618), N468:N618, 0), 0)</f>
        <v>0</v>
      </c>
      <c r="G639" s="11">
        <f ca="1">INDEX(G468:G618, MATCH(MAX(N468:N618), N468:N618, 0), 0)</f>
        <v>0</v>
      </c>
      <c r="H639" s="17">
        <f ca="1">INDEX(H468:H618, MATCH(MAX(N468:N618), N468:N618, 0), 0)</f>
        <v>11</v>
      </c>
      <c r="I639" s="13">
        <f ca="1">INDEX(I468:I618, MATCH(MAX(N468:N618), N468:N618, 0), 0)</f>
        <v>0</v>
      </c>
      <c r="J639" s="16"/>
      <c r="K639" s="13">
        <f ca="1">INDEX(K468:K618, MATCH(MAX(N468:N618), N468:N618, 0), 0)</f>
        <v>0</v>
      </c>
      <c r="L639" s="15">
        <f ca="1">ROUND((10^(K639/10))/(10^(I639/10)),3)</f>
        <v>1</v>
      </c>
      <c r="M639" s="15"/>
      <c r="N639" s="15">
        <f t="shared" ref="N639" ca="1" si="370">J639*L639</f>
        <v>0</v>
      </c>
    </row>
    <row r="640" spans="1:14" x14ac:dyDescent="0.4">
      <c r="A640" s="11"/>
      <c r="B640" s="40"/>
      <c r="C640" s="40"/>
      <c r="D640" s="40"/>
      <c r="E640" s="40"/>
      <c r="F640" s="13"/>
      <c r="G640" s="11"/>
      <c r="H640" s="17"/>
      <c r="I640" s="13"/>
      <c r="J640" s="16"/>
      <c r="K640" s="13"/>
      <c r="L640" s="15"/>
      <c r="M640" s="15"/>
      <c r="N640" s="52"/>
    </row>
    <row r="641" spans="1:14" x14ac:dyDescent="0.4">
      <c r="A641" s="11"/>
      <c r="B641" s="40"/>
      <c r="C641" s="40"/>
      <c r="D641" s="40"/>
      <c r="E641" s="40"/>
      <c r="F641" s="13"/>
      <c r="G641" s="11"/>
      <c r="H641" s="17"/>
      <c r="I641" s="13"/>
      <c r="J641" s="16"/>
      <c r="K641" s="13"/>
      <c r="L641" s="15"/>
      <c r="M641" s="15"/>
      <c r="N641" s="52"/>
    </row>
    <row r="642" spans="1:14" x14ac:dyDescent="0.4">
      <c r="A642" s="11"/>
      <c r="B642" s="41"/>
      <c r="C642" s="41"/>
      <c r="D642" s="41"/>
      <c r="E642" s="41"/>
      <c r="F642" s="19"/>
      <c r="G642" s="11"/>
      <c r="H642" s="20"/>
      <c r="I642" s="19"/>
      <c r="J642" s="16"/>
      <c r="K642" s="19"/>
      <c r="L642" s="15"/>
      <c r="M642" s="15"/>
      <c r="N642" s="52"/>
    </row>
    <row r="643" spans="1:14" x14ac:dyDescent="0.4">
      <c r="A643" s="11"/>
      <c r="B643" s="41"/>
      <c r="C643" s="41"/>
      <c r="D643" s="41"/>
      <c r="E643" s="41"/>
      <c r="F643" s="19"/>
      <c r="G643" s="11"/>
      <c r="H643" s="20"/>
      <c r="I643" s="19"/>
      <c r="J643" s="16"/>
      <c r="K643" s="19"/>
      <c r="L643" s="15"/>
      <c r="M643" s="15"/>
      <c r="N643" s="52"/>
    </row>
    <row r="644" spans="1:14" x14ac:dyDescent="0.4">
      <c r="A644" s="11"/>
      <c r="B644" s="41"/>
      <c r="C644" s="41"/>
      <c r="D644" s="41"/>
      <c r="E644" s="41"/>
      <c r="F644" s="19"/>
      <c r="G644" s="11"/>
      <c r="H644" s="20"/>
      <c r="I644" s="19"/>
      <c r="J644" s="16"/>
      <c r="K644" s="19"/>
      <c r="L644" s="15"/>
      <c r="M644" s="15"/>
      <c r="N644" s="52"/>
    </row>
    <row r="645" spans="1:14" x14ac:dyDescent="0.4">
      <c r="A645" s="11"/>
      <c r="B645" s="40"/>
      <c r="C645" s="40"/>
      <c r="D645" s="40"/>
      <c r="E645" s="40"/>
      <c r="F645" s="13"/>
      <c r="G645" s="11"/>
      <c r="H645" s="17"/>
      <c r="I645" s="13"/>
      <c r="J645" s="16"/>
      <c r="K645" s="13"/>
      <c r="L645" s="15"/>
      <c r="M645" s="15"/>
      <c r="N645" s="52"/>
    </row>
    <row r="646" spans="1:14" x14ac:dyDescent="0.4">
      <c r="A646" s="11"/>
      <c r="B646" s="40"/>
      <c r="C646" s="40"/>
      <c r="D646" s="40"/>
      <c r="E646" s="40"/>
      <c r="F646" s="13"/>
      <c r="G646" s="11"/>
      <c r="H646" s="17"/>
      <c r="I646" s="13"/>
      <c r="J646" s="16"/>
      <c r="K646" s="13"/>
      <c r="L646" s="15"/>
      <c r="M646" s="15"/>
      <c r="N646" s="52"/>
    </row>
    <row r="647" spans="1:14" x14ac:dyDescent="0.4">
      <c r="A647" s="11"/>
      <c r="B647" s="40"/>
      <c r="C647" s="40"/>
      <c r="D647" s="40"/>
      <c r="E647" s="40"/>
      <c r="F647" s="13"/>
      <c r="G647" s="11"/>
      <c r="H647" s="17"/>
      <c r="I647" s="13"/>
      <c r="J647" s="16"/>
      <c r="K647" s="13"/>
      <c r="L647" s="15"/>
      <c r="M647" s="15"/>
      <c r="N647" s="52"/>
    </row>
    <row r="648" spans="1:14" x14ac:dyDescent="0.4">
      <c r="A648" s="11"/>
      <c r="B648" s="40"/>
      <c r="C648" s="40"/>
      <c r="D648" s="40"/>
      <c r="E648" s="40"/>
      <c r="F648" s="13"/>
      <c r="G648" s="11"/>
      <c r="H648" s="17"/>
      <c r="I648" s="13"/>
      <c r="J648" s="16"/>
      <c r="K648" s="13"/>
      <c r="L648" s="15"/>
      <c r="M648" s="15"/>
      <c r="N648" s="52"/>
    </row>
    <row r="649" spans="1:14" x14ac:dyDescent="0.4">
      <c r="A649" s="11"/>
      <c r="B649" s="40"/>
      <c r="C649" s="40"/>
      <c r="D649" s="40"/>
      <c r="E649" s="40"/>
      <c r="F649" s="13"/>
      <c r="G649" s="11"/>
      <c r="H649" s="17"/>
      <c r="I649" s="13"/>
      <c r="J649" s="16"/>
      <c r="K649" s="13"/>
      <c r="L649" s="15"/>
      <c r="M649" s="15"/>
      <c r="N649" s="52"/>
    </row>
    <row r="650" spans="1:14" x14ac:dyDescent="0.4">
      <c r="A650" s="11"/>
      <c r="B650" s="40"/>
      <c r="C650" s="40"/>
      <c r="D650" s="40"/>
      <c r="E650" s="40"/>
      <c r="F650" s="13"/>
      <c r="G650" s="11"/>
      <c r="H650" s="17"/>
      <c r="I650" s="13"/>
      <c r="J650" s="16"/>
      <c r="K650" s="13"/>
      <c r="L650" s="15"/>
      <c r="M650" s="15"/>
      <c r="N650" s="52"/>
    </row>
    <row r="651" spans="1:14" x14ac:dyDescent="0.4">
      <c r="A651" s="11"/>
      <c r="B651" s="40"/>
      <c r="C651" s="40"/>
      <c r="D651" s="40"/>
      <c r="E651" s="40"/>
      <c r="F651" s="13"/>
      <c r="G651" s="11"/>
      <c r="H651" s="17"/>
      <c r="I651" s="13"/>
      <c r="J651" s="16"/>
      <c r="K651" s="13"/>
      <c r="L651" s="15"/>
      <c r="M651" s="15"/>
      <c r="N651" s="52"/>
    </row>
    <row r="652" spans="1:14" x14ac:dyDescent="0.4">
      <c r="A652" s="11"/>
      <c r="B652" s="40"/>
      <c r="C652" s="40"/>
      <c r="D652" s="40"/>
      <c r="E652" s="40"/>
      <c r="F652" s="13"/>
      <c r="G652" s="11"/>
      <c r="H652" s="17"/>
      <c r="I652" s="13"/>
      <c r="J652" s="16"/>
      <c r="K652" s="13"/>
      <c r="L652" s="15"/>
      <c r="M652" s="15"/>
      <c r="N652" s="52"/>
    </row>
    <row r="653" spans="1:14" x14ac:dyDescent="0.4">
      <c r="A653" s="11"/>
      <c r="B653" s="40"/>
      <c r="C653" s="40"/>
      <c r="D653" s="40"/>
      <c r="E653" s="40"/>
      <c r="F653" s="13"/>
      <c r="G653" s="11"/>
      <c r="H653" s="17"/>
      <c r="I653" s="13"/>
      <c r="J653" s="16"/>
      <c r="K653" s="13"/>
      <c r="L653" s="15"/>
      <c r="M653" s="15"/>
      <c r="N653" s="52"/>
    </row>
    <row r="654" spans="1:14" x14ac:dyDescent="0.4">
      <c r="A654" s="11"/>
      <c r="B654" s="41"/>
      <c r="C654" s="41"/>
      <c r="D654" s="41"/>
      <c r="E654" s="41"/>
      <c r="F654" s="19"/>
      <c r="G654" s="11"/>
      <c r="H654" s="20"/>
      <c r="I654" s="19"/>
      <c r="J654" s="16"/>
      <c r="K654" s="19"/>
      <c r="L654" s="15"/>
      <c r="M654" s="15"/>
      <c r="N654" s="52"/>
    </row>
    <row r="655" spans="1:14" x14ac:dyDescent="0.4">
      <c r="A655" s="11"/>
      <c r="B655" s="41"/>
      <c r="C655" s="41"/>
      <c r="D655" s="41"/>
      <c r="E655" s="41"/>
      <c r="F655" s="19"/>
      <c r="G655" s="11"/>
      <c r="H655" s="20"/>
      <c r="I655" s="19"/>
      <c r="J655" s="16"/>
      <c r="K655" s="19"/>
      <c r="L655" s="15"/>
      <c r="M655" s="15"/>
      <c r="N655" s="52"/>
    </row>
    <row r="656" spans="1:14" x14ac:dyDescent="0.4">
      <c r="A656" s="11"/>
      <c r="B656" s="41"/>
      <c r="C656" s="41"/>
      <c r="D656" s="41"/>
      <c r="E656" s="41"/>
      <c r="F656" s="19"/>
      <c r="G656" s="11"/>
      <c r="H656" s="20"/>
      <c r="I656" s="19"/>
      <c r="J656" s="16"/>
      <c r="K656" s="19"/>
      <c r="L656" s="15"/>
      <c r="M656" s="15"/>
      <c r="N656" s="52"/>
    </row>
  </sheetData>
  <mergeCells count="135">
    <mergeCell ref="A581:N581"/>
    <mergeCell ref="A600:N600"/>
    <mergeCell ref="A619:N619"/>
    <mergeCell ref="A638:N638"/>
    <mergeCell ref="A486:N486"/>
    <mergeCell ref="A505:N505"/>
    <mergeCell ref="A524:N524"/>
    <mergeCell ref="A543:N543"/>
    <mergeCell ref="A562:N562"/>
    <mergeCell ref="L464:M465"/>
    <mergeCell ref="N464:N466"/>
    <mergeCell ref="F465:F466"/>
    <mergeCell ref="G465:G466"/>
    <mergeCell ref="A467:N467"/>
    <mergeCell ref="F464:G464"/>
    <mergeCell ref="H464:H466"/>
    <mergeCell ref="I464:I466"/>
    <mergeCell ref="J464:J466"/>
    <mergeCell ref="K464:K466"/>
    <mergeCell ref="A464:A466"/>
    <mergeCell ref="B464:B466"/>
    <mergeCell ref="C464:C466"/>
    <mergeCell ref="D464:D466"/>
    <mergeCell ref="E464:E466"/>
    <mergeCell ref="M444:M446"/>
    <mergeCell ref="F445:F446"/>
    <mergeCell ref="G445:G446"/>
    <mergeCell ref="A460:I462"/>
    <mergeCell ref="J460:L460"/>
    <mergeCell ref="J461:L461"/>
    <mergeCell ref="J462:L462"/>
    <mergeCell ref="F444:G444"/>
    <mergeCell ref="H444:H446"/>
    <mergeCell ref="I444:I446"/>
    <mergeCell ref="J444:J446"/>
    <mergeCell ref="K444:L445"/>
    <mergeCell ref="A444:A446"/>
    <mergeCell ref="B444:B446"/>
    <mergeCell ref="C444:C446"/>
    <mergeCell ref="D444:D446"/>
    <mergeCell ref="E444:E446"/>
    <mergeCell ref="A362:N362"/>
    <mergeCell ref="A381:N381"/>
    <mergeCell ref="A400:N400"/>
    <mergeCell ref="A419:N419"/>
    <mergeCell ref="A440:H442"/>
    <mergeCell ref="I440:K440"/>
    <mergeCell ref="I441:K441"/>
    <mergeCell ref="I442:K442"/>
    <mergeCell ref="A267:N267"/>
    <mergeCell ref="A286:N286"/>
    <mergeCell ref="A305:N305"/>
    <mergeCell ref="A324:N324"/>
    <mergeCell ref="A343:N343"/>
    <mergeCell ref="L245:M246"/>
    <mergeCell ref="N245:N247"/>
    <mergeCell ref="F246:F247"/>
    <mergeCell ref="G246:G247"/>
    <mergeCell ref="A248:N248"/>
    <mergeCell ref="F245:G245"/>
    <mergeCell ref="H245:H247"/>
    <mergeCell ref="I245:I247"/>
    <mergeCell ref="J245:J247"/>
    <mergeCell ref="K245:K247"/>
    <mergeCell ref="A245:A247"/>
    <mergeCell ref="B245:B247"/>
    <mergeCell ref="C245:C247"/>
    <mergeCell ref="D245:D247"/>
    <mergeCell ref="E245:E247"/>
    <mergeCell ref="M225:M227"/>
    <mergeCell ref="F226:F227"/>
    <mergeCell ref="G226:G227"/>
    <mergeCell ref="A241:I243"/>
    <mergeCell ref="J241:L241"/>
    <mergeCell ref="J242:L242"/>
    <mergeCell ref="J243:L243"/>
    <mergeCell ref="F225:G225"/>
    <mergeCell ref="H225:H227"/>
    <mergeCell ref="I225:I227"/>
    <mergeCell ref="J225:J227"/>
    <mergeCell ref="K225:L226"/>
    <mergeCell ref="A225:A227"/>
    <mergeCell ref="B225:B227"/>
    <mergeCell ref="C225:C227"/>
    <mergeCell ref="D225:D227"/>
    <mergeCell ref="E225:E227"/>
    <mergeCell ref="I222:K222"/>
    <mergeCell ref="I223:K223"/>
    <mergeCell ref="A124:N124"/>
    <mergeCell ref="A143:N143"/>
    <mergeCell ref="A162:N162"/>
    <mergeCell ref="A181:N181"/>
    <mergeCell ref="A200:N200"/>
    <mergeCell ref="A29:N29"/>
    <mergeCell ref="A48:N48"/>
    <mergeCell ref="A67:N67"/>
    <mergeCell ref="A86:N86"/>
    <mergeCell ref="A105:N105"/>
    <mergeCell ref="A221:H223"/>
    <mergeCell ref="I221:K221"/>
    <mergeCell ref="I2:K2"/>
    <mergeCell ref="I3:K3"/>
    <mergeCell ref="I4:K4"/>
    <mergeCell ref="A2:H4"/>
    <mergeCell ref="I26:I28"/>
    <mergeCell ref="J26:J28"/>
    <mergeCell ref="K26:K28"/>
    <mergeCell ref="K6:L7"/>
    <mergeCell ref="L26:M27"/>
    <mergeCell ref="A26:A28"/>
    <mergeCell ref="B26:B28"/>
    <mergeCell ref="F26:G26"/>
    <mergeCell ref="H26:H28"/>
    <mergeCell ref="E6:E8"/>
    <mergeCell ref="E26:E28"/>
    <mergeCell ref="C6:C8"/>
    <mergeCell ref="F7:F8"/>
    <mergeCell ref="G7:G8"/>
    <mergeCell ref="M6:M8"/>
    <mergeCell ref="A22:I24"/>
    <mergeCell ref="D6:D8"/>
    <mergeCell ref="C26:C28"/>
    <mergeCell ref="D26:D28"/>
    <mergeCell ref="F27:F28"/>
    <mergeCell ref="G27:G28"/>
    <mergeCell ref="J22:L22"/>
    <mergeCell ref="J23:L23"/>
    <mergeCell ref="J24:L24"/>
    <mergeCell ref="J6:J8"/>
    <mergeCell ref="N26:N28"/>
    <mergeCell ref="A6:A8"/>
    <mergeCell ref="B6:B8"/>
    <mergeCell ref="F6:G6"/>
    <mergeCell ref="H6:H8"/>
    <mergeCell ref="I6:I8"/>
  </mergeCells>
  <phoneticPr fontId="1" type="noConversion"/>
  <conditionalFormatting sqref="H9">
    <cfRule type="cellIs" dxfId="2339" priority="1458" operator="between">
      <formula>J9</formula>
      <formula>9999</formula>
    </cfRule>
  </conditionalFormatting>
  <conditionalFormatting sqref="H10">
    <cfRule type="cellIs" dxfId="2338" priority="1457" operator="between">
      <formula>J10</formula>
      <formula>9999</formula>
    </cfRule>
  </conditionalFormatting>
  <conditionalFormatting sqref="H11">
    <cfRule type="cellIs" dxfId="2337" priority="1456" operator="between">
      <formula>J11</formula>
      <formula>9999</formula>
    </cfRule>
  </conditionalFormatting>
  <conditionalFormatting sqref="H15">
    <cfRule type="cellIs" dxfId="2336" priority="1452" operator="between">
      <formula>J15</formula>
      <formula>9999</formula>
    </cfRule>
  </conditionalFormatting>
  <conditionalFormatting sqref="H16">
    <cfRule type="cellIs" dxfId="2335" priority="1451" operator="between">
      <formula>J16</formula>
      <formula>9999</formula>
    </cfRule>
  </conditionalFormatting>
  <conditionalFormatting sqref="H17">
    <cfRule type="cellIs" dxfId="2334" priority="1450" operator="between">
      <formula>J17</formula>
      <formula>9999</formula>
    </cfRule>
  </conditionalFormatting>
  <conditionalFormatting sqref="H18">
    <cfRule type="cellIs" dxfId="2333" priority="1449" operator="between">
      <formula>J18</formula>
      <formula>9999</formula>
    </cfRule>
  </conditionalFormatting>
  <conditionalFormatting sqref="H19">
    <cfRule type="cellIs" dxfId="2332" priority="1448" operator="between">
      <formula>J19</formula>
      <formula>9999</formula>
    </cfRule>
  </conditionalFormatting>
  <conditionalFormatting sqref="H20">
    <cfRule type="cellIs" dxfId="2331" priority="1447" operator="between">
      <formula>J20</formula>
      <formula>9999</formula>
    </cfRule>
  </conditionalFormatting>
  <conditionalFormatting sqref="I30">
    <cfRule type="cellIs" dxfId="2330" priority="1446" operator="between">
      <formula>K30</formula>
      <formula>9999</formula>
    </cfRule>
  </conditionalFormatting>
  <conditionalFormatting sqref="I31">
    <cfRule type="cellIs" dxfId="2329" priority="1445" operator="between">
      <formula>K31</formula>
      <formula>9999</formula>
    </cfRule>
  </conditionalFormatting>
  <conditionalFormatting sqref="I32">
    <cfRule type="cellIs" dxfId="2328" priority="1444" operator="between">
      <formula>K32</formula>
      <formula>9999</formula>
    </cfRule>
  </conditionalFormatting>
  <conditionalFormatting sqref="I33">
    <cfRule type="cellIs" dxfId="2327" priority="1443" operator="between">
      <formula>K33</formula>
      <formula>9999</formula>
    </cfRule>
  </conditionalFormatting>
  <conditionalFormatting sqref="I34">
    <cfRule type="cellIs" dxfId="2326" priority="1442" operator="between">
      <formula>K34</formula>
      <formula>9999</formula>
    </cfRule>
  </conditionalFormatting>
  <conditionalFormatting sqref="I35">
    <cfRule type="cellIs" dxfId="2325" priority="1441" operator="between">
      <formula>K35</formula>
      <formula>9999</formula>
    </cfRule>
  </conditionalFormatting>
  <conditionalFormatting sqref="I36">
    <cfRule type="cellIs" dxfId="2324" priority="1440" operator="between">
      <formula>K36</formula>
      <formula>9999</formula>
    </cfRule>
  </conditionalFormatting>
  <conditionalFormatting sqref="I37">
    <cfRule type="cellIs" dxfId="2323" priority="1439" operator="between">
      <formula>K37</formula>
      <formula>9999</formula>
    </cfRule>
  </conditionalFormatting>
  <conditionalFormatting sqref="I38">
    <cfRule type="cellIs" dxfId="2322" priority="1438" operator="between">
      <formula>K38</formula>
      <formula>9999</formula>
    </cfRule>
  </conditionalFormatting>
  <conditionalFormatting sqref="I39">
    <cfRule type="cellIs" dxfId="2321" priority="1437" operator="between">
      <formula>K39</formula>
      <formula>9999</formula>
    </cfRule>
  </conditionalFormatting>
  <conditionalFormatting sqref="I40">
    <cfRule type="cellIs" dxfId="2320" priority="1436" operator="between">
      <formula>K40</formula>
      <formula>9999</formula>
    </cfRule>
  </conditionalFormatting>
  <conditionalFormatting sqref="I41">
    <cfRule type="cellIs" dxfId="2319" priority="1435" operator="between">
      <formula>K41</formula>
      <formula>9999</formula>
    </cfRule>
  </conditionalFormatting>
  <conditionalFormatting sqref="I42">
    <cfRule type="cellIs" dxfId="2318" priority="1434" operator="between">
      <formula>K42</formula>
      <formula>9999</formula>
    </cfRule>
  </conditionalFormatting>
  <conditionalFormatting sqref="I43">
    <cfRule type="cellIs" dxfId="2317" priority="1433" operator="between">
      <formula>K43</formula>
      <formula>9999</formula>
    </cfRule>
  </conditionalFormatting>
  <conditionalFormatting sqref="I44">
    <cfRule type="cellIs" dxfId="2316" priority="1432" operator="between">
      <formula>K44</formula>
      <formula>9999</formula>
    </cfRule>
  </conditionalFormatting>
  <conditionalFormatting sqref="I45">
    <cfRule type="cellIs" dxfId="2315" priority="1431" operator="between">
      <formula>K45</formula>
      <formula>9999</formula>
    </cfRule>
  </conditionalFormatting>
  <conditionalFormatting sqref="I46">
    <cfRule type="cellIs" dxfId="2314" priority="1430" operator="between">
      <formula>K46</formula>
      <formula>9999</formula>
    </cfRule>
  </conditionalFormatting>
  <conditionalFormatting sqref="I47">
    <cfRule type="cellIs" dxfId="2313" priority="1429" operator="between">
      <formula>K47</formula>
      <formula>9999</formula>
    </cfRule>
  </conditionalFormatting>
  <conditionalFormatting sqref="I49">
    <cfRule type="cellIs" dxfId="2312" priority="1428" operator="between">
      <formula>K49</formula>
      <formula>9999</formula>
    </cfRule>
  </conditionalFormatting>
  <conditionalFormatting sqref="I50">
    <cfRule type="cellIs" dxfId="2311" priority="1427" operator="between">
      <formula>K50</formula>
      <formula>9999</formula>
    </cfRule>
  </conditionalFormatting>
  <conditionalFormatting sqref="I51">
    <cfRule type="cellIs" dxfId="2310" priority="1426" operator="between">
      <formula>K51</formula>
      <formula>9999</formula>
    </cfRule>
  </conditionalFormatting>
  <conditionalFormatting sqref="I52">
    <cfRule type="cellIs" dxfId="2309" priority="1425" operator="between">
      <formula>K52</formula>
      <formula>9999</formula>
    </cfRule>
  </conditionalFormatting>
  <conditionalFormatting sqref="I53">
    <cfRule type="cellIs" dxfId="2308" priority="1424" operator="between">
      <formula>K53</formula>
      <formula>9999</formula>
    </cfRule>
  </conditionalFormatting>
  <conditionalFormatting sqref="I54">
    <cfRule type="cellIs" dxfId="2307" priority="1423" operator="between">
      <formula>K54</formula>
      <formula>9999</formula>
    </cfRule>
  </conditionalFormatting>
  <conditionalFormatting sqref="I55">
    <cfRule type="cellIs" dxfId="2306" priority="1422" operator="between">
      <formula>K55</formula>
      <formula>9999</formula>
    </cfRule>
  </conditionalFormatting>
  <conditionalFormatting sqref="I56">
    <cfRule type="cellIs" dxfId="2305" priority="1421" operator="between">
      <formula>K56</formula>
      <formula>9999</formula>
    </cfRule>
  </conditionalFormatting>
  <conditionalFormatting sqref="I57">
    <cfRule type="cellIs" dxfId="2304" priority="1420" operator="between">
      <formula>K57</formula>
      <formula>9999</formula>
    </cfRule>
  </conditionalFormatting>
  <conditionalFormatting sqref="I58">
    <cfRule type="cellIs" dxfId="2303" priority="1419" operator="between">
      <formula>K58</formula>
      <formula>9999</formula>
    </cfRule>
  </conditionalFormatting>
  <conditionalFormatting sqref="I59">
    <cfRule type="cellIs" dxfId="2302" priority="1418" operator="between">
      <formula>K59</formula>
      <formula>9999</formula>
    </cfRule>
  </conditionalFormatting>
  <conditionalFormatting sqref="I60">
    <cfRule type="cellIs" dxfId="2301" priority="1417" operator="between">
      <formula>K60</formula>
      <formula>9999</formula>
    </cfRule>
  </conditionalFormatting>
  <conditionalFormatting sqref="I61">
    <cfRule type="cellIs" dxfId="2300" priority="1416" operator="between">
      <formula>K61</formula>
      <formula>9999</formula>
    </cfRule>
  </conditionalFormatting>
  <conditionalFormatting sqref="I62">
    <cfRule type="cellIs" dxfId="2299" priority="1415" operator="between">
      <formula>K62</formula>
      <formula>9999</formula>
    </cfRule>
  </conditionalFormatting>
  <conditionalFormatting sqref="I63">
    <cfRule type="cellIs" dxfId="2298" priority="1414" operator="between">
      <formula>K63</formula>
      <formula>9999</formula>
    </cfRule>
  </conditionalFormatting>
  <conditionalFormatting sqref="I64">
    <cfRule type="cellIs" dxfId="2297" priority="1413" operator="between">
      <formula>K64</formula>
      <formula>9999</formula>
    </cfRule>
  </conditionalFormatting>
  <conditionalFormatting sqref="I65">
    <cfRule type="cellIs" dxfId="2296" priority="1412" operator="between">
      <formula>K65</formula>
      <formula>9999</formula>
    </cfRule>
  </conditionalFormatting>
  <conditionalFormatting sqref="I66">
    <cfRule type="cellIs" dxfId="2295" priority="1411" operator="between">
      <formula>K66</formula>
      <formula>9999</formula>
    </cfRule>
  </conditionalFormatting>
  <conditionalFormatting sqref="I68">
    <cfRule type="cellIs" dxfId="2294" priority="1410" operator="between">
      <formula>K68</formula>
      <formula>9999</formula>
    </cfRule>
  </conditionalFormatting>
  <conditionalFormatting sqref="I69">
    <cfRule type="cellIs" dxfId="2293" priority="1409" operator="between">
      <formula>K69</formula>
      <formula>9999</formula>
    </cfRule>
  </conditionalFormatting>
  <conditionalFormatting sqref="I70">
    <cfRule type="cellIs" dxfId="2292" priority="1408" operator="between">
      <formula>K70</formula>
      <formula>9999</formula>
    </cfRule>
  </conditionalFormatting>
  <conditionalFormatting sqref="I71">
    <cfRule type="cellIs" dxfId="2291" priority="1407" operator="between">
      <formula>K71</formula>
      <formula>9999</formula>
    </cfRule>
  </conditionalFormatting>
  <conditionalFormatting sqref="I72">
    <cfRule type="cellIs" dxfId="2290" priority="1406" operator="between">
      <formula>K72</formula>
      <formula>9999</formula>
    </cfRule>
  </conditionalFormatting>
  <conditionalFormatting sqref="I73">
    <cfRule type="cellIs" dxfId="2289" priority="1405" operator="between">
      <formula>K73</formula>
      <formula>9999</formula>
    </cfRule>
  </conditionalFormatting>
  <conditionalFormatting sqref="I74">
    <cfRule type="cellIs" dxfId="2288" priority="1404" operator="between">
      <formula>K74</formula>
      <formula>9999</formula>
    </cfRule>
  </conditionalFormatting>
  <conditionalFormatting sqref="I75">
    <cfRule type="cellIs" dxfId="2287" priority="1403" operator="between">
      <formula>K75</formula>
      <formula>9999</formula>
    </cfRule>
  </conditionalFormatting>
  <conditionalFormatting sqref="I76">
    <cfRule type="cellIs" dxfId="2286" priority="1402" operator="between">
      <formula>K76</formula>
      <formula>9999</formula>
    </cfRule>
  </conditionalFormatting>
  <conditionalFormatting sqref="I77">
    <cfRule type="cellIs" dxfId="2285" priority="1401" operator="between">
      <formula>K77</formula>
      <formula>9999</formula>
    </cfRule>
  </conditionalFormatting>
  <conditionalFormatting sqref="I78">
    <cfRule type="cellIs" dxfId="2284" priority="1400" operator="between">
      <formula>K78</formula>
      <formula>9999</formula>
    </cfRule>
  </conditionalFormatting>
  <conditionalFormatting sqref="I79">
    <cfRule type="cellIs" dxfId="2283" priority="1399" operator="between">
      <formula>K79</formula>
      <formula>9999</formula>
    </cfRule>
  </conditionalFormatting>
  <conditionalFormatting sqref="I80">
    <cfRule type="cellIs" dxfId="2282" priority="1398" operator="between">
      <formula>K80</formula>
      <formula>9999</formula>
    </cfRule>
  </conditionalFormatting>
  <conditionalFormatting sqref="I81">
    <cfRule type="cellIs" dxfId="2281" priority="1397" operator="between">
      <formula>K81</formula>
      <formula>9999</formula>
    </cfRule>
  </conditionalFormatting>
  <conditionalFormatting sqref="I82">
    <cfRule type="cellIs" dxfId="2280" priority="1396" operator="between">
      <formula>K82</formula>
      <formula>9999</formula>
    </cfRule>
  </conditionalFormatting>
  <conditionalFormatting sqref="I83">
    <cfRule type="cellIs" dxfId="2279" priority="1395" operator="between">
      <formula>K83</formula>
      <formula>9999</formula>
    </cfRule>
  </conditionalFormatting>
  <conditionalFormatting sqref="I84">
    <cfRule type="cellIs" dxfId="2278" priority="1394" operator="between">
      <formula>K84</formula>
      <formula>9999</formula>
    </cfRule>
  </conditionalFormatting>
  <conditionalFormatting sqref="I85">
    <cfRule type="cellIs" dxfId="2277" priority="1393" operator="between">
      <formula>K85</formula>
      <formula>9999</formula>
    </cfRule>
  </conditionalFormatting>
  <conditionalFormatting sqref="I87">
    <cfRule type="cellIs" dxfId="2276" priority="1392" operator="between">
      <formula>K87</formula>
      <formula>9999</formula>
    </cfRule>
  </conditionalFormatting>
  <conditionalFormatting sqref="I88">
    <cfRule type="cellIs" dxfId="2275" priority="1391" operator="between">
      <formula>K88</formula>
      <formula>9999</formula>
    </cfRule>
  </conditionalFormatting>
  <conditionalFormatting sqref="I89">
    <cfRule type="cellIs" dxfId="2274" priority="1390" operator="between">
      <formula>K89</formula>
      <formula>9999</formula>
    </cfRule>
  </conditionalFormatting>
  <conditionalFormatting sqref="I90">
    <cfRule type="cellIs" dxfId="2273" priority="1389" operator="between">
      <formula>K90</formula>
      <formula>9999</formula>
    </cfRule>
  </conditionalFormatting>
  <conditionalFormatting sqref="I91">
    <cfRule type="cellIs" dxfId="2272" priority="1388" operator="between">
      <formula>K91</formula>
      <formula>9999</formula>
    </cfRule>
  </conditionalFormatting>
  <conditionalFormatting sqref="I92">
    <cfRule type="cellIs" dxfId="2271" priority="1387" operator="between">
      <formula>K92</formula>
      <formula>9999</formula>
    </cfRule>
  </conditionalFormatting>
  <conditionalFormatting sqref="I93">
    <cfRule type="cellIs" dxfId="2270" priority="1386" operator="between">
      <formula>K93</formula>
      <formula>9999</formula>
    </cfRule>
  </conditionalFormatting>
  <conditionalFormatting sqref="I94">
    <cfRule type="cellIs" dxfId="2269" priority="1385" operator="between">
      <formula>K94</formula>
      <formula>9999</formula>
    </cfRule>
  </conditionalFormatting>
  <conditionalFormatting sqref="I95">
    <cfRule type="cellIs" dxfId="2268" priority="1384" operator="between">
      <formula>K95</formula>
      <formula>9999</formula>
    </cfRule>
  </conditionalFormatting>
  <conditionalFormatting sqref="I96">
    <cfRule type="cellIs" dxfId="2267" priority="1383" operator="between">
      <formula>K96</formula>
      <formula>9999</formula>
    </cfRule>
  </conditionalFormatting>
  <conditionalFormatting sqref="I97">
    <cfRule type="cellIs" dxfId="2266" priority="1382" operator="between">
      <formula>K97</formula>
      <formula>9999</formula>
    </cfRule>
  </conditionalFormatting>
  <conditionalFormatting sqref="I98">
    <cfRule type="cellIs" dxfId="2265" priority="1381" operator="between">
      <formula>K98</formula>
      <formula>9999</formula>
    </cfRule>
  </conditionalFormatting>
  <conditionalFormatting sqref="I99">
    <cfRule type="cellIs" dxfId="2264" priority="1380" operator="between">
      <formula>K99</formula>
      <formula>9999</formula>
    </cfRule>
  </conditionalFormatting>
  <conditionalFormatting sqref="I100">
    <cfRule type="cellIs" dxfId="2263" priority="1379" operator="between">
      <formula>K100</formula>
      <formula>9999</formula>
    </cfRule>
  </conditionalFormatting>
  <conditionalFormatting sqref="I101">
    <cfRule type="cellIs" dxfId="2262" priority="1378" operator="between">
      <formula>K101</formula>
      <formula>9999</formula>
    </cfRule>
  </conditionalFormatting>
  <conditionalFormatting sqref="I102">
    <cfRule type="cellIs" dxfId="2261" priority="1377" operator="between">
      <formula>K102</formula>
      <formula>9999</formula>
    </cfRule>
  </conditionalFormatting>
  <conditionalFormatting sqref="I103">
    <cfRule type="cellIs" dxfId="2260" priority="1376" operator="between">
      <formula>K103</formula>
      <formula>9999</formula>
    </cfRule>
  </conditionalFormatting>
  <conditionalFormatting sqref="I104">
    <cfRule type="cellIs" dxfId="2259" priority="1375" operator="between">
      <formula>K104</formula>
      <formula>9999</formula>
    </cfRule>
  </conditionalFormatting>
  <conditionalFormatting sqref="I106">
    <cfRule type="cellIs" dxfId="2258" priority="1374" operator="between">
      <formula>K106</formula>
      <formula>9999</formula>
    </cfRule>
  </conditionalFormatting>
  <conditionalFormatting sqref="I107">
    <cfRule type="cellIs" dxfId="2257" priority="1373" operator="between">
      <formula>K107</formula>
      <formula>9999</formula>
    </cfRule>
  </conditionalFormatting>
  <conditionalFormatting sqref="I108">
    <cfRule type="cellIs" dxfId="2256" priority="1372" operator="between">
      <formula>K108</formula>
      <formula>9999</formula>
    </cfRule>
  </conditionalFormatting>
  <conditionalFormatting sqref="I109">
    <cfRule type="cellIs" dxfId="2255" priority="1371" operator="between">
      <formula>K109</formula>
      <formula>9999</formula>
    </cfRule>
  </conditionalFormatting>
  <conditionalFormatting sqref="I110">
    <cfRule type="cellIs" dxfId="2254" priority="1370" operator="between">
      <formula>K110</formula>
      <formula>9999</formula>
    </cfRule>
  </conditionalFormatting>
  <conditionalFormatting sqref="I111">
    <cfRule type="cellIs" dxfId="2253" priority="1369" operator="between">
      <formula>K111</formula>
      <formula>9999</formula>
    </cfRule>
  </conditionalFormatting>
  <conditionalFormatting sqref="I112">
    <cfRule type="cellIs" dxfId="2252" priority="1368" operator="between">
      <formula>K112</formula>
      <formula>9999</formula>
    </cfRule>
  </conditionalFormatting>
  <conditionalFormatting sqref="I113">
    <cfRule type="cellIs" dxfId="2251" priority="1367" operator="between">
      <formula>K113</formula>
      <formula>9999</formula>
    </cfRule>
  </conditionalFormatting>
  <conditionalFormatting sqref="I114">
    <cfRule type="cellIs" dxfId="2250" priority="1366" operator="between">
      <formula>K114</formula>
      <formula>9999</formula>
    </cfRule>
  </conditionalFormatting>
  <conditionalFormatting sqref="I115">
    <cfRule type="cellIs" dxfId="2249" priority="1365" operator="between">
      <formula>K115</formula>
      <formula>9999</formula>
    </cfRule>
  </conditionalFormatting>
  <conditionalFormatting sqref="I116">
    <cfRule type="cellIs" dxfId="2248" priority="1364" operator="between">
      <formula>K116</formula>
      <formula>9999</formula>
    </cfRule>
  </conditionalFormatting>
  <conditionalFormatting sqref="I117">
    <cfRule type="cellIs" dxfId="2247" priority="1363" operator="between">
      <formula>K117</formula>
      <formula>9999</formula>
    </cfRule>
  </conditionalFormatting>
  <conditionalFormatting sqref="I118">
    <cfRule type="cellIs" dxfId="2246" priority="1362" operator="between">
      <formula>K118</formula>
      <formula>9999</formula>
    </cfRule>
  </conditionalFormatting>
  <conditionalFormatting sqref="I119">
    <cfRule type="cellIs" dxfId="2245" priority="1361" operator="between">
      <formula>K119</formula>
      <formula>9999</formula>
    </cfRule>
  </conditionalFormatting>
  <conditionalFormatting sqref="I120">
    <cfRule type="cellIs" dxfId="2244" priority="1360" operator="between">
      <formula>K120</formula>
      <formula>9999</formula>
    </cfRule>
  </conditionalFormatting>
  <conditionalFormatting sqref="I121">
    <cfRule type="cellIs" dxfId="2243" priority="1359" operator="between">
      <formula>K121</formula>
      <formula>9999</formula>
    </cfRule>
  </conditionalFormatting>
  <conditionalFormatting sqref="I122">
    <cfRule type="cellIs" dxfId="2242" priority="1358" operator="between">
      <formula>K122</formula>
      <formula>9999</formula>
    </cfRule>
  </conditionalFormatting>
  <conditionalFormatting sqref="I123">
    <cfRule type="cellIs" dxfId="2241" priority="1357" operator="between">
      <formula>K123</formula>
      <formula>9999</formula>
    </cfRule>
  </conditionalFormatting>
  <conditionalFormatting sqref="I125">
    <cfRule type="cellIs" dxfId="2240" priority="1356" operator="between">
      <formula>K125</formula>
      <formula>9999</formula>
    </cfRule>
  </conditionalFormatting>
  <conditionalFormatting sqref="I126">
    <cfRule type="cellIs" dxfId="2239" priority="1355" operator="between">
      <formula>K126</formula>
      <formula>9999</formula>
    </cfRule>
  </conditionalFormatting>
  <conditionalFormatting sqref="I127">
    <cfRule type="cellIs" dxfId="2238" priority="1354" operator="between">
      <formula>K127</formula>
      <formula>9999</formula>
    </cfRule>
  </conditionalFormatting>
  <conditionalFormatting sqref="I128">
    <cfRule type="cellIs" dxfId="2237" priority="1353" operator="between">
      <formula>K128</formula>
      <formula>9999</formula>
    </cfRule>
  </conditionalFormatting>
  <conditionalFormatting sqref="I129">
    <cfRule type="cellIs" dxfId="2236" priority="1352" operator="between">
      <formula>K129</formula>
      <formula>9999</formula>
    </cfRule>
  </conditionalFormatting>
  <conditionalFormatting sqref="I130">
    <cfRule type="cellIs" dxfId="2235" priority="1351" operator="between">
      <formula>K130</formula>
      <formula>9999</formula>
    </cfRule>
  </conditionalFormatting>
  <conditionalFormatting sqref="I131">
    <cfRule type="cellIs" dxfId="2234" priority="1350" operator="between">
      <formula>K131</formula>
      <formula>9999</formula>
    </cfRule>
  </conditionalFormatting>
  <conditionalFormatting sqref="I132">
    <cfRule type="cellIs" dxfId="2233" priority="1349" operator="between">
      <formula>K132</formula>
      <formula>9999</formula>
    </cfRule>
  </conditionalFormatting>
  <conditionalFormatting sqref="I133">
    <cfRule type="cellIs" dxfId="2232" priority="1348" operator="between">
      <formula>K133</formula>
      <formula>9999</formula>
    </cfRule>
  </conditionalFormatting>
  <conditionalFormatting sqref="I134">
    <cfRule type="cellIs" dxfId="2231" priority="1347" operator="between">
      <formula>K134</formula>
      <formula>9999</formula>
    </cfRule>
  </conditionalFormatting>
  <conditionalFormatting sqref="I135">
    <cfRule type="cellIs" dxfId="2230" priority="1346" operator="between">
      <formula>K135</formula>
      <formula>9999</formula>
    </cfRule>
  </conditionalFormatting>
  <conditionalFormatting sqref="I136">
    <cfRule type="cellIs" dxfId="2229" priority="1345" operator="between">
      <formula>K136</formula>
      <formula>9999</formula>
    </cfRule>
  </conditionalFormatting>
  <conditionalFormatting sqref="I137">
    <cfRule type="cellIs" dxfId="2228" priority="1344" operator="between">
      <formula>K137</formula>
      <formula>9999</formula>
    </cfRule>
  </conditionalFormatting>
  <conditionalFormatting sqref="I138">
    <cfRule type="cellIs" dxfId="2227" priority="1343" operator="between">
      <formula>K138</formula>
      <formula>9999</formula>
    </cfRule>
  </conditionalFormatting>
  <conditionalFormatting sqref="I139">
    <cfRule type="cellIs" dxfId="2226" priority="1342" operator="between">
      <formula>K139</formula>
      <formula>9999</formula>
    </cfRule>
  </conditionalFormatting>
  <conditionalFormatting sqref="I140">
    <cfRule type="cellIs" dxfId="2225" priority="1341" operator="between">
      <formula>K140</formula>
      <formula>9999</formula>
    </cfRule>
  </conditionalFormatting>
  <conditionalFormatting sqref="I141">
    <cfRule type="cellIs" dxfId="2224" priority="1340" operator="between">
      <formula>K141</formula>
      <formula>9999</formula>
    </cfRule>
  </conditionalFormatting>
  <conditionalFormatting sqref="I142">
    <cfRule type="cellIs" dxfId="2223" priority="1339" operator="between">
      <formula>K142</formula>
      <formula>9999</formula>
    </cfRule>
  </conditionalFormatting>
  <conditionalFormatting sqref="I144">
    <cfRule type="cellIs" dxfId="2222" priority="1338" operator="between">
      <formula>K144</formula>
      <formula>9999</formula>
    </cfRule>
  </conditionalFormatting>
  <conditionalFormatting sqref="I145">
    <cfRule type="cellIs" dxfId="2221" priority="1337" operator="between">
      <formula>K145</formula>
      <formula>9999</formula>
    </cfRule>
  </conditionalFormatting>
  <conditionalFormatting sqref="I146">
    <cfRule type="cellIs" dxfId="2220" priority="1336" operator="between">
      <formula>K146</formula>
      <formula>9999</formula>
    </cfRule>
  </conditionalFormatting>
  <conditionalFormatting sqref="I147">
    <cfRule type="cellIs" dxfId="2219" priority="1335" operator="between">
      <formula>K147</formula>
      <formula>9999</formula>
    </cfRule>
  </conditionalFormatting>
  <conditionalFormatting sqref="I148">
    <cfRule type="cellIs" dxfId="2218" priority="1334" operator="between">
      <formula>K148</formula>
      <formula>9999</formula>
    </cfRule>
  </conditionalFormatting>
  <conditionalFormatting sqref="I149">
    <cfRule type="cellIs" dxfId="2217" priority="1333" operator="between">
      <formula>K149</formula>
      <formula>9999</formula>
    </cfRule>
  </conditionalFormatting>
  <conditionalFormatting sqref="I150">
    <cfRule type="cellIs" dxfId="2216" priority="1332" operator="between">
      <formula>K150</formula>
      <formula>9999</formula>
    </cfRule>
  </conditionalFormatting>
  <conditionalFormatting sqref="I151">
    <cfRule type="cellIs" dxfId="2215" priority="1331" operator="between">
      <formula>K151</formula>
      <formula>9999</formula>
    </cfRule>
  </conditionalFormatting>
  <conditionalFormatting sqref="I152">
    <cfRule type="cellIs" dxfId="2214" priority="1330" operator="between">
      <formula>K152</formula>
      <formula>9999</formula>
    </cfRule>
  </conditionalFormatting>
  <conditionalFormatting sqref="I153">
    <cfRule type="cellIs" dxfId="2213" priority="1329" operator="between">
      <formula>K153</formula>
      <formula>9999</formula>
    </cfRule>
  </conditionalFormatting>
  <conditionalFormatting sqref="I154">
    <cfRule type="cellIs" dxfId="2212" priority="1328" operator="between">
      <formula>K154</formula>
      <formula>9999</formula>
    </cfRule>
  </conditionalFormatting>
  <conditionalFormatting sqref="I155">
    <cfRule type="cellIs" dxfId="2211" priority="1327" operator="between">
      <formula>K155</formula>
      <formula>9999</formula>
    </cfRule>
  </conditionalFormatting>
  <conditionalFormatting sqref="I156">
    <cfRule type="cellIs" dxfId="2210" priority="1326" operator="between">
      <formula>K156</formula>
      <formula>9999</formula>
    </cfRule>
  </conditionalFormatting>
  <conditionalFormatting sqref="I157">
    <cfRule type="cellIs" dxfId="2209" priority="1325" operator="between">
      <formula>K157</formula>
      <formula>9999</formula>
    </cfRule>
  </conditionalFormatting>
  <conditionalFormatting sqref="I158">
    <cfRule type="cellIs" dxfId="2208" priority="1324" operator="between">
      <formula>K158</formula>
      <formula>9999</formula>
    </cfRule>
  </conditionalFormatting>
  <conditionalFormatting sqref="I159">
    <cfRule type="cellIs" dxfId="2207" priority="1323" operator="between">
      <formula>K159</formula>
      <formula>9999</formula>
    </cfRule>
  </conditionalFormatting>
  <conditionalFormatting sqref="I160">
    <cfRule type="cellIs" dxfId="2206" priority="1322" operator="between">
      <formula>K160</formula>
      <formula>9999</formula>
    </cfRule>
  </conditionalFormatting>
  <conditionalFormatting sqref="I161">
    <cfRule type="cellIs" dxfId="2205" priority="1321" operator="between">
      <formula>K161</formula>
      <formula>9999</formula>
    </cfRule>
  </conditionalFormatting>
  <conditionalFormatting sqref="I163">
    <cfRule type="cellIs" dxfId="2204" priority="1320" operator="between">
      <formula>K163</formula>
      <formula>9999</formula>
    </cfRule>
  </conditionalFormatting>
  <conditionalFormatting sqref="I164">
    <cfRule type="cellIs" dxfId="2203" priority="1319" operator="between">
      <formula>K164</formula>
      <formula>9999</formula>
    </cfRule>
  </conditionalFormatting>
  <conditionalFormatting sqref="I165">
    <cfRule type="cellIs" dxfId="2202" priority="1318" operator="between">
      <formula>K165</formula>
      <formula>9999</formula>
    </cfRule>
  </conditionalFormatting>
  <conditionalFormatting sqref="I166">
    <cfRule type="cellIs" dxfId="2201" priority="1317" operator="between">
      <formula>K166</formula>
      <formula>9999</formula>
    </cfRule>
  </conditionalFormatting>
  <conditionalFormatting sqref="I167">
    <cfRule type="cellIs" dxfId="2200" priority="1316" operator="between">
      <formula>K167</formula>
      <formula>9999</formula>
    </cfRule>
  </conditionalFormatting>
  <conditionalFormatting sqref="I168">
    <cfRule type="cellIs" dxfId="2199" priority="1315" operator="between">
      <formula>K168</formula>
      <formula>9999</formula>
    </cfRule>
  </conditionalFormatting>
  <conditionalFormatting sqref="I169">
    <cfRule type="cellIs" dxfId="2198" priority="1314" operator="between">
      <formula>K169</formula>
      <formula>9999</formula>
    </cfRule>
  </conditionalFormatting>
  <conditionalFormatting sqref="I170">
    <cfRule type="cellIs" dxfId="2197" priority="1313" operator="between">
      <formula>K170</formula>
      <formula>9999</formula>
    </cfRule>
  </conditionalFormatting>
  <conditionalFormatting sqref="I171">
    <cfRule type="cellIs" dxfId="2196" priority="1312" operator="between">
      <formula>K171</formula>
      <formula>9999</formula>
    </cfRule>
  </conditionalFormatting>
  <conditionalFormatting sqref="I172">
    <cfRule type="cellIs" dxfId="2195" priority="1311" operator="between">
      <formula>K172</formula>
      <formula>9999</formula>
    </cfRule>
  </conditionalFormatting>
  <conditionalFormatting sqref="I173">
    <cfRule type="cellIs" dxfId="2194" priority="1310" operator="between">
      <formula>K173</formula>
      <formula>9999</formula>
    </cfRule>
  </conditionalFormatting>
  <conditionalFormatting sqref="I174">
    <cfRule type="cellIs" dxfId="2193" priority="1309" operator="between">
      <formula>K174</formula>
      <formula>9999</formula>
    </cfRule>
  </conditionalFormatting>
  <conditionalFormatting sqref="I175">
    <cfRule type="cellIs" dxfId="2192" priority="1308" operator="between">
      <formula>K175</formula>
      <formula>9999</formula>
    </cfRule>
  </conditionalFormatting>
  <conditionalFormatting sqref="I176">
    <cfRule type="cellIs" dxfId="2191" priority="1307" operator="between">
      <formula>K176</formula>
      <formula>9999</formula>
    </cfRule>
  </conditionalFormatting>
  <conditionalFormatting sqref="I177">
    <cfRule type="cellIs" dxfId="2190" priority="1306" operator="between">
      <formula>K177</formula>
      <formula>9999</formula>
    </cfRule>
  </conditionalFormatting>
  <conditionalFormatting sqref="I178">
    <cfRule type="cellIs" dxfId="2189" priority="1305" operator="between">
      <formula>K178</formula>
      <formula>9999</formula>
    </cfRule>
  </conditionalFormatting>
  <conditionalFormatting sqref="I179">
    <cfRule type="cellIs" dxfId="2188" priority="1304" operator="between">
      <formula>K179</formula>
      <formula>9999</formula>
    </cfRule>
  </conditionalFormatting>
  <conditionalFormatting sqref="I180">
    <cfRule type="cellIs" dxfId="2187" priority="1303" operator="between">
      <formula>K180</formula>
      <formula>9999</formula>
    </cfRule>
  </conditionalFormatting>
  <conditionalFormatting sqref="I182">
    <cfRule type="cellIs" dxfId="2186" priority="1302" operator="between">
      <formula>K182</formula>
      <formula>9999</formula>
    </cfRule>
  </conditionalFormatting>
  <conditionalFormatting sqref="I201">
    <cfRule type="cellIs" dxfId="2185" priority="1301" operator="between">
      <formula>K201</formula>
      <formula>9999</formula>
    </cfRule>
  </conditionalFormatting>
  <conditionalFormatting sqref="H12:H14">
    <cfRule type="cellIs" dxfId="2184" priority="318" operator="between">
      <formula>J12</formula>
      <formula>9999</formula>
    </cfRule>
  </conditionalFormatting>
  <conditionalFormatting sqref="H228">
    <cfRule type="cellIs" dxfId="2183" priority="312" operator="between">
      <formula>J228</formula>
      <formula>9999</formula>
    </cfRule>
  </conditionalFormatting>
  <conditionalFormatting sqref="H229">
    <cfRule type="cellIs" dxfId="2182" priority="311" operator="between">
      <formula>J229</formula>
      <formula>9999</formula>
    </cfRule>
  </conditionalFormatting>
  <conditionalFormatting sqref="H230">
    <cfRule type="cellIs" dxfId="2181" priority="310" operator="between">
      <formula>J230</formula>
      <formula>9999</formula>
    </cfRule>
  </conditionalFormatting>
  <conditionalFormatting sqref="H234">
    <cfRule type="cellIs" dxfId="2180" priority="309" operator="between">
      <formula>J234</formula>
      <formula>9999</formula>
    </cfRule>
  </conditionalFormatting>
  <conditionalFormatting sqref="H235">
    <cfRule type="cellIs" dxfId="2179" priority="308" operator="between">
      <formula>J235</formula>
      <formula>9999</formula>
    </cfRule>
  </conditionalFormatting>
  <conditionalFormatting sqref="H236">
    <cfRule type="cellIs" dxfId="2178" priority="307" operator="between">
      <formula>J236</formula>
      <formula>9999</formula>
    </cfRule>
  </conditionalFormatting>
  <conditionalFormatting sqref="H237">
    <cfRule type="cellIs" dxfId="2177" priority="306" operator="between">
      <formula>J237</formula>
      <formula>9999</formula>
    </cfRule>
  </conditionalFormatting>
  <conditionalFormatting sqref="H238">
    <cfRule type="cellIs" dxfId="2176" priority="305" operator="between">
      <formula>J238</formula>
      <formula>9999</formula>
    </cfRule>
  </conditionalFormatting>
  <conditionalFormatting sqref="H239">
    <cfRule type="cellIs" dxfId="2175" priority="304" operator="between">
      <formula>J239</formula>
      <formula>9999</formula>
    </cfRule>
  </conditionalFormatting>
  <conditionalFormatting sqref="I249">
    <cfRule type="cellIs" dxfId="2174" priority="303" operator="between">
      <formula>K249</formula>
      <formula>9999</formula>
    </cfRule>
  </conditionalFormatting>
  <conditionalFormatting sqref="I250">
    <cfRule type="cellIs" dxfId="2173" priority="302" operator="between">
      <formula>K250</formula>
      <formula>9999</formula>
    </cfRule>
  </conditionalFormatting>
  <conditionalFormatting sqref="I251">
    <cfRule type="cellIs" dxfId="2172" priority="301" operator="between">
      <formula>K251</formula>
      <formula>9999</formula>
    </cfRule>
  </conditionalFormatting>
  <conditionalFormatting sqref="I252">
    <cfRule type="cellIs" dxfId="2171" priority="300" operator="between">
      <formula>K252</formula>
      <formula>9999</formula>
    </cfRule>
  </conditionalFormatting>
  <conditionalFormatting sqref="I253">
    <cfRule type="cellIs" dxfId="2170" priority="299" operator="between">
      <formula>K253</formula>
      <formula>9999</formula>
    </cfRule>
  </conditionalFormatting>
  <conditionalFormatting sqref="I254">
    <cfRule type="cellIs" dxfId="2169" priority="298" operator="between">
      <formula>K254</formula>
      <formula>9999</formula>
    </cfRule>
  </conditionalFormatting>
  <conditionalFormatting sqref="I255">
    <cfRule type="cellIs" dxfId="2168" priority="297" operator="between">
      <formula>K255</formula>
      <formula>9999</formula>
    </cfRule>
  </conditionalFormatting>
  <conditionalFormatting sqref="I256">
    <cfRule type="cellIs" dxfId="2167" priority="296" operator="between">
      <formula>K256</formula>
      <formula>9999</formula>
    </cfRule>
  </conditionalFormatting>
  <conditionalFormatting sqref="I257">
    <cfRule type="cellIs" dxfId="2166" priority="295" operator="between">
      <formula>K257</formula>
      <formula>9999</formula>
    </cfRule>
  </conditionalFormatting>
  <conditionalFormatting sqref="I258">
    <cfRule type="cellIs" dxfId="2165" priority="294" operator="between">
      <formula>K258</formula>
      <formula>9999</formula>
    </cfRule>
  </conditionalFormatting>
  <conditionalFormatting sqref="I259">
    <cfRule type="cellIs" dxfId="2164" priority="293" operator="between">
      <formula>K259</formula>
      <formula>9999</formula>
    </cfRule>
  </conditionalFormatting>
  <conditionalFormatting sqref="I260">
    <cfRule type="cellIs" dxfId="2163" priority="292" operator="between">
      <formula>K260</formula>
      <formula>9999</formula>
    </cfRule>
  </conditionalFormatting>
  <conditionalFormatting sqref="I261">
    <cfRule type="cellIs" dxfId="2162" priority="291" operator="between">
      <formula>K261</formula>
      <formula>9999</formula>
    </cfRule>
  </conditionalFormatting>
  <conditionalFormatting sqref="I262">
    <cfRule type="cellIs" dxfId="2161" priority="290" operator="between">
      <formula>K262</formula>
      <formula>9999</formula>
    </cfRule>
  </conditionalFormatting>
  <conditionalFormatting sqref="I263">
    <cfRule type="cellIs" dxfId="2160" priority="289" operator="between">
      <formula>K263</formula>
      <formula>9999</formula>
    </cfRule>
  </conditionalFormatting>
  <conditionalFormatting sqref="I264">
    <cfRule type="cellIs" dxfId="2159" priority="288" operator="between">
      <formula>K264</formula>
      <formula>9999</formula>
    </cfRule>
  </conditionalFormatting>
  <conditionalFormatting sqref="I265">
    <cfRule type="cellIs" dxfId="2158" priority="287" operator="between">
      <formula>K265</formula>
      <formula>9999</formula>
    </cfRule>
  </conditionalFormatting>
  <conditionalFormatting sqref="I266">
    <cfRule type="cellIs" dxfId="2157" priority="286" operator="between">
      <formula>K266</formula>
      <formula>9999</formula>
    </cfRule>
  </conditionalFormatting>
  <conditionalFormatting sqref="I268">
    <cfRule type="cellIs" dxfId="2156" priority="285" operator="between">
      <formula>K268</formula>
      <formula>9999</formula>
    </cfRule>
  </conditionalFormatting>
  <conditionalFormatting sqref="I269">
    <cfRule type="cellIs" dxfId="2155" priority="284" operator="between">
      <formula>K269</formula>
      <formula>9999</formula>
    </cfRule>
  </conditionalFormatting>
  <conditionalFormatting sqref="I270">
    <cfRule type="cellIs" dxfId="2154" priority="283" operator="between">
      <formula>K270</formula>
      <formula>9999</formula>
    </cfRule>
  </conditionalFormatting>
  <conditionalFormatting sqref="I271">
    <cfRule type="cellIs" dxfId="2153" priority="282" operator="between">
      <formula>K271</formula>
      <formula>9999</formula>
    </cfRule>
  </conditionalFormatting>
  <conditionalFormatting sqref="I272">
    <cfRule type="cellIs" dxfId="2152" priority="281" operator="between">
      <formula>K272</formula>
      <formula>9999</formula>
    </cfRule>
  </conditionalFormatting>
  <conditionalFormatting sqref="I273">
    <cfRule type="cellIs" dxfId="2151" priority="280" operator="between">
      <formula>K273</formula>
      <formula>9999</formula>
    </cfRule>
  </conditionalFormatting>
  <conditionalFormatting sqref="I274">
    <cfRule type="cellIs" dxfId="2150" priority="279" operator="between">
      <formula>K274</formula>
      <formula>9999</formula>
    </cfRule>
  </conditionalFormatting>
  <conditionalFormatting sqref="I275">
    <cfRule type="cellIs" dxfId="2149" priority="278" operator="between">
      <formula>K275</formula>
      <formula>9999</formula>
    </cfRule>
  </conditionalFormatting>
  <conditionalFormatting sqref="I276">
    <cfRule type="cellIs" dxfId="2148" priority="277" operator="between">
      <formula>K276</formula>
      <formula>9999</formula>
    </cfRule>
  </conditionalFormatting>
  <conditionalFormatting sqref="I277">
    <cfRule type="cellIs" dxfId="2147" priority="276" operator="between">
      <formula>K277</formula>
      <formula>9999</formula>
    </cfRule>
  </conditionalFormatting>
  <conditionalFormatting sqref="I278">
    <cfRule type="cellIs" dxfId="2146" priority="275" operator="between">
      <formula>K278</formula>
      <formula>9999</formula>
    </cfRule>
  </conditionalFormatting>
  <conditionalFormatting sqref="I279">
    <cfRule type="cellIs" dxfId="2145" priority="274" operator="between">
      <formula>K279</formula>
      <formula>9999</formula>
    </cfRule>
  </conditionalFormatting>
  <conditionalFormatting sqref="I280">
    <cfRule type="cellIs" dxfId="2144" priority="273" operator="between">
      <formula>K280</formula>
      <formula>9999</formula>
    </cfRule>
  </conditionalFormatting>
  <conditionalFormatting sqref="I281">
    <cfRule type="cellIs" dxfId="2143" priority="272" operator="between">
      <formula>K281</formula>
      <formula>9999</formula>
    </cfRule>
  </conditionalFormatting>
  <conditionalFormatting sqref="I282">
    <cfRule type="cellIs" dxfId="2142" priority="271" operator="between">
      <formula>K282</formula>
      <formula>9999</formula>
    </cfRule>
  </conditionalFormatting>
  <conditionalFormatting sqref="I283">
    <cfRule type="cellIs" dxfId="2141" priority="270" operator="between">
      <formula>K283</formula>
      <formula>9999</formula>
    </cfRule>
  </conditionalFormatting>
  <conditionalFormatting sqref="I284">
    <cfRule type="cellIs" dxfId="2140" priority="269" operator="between">
      <formula>K284</formula>
      <formula>9999</formula>
    </cfRule>
  </conditionalFormatting>
  <conditionalFormatting sqref="I285">
    <cfRule type="cellIs" dxfId="2139" priority="268" operator="between">
      <formula>K285</formula>
      <formula>9999</formula>
    </cfRule>
  </conditionalFormatting>
  <conditionalFormatting sqref="I287">
    <cfRule type="cellIs" dxfId="2138" priority="267" operator="between">
      <formula>K287</formula>
      <formula>9999</formula>
    </cfRule>
  </conditionalFormatting>
  <conditionalFormatting sqref="I288">
    <cfRule type="cellIs" dxfId="2137" priority="266" operator="between">
      <formula>K288</formula>
      <formula>9999</formula>
    </cfRule>
  </conditionalFormatting>
  <conditionalFormatting sqref="I289">
    <cfRule type="cellIs" dxfId="2136" priority="265" operator="between">
      <formula>K289</formula>
      <formula>9999</formula>
    </cfRule>
  </conditionalFormatting>
  <conditionalFormatting sqref="I290">
    <cfRule type="cellIs" dxfId="2135" priority="264" operator="between">
      <formula>K290</formula>
      <formula>9999</formula>
    </cfRule>
  </conditionalFormatting>
  <conditionalFormatting sqref="I291">
    <cfRule type="cellIs" dxfId="2134" priority="263" operator="between">
      <formula>K291</formula>
      <formula>9999</formula>
    </cfRule>
  </conditionalFormatting>
  <conditionalFormatting sqref="I292">
    <cfRule type="cellIs" dxfId="2133" priority="262" operator="between">
      <formula>K292</formula>
      <formula>9999</formula>
    </cfRule>
  </conditionalFormatting>
  <conditionalFormatting sqref="I293">
    <cfRule type="cellIs" dxfId="2132" priority="261" operator="between">
      <formula>K293</formula>
      <formula>9999</formula>
    </cfRule>
  </conditionalFormatting>
  <conditionalFormatting sqref="I294">
    <cfRule type="cellIs" dxfId="2131" priority="260" operator="between">
      <formula>K294</formula>
      <formula>9999</formula>
    </cfRule>
  </conditionalFormatting>
  <conditionalFormatting sqref="I295">
    <cfRule type="cellIs" dxfId="2130" priority="259" operator="between">
      <formula>K295</formula>
      <formula>9999</formula>
    </cfRule>
  </conditionalFormatting>
  <conditionalFormatting sqref="I296">
    <cfRule type="cellIs" dxfId="2129" priority="258" operator="between">
      <formula>K296</formula>
      <formula>9999</formula>
    </cfRule>
  </conditionalFormatting>
  <conditionalFormatting sqref="I297">
    <cfRule type="cellIs" dxfId="2128" priority="257" operator="between">
      <formula>K297</formula>
      <formula>9999</formula>
    </cfRule>
  </conditionalFormatting>
  <conditionalFormatting sqref="I298">
    <cfRule type="cellIs" dxfId="2127" priority="256" operator="between">
      <formula>K298</formula>
      <formula>9999</formula>
    </cfRule>
  </conditionalFormatting>
  <conditionalFormatting sqref="I299">
    <cfRule type="cellIs" dxfId="2126" priority="255" operator="between">
      <formula>K299</formula>
      <formula>9999</formula>
    </cfRule>
  </conditionalFormatting>
  <conditionalFormatting sqref="I300">
    <cfRule type="cellIs" dxfId="2125" priority="254" operator="between">
      <formula>K300</formula>
      <formula>9999</formula>
    </cfRule>
  </conditionalFormatting>
  <conditionalFormatting sqref="I301">
    <cfRule type="cellIs" dxfId="2124" priority="253" operator="between">
      <formula>K301</formula>
      <formula>9999</formula>
    </cfRule>
  </conditionalFormatting>
  <conditionalFormatting sqref="I302">
    <cfRule type="cellIs" dxfId="2123" priority="252" operator="between">
      <formula>K302</formula>
      <formula>9999</formula>
    </cfRule>
  </conditionalFormatting>
  <conditionalFormatting sqref="I303">
    <cfRule type="cellIs" dxfId="2122" priority="251" operator="between">
      <formula>K303</formula>
      <formula>9999</formula>
    </cfRule>
  </conditionalFormatting>
  <conditionalFormatting sqref="I304">
    <cfRule type="cellIs" dxfId="2121" priority="250" operator="between">
      <formula>K304</formula>
      <formula>9999</formula>
    </cfRule>
  </conditionalFormatting>
  <conditionalFormatting sqref="I306">
    <cfRule type="cellIs" dxfId="2120" priority="249" operator="between">
      <formula>K306</formula>
      <formula>9999</formula>
    </cfRule>
  </conditionalFormatting>
  <conditionalFormatting sqref="I307">
    <cfRule type="cellIs" dxfId="2119" priority="248" operator="between">
      <formula>K307</formula>
      <formula>9999</formula>
    </cfRule>
  </conditionalFormatting>
  <conditionalFormatting sqref="I308">
    <cfRule type="cellIs" dxfId="2118" priority="247" operator="between">
      <formula>K308</formula>
      <formula>9999</formula>
    </cfRule>
  </conditionalFormatting>
  <conditionalFormatting sqref="I309">
    <cfRule type="cellIs" dxfId="2117" priority="246" operator="between">
      <formula>K309</formula>
      <formula>9999</formula>
    </cfRule>
  </conditionalFormatting>
  <conditionalFormatting sqref="I310">
    <cfRule type="cellIs" dxfId="2116" priority="245" operator="between">
      <formula>K310</formula>
      <formula>9999</formula>
    </cfRule>
  </conditionalFormatting>
  <conditionalFormatting sqref="I311">
    <cfRule type="cellIs" dxfId="2115" priority="244" operator="between">
      <formula>K311</formula>
      <formula>9999</formula>
    </cfRule>
  </conditionalFormatting>
  <conditionalFormatting sqref="I312">
    <cfRule type="cellIs" dxfId="2114" priority="243" operator="between">
      <formula>K312</formula>
      <formula>9999</formula>
    </cfRule>
  </conditionalFormatting>
  <conditionalFormatting sqref="I313">
    <cfRule type="cellIs" dxfId="2113" priority="242" operator="between">
      <formula>K313</formula>
      <formula>9999</formula>
    </cfRule>
  </conditionalFormatting>
  <conditionalFormatting sqref="I314">
    <cfRule type="cellIs" dxfId="2112" priority="241" operator="between">
      <formula>K314</formula>
      <formula>9999</formula>
    </cfRule>
  </conditionalFormatting>
  <conditionalFormatting sqref="I315">
    <cfRule type="cellIs" dxfId="2111" priority="240" operator="between">
      <formula>K315</formula>
      <formula>9999</formula>
    </cfRule>
  </conditionalFormatting>
  <conditionalFormatting sqref="I316">
    <cfRule type="cellIs" dxfId="2110" priority="239" operator="between">
      <formula>K316</formula>
      <formula>9999</formula>
    </cfRule>
  </conditionalFormatting>
  <conditionalFormatting sqref="I317">
    <cfRule type="cellIs" dxfId="2109" priority="238" operator="between">
      <formula>K317</formula>
      <formula>9999</formula>
    </cfRule>
  </conditionalFormatting>
  <conditionalFormatting sqref="I318">
    <cfRule type="cellIs" dxfId="2108" priority="237" operator="between">
      <formula>K318</formula>
      <formula>9999</formula>
    </cfRule>
  </conditionalFormatting>
  <conditionalFormatting sqref="I319">
    <cfRule type="cellIs" dxfId="2107" priority="236" operator="between">
      <formula>K319</formula>
      <formula>9999</formula>
    </cfRule>
  </conditionalFormatting>
  <conditionalFormatting sqref="I320">
    <cfRule type="cellIs" dxfId="2106" priority="235" operator="between">
      <formula>K320</formula>
      <formula>9999</formula>
    </cfRule>
  </conditionalFormatting>
  <conditionalFormatting sqref="I321">
    <cfRule type="cellIs" dxfId="2105" priority="234" operator="between">
      <formula>K321</formula>
      <formula>9999</formula>
    </cfRule>
  </conditionalFormatting>
  <conditionalFormatting sqref="I322">
    <cfRule type="cellIs" dxfId="2104" priority="233" operator="between">
      <formula>K322</formula>
      <formula>9999</formula>
    </cfRule>
  </conditionalFormatting>
  <conditionalFormatting sqref="I323">
    <cfRule type="cellIs" dxfId="2103" priority="232" operator="between">
      <formula>K323</formula>
      <formula>9999</formula>
    </cfRule>
  </conditionalFormatting>
  <conditionalFormatting sqref="I325">
    <cfRule type="cellIs" dxfId="2102" priority="231" operator="between">
      <formula>K325</formula>
      <formula>9999</formula>
    </cfRule>
  </conditionalFormatting>
  <conditionalFormatting sqref="I326">
    <cfRule type="cellIs" dxfId="2101" priority="230" operator="between">
      <formula>K326</formula>
      <formula>9999</formula>
    </cfRule>
  </conditionalFormatting>
  <conditionalFormatting sqref="I327">
    <cfRule type="cellIs" dxfId="2100" priority="229" operator="between">
      <formula>K327</formula>
      <formula>9999</formula>
    </cfRule>
  </conditionalFormatting>
  <conditionalFormatting sqref="I328">
    <cfRule type="cellIs" dxfId="2099" priority="228" operator="between">
      <formula>K328</formula>
      <formula>9999</formula>
    </cfRule>
  </conditionalFormatting>
  <conditionalFormatting sqref="I329">
    <cfRule type="cellIs" dxfId="2098" priority="227" operator="between">
      <formula>K329</formula>
      <formula>9999</formula>
    </cfRule>
  </conditionalFormatting>
  <conditionalFormatting sqref="I330">
    <cfRule type="cellIs" dxfId="2097" priority="226" operator="between">
      <formula>K330</formula>
      <formula>9999</formula>
    </cfRule>
  </conditionalFormatting>
  <conditionalFormatting sqref="I331">
    <cfRule type="cellIs" dxfId="2096" priority="225" operator="between">
      <formula>K331</formula>
      <formula>9999</formula>
    </cfRule>
  </conditionalFormatting>
  <conditionalFormatting sqref="I332">
    <cfRule type="cellIs" dxfId="2095" priority="224" operator="between">
      <formula>K332</formula>
      <formula>9999</formula>
    </cfRule>
  </conditionalFormatting>
  <conditionalFormatting sqref="I333">
    <cfRule type="cellIs" dxfId="2094" priority="223" operator="between">
      <formula>K333</formula>
      <formula>9999</formula>
    </cfRule>
  </conditionalFormatting>
  <conditionalFormatting sqref="I334">
    <cfRule type="cellIs" dxfId="2093" priority="222" operator="between">
      <formula>K334</formula>
      <formula>9999</formula>
    </cfRule>
  </conditionalFormatting>
  <conditionalFormatting sqref="I335">
    <cfRule type="cellIs" dxfId="2092" priority="221" operator="between">
      <formula>K335</formula>
      <formula>9999</formula>
    </cfRule>
  </conditionalFormatting>
  <conditionalFormatting sqref="I336">
    <cfRule type="cellIs" dxfId="2091" priority="220" operator="between">
      <formula>K336</formula>
      <formula>9999</formula>
    </cfRule>
  </conditionalFormatting>
  <conditionalFormatting sqref="I337">
    <cfRule type="cellIs" dxfId="2090" priority="219" operator="between">
      <formula>K337</formula>
      <formula>9999</formula>
    </cfRule>
  </conditionalFormatting>
  <conditionalFormatting sqref="I338">
    <cfRule type="cellIs" dxfId="2089" priority="218" operator="between">
      <formula>K338</formula>
      <formula>9999</formula>
    </cfRule>
  </conditionalFormatting>
  <conditionalFormatting sqref="I339">
    <cfRule type="cellIs" dxfId="2088" priority="217" operator="between">
      <formula>K339</formula>
      <formula>9999</formula>
    </cfRule>
  </conditionalFormatting>
  <conditionalFormatting sqref="I340">
    <cfRule type="cellIs" dxfId="2087" priority="216" operator="between">
      <formula>K340</formula>
      <formula>9999</formula>
    </cfRule>
  </conditionalFormatting>
  <conditionalFormatting sqref="I341">
    <cfRule type="cellIs" dxfId="2086" priority="215" operator="between">
      <formula>K341</formula>
      <formula>9999</formula>
    </cfRule>
  </conditionalFormatting>
  <conditionalFormatting sqref="I342">
    <cfRule type="cellIs" dxfId="2085" priority="214" operator="between">
      <formula>K342</formula>
      <formula>9999</formula>
    </cfRule>
  </conditionalFormatting>
  <conditionalFormatting sqref="I344">
    <cfRule type="cellIs" dxfId="2084" priority="213" operator="between">
      <formula>K344</formula>
      <formula>9999</formula>
    </cfRule>
  </conditionalFormatting>
  <conditionalFormatting sqref="I345">
    <cfRule type="cellIs" dxfId="2083" priority="212" operator="between">
      <formula>K345</formula>
      <formula>9999</formula>
    </cfRule>
  </conditionalFormatting>
  <conditionalFormatting sqref="I346">
    <cfRule type="cellIs" dxfId="2082" priority="211" operator="between">
      <formula>K346</formula>
      <formula>9999</formula>
    </cfRule>
  </conditionalFormatting>
  <conditionalFormatting sqref="I347">
    <cfRule type="cellIs" dxfId="2081" priority="210" operator="between">
      <formula>K347</formula>
      <formula>9999</formula>
    </cfRule>
  </conditionalFormatting>
  <conditionalFormatting sqref="I348">
    <cfRule type="cellIs" dxfId="2080" priority="209" operator="between">
      <formula>K348</formula>
      <formula>9999</formula>
    </cfRule>
  </conditionalFormatting>
  <conditionalFormatting sqref="I349">
    <cfRule type="cellIs" dxfId="2079" priority="208" operator="between">
      <formula>K349</formula>
      <formula>9999</formula>
    </cfRule>
  </conditionalFormatting>
  <conditionalFormatting sqref="I350">
    <cfRule type="cellIs" dxfId="2078" priority="207" operator="between">
      <formula>K350</formula>
      <formula>9999</formula>
    </cfRule>
  </conditionalFormatting>
  <conditionalFormatting sqref="I351">
    <cfRule type="cellIs" dxfId="2077" priority="206" operator="between">
      <formula>K351</formula>
      <formula>9999</formula>
    </cfRule>
  </conditionalFormatting>
  <conditionalFormatting sqref="I352">
    <cfRule type="cellIs" dxfId="2076" priority="205" operator="between">
      <formula>K352</formula>
      <formula>9999</formula>
    </cfRule>
  </conditionalFormatting>
  <conditionalFormatting sqref="I353">
    <cfRule type="cellIs" dxfId="2075" priority="204" operator="between">
      <formula>K353</formula>
      <formula>9999</formula>
    </cfRule>
  </conditionalFormatting>
  <conditionalFormatting sqref="I354">
    <cfRule type="cellIs" dxfId="2074" priority="203" operator="between">
      <formula>K354</formula>
      <formula>9999</formula>
    </cfRule>
  </conditionalFormatting>
  <conditionalFormatting sqref="I355">
    <cfRule type="cellIs" dxfId="2073" priority="202" operator="between">
      <formula>K355</formula>
      <formula>9999</formula>
    </cfRule>
  </conditionalFormatting>
  <conditionalFormatting sqref="I356">
    <cfRule type="cellIs" dxfId="2072" priority="201" operator="between">
      <formula>K356</formula>
      <formula>9999</formula>
    </cfRule>
  </conditionalFormatting>
  <conditionalFormatting sqref="I357">
    <cfRule type="cellIs" dxfId="2071" priority="200" operator="between">
      <formula>K357</formula>
      <formula>9999</formula>
    </cfRule>
  </conditionalFormatting>
  <conditionalFormatting sqref="I358">
    <cfRule type="cellIs" dxfId="2070" priority="199" operator="between">
      <formula>K358</formula>
      <formula>9999</formula>
    </cfRule>
  </conditionalFormatting>
  <conditionalFormatting sqref="I359">
    <cfRule type="cellIs" dxfId="2069" priority="198" operator="between">
      <formula>K359</formula>
      <formula>9999</formula>
    </cfRule>
  </conditionalFormatting>
  <conditionalFormatting sqref="I360">
    <cfRule type="cellIs" dxfId="2068" priority="197" operator="between">
      <formula>K360</formula>
      <formula>9999</formula>
    </cfRule>
  </conditionalFormatting>
  <conditionalFormatting sqref="I361">
    <cfRule type="cellIs" dxfId="2067" priority="196" operator="between">
      <formula>K361</formula>
      <formula>9999</formula>
    </cfRule>
  </conditionalFormatting>
  <conditionalFormatting sqref="I363">
    <cfRule type="cellIs" dxfId="2066" priority="195" operator="between">
      <formula>K363</formula>
      <formula>9999</formula>
    </cfRule>
  </conditionalFormatting>
  <conditionalFormatting sqref="I364">
    <cfRule type="cellIs" dxfId="2065" priority="194" operator="between">
      <formula>K364</formula>
      <formula>9999</formula>
    </cfRule>
  </conditionalFormatting>
  <conditionalFormatting sqref="I365">
    <cfRule type="cellIs" dxfId="2064" priority="193" operator="between">
      <formula>K365</formula>
      <formula>9999</formula>
    </cfRule>
  </conditionalFormatting>
  <conditionalFormatting sqref="I366">
    <cfRule type="cellIs" dxfId="2063" priority="192" operator="between">
      <formula>K366</formula>
      <formula>9999</formula>
    </cfRule>
  </conditionalFormatting>
  <conditionalFormatting sqref="I367">
    <cfRule type="cellIs" dxfId="2062" priority="191" operator="between">
      <formula>K367</formula>
      <formula>9999</formula>
    </cfRule>
  </conditionalFormatting>
  <conditionalFormatting sqref="I368">
    <cfRule type="cellIs" dxfId="2061" priority="190" operator="between">
      <formula>K368</formula>
      <formula>9999</formula>
    </cfRule>
  </conditionalFormatting>
  <conditionalFormatting sqref="I369">
    <cfRule type="cellIs" dxfId="2060" priority="189" operator="between">
      <formula>K369</formula>
      <formula>9999</formula>
    </cfRule>
  </conditionalFormatting>
  <conditionalFormatting sqref="I370">
    <cfRule type="cellIs" dxfId="2059" priority="188" operator="between">
      <formula>K370</formula>
      <formula>9999</formula>
    </cfRule>
  </conditionalFormatting>
  <conditionalFormatting sqref="I371">
    <cfRule type="cellIs" dxfId="2058" priority="187" operator="between">
      <formula>K371</formula>
      <formula>9999</formula>
    </cfRule>
  </conditionalFormatting>
  <conditionalFormatting sqref="I372">
    <cfRule type="cellIs" dxfId="2057" priority="186" operator="between">
      <formula>K372</formula>
      <formula>9999</formula>
    </cfRule>
  </conditionalFormatting>
  <conditionalFormatting sqref="I373">
    <cfRule type="cellIs" dxfId="2056" priority="185" operator="between">
      <formula>K373</formula>
      <formula>9999</formula>
    </cfRule>
  </conditionalFormatting>
  <conditionalFormatting sqref="I374">
    <cfRule type="cellIs" dxfId="2055" priority="184" operator="between">
      <formula>K374</formula>
      <formula>9999</formula>
    </cfRule>
  </conditionalFormatting>
  <conditionalFormatting sqref="I375">
    <cfRule type="cellIs" dxfId="2054" priority="183" operator="between">
      <formula>K375</formula>
      <formula>9999</formula>
    </cfRule>
  </conditionalFormatting>
  <conditionalFormatting sqref="I376">
    <cfRule type="cellIs" dxfId="2053" priority="182" operator="between">
      <formula>K376</formula>
      <formula>9999</formula>
    </cfRule>
  </conditionalFormatting>
  <conditionalFormatting sqref="I377">
    <cfRule type="cellIs" dxfId="2052" priority="181" operator="between">
      <formula>K377</formula>
      <formula>9999</formula>
    </cfRule>
  </conditionalFormatting>
  <conditionalFormatting sqref="I378">
    <cfRule type="cellIs" dxfId="2051" priority="180" operator="between">
      <formula>K378</formula>
      <formula>9999</formula>
    </cfRule>
  </conditionalFormatting>
  <conditionalFormatting sqref="I379">
    <cfRule type="cellIs" dxfId="2050" priority="179" operator="between">
      <formula>K379</formula>
      <formula>9999</formula>
    </cfRule>
  </conditionalFormatting>
  <conditionalFormatting sqref="I380">
    <cfRule type="cellIs" dxfId="2049" priority="178" operator="between">
      <formula>K380</formula>
      <formula>9999</formula>
    </cfRule>
  </conditionalFormatting>
  <conditionalFormatting sqref="I382">
    <cfRule type="cellIs" dxfId="2048" priority="177" operator="between">
      <formula>K382</formula>
      <formula>9999</formula>
    </cfRule>
  </conditionalFormatting>
  <conditionalFormatting sqref="I383">
    <cfRule type="cellIs" dxfId="2047" priority="176" operator="between">
      <formula>K383</formula>
      <formula>9999</formula>
    </cfRule>
  </conditionalFormatting>
  <conditionalFormatting sqref="I384">
    <cfRule type="cellIs" dxfId="2046" priority="175" operator="between">
      <formula>K384</formula>
      <formula>9999</formula>
    </cfRule>
  </conditionalFormatting>
  <conditionalFormatting sqref="I385">
    <cfRule type="cellIs" dxfId="2045" priority="174" operator="between">
      <formula>K385</formula>
      <formula>9999</formula>
    </cfRule>
  </conditionalFormatting>
  <conditionalFormatting sqref="I386">
    <cfRule type="cellIs" dxfId="2044" priority="173" operator="between">
      <formula>K386</formula>
      <formula>9999</formula>
    </cfRule>
  </conditionalFormatting>
  <conditionalFormatting sqref="I387">
    <cfRule type="cellIs" dxfId="2043" priority="172" operator="between">
      <formula>K387</formula>
      <formula>9999</formula>
    </cfRule>
  </conditionalFormatting>
  <conditionalFormatting sqref="I388">
    <cfRule type="cellIs" dxfId="2042" priority="171" operator="between">
      <formula>K388</formula>
      <formula>9999</formula>
    </cfRule>
  </conditionalFormatting>
  <conditionalFormatting sqref="I389">
    <cfRule type="cellIs" dxfId="2041" priority="170" operator="between">
      <formula>K389</formula>
      <formula>9999</formula>
    </cfRule>
  </conditionalFormatting>
  <conditionalFormatting sqref="I390">
    <cfRule type="cellIs" dxfId="2040" priority="169" operator="between">
      <formula>K390</formula>
      <formula>9999</formula>
    </cfRule>
  </conditionalFormatting>
  <conditionalFormatting sqref="I391">
    <cfRule type="cellIs" dxfId="2039" priority="168" operator="between">
      <formula>K391</formula>
      <formula>9999</formula>
    </cfRule>
  </conditionalFormatting>
  <conditionalFormatting sqref="I392">
    <cfRule type="cellIs" dxfId="2038" priority="167" operator="between">
      <formula>K392</formula>
      <formula>9999</formula>
    </cfRule>
  </conditionalFormatting>
  <conditionalFormatting sqref="I393">
    <cfRule type="cellIs" dxfId="2037" priority="166" operator="between">
      <formula>K393</formula>
      <formula>9999</formula>
    </cfRule>
  </conditionalFormatting>
  <conditionalFormatting sqref="I394">
    <cfRule type="cellIs" dxfId="2036" priority="165" operator="between">
      <formula>K394</formula>
      <formula>9999</formula>
    </cfRule>
  </conditionalFormatting>
  <conditionalFormatting sqref="I395">
    <cfRule type="cellIs" dxfId="2035" priority="164" operator="between">
      <formula>K395</formula>
      <formula>9999</formula>
    </cfRule>
  </conditionalFormatting>
  <conditionalFormatting sqref="I396">
    <cfRule type="cellIs" dxfId="2034" priority="163" operator="between">
      <formula>K396</formula>
      <formula>9999</formula>
    </cfRule>
  </conditionalFormatting>
  <conditionalFormatting sqref="I397">
    <cfRule type="cellIs" dxfId="2033" priority="162" operator="between">
      <formula>K397</formula>
      <formula>9999</formula>
    </cfRule>
  </conditionalFormatting>
  <conditionalFormatting sqref="I398">
    <cfRule type="cellIs" dxfId="2032" priority="161" operator="between">
      <formula>K398</formula>
      <formula>9999</formula>
    </cfRule>
  </conditionalFormatting>
  <conditionalFormatting sqref="I399">
    <cfRule type="cellIs" dxfId="2031" priority="160" operator="between">
      <formula>K399</formula>
      <formula>9999</formula>
    </cfRule>
  </conditionalFormatting>
  <conditionalFormatting sqref="I401">
    <cfRule type="cellIs" dxfId="2030" priority="159" operator="between">
      <formula>K401</formula>
      <formula>9999</formula>
    </cfRule>
  </conditionalFormatting>
  <conditionalFormatting sqref="I420">
    <cfRule type="cellIs" dxfId="2029" priority="158" operator="between">
      <formula>K420</formula>
      <formula>9999</formula>
    </cfRule>
  </conditionalFormatting>
  <conditionalFormatting sqref="H231:H233">
    <cfRule type="cellIs" dxfId="2028" priority="157" operator="between">
      <formula>J231</formula>
      <formula>9999</formula>
    </cfRule>
  </conditionalFormatting>
  <conditionalFormatting sqref="H447">
    <cfRule type="cellIs" dxfId="2027" priority="156" operator="between">
      <formula>J447</formula>
      <formula>9999</formula>
    </cfRule>
  </conditionalFormatting>
  <conditionalFormatting sqref="H448">
    <cfRule type="cellIs" dxfId="2026" priority="155" operator="between">
      <formula>J448</formula>
      <formula>9999</formula>
    </cfRule>
  </conditionalFormatting>
  <conditionalFormatting sqref="H449">
    <cfRule type="cellIs" dxfId="2025" priority="154" operator="between">
      <formula>J449</formula>
      <formula>9999</formula>
    </cfRule>
  </conditionalFormatting>
  <conditionalFormatting sqref="H453">
    <cfRule type="cellIs" dxfId="2024" priority="153" operator="between">
      <formula>J453</formula>
      <formula>9999</formula>
    </cfRule>
  </conditionalFormatting>
  <conditionalFormatting sqref="H454">
    <cfRule type="cellIs" dxfId="2023" priority="152" operator="between">
      <formula>J454</formula>
      <formula>9999</formula>
    </cfRule>
  </conditionalFormatting>
  <conditionalFormatting sqref="H455">
    <cfRule type="cellIs" dxfId="2022" priority="151" operator="between">
      <formula>J455</formula>
      <formula>9999</formula>
    </cfRule>
  </conditionalFormatting>
  <conditionalFormatting sqref="H456">
    <cfRule type="cellIs" dxfId="2021" priority="150" operator="between">
      <formula>J456</formula>
      <formula>9999</formula>
    </cfRule>
  </conditionalFormatting>
  <conditionalFormatting sqref="H457">
    <cfRule type="cellIs" dxfId="2020" priority="149" operator="between">
      <formula>J457</formula>
      <formula>9999</formula>
    </cfRule>
  </conditionalFormatting>
  <conditionalFormatting sqref="H458">
    <cfRule type="cellIs" dxfId="2019" priority="148" operator="between">
      <formula>J458</formula>
      <formula>9999</formula>
    </cfRule>
  </conditionalFormatting>
  <conditionalFormatting sqref="I468">
    <cfRule type="cellIs" dxfId="2018" priority="147" operator="between">
      <formula>K468</formula>
      <formula>9999</formula>
    </cfRule>
  </conditionalFormatting>
  <conditionalFormatting sqref="I469">
    <cfRule type="cellIs" dxfId="2017" priority="146" operator="between">
      <formula>K469</formula>
      <formula>9999</formula>
    </cfRule>
  </conditionalFormatting>
  <conditionalFormatting sqref="I470">
    <cfRule type="cellIs" dxfId="2016" priority="145" operator="between">
      <formula>K470</formula>
      <formula>9999</formula>
    </cfRule>
  </conditionalFormatting>
  <conditionalFormatting sqref="I471">
    <cfRule type="cellIs" dxfId="2015" priority="144" operator="between">
      <formula>K471</formula>
      <formula>9999</formula>
    </cfRule>
  </conditionalFormatting>
  <conditionalFormatting sqref="I472">
    <cfRule type="cellIs" dxfId="2014" priority="143" operator="between">
      <formula>K472</formula>
      <formula>9999</formula>
    </cfRule>
  </conditionalFormatting>
  <conditionalFormatting sqref="I473">
    <cfRule type="cellIs" dxfId="2013" priority="142" operator="between">
      <formula>K473</formula>
      <formula>9999</formula>
    </cfRule>
  </conditionalFormatting>
  <conditionalFormatting sqref="I474">
    <cfRule type="cellIs" dxfId="2012" priority="141" operator="between">
      <formula>K474</formula>
      <formula>9999</formula>
    </cfRule>
  </conditionalFormatting>
  <conditionalFormatting sqref="I475">
    <cfRule type="cellIs" dxfId="2011" priority="140" operator="between">
      <formula>K475</formula>
      <formula>9999</formula>
    </cfRule>
  </conditionalFormatting>
  <conditionalFormatting sqref="I476">
    <cfRule type="cellIs" dxfId="2010" priority="139" operator="between">
      <formula>K476</formula>
      <formula>9999</formula>
    </cfRule>
  </conditionalFormatting>
  <conditionalFormatting sqref="I477">
    <cfRule type="cellIs" dxfId="2009" priority="138" operator="between">
      <formula>K477</formula>
      <formula>9999</formula>
    </cfRule>
  </conditionalFormatting>
  <conditionalFormatting sqref="I478">
    <cfRule type="cellIs" dxfId="2008" priority="137" operator="between">
      <formula>K478</formula>
      <formula>9999</formula>
    </cfRule>
  </conditionalFormatting>
  <conditionalFormatting sqref="I479">
    <cfRule type="cellIs" dxfId="2007" priority="136" operator="between">
      <formula>K479</formula>
      <formula>9999</formula>
    </cfRule>
  </conditionalFormatting>
  <conditionalFormatting sqref="I480">
    <cfRule type="cellIs" dxfId="2006" priority="135" operator="between">
      <formula>K480</formula>
      <formula>9999</formula>
    </cfRule>
  </conditionalFormatting>
  <conditionalFormatting sqref="I481">
    <cfRule type="cellIs" dxfId="2005" priority="134" operator="between">
      <formula>K481</formula>
      <formula>9999</formula>
    </cfRule>
  </conditionalFormatting>
  <conditionalFormatting sqref="I482">
    <cfRule type="cellIs" dxfId="2004" priority="133" operator="between">
      <formula>K482</formula>
      <formula>9999</formula>
    </cfRule>
  </conditionalFormatting>
  <conditionalFormatting sqref="I483">
    <cfRule type="cellIs" dxfId="2003" priority="132" operator="between">
      <formula>K483</formula>
      <formula>9999</formula>
    </cfRule>
  </conditionalFormatting>
  <conditionalFormatting sqref="I484">
    <cfRule type="cellIs" dxfId="2002" priority="131" operator="between">
      <formula>K484</formula>
      <formula>9999</formula>
    </cfRule>
  </conditionalFormatting>
  <conditionalFormatting sqref="I485">
    <cfRule type="cellIs" dxfId="2001" priority="130" operator="between">
      <formula>K485</formula>
      <formula>9999</formula>
    </cfRule>
  </conditionalFormatting>
  <conditionalFormatting sqref="I487">
    <cfRule type="cellIs" dxfId="2000" priority="129" operator="between">
      <formula>K487</formula>
      <formula>9999</formula>
    </cfRule>
  </conditionalFormatting>
  <conditionalFormatting sqref="I488">
    <cfRule type="cellIs" dxfId="1999" priority="128" operator="between">
      <formula>K488</formula>
      <formula>9999</formula>
    </cfRule>
  </conditionalFormatting>
  <conditionalFormatting sqref="I489">
    <cfRule type="cellIs" dxfId="1998" priority="127" operator="between">
      <formula>K489</formula>
      <formula>9999</formula>
    </cfRule>
  </conditionalFormatting>
  <conditionalFormatting sqref="I490">
    <cfRule type="cellIs" dxfId="1997" priority="126" operator="between">
      <formula>K490</formula>
      <formula>9999</formula>
    </cfRule>
  </conditionalFormatting>
  <conditionalFormatting sqref="I491">
    <cfRule type="cellIs" dxfId="1996" priority="125" operator="between">
      <formula>K491</formula>
      <formula>9999</formula>
    </cfRule>
  </conditionalFormatting>
  <conditionalFormatting sqref="I492">
    <cfRule type="cellIs" dxfId="1995" priority="124" operator="between">
      <formula>K492</formula>
      <formula>9999</formula>
    </cfRule>
  </conditionalFormatting>
  <conditionalFormatting sqref="I493">
    <cfRule type="cellIs" dxfId="1994" priority="123" operator="between">
      <formula>K493</formula>
      <formula>9999</formula>
    </cfRule>
  </conditionalFormatting>
  <conditionalFormatting sqref="I494">
    <cfRule type="cellIs" dxfId="1993" priority="122" operator="between">
      <formula>K494</formula>
      <formula>9999</formula>
    </cfRule>
  </conditionalFormatting>
  <conditionalFormatting sqref="I495">
    <cfRule type="cellIs" dxfId="1992" priority="121" operator="between">
      <formula>K495</formula>
      <formula>9999</formula>
    </cfRule>
  </conditionalFormatting>
  <conditionalFormatting sqref="I496">
    <cfRule type="cellIs" dxfId="1991" priority="120" operator="between">
      <formula>K496</formula>
      <formula>9999</formula>
    </cfRule>
  </conditionalFormatting>
  <conditionalFormatting sqref="I497">
    <cfRule type="cellIs" dxfId="1990" priority="119" operator="between">
      <formula>K497</formula>
      <formula>9999</formula>
    </cfRule>
  </conditionalFormatting>
  <conditionalFormatting sqref="I498">
    <cfRule type="cellIs" dxfId="1989" priority="118" operator="between">
      <formula>K498</formula>
      <formula>9999</formula>
    </cfRule>
  </conditionalFormatting>
  <conditionalFormatting sqref="I499">
    <cfRule type="cellIs" dxfId="1988" priority="117" operator="between">
      <formula>K499</formula>
      <formula>9999</formula>
    </cfRule>
  </conditionalFormatting>
  <conditionalFormatting sqref="I500">
    <cfRule type="cellIs" dxfId="1987" priority="116" operator="between">
      <formula>K500</formula>
      <formula>9999</formula>
    </cfRule>
  </conditionalFormatting>
  <conditionalFormatting sqref="I501">
    <cfRule type="cellIs" dxfId="1986" priority="115" operator="between">
      <formula>K501</formula>
      <formula>9999</formula>
    </cfRule>
  </conditionalFormatting>
  <conditionalFormatting sqref="I502">
    <cfRule type="cellIs" dxfId="1985" priority="114" operator="between">
      <formula>K502</formula>
      <formula>9999</formula>
    </cfRule>
  </conditionalFormatting>
  <conditionalFormatting sqref="I503">
    <cfRule type="cellIs" dxfId="1984" priority="113" operator="between">
      <formula>K503</formula>
      <formula>9999</formula>
    </cfRule>
  </conditionalFormatting>
  <conditionalFormatting sqref="I504">
    <cfRule type="cellIs" dxfId="1983" priority="112" operator="between">
      <formula>K504</formula>
      <formula>9999</formula>
    </cfRule>
  </conditionalFormatting>
  <conditionalFormatting sqref="I506">
    <cfRule type="cellIs" dxfId="1982" priority="111" operator="between">
      <formula>K506</formula>
      <formula>9999</formula>
    </cfRule>
  </conditionalFormatting>
  <conditionalFormatting sqref="I507">
    <cfRule type="cellIs" dxfId="1981" priority="110" operator="between">
      <formula>K507</formula>
      <formula>9999</formula>
    </cfRule>
  </conditionalFormatting>
  <conditionalFormatting sqref="I508">
    <cfRule type="cellIs" dxfId="1980" priority="109" operator="between">
      <formula>K508</formula>
      <formula>9999</formula>
    </cfRule>
  </conditionalFormatting>
  <conditionalFormatting sqref="I509">
    <cfRule type="cellIs" dxfId="1979" priority="108" operator="between">
      <formula>K509</formula>
      <formula>9999</formula>
    </cfRule>
  </conditionalFormatting>
  <conditionalFormatting sqref="I510">
    <cfRule type="cellIs" dxfId="1978" priority="107" operator="between">
      <formula>K510</formula>
      <formula>9999</formula>
    </cfRule>
  </conditionalFormatting>
  <conditionalFormatting sqref="I511">
    <cfRule type="cellIs" dxfId="1977" priority="106" operator="between">
      <formula>K511</formula>
      <formula>9999</formula>
    </cfRule>
  </conditionalFormatting>
  <conditionalFormatting sqref="I512">
    <cfRule type="cellIs" dxfId="1976" priority="105" operator="between">
      <formula>K512</formula>
      <formula>9999</formula>
    </cfRule>
  </conditionalFormatting>
  <conditionalFormatting sqref="I513">
    <cfRule type="cellIs" dxfId="1975" priority="104" operator="between">
      <formula>K513</formula>
      <formula>9999</formula>
    </cfRule>
  </conditionalFormatting>
  <conditionalFormatting sqref="I514">
    <cfRule type="cellIs" dxfId="1974" priority="103" operator="between">
      <formula>K514</formula>
      <formula>9999</formula>
    </cfRule>
  </conditionalFormatting>
  <conditionalFormatting sqref="I515">
    <cfRule type="cellIs" dxfId="1973" priority="102" operator="between">
      <formula>K515</formula>
      <formula>9999</formula>
    </cfRule>
  </conditionalFormatting>
  <conditionalFormatting sqref="I516">
    <cfRule type="cellIs" dxfId="1972" priority="101" operator="between">
      <formula>K516</formula>
      <formula>9999</formula>
    </cfRule>
  </conditionalFormatting>
  <conditionalFormatting sqref="I517">
    <cfRule type="cellIs" dxfId="1971" priority="100" operator="between">
      <formula>K517</formula>
      <formula>9999</formula>
    </cfRule>
  </conditionalFormatting>
  <conditionalFormatting sqref="I518">
    <cfRule type="cellIs" dxfId="1970" priority="99" operator="between">
      <formula>K518</formula>
      <formula>9999</formula>
    </cfRule>
  </conditionalFormatting>
  <conditionalFormatting sqref="I519">
    <cfRule type="cellIs" dxfId="1969" priority="98" operator="between">
      <formula>K519</formula>
      <formula>9999</formula>
    </cfRule>
  </conditionalFormatting>
  <conditionalFormatting sqref="I520">
    <cfRule type="cellIs" dxfId="1968" priority="97" operator="between">
      <formula>K520</formula>
      <formula>9999</formula>
    </cfRule>
  </conditionalFormatting>
  <conditionalFormatting sqref="I521">
    <cfRule type="cellIs" dxfId="1967" priority="96" operator="between">
      <formula>K521</formula>
      <formula>9999</formula>
    </cfRule>
  </conditionalFormatting>
  <conditionalFormatting sqref="I522">
    <cfRule type="cellIs" dxfId="1966" priority="95" operator="between">
      <formula>K522</formula>
      <formula>9999</formula>
    </cfRule>
  </conditionalFormatting>
  <conditionalFormatting sqref="I523">
    <cfRule type="cellIs" dxfId="1965" priority="94" operator="between">
      <formula>K523</formula>
      <formula>9999</formula>
    </cfRule>
  </conditionalFormatting>
  <conditionalFormatting sqref="I525">
    <cfRule type="cellIs" dxfId="1964" priority="93" operator="between">
      <formula>K525</formula>
      <formula>9999</formula>
    </cfRule>
  </conditionalFormatting>
  <conditionalFormatting sqref="I526">
    <cfRule type="cellIs" dxfId="1963" priority="92" operator="between">
      <formula>K526</formula>
      <formula>9999</formula>
    </cfRule>
  </conditionalFormatting>
  <conditionalFormatting sqref="I527">
    <cfRule type="cellIs" dxfId="1962" priority="91" operator="between">
      <formula>K527</formula>
      <formula>9999</formula>
    </cfRule>
  </conditionalFormatting>
  <conditionalFormatting sqref="I528">
    <cfRule type="cellIs" dxfId="1961" priority="90" operator="between">
      <formula>K528</formula>
      <formula>9999</formula>
    </cfRule>
  </conditionalFormatting>
  <conditionalFormatting sqref="I529">
    <cfRule type="cellIs" dxfId="1960" priority="89" operator="between">
      <formula>K529</formula>
      <formula>9999</formula>
    </cfRule>
  </conditionalFormatting>
  <conditionalFormatting sqref="I530">
    <cfRule type="cellIs" dxfId="1959" priority="88" operator="between">
      <formula>K530</formula>
      <formula>9999</formula>
    </cfRule>
  </conditionalFormatting>
  <conditionalFormatting sqref="I531">
    <cfRule type="cellIs" dxfId="1958" priority="87" operator="between">
      <formula>K531</formula>
      <formula>9999</formula>
    </cfRule>
  </conditionalFormatting>
  <conditionalFormatting sqref="I532">
    <cfRule type="cellIs" dxfId="1957" priority="86" operator="between">
      <formula>K532</formula>
      <formula>9999</formula>
    </cfRule>
  </conditionalFormatting>
  <conditionalFormatting sqref="I533">
    <cfRule type="cellIs" dxfId="1956" priority="85" operator="between">
      <formula>K533</formula>
      <formula>9999</formula>
    </cfRule>
  </conditionalFormatting>
  <conditionalFormatting sqref="I534">
    <cfRule type="cellIs" dxfId="1955" priority="84" operator="between">
      <formula>K534</formula>
      <formula>9999</formula>
    </cfRule>
  </conditionalFormatting>
  <conditionalFormatting sqref="I535">
    <cfRule type="cellIs" dxfId="1954" priority="83" operator="between">
      <formula>K535</formula>
      <formula>9999</formula>
    </cfRule>
  </conditionalFormatting>
  <conditionalFormatting sqref="I536">
    <cfRule type="cellIs" dxfId="1953" priority="82" operator="between">
      <formula>K536</formula>
      <formula>9999</formula>
    </cfRule>
  </conditionalFormatting>
  <conditionalFormatting sqref="I537">
    <cfRule type="cellIs" dxfId="1952" priority="81" operator="between">
      <formula>K537</formula>
      <formula>9999</formula>
    </cfRule>
  </conditionalFormatting>
  <conditionalFormatting sqref="I538">
    <cfRule type="cellIs" dxfId="1951" priority="80" operator="between">
      <formula>K538</formula>
      <formula>9999</formula>
    </cfRule>
  </conditionalFormatting>
  <conditionalFormatting sqref="I539">
    <cfRule type="cellIs" dxfId="1950" priority="79" operator="between">
      <formula>K539</formula>
      <formula>9999</formula>
    </cfRule>
  </conditionalFormatting>
  <conditionalFormatting sqref="I540">
    <cfRule type="cellIs" dxfId="1949" priority="78" operator="between">
      <formula>K540</formula>
      <formula>9999</formula>
    </cfRule>
  </conditionalFormatting>
  <conditionalFormatting sqref="I541">
    <cfRule type="cellIs" dxfId="1948" priority="77" operator="between">
      <formula>K541</formula>
      <formula>9999</formula>
    </cfRule>
  </conditionalFormatting>
  <conditionalFormatting sqref="I542">
    <cfRule type="cellIs" dxfId="1947" priority="76" operator="between">
      <formula>K542</formula>
      <formula>9999</formula>
    </cfRule>
  </conditionalFormatting>
  <conditionalFormatting sqref="I544">
    <cfRule type="cellIs" dxfId="1946" priority="75" operator="between">
      <formula>K544</formula>
      <formula>9999</formula>
    </cfRule>
  </conditionalFormatting>
  <conditionalFormatting sqref="I545">
    <cfRule type="cellIs" dxfId="1945" priority="74" operator="between">
      <formula>K545</formula>
      <formula>9999</formula>
    </cfRule>
  </conditionalFormatting>
  <conditionalFormatting sqref="I546">
    <cfRule type="cellIs" dxfId="1944" priority="73" operator="between">
      <formula>K546</formula>
      <formula>9999</formula>
    </cfRule>
  </conditionalFormatting>
  <conditionalFormatting sqref="I547">
    <cfRule type="cellIs" dxfId="1943" priority="72" operator="between">
      <formula>K547</formula>
      <formula>9999</formula>
    </cfRule>
  </conditionalFormatting>
  <conditionalFormatting sqref="I548">
    <cfRule type="cellIs" dxfId="1942" priority="71" operator="between">
      <formula>K548</formula>
      <formula>9999</formula>
    </cfRule>
  </conditionalFormatting>
  <conditionalFormatting sqref="I549">
    <cfRule type="cellIs" dxfId="1941" priority="70" operator="between">
      <formula>K549</formula>
      <formula>9999</formula>
    </cfRule>
  </conditionalFormatting>
  <conditionalFormatting sqref="I550">
    <cfRule type="cellIs" dxfId="1940" priority="69" operator="between">
      <formula>K550</formula>
      <formula>9999</formula>
    </cfRule>
  </conditionalFormatting>
  <conditionalFormatting sqref="I551">
    <cfRule type="cellIs" dxfId="1939" priority="68" operator="between">
      <formula>K551</formula>
      <formula>9999</formula>
    </cfRule>
  </conditionalFormatting>
  <conditionalFormatting sqref="I552">
    <cfRule type="cellIs" dxfId="1938" priority="67" operator="between">
      <formula>K552</formula>
      <formula>9999</formula>
    </cfRule>
  </conditionalFormatting>
  <conditionalFormatting sqref="I553">
    <cfRule type="cellIs" dxfId="1937" priority="66" operator="between">
      <formula>K553</formula>
      <formula>9999</formula>
    </cfRule>
  </conditionalFormatting>
  <conditionalFormatting sqref="I554">
    <cfRule type="cellIs" dxfId="1936" priority="65" operator="between">
      <formula>K554</formula>
      <formula>9999</formula>
    </cfRule>
  </conditionalFormatting>
  <conditionalFormatting sqref="I555">
    <cfRule type="cellIs" dxfId="1935" priority="64" operator="between">
      <formula>K555</formula>
      <formula>9999</formula>
    </cfRule>
  </conditionalFormatting>
  <conditionalFormatting sqref="I556">
    <cfRule type="cellIs" dxfId="1934" priority="63" operator="between">
      <formula>K556</formula>
      <formula>9999</formula>
    </cfRule>
  </conditionalFormatting>
  <conditionalFormatting sqref="I557">
    <cfRule type="cellIs" dxfId="1933" priority="62" operator="between">
      <formula>K557</formula>
      <formula>9999</formula>
    </cfRule>
  </conditionalFormatting>
  <conditionalFormatting sqref="I558">
    <cfRule type="cellIs" dxfId="1932" priority="61" operator="between">
      <formula>K558</formula>
      <formula>9999</formula>
    </cfRule>
  </conditionalFormatting>
  <conditionalFormatting sqref="I559">
    <cfRule type="cellIs" dxfId="1931" priority="60" operator="between">
      <formula>K559</formula>
      <formula>9999</formula>
    </cfRule>
  </conditionalFormatting>
  <conditionalFormatting sqref="I560">
    <cfRule type="cellIs" dxfId="1930" priority="59" operator="between">
      <formula>K560</formula>
      <formula>9999</formula>
    </cfRule>
  </conditionalFormatting>
  <conditionalFormatting sqref="I561">
    <cfRule type="cellIs" dxfId="1929" priority="58" operator="between">
      <formula>K561</formula>
      <formula>9999</formula>
    </cfRule>
  </conditionalFormatting>
  <conditionalFormatting sqref="I563">
    <cfRule type="cellIs" dxfId="1928" priority="57" operator="between">
      <formula>K563</formula>
      <formula>9999</formula>
    </cfRule>
  </conditionalFormatting>
  <conditionalFormatting sqref="I564">
    <cfRule type="cellIs" dxfId="1927" priority="56" operator="between">
      <formula>K564</formula>
      <formula>9999</formula>
    </cfRule>
  </conditionalFormatting>
  <conditionalFormatting sqref="I565">
    <cfRule type="cellIs" dxfId="1926" priority="55" operator="between">
      <formula>K565</formula>
      <formula>9999</formula>
    </cfRule>
  </conditionalFormatting>
  <conditionalFormatting sqref="I566">
    <cfRule type="cellIs" dxfId="1925" priority="54" operator="between">
      <formula>K566</formula>
      <formula>9999</formula>
    </cfRule>
  </conditionalFormatting>
  <conditionalFormatting sqref="I567">
    <cfRule type="cellIs" dxfId="1924" priority="53" operator="between">
      <formula>K567</formula>
      <formula>9999</formula>
    </cfRule>
  </conditionalFormatting>
  <conditionalFormatting sqref="I568">
    <cfRule type="cellIs" dxfId="1923" priority="52" operator="between">
      <formula>K568</formula>
      <formula>9999</formula>
    </cfRule>
  </conditionalFormatting>
  <conditionalFormatting sqref="I569">
    <cfRule type="cellIs" dxfId="1922" priority="51" operator="between">
      <formula>K569</formula>
      <formula>9999</formula>
    </cfRule>
  </conditionalFormatting>
  <conditionalFormatting sqref="I570">
    <cfRule type="cellIs" dxfId="1921" priority="50" operator="between">
      <formula>K570</formula>
      <formula>9999</formula>
    </cfRule>
  </conditionalFormatting>
  <conditionalFormatting sqref="I571">
    <cfRule type="cellIs" dxfId="1920" priority="49" operator="between">
      <formula>K571</formula>
      <formula>9999</formula>
    </cfRule>
  </conditionalFormatting>
  <conditionalFormatting sqref="I572">
    <cfRule type="cellIs" dxfId="1919" priority="48" operator="between">
      <formula>K572</formula>
      <formula>9999</formula>
    </cfRule>
  </conditionalFormatting>
  <conditionalFormatting sqref="I573">
    <cfRule type="cellIs" dxfId="1918" priority="47" operator="between">
      <formula>K573</formula>
      <formula>9999</formula>
    </cfRule>
  </conditionalFormatting>
  <conditionalFormatting sqref="I574">
    <cfRule type="cellIs" dxfId="1917" priority="46" operator="between">
      <formula>K574</formula>
      <formula>9999</formula>
    </cfRule>
  </conditionalFormatting>
  <conditionalFormatting sqref="I575">
    <cfRule type="cellIs" dxfId="1916" priority="45" operator="between">
      <formula>K575</formula>
      <formula>9999</formula>
    </cfRule>
  </conditionalFormatting>
  <conditionalFormatting sqref="I576">
    <cfRule type="cellIs" dxfId="1915" priority="44" operator="between">
      <formula>K576</formula>
      <formula>9999</formula>
    </cfRule>
  </conditionalFormatting>
  <conditionalFormatting sqref="I577">
    <cfRule type="cellIs" dxfId="1914" priority="43" operator="between">
      <formula>K577</formula>
      <formula>9999</formula>
    </cfRule>
  </conditionalFormatting>
  <conditionalFormatting sqref="I578">
    <cfRule type="cellIs" dxfId="1913" priority="42" operator="between">
      <formula>K578</formula>
      <formula>9999</formula>
    </cfRule>
  </conditionalFormatting>
  <conditionalFormatting sqref="I579">
    <cfRule type="cellIs" dxfId="1912" priority="41" operator="between">
      <formula>K579</formula>
      <formula>9999</formula>
    </cfRule>
  </conditionalFormatting>
  <conditionalFormatting sqref="I580">
    <cfRule type="cellIs" dxfId="1911" priority="40" operator="between">
      <formula>K580</formula>
      <formula>9999</formula>
    </cfRule>
  </conditionalFormatting>
  <conditionalFormatting sqref="I582">
    <cfRule type="cellIs" dxfId="1910" priority="39" operator="between">
      <formula>K582</formula>
      <formula>9999</formula>
    </cfRule>
  </conditionalFormatting>
  <conditionalFormatting sqref="I583">
    <cfRule type="cellIs" dxfId="1909" priority="38" operator="between">
      <formula>K583</formula>
      <formula>9999</formula>
    </cfRule>
  </conditionalFormatting>
  <conditionalFormatting sqref="I584">
    <cfRule type="cellIs" dxfId="1908" priority="37" operator="between">
      <formula>K584</formula>
      <formula>9999</formula>
    </cfRule>
  </conditionalFormatting>
  <conditionalFormatting sqref="I585">
    <cfRule type="cellIs" dxfId="1907" priority="36" operator="between">
      <formula>K585</formula>
      <formula>9999</formula>
    </cfRule>
  </conditionalFormatting>
  <conditionalFormatting sqref="I586">
    <cfRule type="cellIs" dxfId="1906" priority="35" operator="between">
      <formula>K586</formula>
      <formula>9999</formula>
    </cfRule>
  </conditionalFormatting>
  <conditionalFormatting sqref="I587">
    <cfRule type="cellIs" dxfId="1905" priority="34" operator="between">
      <formula>K587</formula>
      <formula>9999</formula>
    </cfRule>
  </conditionalFormatting>
  <conditionalFormatting sqref="I588">
    <cfRule type="cellIs" dxfId="1904" priority="33" operator="between">
      <formula>K588</formula>
      <formula>9999</formula>
    </cfRule>
  </conditionalFormatting>
  <conditionalFormatting sqref="I589">
    <cfRule type="cellIs" dxfId="1903" priority="32" operator="between">
      <formula>K589</formula>
      <formula>9999</formula>
    </cfRule>
  </conditionalFormatting>
  <conditionalFormatting sqref="I590">
    <cfRule type="cellIs" dxfId="1902" priority="31" operator="between">
      <formula>K590</formula>
      <formula>9999</formula>
    </cfRule>
  </conditionalFormatting>
  <conditionalFormatting sqref="I591">
    <cfRule type="cellIs" dxfId="1901" priority="30" operator="between">
      <formula>K591</formula>
      <formula>9999</formula>
    </cfRule>
  </conditionalFormatting>
  <conditionalFormatting sqref="I592">
    <cfRule type="cellIs" dxfId="1900" priority="29" operator="between">
      <formula>K592</formula>
      <formula>9999</formula>
    </cfRule>
  </conditionalFormatting>
  <conditionalFormatting sqref="I593">
    <cfRule type="cellIs" dxfId="1899" priority="28" operator="between">
      <formula>K593</formula>
      <formula>9999</formula>
    </cfRule>
  </conditionalFormatting>
  <conditionalFormatting sqref="I594">
    <cfRule type="cellIs" dxfId="1898" priority="27" operator="between">
      <formula>K594</formula>
      <formula>9999</formula>
    </cfRule>
  </conditionalFormatting>
  <conditionalFormatting sqref="I595">
    <cfRule type="cellIs" dxfId="1897" priority="26" operator="between">
      <formula>K595</formula>
      <formula>9999</formula>
    </cfRule>
  </conditionalFormatting>
  <conditionalFormatting sqref="I596">
    <cfRule type="cellIs" dxfId="1896" priority="25" operator="between">
      <formula>K596</formula>
      <formula>9999</formula>
    </cfRule>
  </conditionalFormatting>
  <conditionalFormatting sqref="I597">
    <cfRule type="cellIs" dxfId="1895" priority="24" operator="between">
      <formula>K597</formula>
      <formula>9999</formula>
    </cfRule>
  </conditionalFormatting>
  <conditionalFormatting sqref="I598">
    <cfRule type="cellIs" dxfId="1894" priority="23" operator="between">
      <formula>K598</formula>
      <formula>9999</formula>
    </cfRule>
  </conditionalFormatting>
  <conditionalFormatting sqref="I599">
    <cfRule type="cellIs" dxfId="1893" priority="22" operator="between">
      <formula>K599</formula>
      <formula>9999</formula>
    </cfRule>
  </conditionalFormatting>
  <conditionalFormatting sqref="I601">
    <cfRule type="cellIs" dxfId="1892" priority="21" operator="between">
      <formula>K601</formula>
      <formula>9999</formula>
    </cfRule>
  </conditionalFormatting>
  <conditionalFormatting sqref="I602">
    <cfRule type="cellIs" dxfId="1891" priority="20" operator="between">
      <formula>K602</formula>
      <formula>9999</formula>
    </cfRule>
  </conditionalFormatting>
  <conditionalFormatting sqref="I603">
    <cfRule type="cellIs" dxfId="1890" priority="19" operator="between">
      <formula>K603</formula>
      <formula>9999</formula>
    </cfRule>
  </conditionalFormatting>
  <conditionalFormatting sqref="I604">
    <cfRule type="cellIs" dxfId="1889" priority="18" operator="between">
      <formula>K604</formula>
      <formula>9999</formula>
    </cfRule>
  </conditionalFormatting>
  <conditionalFormatting sqref="I605">
    <cfRule type="cellIs" dxfId="1888" priority="17" operator="between">
      <formula>K605</formula>
      <formula>9999</formula>
    </cfRule>
  </conditionalFormatting>
  <conditionalFormatting sqref="I606">
    <cfRule type="cellIs" dxfId="1887" priority="16" operator="between">
      <formula>K606</formula>
      <formula>9999</formula>
    </cfRule>
  </conditionalFormatting>
  <conditionalFormatting sqref="I607">
    <cfRule type="cellIs" dxfId="1886" priority="15" operator="between">
      <formula>K607</formula>
      <formula>9999</formula>
    </cfRule>
  </conditionalFormatting>
  <conditionalFormatting sqref="I608">
    <cfRule type="cellIs" dxfId="1885" priority="14" operator="between">
      <formula>K608</formula>
      <formula>9999</formula>
    </cfRule>
  </conditionalFormatting>
  <conditionalFormatting sqref="I609">
    <cfRule type="cellIs" dxfId="1884" priority="13" operator="between">
      <formula>K609</formula>
      <formula>9999</formula>
    </cfRule>
  </conditionalFormatting>
  <conditionalFormatting sqref="I610">
    <cfRule type="cellIs" dxfId="1883" priority="12" operator="between">
      <formula>K610</formula>
      <formula>9999</formula>
    </cfRule>
  </conditionalFormatting>
  <conditionalFormatting sqref="I611">
    <cfRule type="cellIs" dxfId="1882" priority="11" operator="between">
      <formula>K611</formula>
      <formula>9999</formula>
    </cfRule>
  </conditionalFormatting>
  <conditionalFormatting sqref="I612">
    <cfRule type="cellIs" dxfId="1881" priority="10" operator="between">
      <formula>K612</formula>
      <formula>9999</formula>
    </cfRule>
  </conditionalFormatting>
  <conditionalFormatting sqref="I613">
    <cfRule type="cellIs" dxfId="1880" priority="9" operator="between">
      <formula>K613</formula>
      <formula>9999</formula>
    </cfRule>
  </conditionalFormatting>
  <conditionalFormatting sqref="I614">
    <cfRule type="cellIs" dxfId="1879" priority="8" operator="between">
      <formula>K614</formula>
      <formula>9999</formula>
    </cfRule>
  </conditionalFormatting>
  <conditionalFormatting sqref="I615">
    <cfRule type="cellIs" dxfId="1878" priority="7" operator="between">
      <formula>K615</formula>
      <formula>9999</formula>
    </cfRule>
  </conditionalFormatting>
  <conditionalFormatting sqref="I616">
    <cfRule type="cellIs" dxfId="1877" priority="6" operator="between">
      <formula>K616</formula>
      <formula>9999</formula>
    </cfRule>
  </conditionalFormatting>
  <conditionalFormatting sqref="I617">
    <cfRule type="cellIs" dxfId="1876" priority="5" operator="between">
      <formula>K617</formula>
      <formula>9999</formula>
    </cfRule>
  </conditionalFormatting>
  <conditionalFormatting sqref="I618">
    <cfRule type="cellIs" dxfId="1875" priority="4" operator="between">
      <formula>K618</formula>
      <formula>9999</formula>
    </cfRule>
  </conditionalFormatting>
  <conditionalFormatting sqref="I620">
    <cfRule type="cellIs" dxfId="1874" priority="3" operator="between">
      <formula>K620</formula>
      <formula>9999</formula>
    </cfRule>
  </conditionalFormatting>
  <conditionalFormatting sqref="I639">
    <cfRule type="cellIs" dxfId="1873" priority="2" operator="between">
      <formula>K639</formula>
      <formula>9999</formula>
    </cfRule>
  </conditionalFormatting>
  <conditionalFormatting sqref="H450:H452">
    <cfRule type="cellIs" dxfId="1872" priority="1" operator="between">
      <formula>J450</formula>
      <formula>9999</formula>
    </cfRule>
  </conditionalFormatting>
  <printOptions horizontalCentered="1"/>
  <pageMargins left="0.23622047244094491" right="0.23622047244094491" top="0.98425196850393704" bottom="0.74803149606299213" header="0.47244094488188981" footer="0.31496062992125984"/>
  <pageSetup paperSize="9" scale="54" fitToHeight="0" orientation="portrait" r:id="rId1"/>
  <headerFooter scaleWithDoc="0">
    <oddHeader>&amp;L&amp;G&amp;C&amp;"-,굵게"&amp;25SAR Test Worksheet</oddHeader>
    <oddFooter>&amp;LRTT5041-49(2018.01.01)(5)                                                      &amp;C&amp;P/&amp;N&amp;RA4(210mm*297mm)</oddFooter>
  </headerFooter>
  <rowBreaks count="1" manualBreakCount="1">
    <brk id="218" max="1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1025" r:id="rId5" name="cbxApplyCode">
          <controlPr defaultSize="0" autoLine="0" r:id="rId6">
            <anchor moveWithCells="1">
              <from>
                <xdr:col>11</xdr:col>
                <xdr:colOff>792480</xdr:colOff>
                <xdr:row>0</xdr:row>
                <xdr:rowOff>53340</xdr:rowOff>
              </from>
              <to>
                <xdr:col>13</xdr:col>
                <xdr:colOff>0</xdr:colOff>
                <xdr:row>0</xdr:row>
                <xdr:rowOff>236220</xdr:rowOff>
              </to>
            </anchor>
          </controlPr>
        </control>
      </mc:Choice>
      <mc:Fallback>
        <control shapeId="1025" r:id="rId5" name="cbxApply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74"/>
  <sheetViews>
    <sheetView workbookViewId="0">
      <selection activeCell="F9" sqref="F9"/>
    </sheetView>
  </sheetViews>
  <sheetFormatPr defaultRowHeight="17.399999999999999" x14ac:dyDescent="0.4"/>
  <cols>
    <col min="10" max="10" width="12.09765625" bestFit="1" customWidth="1"/>
  </cols>
  <sheetData>
    <row r="1" spans="1:24" x14ac:dyDescent="0.4">
      <c r="A1">
        <v>1</v>
      </c>
      <c r="B1" t="s">
        <v>65</v>
      </c>
      <c r="C1" t="s">
        <v>36</v>
      </c>
      <c r="D1" t="s">
        <v>35</v>
      </c>
      <c r="E1" t="s">
        <v>37</v>
      </c>
      <c r="F1" t="s">
        <v>35</v>
      </c>
      <c r="G1" t="s">
        <v>38</v>
      </c>
      <c r="H1" t="s">
        <v>35</v>
      </c>
      <c r="J1" t="s">
        <v>39</v>
      </c>
      <c r="K1" t="b">
        <v>0</v>
      </c>
      <c r="M1" t="s">
        <v>49</v>
      </c>
      <c r="N1">
        <v>1</v>
      </c>
      <c r="O1" t="s">
        <v>22</v>
      </c>
      <c r="P1" t="s">
        <v>36</v>
      </c>
      <c r="Q1" t="s">
        <v>35</v>
      </c>
      <c r="R1" t="s">
        <v>37</v>
      </c>
      <c r="S1" t="s">
        <v>35</v>
      </c>
      <c r="T1" t="s">
        <v>38</v>
      </c>
      <c r="U1" t="s">
        <v>35</v>
      </c>
      <c r="V1" t="s">
        <v>61</v>
      </c>
      <c r="W1" t="s">
        <v>38</v>
      </c>
      <c r="X1" t="s">
        <v>35</v>
      </c>
    </row>
    <row r="2" spans="1:24" x14ac:dyDescent="0.4">
      <c r="A2">
        <v>1</v>
      </c>
      <c r="B2" t="s">
        <v>41</v>
      </c>
      <c r="C2">
        <v>77</v>
      </c>
      <c r="E2">
        <v>1</v>
      </c>
      <c r="G2">
        <v>1</v>
      </c>
      <c r="H2" t="s">
        <v>41</v>
      </c>
      <c r="J2" t="s">
        <v>40</v>
      </c>
      <c r="K2" t="b">
        <v>0</v>
      </c>
      <c r="N2">
        <v>1</v>
      </c>
      <c r="O2" t="s">
        <v>22</v>
      </c>
      <c r="P2">
        <v>1</v>
      </c>
      <c r="Q2" t="s">
        <v>62</v>
      </c>
      <c r="R2">
        <v>1</v>
      </c>
      <c r="T2">
        <v>1</v>
      </c>
      <c r="U2" t="s">
        <v>63</v>
      </c>
      <c r="W2">
        <v>1</v>
      </c>
      <c r="X2" t="s">
        <v>41</v>
      </c>
    </row>
    <row r="3" spans="1:24" x14ac:dyDescent="0.4">
      <c r="A3">
        <v>1</v>
      </c>
      <c r="B3" t="s">
        <v>41</v>
      </c>
      <c r="C3">
        <v>1</v>
      </c>
      <c r="D3" t="s">
        <v>42</v>
      </c>
      <c r="E3">
        <v>1</v>
      </c>
      <c r="G3">
        <v>1</v>
      </c>
      <c r="H3" t="s">
        <v>41</v>
      </c>
      <c r="J3" t="s">
        <v>45</v>
      </c>
      <c r="K3" t="b">
        <v>0</v>
      </c>
      <c r="N3">
        <v>1</v>
      </c>
      <c r="O3" t="s">
        <v>41</v>
      </c>
      <c r="P3">
        <v>1</v>
      </c>
      <c r="R3">
        <v>1</v>
      </c>
      <c r="T3">
        <v>1</v>
      </c>
      <c r="U3" t="s">
        <v>41</v>
      </c>
      <c r="W3">
        <v>1</v>
      </c>
      <c r="X3" t="s">
        <v>41</v>
      </c>
    </row>
    <row r="4" spans="1:24" x14ac:dyDescent="0.4">
      <c r="A4">
        <v>1</v>
      </c>
      <c r="B4" t="s">
        <v>41</v>
      </c>
      <c r="C4">
        <v>1</v>
      </c>
      <c r="D4" t="s">
        <v>42</v>
      </c>
      <c r="E4">
        <v>1</v>
      </c>
      <c r="G4">
        <v>1</v>
      </c>
      <c r="H4" t="s">
        <v>41</v>
      </c>
      <c r="J4" t="s">
        <v>46</v>
      </c>
      <c r="K4" t="b">
        <v>0</v>
      </c>
      <c r="N4">
        <v>1</v>
      </c>
      <c r="O4" t="s">
        <v>41</v>
      </c>
      <c r="P4">
        <v>1</v>
      </c>
      <c r="R4">
        <v>1</v>
      </c>
      <c r="T4">
        <v>1</v>
      </c>
      <c r="U4" t="s">
        <v>41</v>
      </c>
      <c r="W4">
        <v>1</v>
      </c>
      <c r="X4" t="s">
        <v>41</v>
      </c>
    </row>
    <row r="5" spans="1:24" x14ac:dyDescent="0.4">
      <c r="A5">
        <v>1</v>
      </c>
      <c r="B5" t="s">
        <v>41</v>
      </c>
      <c r="C5">
        <v>1</v>
      </c>
      <c r="D5" t="s">
        <v>42</v>
      </c>
      <c r="E5">
        <v>1</v>
      </c>
      <c r="G5">
        <v>1</v>
      </c>
      <c r="H5" t="s">
        <v>41</v>
      </c>
      <c r="J5" t="s">
        <v>47</v>
      </c>
      <c r="K5" t="b">
        <v>0</v>
      </c>
      <c r="N5">
        <v>1</v>
      </c>
      <c r="O5" t="s">
        <v>41</v>
      </c>
      <c r="P5">
        <v>1</v>
      </c>
      <c r="R5">
        <v>1</v>
      </c>
      <c r="T5">
        <v>1</v>
      </c>
      <c r="U5" t="s">
        <v>41</v>
      </c>
      <c r="W5">
        <v>1</v>
      </c>
      <c r="X5" t="s">
        <v>41</v>
      </c>
    </row>
    <row r="6" spans="1:24" x14ac:dyDescent="0.4">
      <c r="A6">
        <v>1</v>
      </c>
      <c r="B6" t="s">
        <v>41</v>
      </c>
      <c r="E6">
        <v>1</v>
      </c>
      <c r="G6">
        <v>1</v>
      </c>
      <c r="H6" t="s">
        <v>43</v>
      </c>
      <c r="J6" t="s">
        <v>48</v>
      </c>
      <c r="K6" t="b">
        <v>0</v>
      </c>
      <c r="N6">
        <v>1</v>
      </c>
      <c r="O6" t="s">
        <v>41</v>
      </c>
      <c r="R6">
        <v>1</v>
      </c>
      <c r="T6">
        <v>1</v>
      </c>
      <c r="U6" t="s">
        <v>22</v>
      </c>
      <c r="W6">
        <v>1</v>
      </c>
      <c r="X6" t="s">
        <v>22</v>
      </c>
    </row>
    <row r="7" spans="1:24" x14ac:dyDescent="0.4">
      <c r="A7">
        <v>1</v>
      </c>
      <c r="B7" t="s">
        <v>41</v>
      </c>
      <c r="E7">
        <v>1</v>
      </c>
      <c r="G7">
        <v>1</v>
      </c>
      <c r="H7" t="s">
        <v>41</v>
      </c>
      <c r="J7" t="s">
        <v>38</v>
      </c>
      <c r="K7" t="b">
        <v>0</v>
      </c>
      <c r="N7">
        <v>1</v>
      </c>
      <c r="O7" t="s">
        <v>41</v>
      </c>
      <c r="R7">
        <v>1</v>
      </c>
      <c r="T7">
        <v>1</v>
      </c>
      <c r="U7" t="s">
        <v>41</v>
      </c>
      <c r="W7">
        <v>1</v>
      </c>
      <c r="X7" t="s">
        <v>41</v>
      </c>
    </row>
    <row r="8" spans="1:24" x14ac:dyDescent="0.4">
      <c r="A8">
        <v>1</v>
      </c>
      <c r="B8" t="s">
        <v>41</v>
      </c>
      <c r="G8">
        <v>1</v>
      </c>
      <c r="H8" t="s">
        <v>41</v>
      </c>
      <c r="J8" t="s">
        <v>50</v>
      </c>
      <c r="K8" t="b">
        <v>0</v>
      </c>
      <c r="N8">
        <v>1</v>
      </c>
      <c r="O8" t="s">
        <v>41</v>
      </c>
      <c r="T8">
        <v>1</v>
      </c>
      <c r="U8" t="s">
        <v>41</v>
      </c>
      <c r="W8">
        <v>1</v>
      </c>
      <c r="X8" t="s">
        <v>41</v>
      </c>
    </row>
    <row r="9" spans="1:24" x14ac:dyDescent="0.4">
      <c r="A9">
        <v>1</v>
      </c>
      <c r="B9" t="s">
        <v>41</v>
      </c>
      <c r="G9">
        <v>1</v>
      </c>
      <c r="H9" t="s">
        <v>41</v>
      </c>
      <c r="J9" t="s">
        <v>51</v>
      </c>
      <c r="K9" t="b">
        <v>0</v>
      </c>
      <c r="N9">
        <v>1</v>
      </c>
      <c r="O9" t="s">
        <v>41</v>
      </c>
      <c r="T9">
        <v>1</v>
      </c>
      <c r="U9" t="s">
        <v>41</v>
      </c>
      <c r="W9">
        <v>1</v>
      </c>
      <c r="X9" t="s">
        <v>41</v>
      </c>
    </row>
    <row r="10" spans="1:24" x14ac:dyDescent="0.4">
      <c r="A10">
        <v>1</v>
      </c>
      <c r="B10" t="s">
        <v>41</v>
      </c>
      <c r="G10">
        <v>1</v>
      </c>
      <c r="H10" t="s">
        <v>41</v>
      </c>
      <c r="J10" t="s">
        <v>52</v>
      </c>
      <c r="K10" t="b">
        <v>0</v>
      </c>
      <c r="N10">
        <v>1</v>
      </c>
      <c r="O10" t="s">
        <v>41</v>
      </c>
      <c r="T10">
        <v>1</v>
      </c>
      <c r="U10" t="s">
        <v>41</v>
      </c>
      <c r="W10">
        <v>1</v>
      </c>
      <c r="X10" t="s">
        <v>41</v>
      </c>
    </row>
    <row r="11" spans="1:24" x14ac:dyDescent="0.4">
      <c r="A11">
        <v>1</v>
      </c>
      <c r="B11" t="s">
        <v>41</v>
      </c>
      <c r="G11">
        <v>1</v>
      </c>
      <c r="H11" t="s">
        <v>41</v>
      </c>
      <c r="J11" t="s">
        <v>53</v>
      </c>
      <c r="K11" t="b">
        <v>0</v>
      </c>
      <c r="N11">
        <v>1</v>
      </c>
      <c r="O11" t="s">
        <v>41</v>
      </c>
      <c r="T11">
        <v>1</v>
      </c>
      <c r="U11" t="s">
        <v>41</v>
      </c>
      <c r="W11">
        <v>1</v>
      </c>
      <c r="X11" t="s">
        <v>41</v>
      </c>
    </row>
    <row r="12" spans="1:24" x14ac:dyDescent="0.4">
      <c r="A12">
        <v>1</v>
      </c>
      <c r="B12" t="s">
        <v>41</v>
      </c>
      <c r="G12">
        <v>1</v>
      </c>
      <c r="H12" t="s">
        <v>41</v>
      </c>
      <c r="J12" t="s">
        <v>54</v>
      </c>
      <c r="K12" t="b">
        <v>0</v>
      </c>
      <c r="N12">
        <v>1</v>
      </c>
      <c r="O12" t="s">
        <v>41</v>
      </c>
      <c r="T12">
        <v>1</v>
      </c>
      <c r="U12" t="s">
        <v>41</v>
      </c>
      <c r="W12">
        <v>1</v>
      </c>
      <c r="X12" t="s">
        <v>41</v>
      </c>
    </row>
    <row r="13" spans="1:24" x14ac:dyDescent="0.4">
      <c r="A13">
        <v>1</v>
      </c>
      <c r="B13" t="s">
        <v>41</v>
      </c>
      <c r="G13">
        <v>1</v>
      </c>
      <c r="H13" t="s">
        <v>41</v>
      </c>
      <c r="J13" t="s">
        <v>55</v>
      </c>
      <c r="K13" t="b">
        <v>0</v>
      </c>
      <c r="N13">
        <v>1</v>
      </c>
      <c r="O13" t="s">
        <v>41</v>
      </c>
      <c r="T13">
        <v>1</v>
      </c>
      <c r="U13" t="s">
        <v>41</v>
      </c>
      <c r="W13">
        <v>1</v>
      </c>
      <c r="X13" t="s">
        <v>41</v>
      </c>
    </row>
    <row r="14" spans="1:24" x14ac:dyDescent="0.4">
      <c r="A14">
        <v>1</v>
      </c>
      <c r="B14" t="s">
        <v>41</v>
      </c>
      <c r="G14">
        <v>1</v>
      </c>
      <c r="H14" t="s">
        <v>41</v>
      </c>
      <c r="J14" t="s">
        <v>56</v>
      </c>
      <c r="K14" t="b">
        <v>0</v>
      </c>
      <c r="N14">
        <v>1</v>
      </c>
      <c r="O14" t="s">
        <v>41</v>
      </c>
      <c r="T14">
        <v>1</v>
      </c>
      <c r="U14" t="s">
        <v>41</v>
      </c>
      <c r="W14">
        <v>1</v>
      </c>
      <c r="X14" t="s">
        <v>41</v>
      </c>
    </row>
    <row r="15" spans="1:24" x14ac:dyDescent="0.4">
      <c r="A15">
        <v>1</v>
      </c>
      <c r="B15" t="s">
        <v>41</v>
      </c>
      <c r="G15">
        <v>1</v>
      </c>
      <c r="H15" t="s">
        <v>41</v>
      </c>
      <c r="N15">
        <v>1</v>
      </c>
      <c r="O15" t="s">
        <v>41</v>
      </c>
      <c r="T15">
        <v>1</v>
      </c>
      <c r="U15" t="s">
        <v>41</v>
      </c>
      <c r="W15">
        <v>1</v>
      </c>
      <c r="X15" t="s">
        <v>41</v>
      </c>
    </row>
    <row r="16" spans="1:24" x14ac:dyDescent="0.4">
      <c r="A16">
        <v>1</v>
      </c>
      <c r="B16" t="s">
        <v>41</v>
      </c>
      <c r="G16">
        <v>1</v>
      </c>
      <c r="H16" t="s">
        <v>41</v>
      </c>
      <c r="N16">
        <v>1</v>
      </c>
      <c r="O16" t="s">
        <v>41</v>
      </c>
      <c r="T16">
        <v>1</v>
      </c>
      <c r="U16" t="s">
        <v>41</v>
      </c>
      <c r="W16">
        <v>1</v>
      </c>
      <c r="X16" t="s">
        <v>41</v>
      </c>
    </row>
    <row r="17" spans="1:24" x14ac:dyDescent="0.4">
      <c r="A17">
        <v>1</v>
      </c>
      <c r="B17" t="s">
        <v>41</v>
      </c>
      <c r="G17">
        <v>1</v>
      </c>
      <c r="H17" t="s">
        <v>41</v>
      </c>
      <c r="N17">
        <v>1</v>
      </c>
      <c r="O17" t="s">
        <v>41</v>
      </c>
      <c r="T17">
        <v>1</v>
      </c>
      <c r="U17" t="s">
        <v>22</v>
      </c>
      <c r="W17">
        <v>1</v>
      </c>
      <c r="X17" t="s">
        <v>22</v>
      </c>
    </row>
    <row r="18" spans="1:24" x14ac:dyDescent="0.4">
      <c r="A18">
        <v>1</v>
      </c>
      <c r="B18" t="s">
        <v>41</v>
      </c>
      <c r="N18">
        <v>1</v>
      </c>
      <c r="O18" t="s">
        <v>41</v>
      </c>
    </row>
    <row r="19" spans="1:24" x14ac:dyDescent="0.4">
      <c r="A19">
        <v>1</v>
      </c>
      <c r="B19" t="s">
        <v>41</v>
      </c>
      <c r="N19">
        <v>1</v>
      </c>
      <c r="O19" t="s">
        <v>41</v>
      </c>
    </row>
    <row r="20" spans="1:24" x14ac:dyDescent="0.4">
      <c r="A20">
        <v>1</v>
      </c>
      <c r="B20" t="s">
        <v>41</v>
      </c>
      <c r="N20">
        <v>1</v>
      </c>
      <c r="O20" t="s">
        <v>41</v>
      </c>
    </row>
    <row r="21" spans="1:24" x14ac:dyDescent="0.4">
      <c r="A21">
        <v>1</v>
      </c>
      <c r="B21" t="s">
        <v>41</v>
      </c>
      <c r="N21">
        <v>1</v>
      </c>
      <c r="O21" t="s">
        <v>41</v>
      </c>
    </row>
    <row r="22" spans="1:24" x14ac:dyDescent="0.4">
      <c r="A22">
        <v>1</v>
      </c>
      <c r="B22" t="s">
        <v>41</v>
      </c>
      <c r="N22">
        <v>1</v>
      </c>
      <c r="O22" t="s">
        <v>41</v>
      </c>
    </row>
    <row r="23" spans="1:24" x14ac:dyDescent="0.4">
      <c r="A23">
        <v>1</v>
      </c>
      <c r="B23" t="s">
        <v>41</v>
      </c>
      <c r="N23">
        <v>1</v>
      </c>
      <c r="O23" t="s">
        <v>41</v>
      </c>
    </row>
    <row r="24" spans="1:24" x14ac:dyDescent="0.4">
      <c r="A24">
        <v>1</v>
      </c>
      <c r="B24" t="s">
        <v>41</v>
      </c>
      <c r="N24">
        <v>1</v>
      </c>
      <c r="O24" t="s">
        <v>41</v>
      </c>
    </row>
    <row r="25" spans="1:24" x14ac:dyDescent="0.4">
      <c r="A25">
        <v>1</v>
      </c>
      <c r="B25" t="s">
        <v>41</v>
      </c>
      <c r="N25">
        <v>1</v>
      </c>
      <c r="O25" t="s">
        <v>41</v>
      </c>
    </row>
    <row r="26" spans="1:24" x14ac:dyDescent="0.4">
      <c r="A26">
        <v>1</v>
      </c>
      <c r="B26" t="s">
        <v>41</v>
      </c>
      <c r="N26">
        <v>1</v>
      </c>
      <c r="O26" t="s">
        <v>41</v>
      </c>
    </row>
    <row r="27" spans="1:24" x14ac:dyDescent="0.4">
      <c r="A27">
        <v>1</v>
      </c>
      <c r="B27" t="s">
        <v>41</v>
      </c>
      <c r="N27">
        <v>1</v>
      </c>
      <c r="O27" t="s">
        <v>41</v>
      </c>
    </row>
    <row r="28" spans="1:24" x14ac:dyDescent="0.4">
      <c r="A28">
        <v>1</v>
      </c>
      <c r="B28" t="s">
        <v>41</v>
      </c>
      <c r="N28">
        <v>1</v>
      </c>
      <c r="O28" t="s">
        <v>41</v>
      </c>
    </row>
    <row r="29" spans="1:24" x14ac:dyDescent="0.4">
      <c r="A29">
        <v>1</v>
      </c>
      <c r="B29" t="s">
        <v>41</v>
      </c>
      <c r="N29">
        <v>1</v>
      </c>
      <c r="O29" t="s">
        <v>41</v>
      </c>
    </row>
    <row r="30" spans="1:24" x14ac:dyDescent="0.4">
      <c r="A30">
        <v>1</v>
      </c>
      <c r="B30" t="s">
        <v>41</v>
      </c>
      <c r="N30">
        <v>1</v>
      </c>
      <c r="O30" t="s">
        <v>41</v>
      </c>
    </row>
    <row r="31" spans="1:24" x14ac:dyDescent="0.4">
      <c r="A31">
        <v>1</v>
      </c>
      <c r="B31" t="s">
        <v>41</v>
      </c>
      <c r="N31">
        <v>1</v>
      </c>
      <c r="O31" t="s">
        <v>41</v>
      </c>
    </row>
    <row r="32" spans="1:24" x14ac:dyDescent="0.4">
      <c r="A32">
        <v>1</v>
      </c>
      <c r="B32" t="s">
        <v>41</v>
      </c>
      <c r="N32">
        <v>1</v>
      </c>
      <c r="O32" t="s">
        <v>41</v>
      </c>
    </row>
    <row r="33" spans="1:15" x14ac:dyDescent="0.4">
      <c r="A33">
        <v>1</v>
      </c>
      <c r="B33" t="s">
        <v>41</v>
      </c>
      <c r="N33">
        <v>1</v>
      </c>
      <c r="O33" t="s">
        <v>41</v>
      </c>
    </row>
    <row r="34" spans="1:15" x14ac:dyDescent="0.4">
      <c r="A34">
        <v>1</v>
      </c>
      <c r="B34" t="s">
        <v>41</v>
      </c>
      <c r="N34">
        <v>1</v>
      </c>
      <c r="O34" t="s">
        <v>41</v>
      </c>
    </row>
    <row r="35" spans="1:15" x14ac:dyDescent="0.4">
      <c r="A35">
        <v>1</v>
      </c>
      <c r="B35" t="s">
        <v>41</v>
      </c>
      <c r="N35">
        <v>1</v>
      </c>
      <c r="O35" t="s">
        <v>41</v>
      </c>
    </row>
    <row r="36" spans="1:15" x14ac:dyDescent="0.4">
      <c r="A36">
        <v>1</v>
      </c>
      <c r="B36" t="s">
        <v>41</v>
      </c>
      <c r="N36">
        <v>1</v>
      </c>
      <c r="O36" t="s">
        <v>41</v>
      </c>
    </row>
    <row r="37" spans="1:15" x14ac:dyDescent="0.4">
      <c r="A37">
        <v>1</v>
      </c>
      <c r="B37" t="s">
        <v>41</v>
      </c>
      <c r="N37">
        <v>1</v>
      </c>
      <c r="O37" t="s">
        <v>41</v>
      </c>
    </row>
    <row r="38" spans="1:15" x14ac:dyDescent="0.4">
      <c r="A38">
        <v>1</v>
      </c>
      <c r="B38" t="s">
        <v>41</v>
      </c>
      <c r="N38">
        <v>1</v>
      </c>
      <c r="O38" t="s">
        <v>41</v>
      </c>
    </row>
    <row r="39" spans="1:15" x14ac:dyDescent="0.4">
      <c r="A39">
        <v>1</v>
      </c>
      <c r="B39" t="s">
        <v>41</v>
      </c>
      <c r="N39">
        <v>1</v>
      </c>
      <c r="O39" t="s">
        <v>41</v>
      </c>
    </row>
    <row r="40" spans="1:15" x14ac:dyDescent="0.4">
      <c r="A40">
        <v>1</v>
      </c>
      <c r="B40" t="s">
        <v>41</v>
      </c>
      <c r="N40">
        <v>1</v>
      </c>
      <c r="O40" t="s">
        <v>41</v>
      </c>
    </row>
    <row r="41" spans="1:15" x14ac:dyDescent="0.4">
      <c r="A41">
        <v>1</v>
      </c>
      <c r="B41" t="s">
        <v>41</v>
      </c>
      <c r="N41">
        <v>1</v>
      </c>
      <c r="O41" t="s">
        <v>41</v>
      </c>
    </row>
    <row r="42" spans="1:15" x14ac:dyDescent="0.4">
      <c r="A42">
        <v>1</v>
      </c>
      <c r="B42" t="s">
        <v>41</v>
      </c>
      <c r="N42">
        <v>1</v>
      </c>
      <c r="O42" t="s">
        <v>41</v>
      </c>
    </row>
    <row r="43" spans="1:15" x14ac:dyDescent="0.4">
      <c r="A43">
        <v>1</v>
      </c>
      <c r="B43" t="s">
        <v>41</v>
      </c>
      <c r="N43">
        <v>1</v>
      </c>
      <c r="O43" t="s">
        <v>41</v>
      </c>
    </row>
    <row r="44" spans="1:15" x14ac:dyDescent="0.4">
      <c r="A44">
        <v>1</v>
      </c>
      <c r="B44" t="s">
        <v>41</v>
      </c>
      <c r="N44">
        <v>1</v>
      </c>
      <c r="O44" t="s">
        <v>41</v>
      </c>
    </row>
    <row r="45" spans="1:15" x14ac:dyDescent="0.4">
      <c r="A45">
        <v>1</v>
      </c>
      <c r="B45" t="s">
        <v>41</v>
      </c>
      <c r="N45">
        <v>1</v>
      </c>
      <c r="O45" t="s">
        <v>41</v>
      </c>
    </row>
    <row r="46" spans="1:15" x14ac:dyDescent="0.4">
      <c r="A46">
        <v>1</v>
      </c>
      <c r="B46" t="s">
        <v>41</v>
      </c>
      <c r="N46">
        <v>1</v>
      </c>
      <c r="O46" t="s">
        <v>41</v>
      </c>
    </row>
    <row r="47" spans="1:15" x14ac:dyDescent="0.4">
      <c r="A47">
        <v>1</v>
      </c>
      <c r="B47" t="s">
        <v>41</v>
      </c>
      <c r="N47">
        <v>1</v>
      </c>
      <c r="O47" t="s">
        <v>41</v>
      </c>
    </row>
    <row r="48" spans="1:15" x14ac:dyDescent="0.4">
      <c r="A48">
        <v>1</v>
      </c>
      <c r="B48" t="s">
        <v>41</v>
      </c>
      <c r="N48">
        <v>1</v>
      </c>
      <c r="O48" t="s">
        <v>41</v>
      </c>
    </row>
    <row r="49" spans="1:15" x14ac:dyDescent="0.4">
      <c r="A49">
        <v>1</v>
      </c>
      <c r="B49" t="s">
        <v>41</v>
      </c>
      <c r="N49">
        <v>1</v>
      </c>
      <c r="O49" t="s">
        <v>41</v>
      </c>
    </row>
    <row r="50" spans="1:15" x14ac:dyDescent="0.4">
      <c r="A50">
        <v>1</v>
      </c>
      <c r="B50" t="s">
        <v>41</v>
      </c>
      <c r="N50">
        <v>1</v>
      </c>
      <c r="O50" t="s">
        <v>41</v>
      </c>
    </row>
    <row r="65" spans="1:2" x14ac:dyDescent="0.4">
      <c r="A65">
        <v>1</v>
      </c>
      <c r="B65" t="s">
        <v>44</v>
      </c>
    </row>
    <row r="66" spans="1:2" x14ac:dyDescent="0.4">
      <c r="A66">
        <v>1</v>
      </c>
      <c r="B66" t="s">
        <v>41</v>
      </c>
    </row>
    <row r="68" spans="1:2" x14ac:dyDescent="0.4">
      <c r="A68">
        <v>1</v>
      </c>
      <c r="B68" t="s">
        <v>41</v>
      </c>
    </row>
    <row r="70" spans="1:2" x14ac:dyDescent="0.4">
      <c r="A70">
        <v>1</v>
      </c>
      <c r="B70" t="s">
        <v>41</v>
      </c>
    </row>
    <row r="71" spans="1:2" x14ac:dyDescent="0.4">
      <c r="A71">
        <v>1</v>
      </c>
      <c r="B71" t="s">
        <v>41</v>
      </c>
    </row>
    <row r="72" spans="1:2" x14ac:dyDescent="0.4">
      <c r="A72">
        <v>1</v>
      </c>
      <c r="B72" t="s">
        <v>41</v>
      </c>
    </row>
    <row r="74" spans="1:2" x14ac:dyDescent="0.4">
      <c r="A74">
        <v>1</v>
      </c>
      <c r="B74" t="s">
        <v>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2:V1970"/>
  <sheetViews>
    <sheetView showGridLines="0" tabSelected="1" view="pageBreakPreview" topLeftCell="A232" zoomScaleNormal="100" zoomScaleSheetLayoutView="100" zoomScalePageLayoutView="40" workbookViewId="0">
      <selection activeCell="J251" sqref="J251"/>
    </sheetView>
  </sheetViews>
  <sheetFormatPr defaultColWidth="9" defaultRowHeight="15.6" x14ac:dyDescent="0.4"/>
  <cols>
    <col min="1" max="5" width="13" style="38" customWidth="1"/>
    <col min="6" max="6" width="12.19921875" style="38" customWidth="1"/>
    <col min="7" max="7" width="11.69921875" style="38" customWidth="1"/>
    <col min="8" max="8" width="11.19921875" style="38" customWidth="1"/>
    <col min="9" max="9" width="10.5" style="38" customWidth="1"/>
    <col min="10" max="13" width="11.5" style="38" customWidth="1"/>
    <col min="14" max="14" width="11.5" style="6" customWidth="1"/>
    <col min="15" max="15" width="11.5" style="2" customWidth="1"/>
    <col min="16" max="16" width="19.59765625" style="2" bestFit="1" customWidth="1"/>
    <col min="17" max="21" width="9" style="2"/>
    <col min="22" max="22" width="9" style="2" hidden="1" customWidth="1"/>
    <col min="23" max="16384" width="9" style="2"/>
  </cols>
  <sheetData>
    <row r="2" spans="1:14" x14ac:dyDescent="0.4">
      <c r="A2" s="58" t="s">
        <v>158</v>
      </c>
      <c r="B2" s="59"/>
      <c r="C2" s="59"/>
      <c r="D2" s="59"/>
      <c r="E2" s="59"/>
      <c r="F2" s="59"/>
      <c r="G2" s="59"/>
      <c r="H2" s="60"/>
      <c r="I2" s="54" t="s">
        <v>3</v>
      </c>
      <c r="J2" s="54"/>
      <c r="K2" s="54"/>
      <c r="L2" s="7"/>
      <c r="M2" s="7"/>
      <c r="N2" s="8"/>
    </row>
    <row r="3" spans="1:14" x14ac:dyDescent="0.4">
      <c r="A3" s="61"/>
      <c r="B3" s="62"/>
      <c r="C3" s="62"/>
      <c r="D3" s="62"/>
      <c r="E3" s="62"/>
      <c r="F3" s="62"/>
      <c r="G3" s="62"/>
      <c r="H3" s="63"/>
      <c r="I3" s="54" t="s">
        <v>4</v>
      </c>
      <c r="J3" s="54"/>
      <c r="K3" s="54"/>
      <c r="L3" s="7"/>
      <c r="M3" s="7"/>
      <c r="N3" s="8"/>
    </row>
    <row r="4" spans="1:14" x14ac:dyDescent="0.4">
      <c r="A4" s="64"/>
      <c r="B4" s="65"/>
      <c r="C4" s="65"/>
      <c r="D4" s="65"/>
      <c r="E4" s="65"/>
      <c r="F4" s="65"/>
      <c r="G4" s="65"/>
      <c r="H4" s="66"/>
      <c r="I4" s="54" t="s">
        <v>0</v>
      </c>
      <c r="J4" s="54"/>
      <c r="K4" s="54"/>
      <c r="L4" s="9"/>
      <c r="M4" s="9"/>
      <c r="N4" s="8"/>
    </row>
    <row r="5" spans="1:14" x14ac:dyDescent="0.4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4" x14ac:dyDescent="0.4">
      <c r="A6" s="53" t="s">
        <v>14</v>
      </c>
      <c r="B6" s="55" t="s">
        <v>34</v>
      </c>
      <c r="C6" s="71" t="s">
        <v>152</v>
      </c>
      <c r="D6" s="71" t="s">
        <v>153</v>
      </c>
      <c r="E6" s="71" t="s">
        <v>145</v>
      </c>
      <c r="F6" s="53" t="s">
        <v>1</v>
      </c>
      <c r="G6" s="53"/>
      <c r="H6" s="57" t="s">
        <v>15</v>
      </c>
      <c r="I6" s="57" t="s">
        <v>16</v>
      </c>
      <c r="J6" s="53" t="s">
        <v>17</v>
      </c>
      <c r="K6" s="67" t="s">
        <v>84</v>
      </c>
      <c r="L6" s="68"/>
      <c r="M6" s="53" t="s">
        <v>20</v>
      </c>
      <c r="N6" s="8"/>
    </row>
    <row r="7" spans="1:14" x14ac:dyDescent="0.4">
      <c r="A7" s="53"/>
      <c r="B7" s="55"/>
      <c r="C7" s="72"/>
      <c r="D7" s="72"/>
      <c r="E7" s="72"/>
      <c r="F7" s="53" t="s">
        <v>18</v>
      </c>
      <c r="G7" s="53" t="s">
        <v>2</v>
      </c>
      <c r="H7" s="57"/>
      <c r="I7" s="57"/>
      <c r="J7" s="53"/>
      <c r="K7" s="69"/>
      <c r="L7" s="70"/>
      <c r="M7" s="53"/>
      <c r="N7" s="8"/>
    </row>
    <row r="8" spans="1:14" x14ac:dyDescent="0.4">
      <c r="A8" s="53"/>
      <c r="B8" s="56"/>
      <c r="C8" s="73"/>
      <c r="D8" s="73"/>
      <c r="E8" s="73"/>
      <c r="F8" s="53"/>
      <c r="G8" s="53"/>
      <c r="H8" s="57"/>
      <c r="I8" s="57"/>
      <c r="J8" s="53"/>
      <c r="K8" s="42" t="s">
        <v>85</v>
      </c>
      <c r="L8" s="42" t="s">
        <v>86</v>
      </c>
      <c r="M8" s="53"/>
      <c r="N8" s="8"/>
    </row>
    <row r="9" spans="1:14" x14ac:dyDescent="0.4">
      <c r="A9" s="11" t="s">
        <v>11</v>
      </c>
      <c r="B9" s="40"/>
      <c r="C9" s="40"/>
      <c r="D9" s="40"/>
      <c r="E9" s="40"/>
      <c r="F9" s="13"/>
      <c r="G9" s="11"/>
      <c r="H9" s="13"/>
      <c r="I9" s="14">
        <v>123</v>
      </c>
      <c r="J9" s="13"/>
      <c r="K9" s="15">
        <f>ROUND((10^(J9/10))/(10^(H9/10)),3)</f>
        <v>1</v>
      </c>
      <c r="L9" s="15"/>
      <c r="M9" s="15">
        <f t="shared" ref="M9:M20" si="0">I9*K9</f>
        <v>123</v>
      </c>
      <c r="N9" s="8"/>
    </row>
    <row r="10" spans="1:14" x14ac:dyDescent="0.4">
      <c r="A10" s="11" t="s">
        <v>11</v>
      </c>
      <c r="B10" s="40"/>
      <c r="C10" s="40"/>
      <c r="D10" s="40"/>
      <c r="E10" s="40"/>
      <c r="F10" s="13"/>
      <c r="G10" s="11"/>
      <c r="H10" s="13"/>
      <c r="I10" s="14"/>
      <c r="J10" s="13"/>
      <c r="K10" s="15">
        <f t="shared" ref="K10:K20" si="1">ROUND((10^(J10/10))/(10^(H10/10)),3)</f>
        <v>1</v>
      </c>
      <c r="L10" s="15"/>
      <c r="M10" s="15">
        <f t="shared" si="0"/>
        <v>0</v>
      </c>
      <c r="N10" s="8"/>
    </row>
    <row r="11" spans="1:14" x14ac:dyDescent="0.4">
      <c r="A11" s="11" t="s">
        <v>11</v>
      </c>
      <c r="B11" s="40"/>
      <c r="C11" s="40"/>
      <c r="D11" s="40"/>
      <c r="E11" s="40"/>
      <c r="F11" s="13"/>
      <c r="G11" s="11"/>
      <c r="H11" s="13"/>
      <c r="I11" s="14"/>
      <c r="J11" s="13"/>
      <c r="K11" s="15">
        <f t="shared" si="1"/>
        <v>1</v>
      </c>
      <c r="L11" s="15"/>
      <c r="M11" s="15">
        <f t="shared" si="0"/>
        <v>0</v>
      </c>
      <c r="N11" s="8"/>
    </row>
    <row r="12" spans="1:14" x14ac:dyDescent="0.4">
      <c r="A12" s="11" t="s">
        <v>13</v>
      </c>
      <c r="B12" s="40">
        <f t="shared" ref="B12" si="2">B9</f>
        <v>0</v>
      </c>
      <c r="C12" s="40"/>
      <c r="D12" s="40"/>
      <c r="E12" s="40">
        <f t="shared" ref="E12:G12" si="3">E9</f>
        <v>0</v>
      </c>
      <c r="F12" s="13">
        <f t="shared" si="3"/>
        <v>0</v>
      </c>
      <c r="G12" s="40">
        <f t="shared" si="3"/>
        <v>0</v>
      </c>
      <c r="H12" s="13">
        <f>H9</f>
        <v>0</v>
      </c>
      <c r="I12" s="16">
        <v>123</v>
      </c>
      <c r="J12" s="13">
        <f t="shared" ref="J12:J14" si="4">J9</f>
        <v>0</v>
      </c>
      <c r="K12" s="15">
        <f t="shared" si="1"/>
        <v>1</v>
      </c>
      <c r="L12" s="15"/>
      <c r="M12" s="15">
        <f t="shared" si="0"/>
        <v>123</v>
      </c>
      <c r="N12" s="8"/>
    </row>
    <row r="13" spans="1:14" x14ac:dyDescent="0.4">
      <c r="A13" s="11" t="s">
        <v>13</v>
      </c>
      <c r="B13" s="40">
        <f t="shared" ref="B13" si="5">B10</f>
        <v>0</v>
      </c>
      <c r="C13" s="40"/>
      <c r="D13" s="40"/>
      <c r="E13" s="40">
        <f t="shared" ref="E13:H13" si="6">E10</f>
        <v>0</v>
      </c>
      <c r="F13" s="13">
        <f t="shared" si="6"/>
        <v>0</v>
      </c>
      <c r="G13" s="40">
        <f t="shared" si="6"/>
        <v>0</v>
      </c>
      <c r="H13" s="13">
        <f t="shared" si="6"/>
        <v>0</v>
      </c>
      <c r="I13" s="16"/>
      <c r="J13" s="13">
        <f t="shared" si="4"/>
        <v>0</v>
      </c>
      <c r="K13" s="15">
        <f t="shared" si="1"/>
        <v>1</v>
      </c>
      <c r="L13" s="15"/>
      <c r="M13" s="15">
        <f t="shared" si="0"/>
        <v>0</v>
      </c>
      <c r="N13" s="8"/>
    </row>
    <row r="14" spans="1:14" x14ac:dyDescent="0.4">
      <c r="A14" s="11" t="s">
        <v>13</v>
      </c>
      <c r="B14" s="40">
        <f t="shared" ref="B14" si="7">B11</f>
        <v>0</v>
      </c>
      <c r="C14" s="40"/>
      <c r="D14" s="40"/>
      <c r="E14" s="40">
        <f t="shared" ref="E14:H14" si="8">E11</f>
        <v>0</v>
      </c>
      <c r="F14" s="13">
        <f t="shared" si="8"/>
        <v>0</v>
      </c>
      <c r="G14" s="40">
        <f t="shared" si="8"/>
        <v>0</v>
      </c>
      <c r="H14" s="13">
        <f t="shared" si="8"/>
        <v>0</v>
      </c>
      <c r="I14" s="16"/>
      <c r="J14" s="13">
        <f t="shared" si="4"/>
        <v>0</v>
      </c>
      <c r="K14" s="15">
        <f t="shared" si="1"/>
        <v>1</v>
      </c>
      <c r="L14" s="15"/>
      <c r="M14" s="15">
        <f t="shared" si="0"/>
        <v>0</v>
      </c>
      <c r="N14" s="8"/>
    </row>
    <row r="15" spans="1:14" x14ac:dyDescent="0.4">
      <c r="A15" s="11" t="s">
        <v>12</v>
      </c>
      <c r="B15" s="40">
        <f t="shared" ref="B15:J20" ca="1" si="9">OFFSET(B15,-6,0)</f>
        <v>0</v>
      </c>
      <c r="C15" s="40"/>
      <c r="D15" s="40"/>
      <c r="E15" s="40">
        <f t="shared" ca="1" si="9"/>
        <v>0</v>
      </c>
      <c r="F15" s="13">
        <f t="shared" ca="1" si="9"/>
        <v>0</v>
      </c>
      <c r="G15" s="17">
        <f t="shared" ca="1" si="9"/>
        <v>0</v>
      </c>
      <c r="H15" s="13">
        <f t="shared" ca="1" si="9"/>
        <v>0</v>
      </c>
      <c r="I15" s="16">
        <v>123</v>
      </c>
      <c r="J15" s="13">
        <f t="shared" ca="1" si="9"/>
        <v>0</v>
      </c>
      <c r="K15" s="15">
        <f t="shared" ca="1" si="1"/>
        <v>1</v>
      </c>
      <c r="L15" s="15"/>
      <c r="M15" s="15">
        <f t="shared" ca="1" si="0"/>
        <v>123</v>
      </c>
      <c r="N15" s="8"/>
    </row>
    <row r="16" spans="1:14" x14ac:dyDescent="0.4">
      <c r="A16" s="11" t="s">
        <v>12</v>
      </c>
      <c r="B16" s="40">
        <f t="shared" ca="1" si="9"/>
        <v>0</v>
      </c>
      <c r="C16" s="40"/>
      <c r="D16" s="40"/>
      <c r="E16" s="40">
        <f t="shared" ca="1" si="9"/>
        <v>0</v>
      </c>
      <c r="F16" s="13">
        <f t="shared" ca="1" si="9"/>
        <v>0</v>
      </c>
      <c r="G16" s="17">
        <f t="shared" ca="1" si="9"/>
        <v>0</v>
      </c>
      <c r="H16" s="13">
        <f t="shared" ca="1" si="9"/>
        <v>0</v>
      </c>
      <c r="I16" s="16"/>
      <c r="J16" s="13">
        <f t="shared" ca="1" si="9"/>
        <v>0</v>
      </c>
      <c r="K16" s="15">
        <f t="shared" ca="1" si="1"/>
        <v>1</v>
      </c>
      <c r="L16" s="15"/>
      <c r="M16" s="15">
        <f t="shared" ca="1" si="0"/>
        <v>0</v>
      </c>
      <c r="N16" s="8"/>
    </row>
    <row r="17" spans="1:14" x14ac:dyDescent="0.4">
      <c r="A17" s="11" t="s">
        <v>12</v>
      </c>
      <c r="B17" s="40">
        <f t="shared" ca="1" si="9"/>
        <v>0</v>
      </c>
      <c r="C17" s="40"/>
      <c r="D17" s="40"/>
      <c r="E17" s="40">
        <f t="shared" ca="1" si="9"/>
        <v>0</v>
      </c>
      <c r="F17" s="13">
        <f t="shared" ca="1" si="9"/>
        <v>0</v>
      </c>
      <c r="G17" s="17">
        <f t="shared" ca="1" si="9"/>
        <v>0</v>
      </c>
      <c r="H17" s="13">
        <f t="shared" ca="1" si="9"/>
        <v>0</v>
      </c>
      <c r="I17" s="16"/>
      <c r="J17" s="13">
        <f t="shared" ca="1" si="9"/>
        <v>0</v>
      </c>
      <c r="K17" s="15">
        <f t="shared" ca="1" si="1"/>
        <v>1</v>
      </c>
      <c r="L17" s="15"/>
      <c r="M17" s="15">
        <f t="shared" ca="1" si="0"/>
        <v>0</v>
      </c>
      <c r="N17" s="8"/>
    </row>
    <row r="18" spans="1:14" x14ac:dyDescent="0.4">
      <c r="A18" s="11" t="s">
        <v>21</v>
      </c>
      <c r="B18" s="40">
        <f t="shared" ca="1" si="9"/>
        <v>0</v>
      </c>
      <c r="C18" s="40"/>
      <c r="D18" s="40"/>
      <c r="E18" s="40">
        <f t="shared" ca="1" si="9"/>
        <v>0</v>
      </c>
      <c r="F18" s="13">
        <f t="shared" ca="1" si="9"/>
        <v>0</v>
      </c>
      <c r="G18" s="17">
        <f t="shared" ca="1" si="9"/>
        <v>0</v>
      </c>
      <c r="H18" s="13">
        <f t="shared" ca="1" si="9"/>
        <v>0</v>
      </c>
      <c r="I18" s="16"/>
      <c r="J18" s="13">
        <f t="shared" ca="1" si="9"/>
        <v>0</v>
      </c>
      <c r="K18" s="15">
        <f t="shared" ca="1" si="1"/>
        <v>1</v>
      </c>
      <c r="L18" s="15"/>
      <c r="M18" s="15">
        <f t="shared" ca="1" si="0"/>
        <v>0</v>
      </c>
      <c r="N18" s="8"/>
    </row>
    <row r="19" spans="1:14" x14ac:dyDescent="0.4">
      <c r="A19" s="11" t="s">
        <v>21</v>
      </c>
      <c r="B19" s="40">
        <f t="shared" ca="1" si="9"/>
        <v>0</v>
      </c>
      <c r="C19" s="40"/>
      <c r="D19" s="40"/>
      <c r="E19" s="40">
        <f t="shared" ca="1" si="9"/>
        <v>0</v>
      </c>
      <c r="F19" s="13">
        <f t="shared" ca="1" si="9"/>
        <v>0</v>
      </c>
      <c r="G19" s="17">
        <f t="shared" ca="1" si="9"/>
        <v>0</v>
      </c>
      <c r="H19" s="13">
        <f t="shared" ca="1" si="9"/>
        <v>0</v>
      </c>
      <c r="I19" s="16"/>
      <c r="J19" s="13">
        <f t="shared" ca="1" si="9"/>
        <v>0</v>
      </c>
      <c r="K19" s="15">
        <f t="shared" ca="1" si="1"/>
        <v>1</v>
      </c>
      <c r="L19" s="15"/>
      <c r="M19" s="15">
        <f t="shared" ca="1" si="0"/>
        <v>0</v>
      </c>
      <c r="N19" s="8"/>
    </row>
    <row r="20" spans="1:14" x14ac:dyDescent="0.4">
      <c r="A20" s="11" t="s">
        <v>21</v>
      </c>
      <c r="B20" s="40">
        <f t="shared" ca="1" si="9"/>
        <v>0</v>
      </c>
      <c r="C20" s="40"/>
      <c r="D20" s="40"/>
      <c r="E20" s="40">
        <f t="shared" ca="1" si="9"/>
        <v>0</v>
      </c>
      <c r="F20" s="13">
        <f t="shared" ca="1" si="9"/>
        <v>0</v>
      </c>
      <c r="G20" s="17">
        <f t="shared" ca="1" si="9"/>
        <v>0</v>
      </c>
      <c r="H20" s="13">
        <f t="shared" ca="1" si="9"/>
        <v>0</v>
      </c>
      <c r="I20" s="16"/>
      <c r="J20" s="13">
        <f t="shared" ca="1" si="9"/>
        <v>0</v>
      </c>
      <c r="K20" s="15">
        <f t="shared" ca="1" si="1"/>
        <v>1</v>
      </c>
      <c r="L20" s="15"/>
      <c r="M20" s="15">
        <f t="shared" ca="1" si="0"/>
        <v>0</v>
      </c>
      <c r="N20" s="8"/>
    </row>
    <row r="21" spans="1:14" x14ac:dyDescent="0.4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2" spans="1:14" x14ac:dyDescent="0.4">
      <c r="A22" s="58" t="s">
        <v>165</v>
      </c>
      <c r="B22" s="59"/>
      <c r="C22" s="59"/>
      <c r="D22" s="59"/>
      <c r="E22" s="59"/>
      <c r="F22" s="59"/>
      <c r="G22" s="59"/>
      <c r="H22" s="59"/>
      <c r="I22" s="60"/>
      <c r="J22" s="54" t="s">
        <v>3</v>
      </c>
      <c r="K22" s="54"/>
      <c r="L22" s="54"/>
      <c r="M22" s="7"/>
      <c r="N22" s="7"/>
    </row>
    <row r="23" spans="1:14" x14ac:dyDescent="0.4">
      <c r="A23" s="61"/>
      <c r="B23" s="62"/>
      <c r="C23" s="62"/>
      <c r="D23" s="62"/>
      <c r="E23" s="62"/>
      <c r="F23" s="62"/>
      <c r="G23" s="62"/>
      <c r="H23" s="62"/>
      <c r="I23" s="63"/>
      <c r="J23" s="54" t="s">
        <v>4</v>
      </c>
      <c r="K23" s="54"/>
      <c r="L23" s="54"/>
      <c r="M23" s="7"/>
      <c r="N23" s="7"/>
    </row>
    <row r="24" spans="1:14" x14ac:dyDescent="0.4">
      <c r="A24" s="64"/>
      <c r="B24" s="65"/>
      <c r="C24" s="65"/>
      <c r="D24" s="65"/>
      <c r="E24" s="65"/>
      <c r="F24" s="65"/>
      <c r="G24" s="65"/>
      <c r="H24" s="65"/>
      <c r="I24" s="66"/>
      <c r="J24" s="54" t="s">
        <v>0</v>
      </c>
      <c r="K24" s="54"/>
      <c r="L24" s="54"/>
      <c r="M24" s="9"/>
      <c r="N24" s="9"/>
    </row>
    <row r="25" spans="1:14" x14ac:dyDescent="0.4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</row>
    <row r="26" spans="1:14" x14ac:dyDescent="0.4">
      <c r="A26" s="53" t="s">
        <v>14</v>
      </c>
      <c r="B26" s="55" t="s">
        <v>33</v>
      </c>
      <c r="C26" s="71" t="s">
        <v>152</v>
      </c>
      <c r="D26" s="71" t="s">
        <v>153</v>
      </c>
      <c r="E26" s="55" t="s">
        <v>145</v>
      </c>
      <c r="F26" s="53" t="s">
        <v>1</v>
      </c>
      <c r="G26" s="53"/>
      <c r="H26" s="53" t="s">
        <v>19</v>
      </c>
      <c r="I26" s="57" t="s">
        <v>15</v>
      </c>
      <c r="J26" s="57" t="s">
        <v>16</v>
      </c>
      <c r="K26" s="53" t="s">
        <v>17</v>
      </c>
      <c r="L26" s="53" t="s">
        <v>84</v>
      </c>
      <c r="M26" s="53"/>
      <c r="N26" s="53" t="s">
        <v>20</v>
      </c>
    </row>
    <row r="27" spans="1:14" x14ac:dyDescent="0.4">
      <c r="A27" s="53"/>
      <c r="B27" s="55"/>
      <c r="C27" s="72"/>
      <c r="D27" s="72"/>
      <c r="E27" s="55"/>
      <c r="F27" s="53" t="s">
        <v>18</v>
      </c>
      <c r="G27" s="53" t="s">
        <v>2</v>
      </c>
      <c r="H27" s="53"/>
      <c r="I27" s="57"/>
      <c r="J27" s="57"/>
      <c r="K27" s="53"/>
      <c r="L27" s="53"/>
      <c r="M27" s="53"/>
      <c r="N27" s="53"/>
    </row>
    <row r="28" spans="1:14" x14ac:dyDescent="0.4">
      <c r="A28" s="53"/>
      <c r="B28" s="56"/>
      <c r="C28" s="73"/>
      <c r="D28" s="73"/>
      <c r="E28" s="55"/>
      <c r="F28" s="53"/>
      <c r="G28" s="53"/>
      <c r="H28" s="53"/>
      <c r="I28" s="57"/>
      <c r="J28" s="57"/>
      <c r="K28" s="53"/>
      <c r="L28" s="42" t="s">
        <v>85</v>
      </c>
      <c r="M28" s="42" t="s">
        <v>86</v>
      </c>
      <c r="N28" s="53"/>
    </row>
    <row r="29" spans="1:14" x14ac:dyDescent="0.4">
      <c r="A29" s="74" t="s">
        <v>26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9"/>
    </row>
    <row r="30" spans="1:14" x14ac:dyDescent="0.4">
      <c r="A30" s="11" t="s">
        <v>5</v>
      </c>
      <c r="B30" s="40"/>
      <c r="C30" s="40"/>
      <c r="D30" s="40"/>
      <c r="E30" s="40"/>
      <c r="F30" s="13"/>
      <c r="G30" s="11"/>
      <c r="H30" s="17"/>
      <c r="I30" s="13"/>
      <c r="J30" s="16">
        <v>567</v>
      </c>
      <c r="K30" s="13"/>
      <c r="L30" s="15">
        <f>ROUND((10^(K30/10))/(10^(I30/10)),3)</f>
        <v>1</v>
      </c>
      <c r="M30" s="15"/>
      <c r="N30" s="15">
        <f t="shared" ref="N30:N47" si="10">J30*L30</f>
        <v>567</v>
      </c>
    </row>
    <row r="31" spans="1:14" x14ac:dyDescent="0.4">
      <c r="A31" s="11" t="s">
        <v>5</v>
      </c>
      <c r="B31" s="40"/>
      <c r="C31" s="40"/>
      <c r="D31" s="40"/>
      <c r="E31" s="40"/>
      <c r="F31" s="13"/>
      <c r="G31" s="11"/>
      <c r="H31" s="17"/>
      <c r="I31" s="13"/>
      <c r="J31" s="16"/>
      <c r="K31" s="13"/>
      <c r="L31" s="15">
        <f t="shared" ref="L31:L47" si="11">ROUND((10^(K31/10))/(10^(I31/10)),3)</f>
        <v>1</v>
      </c>
      <c r="M31" s="15"/>
      <c r="N31" s="15">
        <f t="shared" si="10"/>
        <v>0</v>
      </c>
    </row>
    <row r="32" spans="1:14" x14ac:dyDescent="0.4">
      <c r="A32" s="11" t="s">
        <v>5</v>
      </c>
      <c r="B32" s="40"/>
      <c r="C32" s="40"/>
      <c r="D32" s="40"/>
      <c r="E32" s="40"/>
      <c r="F32" s="13"/>
      <c r="G32" s="11"/>
      <c r="H32" s="17"/>
      <c r="I32" s="13"/>
      <c r="J32" s="16"/>
      <c r="K32" s="13"/>
      <c r="L32" s="15">
        <f t="shared" si="11"/>
        <v>1</v>
      </c>
      <c r="M32" s="15"/>
      <c r="N32" s="15">
        <f t="shared" si="10"/>
        <v>0</v>
      </c>
    </row>
    <row r="33" spans="1:14" x14ac:dyDescent="0.4">
      <c r="A33" s="11" t="s">
        <v>6</v>
      </c>
      <c r="B33" s="41">
        <f t="shared" ref="B33:I35" ca="1" si="12">OFFSET(B33,-3,0)</f>
        <v>0</v>
      </c>
      <c r="C33" s="41"/>
      <c r="D33" s="41"/>
      <c r="E33" s="41"/>
      <c r="F33" s="19">
        <f t="shared" ca="1" si="12"/>
        <v>0</v>
      </c>
      <c r="G33" s="20">
        <f t="shared" ca="1" si="12"/>
        <v>0</v>
      </c>
      <c r="H33" s="20">
        <f t="shared" ca="1" si="12"/>
        <v>0</v>
      </c>
      <c r="I33" s="13">
        <f t="shared" ca="1" si="12"/>
        <v>0</v>
      </c>
      <c r="J33" s="16">
        <v>567</v>
      </c>
      <c r="K33" s="19">
        <f t="shared" ref="K33:K35" ca="1" si="13">OFFSET(K33,-3,0)</f>
        <v>0</v>
      </c>
      <c r="L33" s="15">
        <f t="shared" ca="1" si="11"/>
        <v>1</v>
      </c>
      <c r="M33" s="15"/>
      <c r="N33" s="15">
        <f t="shared" ca="1" si="10"/>
        <v>567</v>
      </c>
    </row>
    <row r="34" spans="1:14" x14ac:dyDescent="0.4">
      <c r="A34" s="11" t="s">
        <v>6</v>
      </c>
      <c r="B34" s="41">
        <f t="shared" ca="1" si="12"/>
        <v>0</v>
      </c>
      <c r="C34" s="41"/>
      <c r="D34" s="41"/>
      <c r="E34" s="41"/>
      <c r="F34" s="19">
        <f t="shared" ca="1" si="12"/>
        <v>0</v>
      </c>
      <c r="G34" s="20">
        <f t="shared" ca="1" si="12"/>
        <v>0</v>
      </c>
      <c r="H34" s="20">
        <f t="shared" ca="1" si="12"/>
        <v>0</v>
      </c>
      <c r="I34" s="13">
        <f t="shared" ca="1" si="12"/>
        <v>0</v>
      </c>
      <c r="J34" s="16"/>
      <c r="K34" s="19">
        <f t="shared" ca="1" si="13"/>
        <v>0</v>
      </c>
      <c r="L34" s="15">
        <f t="shared" ca="1" si="11"/>
        <v>1</v>
      </c>
      <c r="M34" s="15"/>
      <c r="N34" s="15">
        <f t="shared" ca="1" si="10"/>
        <v>0</v>
      </c>
    </row>
    <row r="35" spans="1:14" x14ac:dyDescent="0.4">
      <c r="A35" s="11" t="s">
        <v>6</v>
      </c>
      <c r="B35" s="41">
        <f t="shared" ca="1" si="12"/>
        <v>0</v>
      </c>
      <c r="C35" s="41"/>
      <c r="D35" s="41"/>
      <c r="E35" s="41"/>
      <c r="F35" s="19">
        <f t="shared" ca="1" si="12"/>
        <v>0</v>
      </c>
      <c r="G35" s="20">
        <f t="shared" ca="1" si="12"/>
        <v>0</v>
      </c>
      <c r="H35" s="20">
        <f t="shared" ca="1" si="12"/>
        <v>0</v>
      </c>
      <c r="I35" s="13">
        <f t="shared" ca="1" si="12"/>
        <v>0</v>
      </c>
      <c r="J35" s="16"/>
      <c r="K35" s="19">
        <f t="shared" ca="1" si="13"/>
        <v>0</v>
      </c>
      <c r="L35" s="15">
        <f t="shared" ca="1" si="11"/>
        <v>1</v>
      </c>
      <c r="M35" s="15"/>
      <c r="N35" s="15">
        <f t="shared" ca="1" si="10"/>
        <v>0</v>
      </c>
    </row>
    <row r="36" spans="1:14" x14ac:dyDescent="0.4">
      <c r="A36" s="11" t="s">
        <v>10</v>
      </c>
      <c r="B36" s="40">
        <f t="shared" ref="B36:I38" ca="1" si="14">OFFSET(B36,-6,0)</f>
        <v>0</v>
      </c>
      <c r="C36" s="40"/>
      <c r="D36" s="40"/>
      <c r="E36" s="40"/>
      <c r="F36" s="13">
        <f t="shared" ca="1" si="14"/>
        <v>0</v>
      </c>
      <c r="G36" s="17">
        <f t="shared" ca="1" si="14"/>
        <v>0</v>
      </c>
      <c r="H36" s="17">
        <f t="shared" ca="1" si="14"/>
        <v>0</v>
      </c>
      <c r="I36" s="13">
        <f t="shared" ca="1" si="14"/>
        <v>0</v>
      </c>
      <c r="J36" s="16">
        <v>567</v>
      </c>
      <c r="K36" s="13">
        <f t="shared" ref="K36:K38" ca="1" si="15">OFFSET(K36,-6,0)</f>
        <v>0</v>
      </c>
      <c r="L36" s="15">
        <f t="shared" ca="1" si="11"/>
        <v>1</v>
      </c>
      <c r="M36" s="15"/>
      <c r="N36" s="15">
        <f t="shared" ca="1" si="10"/>
        <v>567</v>
      </c>
    </row>
    <row r="37" spans="1:14" x14ac:dyDescent="0.4">
      <c r="A37" s="11" t="s">
        <v>10</v>
      </c>
      <c r="B37" s="40">
        <f t="shared" ca="1" si="14"/>
        <v>0</v>
      </c>
      <c r="C37" s="40"/>
      <c r="D37" s="40"/>
      <c r="E37" s="40"/>
      <c r="F37" s="13">
        <f t="shared" ca="1" si="14"/>
        <v>0</v>
      </c>
      <c r="G37" s="17">
        <f t="shared" ca="1" si="14"/>
        <v>0</v>
      </c>
      <c r="H37" s="17">
        <f t="shared" ca="1" si="14"/>
        <v>0</v>
      </c>
      <c r="I37" s="13">
        <f t="shared" ca="1" si="14"/>
        <v>0</v>
      </c>
      <c r="J37" s="16"/>
      <c r="K37" s="13">
        <f t="shared" ca="1" si="15"/>
        <v>0</v>
      </c>
      <c r="L37" s="15">
        <f t="shared" ca="1" si="11"/>
        <v>1</v>
      </c>
      <c r="M37" s="15"/>
      <c r="N37" s="15">
        <f t="shared" ca="1" si="10"/>
        <v>0</v>
      </c>
    </row>
    <row r="38" spans="1:14" x14ac:dyDescent="0.4">
      <c r="A38" s="11" t="s">
        <v>10</v>
      </c>
      <c r="B38" s="40">
        <f t="shared" ca="1" si="14"/>
        <v>0</v>
      </c>
      <c r="C38" s="40"/>
      <c r="D38" s="40"/>
      <c r="E38" s="40"/>
      <c r="F38" s="13">
        <f t="shared" ca="1" si="14"/>
        <v>0</v>
      </c>
      <c r="G38" s="17">
        <f t="shared" ca="1" si="14"/>
        <v>0</v>
      </c>
      <c r="H38" s="17">
        <f t="shared" ca="1" si="14"/>
        <v>0</v>
      </c>
      <c r="I38" s="13">
        <f t="shared" ca="1" si="14"/>
        <v>0</v>
      </c>
      <c r="J38" s="16"/>
      <c r="K38" s="13">
        <f t="shared" ca="1" si="15"/>
        <v>0</v>
      </c>
      <c r="L38" s="15">
        <f t="shared" ca="1" si="11"/>
        <v>1</v>
      </c>
      <c r="M38" s="15"/>
      <c r="N38" s="15">
        <f t="shared" ca="1" si="10"/>
        <v>0</v>
      </c>
    </row>
    <row r="39" spans="1:14" x14ac:dyDescent="0.4">
      <c r="A39" s="11" t="s">
        <v>7</v>
      </c>
      <c r="B39" s="40">
        <f t="shared" ref="B39:I41" ca="1" si="16">OFFSET(B39,-9,0)</f>
        <v>0</v>
      </c>
      <c r="C39" s="40"/>
      <c r="D39" s="40"/>
      <c r="E39" s="40"/>
      <c r="F39" s="13">
        <f t="shared" ca="1" si="16"/>
        <v>0</v>
      </c>
      <c r="G39" s="17">
        <f t="shared" ca="1" si="16"/>
        <v>0</v>
      </c>
      <c r="H39" s="17">
        <f t="shared" ca="1" si="16"/>
        <v>0</v>
      </c>
      <c r="I39" s="13">
        <f t="shared" ca="1" si="16"/>
        <v>0</v>
      </c>
      <c r="J39" s="16"/>
      <c r="K39" s="13">
        <f t="shared" ref="K39:K41" ca="1" si="17">OFFSET(K39,-9,0)</f>
        <v>0</v>
      </c>
      <c r="L39" s="15">
        <f t="shared" ca="1" si="11"/>
        <v>1</v>
      </c>
      <c r="M39" s="15"/>
      <c r="N39" s="15">
        <f t="shared" ca="1" si="10"/>
        <v>0</v>
      </c>
    </row>
    <row r="40" spans="1:14" x14ac:dyDescent="0.4">
      <c r="A40" s="11" t="s">
        <v>7</v>
      </c>
      <c r="B40" s="40">
        <f t="shared" ca="1" si="16"/>
        <v>0</v>
      </c>
      <c r="C40" s="40"/>
      <c r="D40" s="40"/>
      <c r="E40" s="40"/>
      <c r="F40" s="13">
        <f t="shared" ca="1" si="16"/>
        <v>0</v>
      </c>
      <c r="G40" s="17">
        <f t="shared" ca="1" si="16"/>
        <v>0</v>
      </c>
      <c r="H40" s="17">
        <f t="shared" ca="1" si="16"/>
        <v>0</v>
      </c>
      <c r="I40" s="13">
        <f t="shared" ca="1" si="16"/>
        <v>0</v>
      </c>
      <c r="J40" s="16"/>
      <c r="K40" s="13">
        <f t="shared" ca="1" si="17"/>
        <v>0</v>
      </c>
      <c r="L40" s="15">
        <f t="shared" ca="1" si="11"/>
        <v>1</v>
      </c>
      <c r="M40" s="15"/>
      <c r="N40" s="15">
        <f t="shared" ca="1" si="10"/>
        <v>0</v>
      </c>
    </row>
    <row r="41" spans="1:14" x14ac:dyDescent="0.4">
      <c r="A41" s="11" t="s">
        <v>7</v>
      </c>
      <c r="B41" s="40">
        <f t="shared" ca="1" si="16"/>
        <v>0</v>
      </c>
      <c r="C41" s="40"/>
      <c r="D41" s="40"/>
      <c r="E41" s="40"/>
      <c r="F41" s="13">
        <f t="shared" ca="1" si="16"/>
        <v>0</v>
      </c>
      <c r="G41" s="17">
        <f t="shared" ca="1" si="16"/>
        <v>0</v>
      </c>
      <c r="H41" s="17">
        <f t="shared" ca="1" si="16"/>
        <v>0</v>
      </c>
      <c r="I41" s="13">
        <f t="shared" ca="1" si="16"/>
        <v>0</v>
      </c>
      <c r="J41" s="16"/>
      <c r="K41" s="13">
        <f t="shared" ca="1" si="17"/>
        <v>0</v>
      </c>
      <c r="L41" s="15">
        <f t="shared" ca="1" si="11"/>
        <v>1</v>
      </c>
      <c r="M41" s="15"/>
      <c r="N41" s="15">
        <f t="shared" ca="1" si="10"/>
        <v>0</v>
      </c>
    </row>
    <row r="42" spans="1:14" x14ac:dyDescent="0.4">
      <c r="A42" s="11" t="s">
        <v>8</v>
      </c>
      <c r="B42" s="40">
        <f t="shared" ref="B42:I44" ca="1" si="18">OFFSET(B42,-12,0)</f>
        <v>0</v>
      </c>
      <c r="C42" s="40"/>
      <c r="D42" s="40"/>
      <c r="E42" s="40"/>
      <c r="F42" s="13">
        <f t="shared" ca="1" si="18"/>
        <v>0</v>
      </c>
      <c r="G42" s="17">
        <f t="shared" ca="1" si="18"/>
        <v>0</v>
      </c>
      <c r="H42" s="17">
        <f t="shared" ca="1" si="18"/>
        <v>0</v>
      </c>
      <c r="I42" s="13">
        <f t="shared" ca="1" si="18"/>
        <v>0</v>
      </c>
      <c r="J42" s="16"/>
      <c r="K42" s="13">
        <f t="shared" ref="K42:K44" ca="1" si="19">OFFSET(K42,-12,0)</f>
        <v>0</v>
      </c>
      <c r="L42" s="15">
        <f t="shared" ca="1" si="11"/>
        <v>1</v>
      </c>
      <c r="M42" s="15"/>
      <c r="N42" s="15">
        <f t="shared" ca="1" si="10"/>
        <v>0</v>
      </c>
    </row>
    <row r="43" spans="1:14" x14ac:dyDescent="0.4">
      <c r="A43" s="11" t="s">
        <v>8</v>
      </c>
      <c r="B43" s="40">
        <f t="shared" ca="1" si="18"/>
        <v>0</v>
      </c>
      <c r="C43" s="40"/>
      <c r="D43" s="40"/>
      <c r="E43" s="40"/>
      <c r="F43" s="13">
        <f t="shared" ca="1" si="18"/>
        <v>0</v>
      </c>
      <c r="G43" s="17">
        <f t="shared" ca="1" si="18"/>
        <v>0</v>
      </c>
      <c r="H43" s="17">
        <f t="shared" ca="1" si="18"/>
        <v>0</v>
      </c>
      <c r="I43" s="13">
        <f t="shared" ca="1" si="18"/>
        <v>0</v>
      </c>
      <c r="J43" s="16"/>
      <c r="K43" s="13">
        <f t="shared" ca="1" si="19"/>
        <v>0</v>
      </c>
      <c r="L43" s="15">
        <f t="shared" ca="1" si="11"/>
        <v>1</v>
      </c>
      <c r="M43" s="15"/>
      <c r="N43" s="15">
        <f t="shared" ca="1" si="10"/>
        <v>0</v>
      </c>
    </row>
    <row r="44" spans="1:14" x14ac:dyDescent="0.4">
      <c r="A44" s="11" t="s">
        <v>8</v>
      </c>
      <c r="B44" s="40">
        <f t="shared" ca="1" si="18"/>
        <v>0</v>
      </c>
      <c r="C44" s="40"/>
      <c r="D44" s="40"/>
      <c r="E44" s="40"/>
      <c r="F44" s="13">
        <f t="shared" ca="1" si="18"/>
        <v>0</v>
      </c>
      <c r="G44" s="17">
        <f t="shared" ca="1" si="18"/>
        <v>0</v>
      </c>
      <c r="H44" s="17">
        <f t="shared" ca="1" si="18"/>
        <v>0</v>
      </c>
      <c r="I44" s="13">
        <f t="shared" ca="1" si="18"/>
        <v>0</v>
      </c>
      <c r="J44" s="16"/>
      <c r="K44" s="13">
        <f t="shared" ca="1" si="19"/>
        <v>0</v>
      </c>
      <c r="L44" s="15">
        <f t="shared" ca="1" si="11"/>
        <v>1</v>
      </c>
      <c r="M44" s="15"/>
      <c r="N44" s="15">
        <f t="shared" ca="1" si="10"/>
        <v>0</v>
      </c>
    </row>
    <row r="45" spans="1:14" x14ac:dyDescent="0.4">
      <c r="A45" s="11" t="s">
        <v>9</v>
      </c>
      <c r="B45" s="41">
        <f t="shared" ref="B45:G47" ca="1" si="20">OFFSET(B45,-15,0)</f>
        <v>0</v>
      </c>
      <c r="C45" s="41"/>
      <c r="D45" s="41"/>
      <c r="E45" s="41"/>
      <c r="F45" s="19">
        <f t="shared" ca="1" si="20"/>
        <v>0</v>
      </c>
      <c r="G45" s="20">
        <f t="shared" ca="1" si="20"/>
        <v>0</v>
      </c>
      <c r="H45" s="20">
        <f ca="1">OFFSET(H45,-15,0)</f>
        <v>0</v>
      </c>
      <c r="I45" s="13">
        <f t="shared" ref="H45:I47" ca="1" si="21">OFFSET(I45,-15,0)</f>
        <v>0</v>
      </c>
      <c r="J45" s="16"/>
      <c r="K45" s="19">
        <f t="shared" ref="K45:K47" ca="1" si="22">OFFSET(K45,-15,0)</f>
        <v>0</v>
      </c>
      <c r="L45" s="15">
        <f t="shared" ca="1" si="11"/>
        <v>1</v>
      </c>
      <c r="M45" s="15"/>
      <c r="N45" s="15">
        <f t="shared" ca="1" si="10"/>
        <v>0</v>
      </c>
    </row>
    <row r="46" spans="1:14" x14ac:dyDescent="0.4">
      <c r="A46" s="11" t="s">
        <v>9</v>
      </c>
      <c r="B46" s="41">
        <f t="shared" ca="1" si="20"/>
        <v>0</v>
      </c>
      <c r="C46" s="41"/>
      <c r="D46" s="41"/>
      <c r="E46" s="41"/>
      <c r="F46" s="19">
        <f t="shared" ca="1" si="20"/>
        <v>0</v>
      </c>
      <c r="G46" s="20">
        <f t="shared" ca="1" si="20"/>
        <v>0</v>
      </c>
      <c r="H46" s="20">
        <f t="shared" ca="1" si="21"/>
        <v>0</v>
      </c>
      <c r="I46" s="13">
        <f t="shared" ca="1" si="21"/>
        <v>0</v>
      </c>
      <c r="J46" s="16"/>
      <c r="K46" s="19">
        <f t="shared" ca="1" si="22"/>
        <v>0</v>
      </c>
      <c r="L46" s="15">
        <f t="shared" ca="1" si="11"/>
        <v>1</v>
      </c>
      <c r="M46" s="15"/>
      <c r="N46" s="15">
        <f t="shared" ca="1" si="10"/>
        <v>0</v>
      </c>
    </row>
    <row r="47" spans="1:14" x14ac:dyDescent="0.4">
      <c r="A47" s="11" t="s">
        <v>9</v>
      </c>
      <c r="B47" s="41">
        <f t="shared" ca="1" si="20"/>
        <v>0</v>
      </c>
      <c r="C47" s="41"/>
      <c r="D47" s="41"/>
      <c r="E47" s="41"/>
      <c r="F47" s="19">
        <f t="shared" ca="1" si="20"/>
        <v>0</v>
      </c>
      <c r="G47" s="20">
        <f t="shared" ca="1" si="20"/>
        <v>0</v>
      </c>
      <c r="H47" s="20">
        <f t="shared" ca="1" si="21"/>
        <v>0</v>
      </c>
      <c r="I47" s="13">
        <f t="shared" ca="1" si="21"/>
        <v>0</v>
      </c>
      <c r="J47" s="16"/>
      <c r="K47" s="19">
        <f t="shared" ca="1" si="22"/>
        <v>0</v>
      </c>
      <c r="L47" s="15">
        <f t="shared" ca="1" si="11"/>
        <v>1</v>
      </c>
      <c r="M47" s="15"/>
      <c r="N47" s="15">
        <f t="shared" ca="1" si="10"/>
        <v>0</v>
      </c>
    </row>
    <row r="48" spans="1:14" ht="17.399999999999999" x14ac:dyDescent="0.4">
      <c r="A48" s="74" t="s">
        <v>28</v>
      </c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6"/>
    </row>
    <row r="49" spans="1:14" x14ac:dyDescent="0.4">
      <c r="A49" s="11" t="s">
        <v>5</v>
      </c>
      <c r="B49" s="40"/>
      <c r="C49" s="40"/>
      <c r="D49" s="40"/>
      <c r="E49" s="40"/>
      <c r="F49" s="13"/>
      <c r="G49" s="11"/>
      <c r="H49" s="17"/>
      <c r="I49" s="13"/>
      <c r="J49" s="16"/>
      <c r="K49" s="13"/>
      <c r="L49" s="15">
        <f>ROUND((10^(K49/10))/(10^(I49/10)),3)</f>
        <v>1</v>
      </c>
      <c r="M49" s="15"/>
      <c r="N49" s="15">
        <f t="shared" ref="N49:N66" si="23">J49*L49</f>
        <v>0</v>
      </c>
    </row>
    <row r="50" spans="1:14" x14ac:dyDescent="0.4">
      <c r="A50" s="11" t="s">
        <v>5</v>
      </c>
      <c r="B50" s="40"/>
      <c r="C50" s="40"/>
      <c r="D50" s="40"/>
      <c r="E50" s="40"/>
      <c r="F50" s="13"/>
      <c r="G50" s="11"/>
      <c r="H50" s="17"/>
      <c r="I50" s="13"/>
      <c r="J50" s="16"/>
      <c r="K50" s="13"/>
      <c r="L50" s="15">
        <f t="shared" ref="L50:L66" si="24">ROUND((10^(K50/10))/(10^(I50/10)),3)</f>
        <v>1</v>
      </c>
      <c r="M50" s="15"/>
      <c r="N50" s="15">
        <f t="shared" si="23"/>
        <v>0</v>
      </c>
    </row>
    <row r="51" spans="1:14" x14ac:dyDescent="0.4">
      <c r="A51" s="11" t="s">
        <v>5</v>
      </c>
      <c r="B51" s="40"/>
      <c r="C51" s="40"/>
      <c r="D51" s="40"/>
      <c r="E51" s="40"/>
      <c r="F51" s="13"/>
      <c r="G51" s="11"/>
      <c r="H51" s="17"/>
      <c r="I51" s="13"/>
      <c r="J51" s="16"/>
      <c r="K51" s="13"/>
      <c r="L51" s="15">
        <f t="shared" si="24"/>
        <v>1</v>
      </c>
      <c r="M51" s="15"/>
      <c r="N51" s="15">
        <f t="shared" si="23"/>
        <v>0</v>
      </c>
    </row>
    <row r="52" spans="1:14" x14ac:dyDescent="0.4">
      <c r="A52" s="11" t="s">
        <v>6</v>
      </c>
      <c r="B52" s="41">
        <f t="shared" ref="B52:I54" ca="1" si="25">OFFSET(B52,-3,0)</f>
        <v>0</v>
      </c>
      <c r="C52" s="41"/>
      <c r="D52" s="41"/>
      <c r="E52" s="41"/>
      <c r="F52" s="19">
        <f t="shared" ca="1" si="25"/>
        <v>0</v>
      </c>
      <c r="G52" s="20">
        <f t="shared" ca="1" si="25"/>
        <v>0</v>
      </c>
      <c r="H52" s="20">
        <f t="shared" ca="1" si="25"/>
        <v>0</v>
      </c>
      <c r="I52" s="13">
        <f t="shared" ca="1" si="25"/>
        <v>0</v>
      </c>
      <c r="J52" s="16"/>
      <c r="K52" s="19">
        <f t="shared" ref="K52:K54" ca="1" si="26">OFFSET(K52,-3,0)</f>
        <v>0</v>
      </c>
      <c r="L52" s="15">
        <f t="shared" ca="1" si="24"/>
        <v>1</v>
      </c>
      <c r="M52" s="15"/>
      <c r="N52" s="15">
        <f t="shared" ca="1" si="23"/>
        <v>0</v>
      </c>
    </row>
    <row r="53" spans="1:14" x14ac:dyDescent="0.4">
      <c r="A53" s="11" t="s">
        <v>6</v>
      </c>
      <c r="B53" s="41">
        <f t="shared" ca="1" si="25"/>
        <v>0</v>
      </c>
      <c r="C53" s="41"/>
      <c r="D53" s="41"/>
      <c r="E53" s="41"/>
      <c r="F53" s="19">
        <f t="shared" ca="1" si="25"/>
        <v>0</v>
      </c>
      <c r="G53" s="20">
        <f t="shared" ca="1" si="25"/>
        <v>0</v>
      </c>
      <c r="H53" s="20">
        <f t="shared" ca="1" si="25"/>
        <v>0</v>
      </c>
      <c r="I53" s="13">
        <f t="shared" ca="1" si="25"/>
        <v>0</v>
      </c>
      <c r="J53" s="16"/>
      <c r="K53" s="19">
        <f t="shared" ca="1" si="26"/>
        <v>0</v>
      </c>
      <c r="L53" s="15">
        <f t="shared" ca="1" si="24"/>
        <v>1</v>
      </c>
      <c r="M53" s="15"/>
      <c r="N53" s="15">
        <f t="shared" ca="1" si="23"/>
        <v>0</v>
      </c>
    </row>
    <row r="54" spans="1:14" x14ac:dyDescent="0.4">
      <c r="A54" s="11" t="s">
        <v>6</v>
      </c>
      <c r="B54" s="41">
        <f t="shared" ca="1" si="25"/>
        <v>0</v>
      </c>
      <c r="C54" s="41"/>
      <c r="D54" s="41"/>
      <c r="E54" s="41"/>
      <c r="F54" s="19">
        <f t="shared" ca="1" si="25"/>
        <v>0</v>
      </c>
      <c r="G54" s="20">
        <f t="shared" ca="1" si="25"/>
        <v>0</v>
      </c>
      <c r="H54" s="20">
        <f t="shared" ca="1" si="25"/>
        <v>0</v>
      </c>
      <c r="I54" s="13">
        <f t="shared" ca="1" si="25"/>
        <v>0</v>
      </c>
      <c r="J54" s="16"/>
      <c r="K54" s="19">
        <f t="shared" ca="1" si="26"/>
        <v>0</v>
      </c>
      <c r="L54" s="15">
        <f t="shared" ca="1" si="24"/>
        <v>1</v>
      </c>
      <c r="M54" s="15"/>
      <c r="N54" s="15">
        <f t="shared" ca="1" si="23"/>
        <v>0</v>
      </c>
    </row>
    <row r="55" spans="1:14" x14ac:dyDescent="0.4">
      <c r="A55" s="11" t="s">
        <v>10</v>
      </c>
      <c r="B55" s="40">
        <f t="shared" ref="B55:I57" ca="1" si="27">OFFSET(B55,-6,0)</f>
        <v>0</v>
      </c>
      <c r="C55" s="40"/>
      <c r="D55" s="40"/>
      <c r="E55" s="40"/>
      <c r="F55" s="13">
        <f t="shared" ca="1" si="27"/>
        <v>0</v>
      </c>
      <c r="G55" s="17">
        <f t="shared" ca="1" si="27"/>
        <v>0</v>
      </c>
      <c r="H55" s="17">
        <f t="shared" ca="1" si="27"/>
        <v>0</v>
      </c>
      <c r="I55" s="13">
        <f t="shared" ca="1" si="27"/>
        <v>0</v>
      </c>
      <c r="J55" s="16"/>
      <c r="K55" s="13">
        <f t="shared" ref="K55:K57" ca="1" si="28">OFFSET(K55,-6,0)</f>
        <v>0</v>
      </c>
      <c r="L55" s="15">
        <f t="shared" ca="1" si="24"/>
        <v>1</v>
      </c>
      <c r="M55" s="15"/>
      <c r="N55" s="15">
        <f t="shared" ca="1" si="23"/>
        <v>0</v>
      </c>
    </row>
    <row r="56" spans="1:14" x14ac:dyDescent="0.4">
      <c r="A56" s="11" t="s">
        <v>10</v>
      </c>
      <c r="B56" s="40">
        <f t="shared" ca="1" si="27"/>
        <v>0</v>
      </c>
      <c r="C56" s="40"/>
      <c r="D56" s="40"/>
      <c r="E56" s="40"/>
      <c r="F56" s="13">
        <f t="shared" ca="1" si="27"/>
        <v>0</v>
      </c>
      <c r="G56" s="17">
        <f t="shared" ca="1" si="27"/>
        <v>0</v>
      </c>
      <c r="H56" s="17">
        <f t="shared" ca="1" si="27"/>
        <v>0</v>
      </c>
      <c r="I56" s="13">
        <f t="shared" ca="1" si="27"/>
        <v>0</v>
      </c>
      <c r="J56" s="16"/>
      <c r="K56" s="13">
        <f t="shared" ca="1" si="28"/>
        <v>0</v>
      </c>
      <c r="L56" s="15">
        <f t="shared" ca="1" si="24"/>
        <v>1</v>
      </c>
      <c r="M56" s="15"/>
      <c r="N56" s="15">
        <f t="shared" ca="1" si="23"/>
        <v>0</v>
      </c>
    </row>
    <row r="57" spans="1:14" x14ac:dyDescent="0.4">
      <c r="A57" s="11" t="s">
        <v>10</v>
      </c>
      <c r="B57" s="40">
        <f t="shared" ca="1" si="27"/>
        <v>0</v>
      </c>
      <c r="C57" s="40"/>
      <c r="D57" s="40"/>
      <c r="E57" s="40"/>
      <c r="F57" s="13">
        <f t="shared" ca="1" si="27"/>
        <v>0</v>
      </c>
      <c r="G57" s="17">
        <f t="shared" ca="1" si="27"/>
        <v>0</v>
      </c>
      <c r="H57" s="17">
        <f t="shared" ca="1" si="27"/>
        <v>0</v>
      </c>
      <c r="I57" s="13">
        <f t="shared" ca="1" si="27"/>
        <v>0</v>
      </c>
      <c r="J57" s="16"/>
      <c r="K57" s="13">
        <f t="shared" ca="1" si="28"/>
        <v>0</v>
      </c>
      <c r="L57" s="15">
        <f t="shared" ca="1" si="24"/>
        <v>1</v>
      </c>
      <c r="M57" s="15"/>
      <c r="N57" s="15">
        <f t="shared" ca="1" si="23"/>
        <v>0</v>
      </c>
    </row>
    <row r="58" spans="1:14" x14ac:dyDescent="0.4">
      <c r="A58" s="11" t="s">
        <v>7</v>
      </c>
      <c r="B58" s="40">
        <f t="shared" ref="B58:I60" ca="1" si="29">OFFSET(B58,-9,0)</f>
        <v>0</v>
      </c>
      <c r="C58" s="40"/>
      <c r="D58" s="40"/>
      <c r="E58" s="40"/>
      <c r="F58" s="13">
        <f t="shared" ca="1" si="29"/>
        <v>0</v>
      </c>
      <c r="G58" s="17">
        <f t="shared" ca="1" si="29"/>
        <v>0</v>
      </c>
      <c r="H58" s="17">
        <f t="shared" ca="1" si="29"/>
        <v>0</v>
      </c>
      <c r="I58" s="13">
        <f t="shared" ca="1" si="29"/>
        <v>0</v>
      </c>
      <c r="J58" s="16"/>
      <c r="K58" s="13">
        <f t="shared" ref="K58:K60" ca="1" si="30">OFFSET(K58,-9,0)</f>
        <v>0</v>
      </c>
      <c r="L58" s="15">
        <f t="shared" ca="1" si="24"/>
        <v>1</v>
      </c>
      <c r="M58" s="15"/>
      <c r="N58" s="15">
        <f t="shared" ca="1" si="23"/>
        <v>0</v>
      </c>
    </row>
    <row r="59" spans="1:14" x14ac:dyDescent="0.4">
      <c r="A59" s="11" t="s">
        <v>7</v>
      </c>
      <c r="B59" s="40">
        <f t="shared" ca="1" si="29"/>
        <v>0</v>
      </c>
      <c r="C59" s="40"/>
      <c r="D59" s="40"/>
      <c r="E59" s="40"/>
      <c r="F59" s="13">
        <f t="shared" ca="1" si="29"/>
        <v>0</v>
      </c>
      <c r="G59" s="17">
        <f t="shared" ca="1" si="29"/>
        <v>0</v>
      </c>
      <c r="H59" s="17">
        <f t="shared" ca="1" si="29"/>
        <v>0</v>
      </c>
      <c r="I59" s="13">
        <f t="shared" ca="1" si="29"/>
        <v>0</v>
      </c>
      <c r="J59" s="16"/>
      <c r="K59" s="13">
        <f t="shared" ca="1" si="30"/>
        <v>0</v>
      </c>
      <c r="L59" s="15">
        <f t="shared" ca="1" si="24"/>
        <v>1</v>
      </c>
      <c r="M59" s="15"/>
      <c r="N59" s="15">
        <f t="shared" ca="1" si="23"/>
        <v>0</v>
      </c>
    </row>
    <row r="60" spans="1:14" x14ac:dyDescent="0.4">
      <c r="A60" s="11" t="s">
        <v>7</v>
      </c>
      <c r="B60" s="40">
        <f t="shared" ca="1" si="29"/>
        <v>0</v>
      </c>
      <c r="C60" s="40"/>
      <c r="D60" s="40"/>
      <c r="E60" s="40"/>
      <c r="F60" s="13">
        <f t="shared" ca="1" si="29"/>
        <v>0</v>
      </c>
      <c r="G60" s="17">
        <f t="shared" ca="1" si="29"/>
        <v>0</v>
      </c>
      <c r="H60" s="17">
        <f t="shared" ca="1" si="29"/>
        <v>0</v>
      </c>
      <c r="I60" s="13">
        <f t="shared" ca="1" si="29"/>
        <v>0</v>
      </c>
      <c r="J60" s="16"/>
      <c r="K60" s="13">
        <f t="shared" ca="1" si="30"/>
        <v>0</v>
      </c>
      <c r="L60" s="15">
        <f t="shared" ca="1" si="24"/>
        <v>1</v>
      </c>
      <c r="M60" s="15"/>
      <c r="N60" s="15">
        <f t="shared" ca="1" si="23"/>
        <v>0</v>
      </c>
    </row>
    <row r="61" spans="1:14" x14ac:dyDescent="0.4">
      <c r="A61" s="11" t="s">
        <v>8</v>
      </c>
      <c r="B61" s="40">
        <f t="shared" ref="B61:I63" ca="1" si="31">OFFSET(B61,-12,0)</f>
        <v>0</v>
      </c>
      <c r="C61" s="40"/>
      <c r="D61" s="40"/>
      <c r="E61" s="40"/>
      <c r="F61" s="13">
        <f t="shared" ca="1" si="31"/>
        <v>0</v>
      </c>
      <c r="G61" s="17">
        <f t="shared" ca="1" si="31"/>
        <v>0</v>
      </c>
      <c r="H61" s="17">
        <f t="shared" ca="1" si="31"/>
        <v>0</v>
      </c>
      <c r="I61" s="13">
        <f t="shared" ca="1" si="31"/>
        <v>0</v>
      </c>
      <c r="J61" s="16"/>
      <c r="K61" s="13">
        <f t="shared" ref="K61:K63" ca="1" si="32">OFFSET(K61,-12,0)</f>
        <v>0</v>
      </c>
      <c r="L61" s="15">
        <f t="shared" ca="1" si="24"/>
        <v>1</v>
      </c>
      <c r="M61" s="15"/>
      <c r="N61" s="15">
        <f t="shared" ca="1" si="23"/>
        <v>0</v>
      </c>
    </row>
    <row r="62" spans="1:14" x14ac:dyDescent="0.4">
      <c r="A62" s="11" t="s">
        <v>8</v>
      </c>
      <c r="B62" s="40">
        <f t="shared" ca="1" si="31"/>
        <v>0</v>
      </c>
      <c r="C62" s="40"/>
      <c r="D62" s="40"/>
      <c r="E62" s="40"/>
      <c r="F62" s="13">
        <f t="shared" ca="1" si="31"/>
        <v>0</v>
      </c>
      <c r="G62" s="17">
        <f t="shared" ca="1" si="31"/>
        <v>0</v>
      </c>
      <c r="H62" s="17">
        <f t="shared" ca="1" si="31"/>
        <v>0</v>
      </c>
      <c r="I62" s="13">
        <f t="shared" ca="1" si="31"/>
        <v>0</v>
      </c>
      <c r="J62" s="16"/>
      <c r="K62" s="13">
        <f t="shared" ca="1" si="32"/>
        <v>0</v>
      </c>
      <c r="L62" s="15">
        <f t="shared" ca="1" si="24"/>
        <v>1</v>
      </c>
      <c r="M62" s="15"/>
      <c r="N62" s="15">
        <f t="shared" ca="1" si="23"/>
        <v>0</v>
      </c>
    </row>
    <row r="63" spans="1:14" x14ac:dyDescent="0.4">
      <c r="A63" s="11" t="s">
        <v>8</v>
      </c>
      <c r="B63" s="40">
        <f t="shared" ca="1" si="31"/>
        <v>0</v>
      </c>
      <c r="C63" s="40"/>
      <c r="D63" s="40"/>
      <c r="E63" s="40"/>
      <c r="F63" s="13">
        <f t="shared" ca="1" si="31"/>
        <v>0</v>
      </c>
      <c r="G63" s="17">
        <f t="shared" ca="1" si="31"/>
        <v>0</v>
      </c>
      <c r="H63" s="17">
        <f t="shared" ca="1" si="31"/>
        <v>0</v>
      </c>
      <c r="I63" s="13">
        <f t="shared" ca="1" si="31"/>
        <v>0</v>
      </c>
      <c r="J63" s="16"/>
      <c r="K63" s="13">
        <f t="shared" ca="1" si="32"/>
        <v>0</v>
      </c>
      <c r="L63" s="15">
        <f t="shared" ca="1" si="24"/>
        <v>1</v>
      </c>
      <c r="M63" s="15"/>
      <c r="N63" s="15">
        <f t="shared" ca="1" si="23"/>
        <v>0</v>
      </c>
    </row>
    <row r="64" spans="1:14" x14ac:dyDescent="0.4">
      <c r="A64" s="11" t="s">
        <v>9</v>
      </c>
      <c r="B64" s="41">
        <f t="shared" ref="B64:H66" ca="1" si="33">OFFSET(B64,-15,0)</f>
        <v>0</v>
      </c>
      <c r="C64" s="41"/>
      <c r="D64" s="41"/>
      <c r="E64" s="41"/>
      <c r="F64" s="19">
        <f t="shared" ca="1" si="33"/>
        <v>0</v>
      </c>
      <c r="G64" s="20">
        <f t="shared" ca="1" si="33"/>
        <v>0</v>
      </c>
      <c r="H64" s="20">
        <f ca="1">OFFSET(H64,-15,0)</f>
        <v>0</v>
      </c>
      <c r="I64" s="13">
        <f t="shared" ref="I64:I66" ca="1" si="34">OFFSET(I64,-15,0)</f>
        <v>0</v>
      </c>
      <c r="J64" s="16"/>
      <c r="K64" s="19">
        <f t="shared" ref="K64:K66" ca="1" si="35">OFFSET(K64,-15,0)</f>
        <v>0</v>
      </c>
      <c r="L64" s="15">
        <f t="shared" ca="1" si="24"/>
        <v>1</v>
      </c>
      <c r="M64" s="15"/>
      <c r="N64" s="15">
        <f t="shared" ca="1" si="23"/>
        <v>0</v>
      </c>
    </row>
    <row r="65" spans="1:14" x14ac:dyDescent="0.4">
      <c r="A65" s="11" t="s">
        <v>9</v>
      </c>
      <c r="B65" s="41">
        <f t="shared" ca="1" si="33"/>
        <v>0</v>
      </c>
      <c r="C65" s="41"/>
      <c r="D65" s="41"/>
      <c r="E65" s="41"/>
      <c r="F65" s="19">
        <f t="shared" ca="1" si="33"/>
        <v>0</v>
      </c>
      <c r="G65" s="20">
        <f t="shared" ca="1" si="33"/>
        <v>0</v>
      </c>
      <c r="H65" s="20">
        <f t="shared" ca="1" si="33"/>
        <v>0</v>
      </c>
      <c r="I65" s="13">
        <f t="shared" ca="1" si="34"/>
        <v>0</v>
      </c>
      <c r="J65" s="16"/>
      <c r="K65" s="19">
        <f t="shared" ca="1" si="35"/>
        <v>0</v>
      </c>
      <c r="L65" s="15">
        <f t="shared" ca="1" si="24"/>
        <v>1</v>
      </c>
      <c r="M65" s="15"/>
      <c r="N65" s="15">
        <f t="shared" ca="1" si="23"/>
        <v>0</v>
      </c>
    </row>
    <row r="66" spans="1:14" x14ac:dyDescent="0.4">
      <c r="A66" s="11" t="s">
        <v>9</v>
      </c>
      <c r="B66" s="41">
        <f t="shared" ca="1" si="33"/>
        <v>0</v>
      </c>
      <c r="C66" s="41"/>
      <c r="D66" s="41"/>
      <c r="E66" s="41"/>
      <c r="F66" s="19">
        <f t="shared" ca="1" si="33"/>
        <v>0</v>
      </c>
      <c r="G66" s="20">
        <f t="shared" ca="1" si="33"/>
        <v>0</v>
      </c>
      <c r="H66" s="20">
        <f t="shared" ca="1" si="33"/>
        <v>0</v>
      </c>
      <c r="I66" s="13">
        <f t="shared" ca="1" si="34"/>
        <v>0</v>
      </c>
      <c r="J66" s="16"/>
      <c r="K66" s="19">
        <f t="shared" ca="1" si="35"/>
        <v>0</v>
      </c>
      <c r="L66" s="15">
        <f t="shared" ca="1" si="24"/>
        <v>1</v>
      </c>
      <c r="M66" s="15"/>
      <c r="N66" s="15">
        <f t="shared" ca="1" si="23"/>
        <v>0</v>
      </c>
    </row>
    <row r="67" spans="1:14" ht="17.399999999999999" x14ac:dyDescent="0.4">
      <c r="A67" s="74" t="s">
        <v>25</v>
      </c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6"/>
    </row>
    <row r="68" spans="1:14" x14ac:dyDescent="0.4">
      <c r="A68" s="11" t="s">
        <v>5</v>
      </c>
      <c r="B68" s="40"/>
      <c r="C68" s="40"/>
      <c r="D68" s="40"/>
      <c r="E68" s="40"/>
      <c r="F68" s="13"/>
      <c r="G68" s="11"/>
      <c r="H68" s="17"/>
      <c r="I68" s="13"/>
      <c r="J68" s="16"/>
      <c r="K68" s="13"/>
      <c r="L68" s="15">
        <f>ROUND((10^(K68/10))/(10^(I68/10)),3)</f>
        <v>1</v>
      </c>
      <c r="M68" s="15"/>
      <c r="N68" s="15">
        <f t="shared" ref="N68:N85" si="36">J68*L68</f>
        <v>0</v>
      </c>
    </row>
    <row r="69" spans="1:14" x14ac:dyDescent="0.4">
      <c r="A69" s="11" t="s">
        <v>5</v>
      </c>
      <c r="B69" s="40"/>
      <c r="C69" s="40"/>
      <c r="D69" s="40"/>
      <c r="E69" s="40"/>
      <c r="F69" s="13"/>
      <c r="G69" s="11"/>
      <c r="H69" s="17"/>
      <c r="I69" s="13"/>
      <c r="J69" s="16"/>
      <c r="K69" s="13"/>
      <c r="L69" s="15">
        <f t="shared" ref="L69:L85" si="37">ROUND((10^(K69/10))/(10^(I69/10)),3)</f>
        <v>1</v>
      </c>
      <c r="M69" s="15"/>
      <c r="N69" s="15">
        <f t="shared" si="36"/>
        <v>0</v>
      </c>
    </row>
    <row r="70" spans="1:14" x14ac:dyDescent="0.4">
      <c r="A70" s="11" t="s">
        <v>5</v>
      </c>
      <c r="B70" s="40"/>
      <c r="C70" s="40"/>
      <c r="D70" s="40"/>
      <c r="E70" s="40"/>
      <c r="F70" s="13"/>
      <c r="G70" s="11"/>
      <c r="H70" s="17"/>
      <c r="I70" s="13"/>
      <c r="J70" s="16"/>
      <c r="K70" s="13"/>
      <c r="L70" s="15">
        <f t="shared" si="37"/>
        <v>1</v>
      </c>
      <c r="M70" s="15"/>
      <c r="N70" s="15">
        <f t="shared" si="36"/>
        <v>0</v>
      </c>
    </row>
    <row r="71" spans="1:14" x14ac:dyDescent="0.4">
      <c r="A71" s="11" t="s">
        <v>6</v>
      </c>
      <c r="B71" s="41">
        <f t="shared" ref="B71:I73" ca="1" si="38">OFFSET(B71,-3,0)</f>
        <v>0</v>
      </c>
      <c r="C71" s="41"/>
      <c r="D71" s="41"/>
      <c r="E71" s="41"/>
      <c r="F71" s="19">
        <f t="shared" ca="1" si="38"/>
        <v>0</v>
      </c>
      <c r="G71" s="20">
        <f t="shared" ca="1" si="38"/>
        <v>0</v>
      </c>
      <c r="H71" s="20">
        <f t="shared" ca="1" si="38"/>
        <v>0</v>
      </c>
      <c r="I71" s="13">
        <f t="shared" ca="1" si="38"/>
        <v>0</v>
      </c>
      <c r="J71" s="16"/>
      <c r="K71" s="19">
        <f t="shared" ref="K71:K73" ca="1" si="39">OFFSET(K71,-3,0)</f>
        <v>0</v>
      </c>
      <c r="L71" s="15">
        <f t="shared" ca="1" si="37"/>
        <v>1</v>
      </c>
      <c r="M71" s="15"/>
      <c r="N71" s="15">
        <f t="shared" ca="1" si="36"/>
        <v>0</v>
      </c>
    </row>
    <row r="72" spans="1:14" x14ac:dyDescent="0.4">
      <c r="A72" s="11" t="s">
        <v>6</v>
      </c>
      <c r="B72" s="41">
        <f t="shared" ca="1" si="38"/>
        <v>0</v>
      </c>
      <c r="C72" s="41"/>
      <c r="D72" s="41"/>
      <c r="E72" s="41"/>
      <c r="F72" s="19">
        <f t="shared" ca="1" si="38"/>
        <v>0</v>
      </c>
      <c r="G72" s="20">
        <f t="shared" ca="1" si="38"/>
        <v>0</v>
      </c>
      <c r="H72" s="20">
        <f t="shared" ca="1" si="38"/>
        <v>0</v>
      </c>
      <c r="I72" s="13">
        <f t="shared" ca="1" si="38"/>
        <v>0</v>
      </c>
      <c r="J72" s="16"/>
      <c r="K72" s="19">
        <f t="shared" ca="1" si="39"/>
        <v>0</v>
      </c>
      <c r="L72" s="15">
        <f t="shared" ca="1" si="37"/>
        <v>1</v>
      </c>
      <c r="M72" s="15"/>
      <c r="N72" s="15">
        <f t="shared" ca="1" si="36"/>
        <v>0</v>
      </c>
    </row>
    <row r="73" spans="1:14" x14ac:dyDescent="0.4">
      <c r="A73" s="11" t="s">
        <v>6</v>
      </c>
      <c r="B73" s="41">
        <f t="shared" ca="1" si="38"/>
        <v>0</v>
      </c>
      <c r="C73" s="41"/>
      <c r="D73" s="41"/>
      <c r="E73" s="41"/>
      <c r="F73" s="19">
        <f t="shared" ca="1" si="38"/>
        <v>0</v>
      </c>
      <c r="G73" s="20">
        <f t="shared" ca="1" si="38"/>
        <v>0</v>
      </c>
      <c r="H73" s="20">
        <f t="shared" ca="1" si="38"/>
        <v>0</v>
      </c>
      <c r="I73" s="13">
        <f t="shared" ca="1" si="38"/>
        <v>0</v>
      </c>
      <c r="J73" s="16"/>
      <c r="K73" s="19">
        <f t="shared" ca="1" si="39"/>
        <v>0</v>
      </c>
      <c r="L73" s="15">
        <f t="shared" ca="1" si="37"/>
        <v>1</v>
      </c>
      <c r="M73" s="15"/>
      <c r="N73" s="15">
        <f t="shared" ca="1" si="36"/>
        <v>0</v>
      </c>
    </row>
    <row r="74" spans="1:14" x14ac:dyDescent="0.4">
      <c r="A74" s="11" t="s">
        <v>10</v>
      </c>
      <c r="B74" s="40">
        <f t="shared" ref="B74:I76" ca="1" si="40">OFFSET(B74,-6,0)</f>
        <v>0</v>
      </c>
      <c r="C74" s="40"/>
      <c r="D74" s="40"/>
      <c r="E74" s="40"/>
      <c r="F74" s="13">
        <f t="shared" ca="1" si="40"/>
        <v>0</v>
      </c>
      <c r="G74" s="17">
        <f t="shared" ca="1" si="40"/>
        <v>0</v>
      </c>
      <c r="H74" s="17">
        <f t="shared" ca="1" si="40"/>
        <v>0</v>
      </c>
      <c r="I74" s="13">
        <f t="shared" ca="1" si="40"/>
        <v>0</v>
      </c>
      <c r="J74" s="16"/>
      <c r="K74" s="13">
        <f t="shared" ref="K74:K76" ca="1" si="41">OFFSET(K74,-6,0)</f>
        <v>0</v>
      </c>
      <c r="L74" s="15">
        <f t="shared" ca="1" si="37"/>
        <v>1</v>
      </c>
      <c r="M74" s="15"/>
      <c r="N74" s="15">
        <f t="shared" ca="1" si="36"/>
        <v>0</v>
      </c>
    </row>
    <row r="75" spans="1:14" x14ac:dyDescent="0.4">
      <c r="A75" s="11" t="s">
        <v>10</v>
      </c>
      <c r="B75" s="40">
        <f t="shared" ca="1" si="40"/>
        <v>0</v>
      </c>
      <c r="C75" s="40"/>
      <c r="D75" s="40"/>
      <c r="E75" s="40"/>
      <c r="F75" s="13">
        <f t="shared" ca="1" si="40"/>
        <v>0</v>
      </c>
      <c r="G75" s="17">
        <f t="shared" ca="1" si="40"/>
        <v>0</v>
      </c>
      <c r="H75" s="17">
        <f t="shared" ca="1" si="40"/>
        <v>0</v>
      </c>
      <c r="I75" s="13">
        <f t="shared" ca="1" si="40"/>
        <v>0</v>
      </c>
      <c r="J75" s="16"/>
      <c r="K75" s="13">
        <f t="shared" ca="1" si="41"/>
        <v>0</v>
      </c>
      <c r="L75" s="15">
        <f t="shared" ca="1" si="37"/>
        <v>1</v>
      </c>
      <c r="M75" s="15"/>
      <c r="N75" s="15">
        <f t="shared" ca="1" si="36"/>
        <v>0</v>
      </c>
    </row>
    <row r="76" spans="1:14" x14ac:dyDescent="0.4">
      <c r="A76" s="11" t="s">
        <v>10</v>
      </c>
      <c r="B76" s="40">
        <f t="shared" ca="1" si="40"/>
        <v>0</v>
      </c>
      <c r="C76" s="40"/>
      <c r="D76" s="40"/>
      <c r="E76" s="40"/>
      <c r="F76" s="13">
        <f t="shared" ca="1" si="40"/>
        <v>0</v>
      </c>
      <c r="G76" s="17">
        <f t="shared" ca="1" si="40"/>
        <v>0</v>
      </c>
      <c r="H76" s="17">
        <f t="shared" ca="1" si="40"/>
        <v>0</v>
      </c>
      <c r="I76" s="13">
        <f t="shared" ca="1" si="40"/>
        <v>0</v>
      </c>
      <c r="J76" s="16"/>
      <c r="K76" s="13">
        <f t="shared" ca="1" si="41"/>
        <v>0</v>
      </c>
      <c r="L76" s="15">
        <f t="shared" ca="1" si="37"/>
        <v>1</v>
      </c>
      <c r="M76" s="15"/>
      <c r="N76" s="15">
        <f t="shared" ca="1" si="36"/>
        <v>0</v>
      </c>
    </row>
    <row r="77" spans="1:14" x14ac:dyDescent="0.4">
      <c r="A77" s="11" t="s">
        <v>7</v>
      </c>
      <c r="B77" s="40">
        <f t="shared" ref="B77:I79" ca="1" si="42">OFFSET(B77,-9,0)</f>
        <v>0</v>
      </c>
      <c r="C77" s="40"/>
      <c r="D77" s="40"/>
      <c r="E77" s="40"/>
      <c r="F77" s="13">
        <f t="shared" ca="1" si="42"/>
        <v>0</v>
      </c>
      <c r="G77" s="17">
        <f t="shared" ca="1" si="42"/>
        <v>0</v>
      </c>
      <c r="H77" s="17">
        <f t="shared" ca="1" si="42"/>
        <v>0</v>
      </c>
      <c r="I77" s="13">
        <f t="shared" ca="1" si="42"/>
        <v>0</v>
      </c>
      <c r="J77" s="16"/>
      <c r="K77" s="13">
        <f t="shared" ref="K77:K79" ca="1" si="43">OFFSET(K77,-9,0)</f>
        <v>0</v>
      </c>
      <c r="L77" s="15">
        <f t="shared" ca="1" si="37"/>
        <v>1</v>
      </c>
      <c r="M77" s="15"/>
      <c r="N77" s="15">
        <f t="shared" ca="1" si="36"/>
        <v>0</v>
      </c>
    </row>
    <row r="78" spans="1:14" x14ac:dyDescent="0.4">
      <c r="A78" s="11" t="s">
        <v>7</v>
      </c>
      <c r="B78" s="40">
        <f t="shared" ca="1" si="42"/>
        <v>0</v>
      </c>
      <c r="C78" s="40"/>
      <c r="D78" s="40"/>
      <c r="E78" s="40"/>
      <c r="F78" s="13">
        <f t="shared" ca="1" si="42"/>
        <v>0</v>
      </c>
      <c r="G78" s="17">
        <f t="shared" ca="1" si="42"/>
        <v>0</v>
      </c>
      <c r="H78" s="17">
        <f t="shared" ca="1" si="42"/>
        <v>0</v>
      </c>
      <c r="I78" s="13">
        <f t="shared" ca="1" si="42"/>
        <v>0</v>
      </c>
      <c r="J78" s="16"/>
      <c r="K78" s="13">
        <f t="shared" ca="1" si="43"/>
        <v>0</v>
      </c>
      <c r="L78" s="15">
        <f t="shared" ca="1" si="37"/>
        <v>1</v>
      </c>
      <c r="M78" s="15"/>
      <c r="N78" s="15">
        <f t="shared" ca="1" si="36"/>
        <v>0</v>
      </c>
    </row>
    <row r="79" spans="1:14" x14ac:dyDescent="0.4">
      <c r="A79" s="11" t="s">
        <v>7</v>
      </c>
      <c r="B79" s="40">
        <f t="shared" ca="1" si="42"/>
        <v>0</v>
      </c>
      <c r="C79" s="40"/>
      <c r="D79" s="40"/>
      <c r="E79" s="40"/>
      <c r="F79" s="13">
        <f t="shared" ca="1" si="42"/>
        <v>0</v>
      </c>
      <c r="G79" s="17">
        <f t="shared" ca="1" si="42"/>
        <v>0</v>
      </c>
      <c r="H79" s="17">
        <f t="shared" ca="1" si="42"/>
        <v>0</v>
      </c>
      <c r="I79" s="13">
        <f t="shared" ca="1" si="42"/>
        <v>0</v>
      </c>
      <c r="J79" s="16"/>
      <c r="K79" s="13">
        <f t="shared" ca="1" si="43"/>
        <v>0</v>
      </c>
      <c r="L79" s="15">
        <f t="shared" ca="1" si="37"/>
        <v>1</v>
      </c>
      <c r="M79" s="15"/>
      <c r="N79" s="15">
        <f t="shared" ca="1" si="36"/>
        <v>0</v>
      </c>
    </row>
    <row r="80" spans="1:14" x14ac:dyDescent="0.4">
      <c r="A80" s="11" t="s">
        <v>8</v>
      </c>
      <c r="B80" s="40">
        <f t="shared" ref="B80:I82" ca="1" si="44">OFFSET(B80,-12,0)</f>
        <v>0</v>
      </c>
      <c r="C80" s="40"/>
      <c r="D80" s="40"/>
      <c r="E80" s="40"/>
      <c r="F80" s="13">
        <f t="shared" ca="1" si="44"/>
        <v>0</v>
      </c>
      <c r="G80" s="17">
        <f t="shared" ca="1" si="44"/>
        <v>0</v>
      </c>
      <c r="H80" s="17">
        <f t="shared" ca="1" si="44"/>
        <v>0</v>
      </c>
      <c r="I80" s="13">
        <f t="shared" ca="1" si="44"/>
        <v>0</v>
      </c>
      <c r="J80" s="16"/>
      <c r="K80" s="13">
        <f t="shared" ref="K80:K82" ca="1" si="45">OFFSET(K80,-12,0)</f>
        <v>0</v>
      </c>
      <c r="L80" s="15">
        <f t="shared" ca="1" si="37"/>
        <v>1</v>
      </c>
      <c r="M80" s="15"/>
      <c r="N80" s="15">
        <f t="shared" ca="1" si="36"/>
        <v>0</v>
      </c>
    </row>
    <row r="81" spans="1:14" x14ac:dyDescent="0.4">
      <c r="A81" s="11" t="s">
        <v>8</v>
      </c>
      <c r="B81" s="40">
        <f t="shared" ca="1" si="44"/>
        <v>0</v>
      </c>
      <c r="C81" s="40"/>
      <c r="D81" s="40"/>
      <c r="E81" s="40"/>
      <c r="F81" s="13">
        <f t="shared" ca="1" si="44"/>
        <v>0</v>
      </c>
      <c r="G81" s="17">
        <f t="shared" ca="1" si="44"/>
        <v>0</v>
      </c>
      <c r="H81" s="17">
        <f t="shared" ca="1" si="44"/>
        <v>0</v>
      </c>
      <c r="I81" s="13">
        <f t="shared" ca="1" si="44"/>
        <v>0</v>
      </c>
      <c r="J81" s="16"/>
      <c r="K81" s="13">
        <f t="shared" ca="1" si="45"/>
        <v>0</v>
      </c>
      <c r="L81" s="15">
        <f t="shared" ca="1" si="37"/>
        <v>1</v>
      </c>
      <c r="M81" s="15"/>
      <c r="N81" s="15">
        <f t="shared" ca="1" si="36"/>
        <v>0</v>
      </c>
    </row>
    <row r="82" spans="1:14" x14ac:dyDescent="0.4">
      <c r="A82" s="11" t="s">
        <v>8</v>
      </c>
      <c r="B82" s="40">
        <f t="shared" ca="1" si="44"/>
        <v>0</v>
      </c>
      <c r="C82" s="40"/>
      <c r="D82" s="40"/>
      <c r="E82" s="40"/>
      <c r="F82" s="13">
        <f t="shared" ca="1" si="44"/>
        <v>0</v>
      </c>
      <c r="G82" s="17">
        <f t="shared" ca="1" si="44"/>
        <v>0</v>
      </c>
      <c r="H82" s="17">
        <f t="shared" ca="1" si="44"/>
        <v>0</v>
      </c>
      <c r="I82" s="13">
        <f t="shared" ca="1" si="44"/>
        <v>0</v>
      </c>
      <c r="J82" s="16"/>
      <c r="K82" s="13">
        <f t="shared" ca="1" si="45"/>
        <v>0</v>
      </c>
      <c r="L82" s="15">
        <f t="shared" ca="1" si="37"/>
        <v>1</v>
      </c>
      <c r="M82" s="15"/>
      <c r="N82" s="15">
        <f t="shared" ca="1" si="36"/>
        <v>0</v>
      </c>
    </row>
    <row r="83" spans="1:14" x14ac:dyDescent="0.4">
      <c r="A83" s="11" t="s">
        <v>9</v>
      </c>
      <c r="B83" s="41">
        <f t="shared" ref="B83:I85" ca="1" si="46">OFFSET(B83,-15,0)</f>
        <v>0</v>
      </c>
      <c r="C83" s="41"/>
      <c r="D83" s="41"/>
      <c r="E83" s="41"/>
      <c r="F83" s="19">
        <f t="shared" ca="1" si="46"/>
        <v>0</v>
      </c>
      <c r="G83" s="20">
        <f t="shared" ca="1" si="46"/>
        <v>0</v>
      </c>
      <c r="H83" s="20">
        <f t="shared" ca="1" si="46"/>
        <v>0</v>
      </c>
      <c r="I83" s="13">
        <f t="shared" ca="1" si="46"/>
        <v>0</v>
      </c>
      <c r="J83" s="16"/>
      <c r="K83" s="19">
        <f t="shared" ref="K83:K85" ca="1" si="47">OFFSET(K83,-15,0)</f>
        <v>0</v>
      </c>
      <c r="L83" s="15">
        <f t="shared" ca="1" si="37"/>
        <v>1</v>
      </c>
      <c r="M83" s="15"/>
      <c r="N83" s="15">
        <f t="shared" ca="1" si="36"/>
        <v>0</v>
      </c>
    </row>
    <row r="84" spans="1:14" x14ac:dyDescent="0.4">
      <c r="A84" s="11" t="s">
        <v>9</v>
      </c>
      <c r="B84" s="41">
        <f t="shared" ca="1" si="46"/>
        <v>0</v>
      </c>
      <c r="C84" s="41"/>
      <c r="D84" s="41"/>
      <c r="E84" s="41"/>
      <c r="F84" s="19">
        <f t="shared" ca="1" si="46"/>
        <v>0</v>
      </c>
      <c r="G84" s="20">
        <f t="shared" ca="1" si="46"/>
        <v>0</v>
      </c>
      <c r="H84" s="20">
        <f t="shared" ca="1" si="46"/>
        <v>0</v>
      </c>
      <c r="I84" s="13">
        <f t="shared" ca="1" si="46"/>
        <v>0</v>
      </c>
      <c r="J84" s="16"/>
      <c r="K84" s="19">
        <f t="shared" ca="1" si="47"/>
        <v>0</v>
      </c>
      <c r="L84" s="15">
        <f t="shared" ca="1" si="37"/>
        <v>1</v>
      </c>
      <c r="M84" s="15"/>
      <c r="N84" s="15">
        <f t="shared" ca="1" si="36"/>
        <v>0</v>
      </c>
    </row>
    <row r="85" spans="1:14" x14ac:dyDescent="0.4">
      <c r="A85" s="11" t="s">
        <v>9</v>
      </c>
      <c r="B85" s="41">
        <f t="shared" ca="1" si="46"/>
        <v>0</v>
      </c>
      <c r="C85" s="41"/>
      <c r="D85" s="41"/>
      <c r="E85" s="41"/>
      <c r="F85" s="19">
        <f t="shared" ca="1" si="46"/>
        <v>0</v>
      </c>
      <c r="G85" s="20">
        <f t="shared" ca="1" si="46"/>
        <v>0</v>
      </c>
      <c r="H85" s="20">
        <f t="shared" ca="1" si="46"/>
        <v>0</v>
      </c>
      <c r="I85" s="13">
        <f t="shared" ca="1" si="46"/>
        <v>0</v>
      </c>
      <c r="J85" s="16"/>
      <c r="K85" s="19">
        <f t="shared" ca="1" si="47"/>
        <v>0</v>
      </c>
      <c r="L85" s="15">
        <f t="shared" ca="1" si="37"/>
        <v>1</v>
      </c>
      <c r="M85" s="15"/>
      <c r="N85" s="15">
        <f t="shared" ca="1" si="36"/>
        <v>0</v>
      </c>
    </row>
    <row r="86" spans="1:14" ht="17.399999999999999" x14ac:dyDescent="0.4">
      <c r="A86" s="74" t="s">
        <v>29</v>
      </c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6"/>
    </row>
    <row r="87" spans="1:14" x14ac:dyDescent="0.4">
      <c r="A87" s="11" t="s">
        <v>5</v>
      </c>
      <c r="B87" s="40"/>
      <c r="C87" s="40"/>
      <c r="D87" s="40"/>
      <c r="E87" s="40"/>
      <c r="F87" s="13"/>
      <c r="G87" s="11"/>
      <c r="H87" s="17"/>
      <c r="I87" s="13"/>
      <c r="J87" s="16"/>
      <c r="K87" s="13"/>
      <c r="L87" s="15">
        <f>ROUND((10^(K87/10))/(10^(I87/10)),3)</f>
        <v>1</v>
      </c>
      <c r="M87" s="15"/>
      <c r="N87" s="15">
        <f t="shared" ref="N87:N104" si="48">J87*L87</f>
        <v>0</v>
      </c>
    </row>
    <row r="88" spans="1:14" x14ac:dyDescent="0.4">
      <c r="A88" s="11" t="s">
        <v>5</v>
      </c>
      <c r="B88" s="40"/>
      <c r="C88" s="40"/>
      <c r="D88" s="40"/>
      <c r="E88" s="40"/>
      <c r="F88" s="13"/>
      <c r="G88" s="11"/>
      <c r="H88" s="17"/>
      <c r="I88" s="13"/>
      <c r="J88" s="16"/>
      <c r="K88" s="13"/>
      <c r="L88" s="15">
        <f t="shared" ref="L88:L104" si="49">ROUND((10^(K88/10))/(10^(I88/10)),3)</f>
        <v>1</v>
      </c>
      <c r="M88" s="15"/>
      <c r="N88" s="15">
        <f t="shared" si="48"/>
        <v>0</v>
      </c>
    </row>
    <row r="89" spans="1:14" x14ac:dyDescent="0.4">
      <c r="A89" s="11" t="s">
        <v>5</v>
      </c>
      <c r="B89" s="40"/>
      <c r="C89" s="40"/>
      <c r="D89" s="40"/>
      <c r="E89" s="40"/>
      <c r="F89" s="13"/>
      <c r="G89" s="11"/>
      <c r="H89" s="17"/>
      <c r="I89" s="13"/>
      <c r="J89" s="16"/>
      <c r="K89" s="13"/>
      <c r="L89" s="15">
        <f t="shared" si="49"/>
        <v>1</v>
      </c>
      <c r="M89" s="15"/>
      <c r="N89" s="15">
        <f t="shared" si="48"/>
        <v>0</v>
      </c>
    </row>
    <row r="90" spans="1:14" x14ac:dyDescent="0.4">
      <c r="A90" s="11" t="s">
        <v>6</v>
      </c>
      <c r="B90" s="41">
        <f t="shared" ref="B90:I92" ca="1" si="50">OFFSET(B90,-3,0)</f>
        <v>0</v>
      </c>
      <c r="C90" s="41"/>
      <c r="D90" s="41"/>
      <c r="E90" s="41"/>
      <c r="F90" s="19">
        <f t="shared" ca="1" si="50"/>
        <v>0</v>
      </c>
      <c r="G90" s="20">
        <f t="shared" ca="1" si="50"/>
        <v>0</v>
      </c>
      <c r="H90" s="20">
        <f t="shared" ca="1" si="50"/>
        <v>0</v>
      </c>
      <c r="I90" s="13">
        <f t="shared" ca="1" si="50"/>
        <v>0</v>
      </c>
      <c r="J90" s="16"/>
      <c r="K90" s="19">
        <f t="shared" ref="K90:K92" ca="1" si="51">OFFSET(K90,-3,0)</f>
        <v>0</v>
      </c>
      <c r="L90" s="15">
        <f t="shared" ca="1" si="49"/>
        <v>1</v>
      </c>
      <c r="M90" s="15"/>
      <c r="N90" s="15">
        <f t="shared" ca="1" si="48"/>
        <v>0</v>
      </c>
    </row>
    <row r="91" spans="1:14" x14ac:dyDescent="0.4">
      <c r="A91" s="11" t="s">
        <v>6</v>
      </c>
      <c r="B91" s="41">
        <f t="shared" ca="1" si="50"/>
        <v>0</v>
      </c>
      <c r="C91" s="41"/>
      <c r="D91" s="41"/>
      <c r="E91" s="41"/>
      <c r="F91" s="19">
        <f t="shared" ca="1" si="50"/>
        <v>0</v>
      </c>
      <c r="G91" s="20">
        <f t="shared" ca="1" si="50"/>
        <v>0</v>
      </c>
      <c r="H91" s="20">
        <f t="shared" ca="1" si="50"/>
        <v>0</v>
      </c>
      <c r="I91" s="13">
        <f t="shared" ca="1" si="50"/>
        <v>0</v>
      </c>
      <c r="J91" s="16"/>
      <c r="K91" s="19">
        <f t="shared" ca="1" si="51"/>
        <v>0</v>
      </c>
      <c r="L91" s="15">
        <f t="shared" ca="1" si="49"/>
        <v>1</v>
      </c>
      <c r="M91" s="15"/>
      <c r="N91" s="15">
        <f t="shared" ca="1" si="48"/>
        <v>0</v>
      </c>
    </row>
    <row r="92" spans="1:14" x14ac:dyDescent="0.4">
      <c r="A92" s="11" t="s">
        <v>6</v>
      </c>
      <c r="B92" s="41">
        <f t="shared" ca="1" si="50"/>
        <v>0</v>
      </c>
      <c r="C92" s="41"/>
      <c r="D92" s="41"/>
      <c r="E92" s="41"/>
      <c r="F92" s="19">
        <f t="shared" ca="1" si="50"/>
        <v>0</v>
      </c>
      <c r="G92" s="20">
        <f t="shared" ca="1" si="50"/>
        <v>0</v>
      </c>
      <c r="H92" s="20">
        <f t="shared" ca="1" si="50"/>
        <v>0</v>
      </c>
      <c r="I92" s="13">
        <f t="shared" ca="1" si="50"/>
        <v>0</v>
      </c>
      <c r="J92" s="16"/>
      <c r="K92" s="19">
        <f t="shared" ca="1" si="51"/>
        <v>0</v>
      </c>
      <c r="L92" s="15">
        <f t="shared" ca="1" si="49"/>
        <v>1</v>
      </c>
      <c r="M92" s="15"/>
      <c r="N92" s="15">
        <f t="shared" ca="1" si="48"/>
        <v>0</v>
      </c>
    </row>
    <row r="93" spans="1:14" x14ac:dyDescent="0.4">
      <c r="A93" s="11" t="s">
        <v>10</v>
      </c>
      <c r="B93" s="40">
        <f t="shared" ref="B93:I95" ca="1" si="52">OFFSET(B93,-6,0)</f>
        <v>0</v>
      </c>
      <c r="C93" s="40"/>
      <c r="D93" s="40"/>
      <c r="E93" s="40"/>
      <c r="F93" s="13">
        <f t="shared" ca="1" si="52"/>
        <v>0</v>
      </c>
      <c r="G93" s="17">
        <f t="shared" ca="1" si="52"/>
        <v>0</v>
      </c>
      <c r="H93" s="17">
        <f t="shared" ca="1" si="52"/>
        <v>0</v>
      </c>
      <c r="I93" s="13">
        <f t="shared" ca="1" si="52"/>
        <v>0</v>
      </c>
      <c r="J93" s="16"/>
      <c r="K93" s="13">
        <f t="shared" ref="K93:K95" ca="1" si="53">OFFSET(K93,-6,0)</f>
        <v>0</v>
      </c>
      <c r="L93" s="15">
        <f t="shared" ca="1" si="49"/>
        <v>1</v>
      </c>
      <c r="M93" s="15"/>
      <c r="N93" s="15">
        <f t="shared" ca="1" si="48"/>
        <v>0</v>
      </c>
    </row>
    <row r="94" spans="1:14" x14ac:dyDescent="0.4">
      <c r="A94" s="11" t="s">
        <v>10</v>
      </c>
      <c r="B94" s="40">
        <f t="shared" ca="1" si="52"/>
        <v>0</v>
      </c>
      <c r="C94" s="40"/>
      <c r="D94" s="40"/>
      <c r="E94" s="40"/>
      <c r="F94" s="13">
        <f t="shared" ca="1" si="52"/>
        <v>0</v>
      </c>
      <c r="G94" s="17">
        <f t="shared" ca="1" si="52"/>
        <v>0</v>
      </c>
      <c r="H94" s="17">
        <f t="shared" ca="1" si="52"/>
        <v>0</v>
      </c>
      <c r="I94" s="13">
        <f t="shared" ca="1" si="52"/>
        <v>0</v>
      </c>
      <c r="J94" s="16"/>
      <c r="K94" s="13">
        <f t="shared" ca="1" si="53"/>
        <v>0</v>
      </c>
      <c r="L94" s="15">
        <f t="shared" ca="1" si="49"/>
        <v>1</v>
      </c>
      <c r="M94" s="15"/>
      <c r="N94" s="15">
        <f t="shared" ca="1" si="48"/>
        <v>0</v>
      </c>
    </row>
    <row r="95" spans="1:14" x14ac:dyDescent="0.4">
      <c r="A95" s="11" t="s">
        <v>10</v>
      </c>
      <c r="B95" s="40">
        <f t="shared" ca="1" si="52"/>
        <v>0</v>
      </c>
      <c r="C95" s="40"/>
      <c r="D95" s="40"/>
      <c r="E95" s="40"/>
      <c r="F95" s="13">
        <f t="shared" ca="1" si="52"/>
        <v>0</v>
      </c>
      <c r="G95" s="17">
        <f t="shared" ca="1" si="52"/>
        <v>0</v>
      </c>
      <c r="H95" s="17">
        <f t="shared" ca="1" si="52"/>
        <v>0</v>
      </c>
      <c r="I95" s="13">
        <f t="shared" ca="1" si="52"/>
        <v>0</v>
      </c>
      <c r="J95" s="16"/>
      <c r="K95" s="13">
        <f t="shared" ca="1" si="53"/>
        <v>0</v>
      </c>
      <c r="L95" s="15">
        <f t="shared" ca="1" si="49"/>
        <v>1</v>
      </c>
      <c r="M95" s="15"/>
      <c r="N95" s="15">
        <f t="shared" ca="1" si="48"/>
        <v>0</v>
      </c>
    </row>
    <row r="96" spans="1:14" x14ac:dyDescent="0.4">
      <c r="A96" s="11" t="s">
        <v>7</v>
      </c>
      <c r="B96" s="40">
        <f t="shared" ref="B96:I98" ca="1" si="54">OFFSET(B96,-9,0)</f>
        <v>0</v>
      </c>
      <c r="C96" s="40"/>
      <c r="D96" s="40"/>
      <c r="E96" s="40"/>
      <c r="F96" s="13">
        <f t="shared" ca="1" si="54"/>
        <v>0</v>
      </c>
      <c r="G96" s="17">
        <f t="shared" ca="1" si="54"/>
        <v>0</v>
      </c>
      <c r="H96" s="17">
        <f t="shared" ca="1" si="54"/>
        <v>0</v>
      </c>
      <c r="I96" s="13">
        <f t="shared" ca="1" si="54"/>
        <v>0</v>
      </c>
      <c r="J96" s="16"/>
      <c r="K96" s="13">
        <f t="shared" ref="K96:K98" ca="1" si="55">OFFSET(K96,-9,0)</f>
        <v>0</v>
      </c>
      <c r="L96" s="15">
        <f t="shared" ca="1" si="49"/>
        <v>1</v>
      </c>
      <c r="M96" s="15"/>
      <c r="N96" s="15">
        <f t="shared" ca="1" si="48"/>
        <v>0</v>
      </c>
    </row>
    <row r="97" spans="1:14" x14ac:dyDescent="0.4">
      <c r="A97" s="11" t="s">
        <v>7</v>
      </c>
      <c r="B97" s="40">
        <f t="shared" ca="1" si="54"/>
        <v>0</v>
      </c>
      <c r="C97" s="40"/>
      <c r="D97" s="40"/>
      <c r="E97" s="40"/>
      <c r="F97" s="13">
        <f t="shared" ca="1" si="54"/>
        <v>0</v>
      </c>
      <c r="G97" s="17">
        <f t="shared" ca="1" si="54"/>
        <v>0</v>
      </c>
      <c r="H97" s="17">
        <f t="shared" ca="1" si="54"/>
        <v>0</v>
      </c>
      <c r="I97" s="13">
        <f t="shared" ca="1" si="54"/>
        <v>0</v>
      </c>
      <c r="J97" s="16"/>
      <c r="K97" s="13">
        <f t="shared" ca="1" si="55"/>
        <v>0</v>
      </c>
      <c r="L97" s="15">
        <f t="shared" ca="1" si="49"/>
        <v>1</v>
      </c>
      <c r="M97" s="15"/>
      <c r="N97" s="15">
        <f t="shared" ca="1" si="48"/>
        <v>0</v>
      </c>
    </row>
    <row r="98" spans="1:14" x14ac:dyDescent="0.4">
      <c r="A98" s="11" t="s">
        <v>7</v>
      </c>
      <c r="B98" s="40">
        <f t="shared" ca="1" si="54"/>
        <v>0</v>
      </c>
      <c r="C98" s="40"/>
      <c r="D98" s="40"/>
      <c r="E98" s="40"/>
      <c r="F98" s="13">
        <f t="shared" ca="1" si="54"/>
        <v>0</v>
      </c>
      <c r="G98" s="17">
        <f t="shared" ca="1" si="54"/>
        <v>0</v>
      </c>
      <c r="H98" s="17">
        <f t="shared" ca="1" si="54"/>
        <v>0</v>
      </c>
      <c r="I98" s="13">
        <f t="shared" ca="1" si="54"/>
        <v>0</v>
      </c>
      <c r="J98" s="16"/>
      <c r="K98" s="13">
        <f t="shared" ca="1" si="55"/>
        <v>0</v>
      </c>
      <c r="L98" s="15">
        <f t="shared" ca="1" si="49"/>
        <v>1</v>
      </c>
      <c r="M98" s="15"/>
      <c r="N98" s="15">
        <f t="shared" ca="1" si="48"/>
        <v>0</v>
      </c>
    </row>
    <row r="99" spans="1:14" x14ac:dyDescent="0.4">
      <c r="A99" s="11" t="s">
        <v>8</v>
      </c>
      <c r="B99" s="40">
        <f t="shared" ref="B99:I101" ca="1" si="56">OFFSET(B99,-12,0)</f>
        <v>0</v>
      </c>
      <c r="C99" s="40"/>
      <c r="D99" s="40"/>
      <c r="E99" s="40"/>
      <c r="F99" s="13">
        <f t="shared" ca="1" si="56"/>
        <v>0</v>
      </c>
      <c r="G99" s="17">
        <f t="shared" ca="1" si="56"/>
        <v>0</v>
      </c>
      <c r="H99" s="17">
        <f t="shared" ca="1" si="56"/>
        <v>0</v>
      </c>
      <c r="I99" s="13">
        <f t="shared" ca="1" si="56"/>
        <v>0</v>
      </c>
      <c r="J99" s="16"/>
      <c r="K99" s="13">
        <f t="shared" ref="K99:K101" ca="1" si="57">OFFSET(K99,-12,0)</f>
        <v>0</v>
      </c>
      <c r="L99" s="15">
        <f t="shared" ca="1" si="49"/>
        <v>1</v>
      </c>
      <c r="M99" s="15"/>
      <c r="N99" s="15">
        <f t="shared" ca="1" si="48"/>
        <v>0</v>
      </c>
    </row>
    <row r="100" spans="1:14" x14ac:dyDescent="0.4">
      <c r="A100" s="11" t="s">
        <v>8</v>
      </c>
      <c r="B100" s="40">
        <f t="shared" ca="1" si="56"/>
        <v>0</v>
      </c>
      <c r="C100" s="40"/>
      <c r="D100" s="40"/>
      <c r="E100" s="40"/>
      <c r="F100" s="13">
        <f t="shared" ca="1" si="56"/>
        <v>0</v>
      </c>
      <c r="G100" s="17">
        <f t="shared" ca="1" si="56"/>
        <v>0</v>
      </c>
      <c r="H100" s="17">
        <f t="shared" ca="1" si="56"/>
        <v>0</v>
      </c>
      <c r="I100" s="13">
        <f t="shared" ca="1" si="56"/>
        <v>0</v>
      </c>
      <c r="J100" s="16"/>
      <c r="K100" s="13">
        <f t="shared" ca="1" si="57"/>
        <v>0</v>
      </c>
      <c r="L100" s="15">
        <f t="shared" ca="1" si="49"/>
        <v>1</v>
      </c>
      <c r="M100" s="15"/>
      <c r="N100" s="15">
        <f t="shared" ca="1" si="48"/>
        <v>0</v>
      </c>
    </row>
    <row r="101" spans="1:14" x14ac:dyDescent="0.4">
      <c r="A101" s="11" t="s">
        <v>8</v>
      </c>
      <c r="B101" s="40">
        <f t="shared" ca="1" si="56"/>
        <v>0</v>
      </c>
      <c r="C101" s="40"/>
      <c r="D101" s="40"/>
      <c r="E101" s="40"/>
      <c r="F101" s="13">
        <f t="shared" ca="1" si="56"/>
        <v>0</v>
      </c>
      <c r="G101" s="17">
        <f t="shared" ca="1" si="56"/>
        <v>0</v>
      </c>
      <c r="H101" s="17">
        <f t="shared" ca="1" si="56"/>
        <v>0</v>
      </c>
      <c r="I101" s="13">
        <f t="shared" ca="1" si="56"/>
        <v>0</v>
      </c>
      <c r="J101" s="16"/>
      <c r="K101" s="13">
        <f t="shared" ca="1" si="57"/>
        <v>0</v>
      </c>
      <c r="L101" s="15">
        <f t="shared" ca="1" si="49"/>
        <v>1</v>
      </c>
      <c r="M101" s="15"/>
      <c r="N101" s="15">
        <f t="shared" ca="1" si="48"/>
        <v>0</v>
      </c>
    </row>
    <row r="102" spans="1:14" x14ac:dyDescent="0.4">
      <c r="A102" s="11" t="s">
        <v>9</v>
      </c>
      <c r="B102" s="41">
        <f t="shared" ref="B102:I104" ca="1" si="58">OFFSET(B102,-15,0)</f>
        <v>0</v>
      </c>
      <c r="C102" s="41"/>
      <c r="D102" s="41"/>
      <c r="E102" s="41"/>
      <c r="F102" s="19">
        <f t="shared" ca="1" si="58"/>
        <v>0</v>
      </c>
      <c r="G102" s="20">
        <f t="shared" ca="1" si="58"/>
        <v>0</v>
      </c>
      <c r="H102" s="20">
        <f t="shared" ca="1" si="58"/>
        <v>0</v>
      </c>
      <c r="I102" s="13">
        <f t="shared" ca="1" si="58"/>
        <v>0</v>
      </c>
      <c r="J102" s="16"/>
      <c r="K102" s="19">
        <f t="shared" ref="K102:K104" ca="1" si="59">OFFSET(K102,-15,0)</f>
        <v>0</v>
      </c>
      <c r="L102" s="15">
        <f t="shared" ca="1" si="49"/>
        <v>1</v>
      </c>
      <c r="M102" s="15"/>
      <c r="N102" s="15">
        <f t="shared" ca="1" si="48"/>
        <v>0</v>
      </c>
    </row>
    <row r="103" spans="1:14" x14ac:dyDescent="0.4">
      <c r="A103" s="11" t="s">
        <v>9</v>
      </c>
      <c r="B103" s="41">
        <f t="shared" ca="1" si="58"/>
        <v>0</v>
      </c>
      <c r="C103" s="41"/>
      <c r="D103" s="41"/>
      <c r="E103" s="41"/>
      <c r="F103" s="19">
        <f t="shared" ca="1" si="58"/>
        <v>0</v>
      </c>
      <c r="G103" s="20">
        <f t="shared" ca="1" si="58"/>
        <v>0</v>
      </c>
      <c r="H103" s="20">
        <f t="shared" ca="1" si="58"/>
        <v>0</v>
      </c>
      <c r="I103" s="13">
        <f t="shared" ca="1" si="58"/>
        <v>0</v>
      </c>
      <c r="J103" s="16"/>
      <c r="K103" s="19">
        <f t="shared" ca="1" si="59"/>
        <v>0</v>
      </c>
      <c r="L103" s="15">
        <f t="shared" ca="1" si="49"/>
        <v>1</v>
      </c>
      <c r="M103" s="15"/>
      <c r="N103" s="15">
        <f t="shared" ca="1" si="48"/>
        <v>0</v>
      </c>
    </row>
    <row r="104" spans="1:14" x14ac:dyDescent="0.4">
      <c r="A104" s="11" t="s">
        <v>9</v>
      </c>
      <c r="B104" s="41">
        <f t="shared" ca="1" si="58"/>
        <v>0</v>
      </c>
      <c r="C104" s="41"/>
      <c r="D104" s="41"/>
      <c r="E104" s="41"/>
      <c r="F104" s="19">
        <f t="shared" ca="1" si="58"/>
        <v>0</v>
      </c>
      <c r="G104" s="20">
        <f t="shared" ca="1" si="58"/>
        <v>0</v>
      </c>
      <c r="H104" s="20">
        <f t="shared" ca="1" si="58"/>
        <v>0</v>
      </c>
      <c r="I104" s="13">
        <f t="shared" ca="1" si="58"/>
        <v>0</v>
      </c>
      <c r="J104" s="16"/>
      <c r="K104" s="19">
        <f t="shared" ca="1" si="59"/>
        <v>0</v>
      </c>
      <c r="L104" s="15">
        <f t="shared" ca="1" si="49"/>
        <v>1</v>
      </c>
      <c r="M104" s="15"/>
      <c r="N104" s="15">
        <f t="shared" ca="1" si="48"/>
        <v>0</v>
      </c>
    </row>
    <row r="105" spans="1:14" ht="17.399999999999999" x14ac:dyDescent="0.4">
      <c r="A105" s="74" t="s">
        <v>32</v>
      </c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6"/>
    </row>
    <row r="106" spans="1:14" x14ac:dyDescent="0.4">
      <c r="A106" s="11" t="s">
        <v>5</v>
      </c>
      <c r="B106" s="40"/>
      <c r="C106" s="40"/>
      <c r="D106" s="40"/>
      <c r="E106" s="40"/>
      <c r="F106" s="13"/>
      <c r="G106" s="11"/>
      <c r="H106" s="17"/>
      <c r="I106" s="13"/>
      <c r="J106" s="16"/>
      <c r="K106" s="13"/>
      <c r="L106" s="15">
        <f>ROUND((10^(K106/10))/(10^(I106/10)),3)</f>
        <v>1</v>
      </c>
      <c r="M106" s="15"/>
      <c r="N106" s="15">
        <f t="shared" ref="N106:N123" si="60">J106*L106</f>
        <v>0</v>
      </c>
    </row>
    <row r="107" spans="1:14" x14ac:dyDescent="0.4">
      <c r="A107" s="11" t="s">
        <v>5</v>
      </c>
      <c r="B107" s="40"/>
      <c r="C107" s="40"/>
      <c r="D107" s="40"/>
      <c r="E107" s="40"/>
      <c r="F107" s="13"/>
      <c r="G107" s="11"/>
      <c r="H107" s="17"/>
      <c r="I107" s="13"/>
      <c r="J107" s="16"/>
      <c r="K107" s="13"/>
      <c r="L107" s="15">
        <f t="shared" ref="L107:L123" si="61">ROUND((10^(K107/10))/(10^(I107/10)),3)</f>
        <v>1</v>
      </c>
      <c r="M107" s="15"/>
      <c r="N107" s="15">
        <f t="shared" si="60"/>
        <v>0</v>
      </c>
    </row>
    <row r="108" spans="1:14" x14ac:dyDescent="0.4">
      <c r="A108" s="11" t="s">
        <v>5</v>
      </c>
      <c r="B108" s="40"/>
      <c r="C108" s="40"/>
      <c r="D108" s="40"/>
      <c r="E108" s="40"/>
      <c r="F108" s="13"/>
      <c r="G108" s="11"/>
      <c r="H108" s="17"/>
      <c r="I108" s="13"/>
      <c r="J108" s="16"/>
      <c r="K108" s="13"/>
      <c r="L108" s="15">
        <f t="shared" si="61"/>
        <v>1</v>
      </c>
      <c r="M108" s="15"/>
      <c r="N108" s="15">
        <f t="shared" si="60"/>
        <v>0</v>
      </c>
    </row>
    <row r="109" spans="1:14" x14ac:dyDescent="0.4">
      <c r="A109" s="11" t="s">
        <v>6</v>
      </c>
      <c r="B109" s="41">
        <f t="shared" ref="B109:I111" ca="1" si="62">OFFSET(B109,-3,0)</f>
        <v>0</v>
      </c>
      <c r="C109" s="41"/>
      <c r="D109" s="41"/>
      <c r="E109" s="41"/>
      <c r="F109" s="19">
        <f t="shared" ca="1" si="62"/>
        <v>0</v>
      </c>
      <c r="G109" s="20">
        <f t="shared" ca="1" si="62"/>
        <v>0</v>
      </c>
      <c r="H109" s="20">
        <f t="shared" ca="1" si="62"/>
        <v>0</v>
      </c>
      <c r="I109" s="13">
        <f t="shared" ca="1" si="62"/>
        <v>0</v>
      </c>
      <c r="J109" s="16"/>
      <c r="K109" s="19">
        <f t="shared" ref="K109:K111" ca="1" si="63">OFFSET(K109,-3,0)</f>
        <v>0</v>
      </c>
      <c r="L109" s="15">
        <f t="shared" ca="1" si="61"/>
        <v>1</v>
      </c>
      <c r="M109" s="15"/>
      <c r="N109" s="15">
        <f t="shared" ca="1" si="60"/>
        <v>0</v>
      </c>
    </row>
    <row r="110" spans="1:14" x14ac:dyDescent="0.4">
      <c r="A110" s="11" t="s">
        <v>6</v>
      </c>
      <c r="B110" s="41">
        <f t="shared" ca="1" si="62"/>
        <v>0</v>
      </c>
      <c r="C110" s="41"/>
      <c r="D110" s="41"/>
      <c r="E110" s="41"/>
      <c r="F110" s="19">
        <f t="shared" ca="1" si="62"/>
        <v>0</v>
      </c>
      <c r="G110" s="20">
        <f t="shared" ca="1" si="62"/>
        <v>0</v>
      </c>
      <c r="H110" s="20">
        <f t="shared" ca="1" si="62"/>
        <v>0</v>
      </c>
      <c r="I110" s="13">
        <f t="shared" ca="1" si="62"/>
        <v>0</v>
      </c>
      <c r="J110" s="16"/>
      <c r="K110" s="19">
        <f t="shared" ca="1" si="63"/>
        <v>0</v>
      </c>
      <c r="L110" s="15">
        <f t="shared" ca="1" si="61"/>
        <v>1</v>
      </c>
      <c r="M110" s="15"/>
      <c r="N110" s="15">
        <f t="shared" ca="1" si="60"/>
        <v>0</v>
      </c>
    </row>
    <row r="111" spans="1:14" x14ac:dyDescent="0.4">
      <c r="A111" s="11" t="s">
        <v>6</v>
      </c>
      <c r="B111" s="41">
        <f t="shared" ca="1" si="62"/>
        <v>0</v>
      </c>
      <c r="C111" s="41"/>
      <c r="D111" s="41"/>
      <c r="E111" s="41"/>
      <c r="F111" s="19">
        <f t="shared" ca="1" si="62"/>
        <v>0</v>
      </c>
      <c r="G111" s="20">
        <f t="shared" ca="1" si="62"/>
        <v>0</v>
      </c>
      <c r="H111" s="20">
        <f t="shared" ca="1" si="62"/>
        <v>0</v>
      </c>
      <c r="I111" s="13">
        <f t="shared" ca="1" si="62"/>
        <v>0</v>
      </c>
      <c r="J111" s="16"/>
      <c r="K111" s="19">
        <f t="shared" ca="1" si="63"/>
        <v>0</v>
      </c>
      <c r="L111" s="15">
        <f t="shared" ca="1" si="61"/>
        <v>1</v>
      </c>
      <c r="M111" s="15"/>
      <c r="N111" s="15">
        <f t="shared" ca="1" si="60"/>
        <v>0</v>
      </c>
    </row>
    <row r="112" spans="1:14" x14ac:dyDescent="0.4">
      <c r="A112" s="11" t="s">
        <v>10</v>
      </c>
      <c r="B112" s="40">
        <f t="shared" ref="B112:I114" ca="1" si="64">OFFSET(B112,-6,0)</f>
        <v>0</v>
      </c>
      <c r="C112" s="40"/>
      <c r="D112" s="40"/>
      <c r="E112" s="40"/>
      <c r="F112" s="13">
        <f t="shared" ca="1" si="64"/>
        <v>0</v>
      </c>
      <c r="G112" s="17">
        <f t="shared" ca="1" si="64"/>
        <v>0</v>
      </c>
      <c r="H112" s="17">
        <f t="shared" ca="1" si="64"/>
        <v>0</v>
      </c>
      <c r="I112" s="13">
        <f t="shared" ca="1" si="64"/>
        <v>0</v>
      </c>
      <c r="J112" s="16"/>
      <c r="K112" s="13">
        <f t="shared" ref="K112:K114" ca="1" si="65">OFFSET(K112,-6,0)</f>
        <v>0</v>
      </c>
      <c r="L112" s="15">
        <f t="shared" ca="1" si="61"/>
        <v>1</v>
      </c>
      <c r="M112" s="15"/>
      <c r="N112" s="15">
        <f t="shared" ca="1" si="60"/>
        <v>0</v>
      </c>
    </row>
    <row r="113" spans="1:14" x14ac:dyDescent="0.4">
      <c r="A113" s="11" t="s">
        <v>10</v>
      </c>
      <c r="B113" s="40">
        <f t="shared" ca="1" si="64"/>
        <v>0</v>
      </c>
      <c r="C113" s="40"/>
      <c r="D113" s="40"/>
      <c r="E113" s="40"/>
      <c r="F113" s="13">
        <f t="shared" ca="1" si="64"/>
        <v>0</v>
      </c>
      <c r="G113" s="17">
        <f t="shared" ca="1" si="64"/>
        <v>0</v>
      </c>
      <c r="H113" s="17">
        <f t="shared" ca="1" si="64"/>
        <v>0</v>
      </c>
      <c r="I113" s="13">
        <f t="shared" ca="1" si="64"/>
        <v>0</v>
      </c>
      <c r="J113" s="16"/>
      <c r="K113" s="13">
        <f t="shared" ca="1" si="65"/>
        <v>0</v>
      </c>
      <c r="L113" s="15">
        <f t="shared" ca="1" si="61"/>
        <v>1</v>
      </c>
      <c r="M113" s="15"/>
      <c r="N113" s="15">
        <f t="shared" ca="1" si="60"/>
        <v>0</v>
      </c>
    </row>
    <row r="114" spans="1:14" x14ac:dyDescent="0.4">
      <c r="A114" s="11" t="s">
        <v>10</v>
      </c>
      <c r="B114" s="40">
        <f t="shared" ca="1" si="64"/>
        <v>0</v>
      </c>
      <c r="C114" s="40"/>
      <c r="D114" s="40"/>
      <c r="E114" s="40"/>
      <c r="F114" s="13">
        <f t="shared" ca="1" si="64"/>
        <v>0</v>
      </c>
      <c r="G114" s="17">
        <f t="shared" ca="1" si="64"/>
        <v>0</v>
      </c>
      <c r="H114" s="17">
        <f t="shared" ca="1" si="64"/>
        <v>0</v>
      </c>
      <c r="I114" s="13">
        <f t="shared" ca="1" si="64"/>
        <v>0</v>
      </c>
      <c r="J114" s="16"/>
      <c r="K114" s="13">
        <f t="shared" ca="1" si="65"/>
        <v>0</v>
      </c>
      <c r="L114" s="15">
        <f t="shared" ca="1" si="61"/>
        <v>1</v>
      </c>
      <c r="M114" s="15"/>
      <c r="N114" s="15">
        <f t="shared" ca="1" si="60"/>
        <v>0</v>
      </c>
    </row>
    <row r="115" spans="1:14" x14ac:dyDescent="0.4">
      <c r="A115" s="11" t="s">
        <v>7</v>
      </c>
      <c r="B115" s="40">
        <f t="shared" ref="B115:I117" ca="1" si="66">OFFSET(B115,-9,0)</f>
        <v>0</v>
      </c>
      <c r="C115" s="40"/>
      <c r="D115" s="40"/>
      <c r="E115" s="40"/>
      <c r="F115" s="13">
        <f t="shared" ca="1" si="66"/>
        <v>0</v>
      </c>
      <c r="G115" s="17">
        <f t="shared" ca="1" si="66"/>
        <v>0</v>
      </c>
      <c r="H115" s="17">
        <f t="shared" ca="1" si="66"/>
        <v>0</v>
      </c>
      <c r="I115" s="13">
        <f t="shared" ca="1" si="66"/>
        <v>0</v>
      </c>
      <c r="J115" s="16"/>
      <c r="K115" s="13">
        <f t="shared" ref="K115:K117" ca="1" si="67">OFFSET(K115,-9,0)</f>
        <v>0</v>
      </c>
      <c r="L115" s="15">
        <f t="shared" ca="1" si="61"/>
        <v>1</v>
      </c>
      <c r="M115" s="15"/>
      <c r="N115" s="15">
        <f t="shared" ca="1" si="60"/>
        <v>0</v>
      </c>
    </row>
    <row r="116" spans="1:14" x14ac:dyDescent="0.4">
      <c r="A116" s="11" t="s">
        <v>7</v>
      </c>
      <c r="B116" s="40">
        <f t="shared" ca="1" si="66"/>
        <v>0</v>
      </c>
      <c r="C116" s="40"/>
      <c r="D116" s="40"/>
      <c r="E116" s="40"/>
      <c r="F116" s="13">
        <f t="shared" ca="1" si="66"/>
        <v>0</v>
      </c>
      <c r="G116" s="17">
        <f t="shared" ca="1" si="66"/>
        <v>0</v>
      </c>
      <c r="H116" s="17">
        <f t="shared" ca="1" si="66"/>
        <v>0</v>
      </c>
      <c r="I116" s="13">
        <f t="shared" ca="1" si="66"/>
        <v>0</v>
      </c>
      <c r="J116" s="16"/>
      <c r="K116" s="13">
        <f t="shared" ca="1" si="67"/>
        <v>0</v>
      </c>
      <c r="L116" s="15">
        <f t="shared" ca="1" si="61"/>
        <v>1</v>
      </c>
      <c r="M116" s="15"/>
      <c r="N116" s="15">
        <f t="shared" ca="1" si="60"/>
        <v>0</v>
      </c>
    </row>
    <row r="117" spans="1:14" x14ac:dyDescent="0.4">
      <c r="A117" s="11" t="s">
        <v>7</v>
      </c>
      <c r="B117" s="40">
        <f t="shared" ca="1" si="66"/>
        <v>0</v>
      </c>
      <c r="C117" s="40"/>
      <c r="D117" s="40"/>
      <c r="E117" s="40"/>
      <c r="F117" s="13">
        <f t="shared" ca="1" si="66"/>
        <v>0</v>
      </c>
      <c r="G117" s="17">
        <f t="shared" ca="1" si="66"/>
        <v>0</v>
      </c>
      <c r="H117" s="17">
        <f t="shared" ca="1" si="66"/>
        <v>0</v>
      </c>
      <c r="I117" s="13">
        <f t="shared" ca="1" si="66"/>
        <v>0</v>
      </c>
      <c r="J117" s="16"/>
      <c r="K117" s="13">
        <f t="shared" ca="1" si="67"/>
        <v>0</v>
      </c>
      <c r="L117" s="15">
        <f t="shared" ca="1" si="61"/>
        <v>1</v>
      </c>
      <c r="M117" s="15"/>
      <c r="N117" s="15">
        <f t="shared" ca="1" si="60"/>
        <v>0</v>
      </c>
    </row>
    <row r="118" spans="1:14" x14ac:dyDescent="0.4">
      <c r="A118" s="11" t="s">
        <v>8</v>
      </c>
      <c r="B118" s="40">
        <f t="shared" ref="B118:I120" ca="1" si="68">OFFSET(B118,-12,0)</f>
        <v>0</v>
      </c>
      <c r="C118" s="40"/>
      <c r="D118" s="40"/>
      <c r="E118" s="40"/>
      <c r="F118" s="13">
        <f t="shared" ca="1" si="68"/>
        <v>0</v>
      </c>
      <c r="G118" s="17">
        <f t="shared" ca="1" si="68"/>
        <v>0</v>
      </c>
      <c r="H118" s="17">
        <f t="shared" ca="1" si="68"/>
        <v>0</v>
      </c>
      <c r="I118" s="13">
        <f t="shared" ca="1" si="68"/>
        <v>0</v>
      </c>
      <c r="J118" s="16"/>
      <c r="K118" s="13">
        <f t="shared" ref="K118:K120" ca="1" si="69">OFFSET(K118,-12,0)</f>
        <v>0</v>
      </c>
      <c r="L118" s="15">
        <f t="shared" ca="1" si="61"/>
        <v>1</v>
      </c>
      <c r="M118" s="15"/>
      <c r="N118" s="15">
        <f t="shared" ca="1" si="60"/>
        <v>0</v>
      </c>
    </row>
    <row r="119" spans="1:14" x14ac:dyDescent="0.4">
      <c r="A119" s="11" t="s">
        <v>8</v>
      </c>
      <c r="B119" s="40">
        <f t="shared" ca="1" si="68"/>
        <v>0</v>
      </c>
      <c r="C119" s="40"/>
      <c r="D119" s="40"/>
      <c r="E119" s="40"/>
      <c r="F119" s="13">
        <f t="shared" ca="1" si="68"/>
        <v>0</v>
      </c>
      <c r="G119" s="17">
        <f t="shared" ca="1" si="68"/>
        <v>0</v>
      </c>
      <c r="H119" s="17">
        <f t="shared" ca="1" si="68"/>
        <v>0</v>
      </c>
      <c r="I119" s="13">
        <f t="shared" ca="1" si="68"/>
        <v>0</v>
      </c>
      <c r="J119" s="16"/>
      <c r="K119" s="13">
        <f t="shared" ca="1" si="69"/>
        <v>0</v>
      </c>
      <c r="L119" s="15">
        <f t="shared" ca="1" si="61"/>
        <v>1</v>
      </c>
      <c r="M119" s="15"/>
      <c r="N119" s="15">
        <f t="shared" ca="1" si="60"/>
        <v>0</v>
      </c>
    </row>
    <row r="120" spans="1:14" x14ac:dyDescent="0.4">
      <c r="A120" s="11" t="s">
        <v>8</v>
      </c>
      <c r="B120" s="40">
        <f t="shared" ca="1" si="68"/>
        <v>0</v>
      </c>
      <c r="C120" s="40"/>
      <c r="D120" s="40"/>
      <c r="E120" s="40"/>
      <c r="F120" s="13">
        <f t="shared" ca="1" si="68"/>
        <v>0</v>
      </c>
      <c r="G120" s="17">
        <f t="shared" ca="1" si="68"/>
        <v>0</v>
      </c>
      <c r="H120" s="17">
        <f t="shared" ca="1" si="68"/>
        <v>0</v>
      </c>
      <c r="I120" s="13">
        <f t="shared" ca="1" si="68"/>
        <v>0</v>
      </c>
      <c r="J120" s="16"/>
      <c r="K120" s="13">
        <f t="shared" ca="1" si="69"/>
        <v>0</v>
      </c>
      <c r="L120" s="15">
        <f t="shared" ca="1" si="61"/>
        <v>1</v>
      </c>
      <c r="M120" s="15"/>
      <c r="N120" s="15">
        <f t="shared" ca="1" si="60"/>
        <v>0</v>
      </c>
    </row>
    <row r="121" spans="1:14" x14ac:dyDescent="0.4">
      <c r="A121" s="11" t="s">
        <v>9</v>
      </c>
      <c r="B121" s="41">
        <f t="shared" ref="B121:H123" ca="1" si="70">OFFSET(B121,-15,0)</f>
        <v>0</v>
      </c>
      <c r="C121" s="41"/>
      <c r="D121" s="41"/>
      <c r="E121" s="41"/>
      <c r="F121" s="19">
        <f t="shared" ca="1" si="70"/>
        <v>0</v>
      </c>
      <c r="G121" s="20">
        <f t="shared" ca="1" si="70"/>
        <v>0</v>
      </c>
      <c r="H121" s="20">
        <f ca="1">OFFSET(H121,-15,0)</f>
        <v>0</v>
      </c>
      <c r="I121" s="13">
        <f t="shared" ref="I121:I123" ca="1" si="71">OFFSET(I121,-15,0)</f>
        <v>0</v>
      </c>
      <c r="J121" s="16"/>
      <c r="K121" s="19">
        <f t="shared" ref="K121:K123" ca="1" si="72">OFFSET(K121,-15,0)</f>
        <v>0</v>
      </c>
      <c r="L121" s="15">
        <f t="shared" ca="1" si="61"/>
        <v>1</v>
      </c>
      <c r="M121" s="15"/>
      <c r="N121" s="15">
        <f t="shared" ca="1" si="60"/>
        <v>0</v>
      </c>
    </row>
    <row r="122" spans="1:14" x14ac:dyDescent="0.4">
      <c r="A122" s="11" t="s">
        <v>9</v>
      </c>
      <c r="B122" s="41">
        <f t="shared" ca="1" si="70"/>
        <v>0</v>
      </c>
      <c r="C122" s="41"/>
      <c r="D122" s="41"/>
      <c r="E122" s="41"/>
      <c r="F122" s="19">
        <f t="shared" ca="1" si="70"/>
        <v>0</v>
      </c>
      <c r="G122" s="20">
        <f t="shared" ca="1" si="70"/>
        <v>0</v>
      </c>
      <c r="H122" s="20">
        <f t="shared" ca="1" si="70"/>
        <v>0</v>
      </c>
      <c r="I122" s="13">
        <f t="shared" ca="1" si="71"/>
        <v>0</v>
      </c>
      <c r="J122" s="16"/>
      <c r="K122" s="19">
        <f t="shared" ca="1" si="72"/>
        <v>0</v>
      </c>
      <c r="L122" s="15">
        <f t="shared" ca="1" si="61"/>
        <v>1</v>
      </c>
      <c r="M122" s="15"/>
      <c r="N122" s="15">
        <f t="shared" ca="1" si="60"/>
        <v>0</v>
      </c>
    </row>
    <row r="123" spans="1:14" x14ac:dyDescent="0.4">
      <c r="A123" s="11" t="s">
        <v>9</v>
      </c>
      <c r="B123" s="41">
        <f t="shared" ca="1" si="70"/>
        <v>0</v>
      </c>
      <c r="C123" s="41"/>
      <c r="D123" s="41"/>
      <c r="E123" s="41"/>
      <c r="F123" s="19">
        <f t="shared" ca="1" si="70"/>
        <v>0</v>
      </c>
      <c r="G123" s="20">
        <f t="shared" ca="1" si="70"/>
        <v>0</v>
      </c>
      <c r="H123" s="20">
        <f t="shared" ca="1" si="70"/>
        <v>0</v>
      </c>
      <c r="I123" s="13">
        <f t="shared" ca="1" si="71"/>
        <v>0</v>
      </c>
      <c r="J123" s="16"/>
      <c r="K123" s="19">
        <f t="shared" ca="1" si="72"/>
        <v>0</v>
      </c>
      <c r="L123" s="15">
        <f t="shared" ca="1" si="61"/>
        <v>1</v>
      </c>
      <c r="M123" s="15"/>
      <c r="N123" s="15">
        <f t="shared" ca="1" si="60"/>
        <v>0</v>
      </c>
    </row>
    <row r="124" spans="1:14" ht="17.399999999999999" x14ac:dyDescent="0.4">
      <c r="A124" s="74" t="s">
        <v>30</v>
      </c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6"/>
    </row>
    <row r="125" spans="1:14" x14ac:dyDescent="0.4">
      <c r="A125" s="11" t="s">
        <v>5</v>
      </c>
      <c r="B125" s="40"/>
      <c r="C125" s="40"/>
      <c r="D125" s="40"/>
      <c r="E125" s="40"/>
      <c r="F125" s="13"/>
      <c r="G125" s="11"/>
      <c r="H125" s="17"/>
      <c r="I125" s="13"/>
      <c r="J125" s="16"/>
      <c r="K125" s="13"/>
      <c r="L125" s="15">
        <f>ROUND((10^(K125/10))/(10^(I125/10)),3)</f>
        <v>1</v>
      </c>
      <c r="M125" s="15"/>
      <c r="N125" s="15">
        <f t="shared" ref="N125:N142" si="73">J125*L125</f>
        <v>0</v>
      </c>
    </row>
    <row r="126" spans="1:14" x14ac:dyDescent="0.4">
      <c r="A126" s="11" t="s">
        <v>5</v>
      </c>
      <c r="B126" s="40"/>
      <c r="C126" s="40"/>
      <c r="D126" s="40"/>
      <c r="E126" s="40"/>
      <c r="F126" s="13"/>
      <c r="G126" s="11"/>
      <c r="H126" s="17"/>
      <c r="I126" s="13"/>
      <c r="J126" s="16"/>
      <c r="K126" s="13"/>
      <c r="L126" s="15">
        <f t="shared" ref="L126:L142" si="74">ROUND((10^(K126/10))/(10^(I126/10)),3)</f>
        <v>1</v>
      </c>
      <c r="M126" s="15"/>
      <c r="N126" s="15">
        <f t="shared" si="73"/>
        <v>0</v>
      </c>
    </row>
    <row r="127" spans="1:14" x14ac:dyDescent="0.4">
      <c r="A127" s="11" t="s">
        <v>5</v>
      </c>
      <c r="B127" s="40"/>
      <c r="C127" s="40"/>
      <c r="D127" s="40"/>
      <c r="E127" s="40"/>
      <c r="F127" s="13"/>
      <c r="G127" s="11"/>
      <c r="H127" s="17"/>
      <c r="I127" s="13"/>
      <c r="J127" s="16"/>
      <c r="K127" s="13"/>
      <c r="L127" s="15">
        <f t="shared" si="74"/>
        <v>1</v>
      </c>
      <c r="M127" s="15"/>
      <c r="N127" s="15">
        <f t="shared" si="73"/>
        <v>0</v>
      </c>
    </row>
    <row r="128" spans="1:14" x14ac:dyDescent="0.4">
      <c r="A128" s="11" t="s">
        <v>6</v>
      </c>
      <c r="B128" s="41">
        <f t="shared" ref="B128:I130" ca="1" si="75">OFFSET(B128,-3,0)</f>
        <v>0</v>
      </c>
      <c r="C128" s="41"/>
      <c r="D128" s="41"/>
      <c r="E128" s="41"/>
      <c r="F128" s="19">
        <f t="shared" ca="1" si="75"/>
        <v>0</v>
      </c>
      <c r="G128" s="20">
        <f t="shared" ca="1" si="75"/>
        <v>0</v>
      </c>
      <c r="H128" s="20">
        <f t="shared" ca="1" si="75"/>
        <v>0</v>
      </c>
      <c r="I128" s="13">
        <f t="shared" ca="1" si="75"/>
        <v>0</v>
      </c>
      <c r="J128" s="16"/>
      <c r="K128" s="19">
        <f t="shared" ref="K128:K130" ca="1" si="76">OFFSET(K128,-3,0)</f>
        <v>0</v>
      </c>
      <c r="L128" s="15">
        <f t="shared" ca="1" si="74"/>
        <v>1</v>
      </c>
      <c r="M128" s="15"/>
      <c r="N128" s="15">
        <f t="shared" ca="1" si="73"/>
        <v>0</v>
      </c>
    </row>
    <row r="129" spans="1:14" x14ac:dyDescent="0.4">
      <c r="A129" s="11" t="s">
        <v>6</v>
      </c>
      <c r="B129" s="41">
        <f t="shared" ca="1" si="75"/>
        <v>0</v>
      </c>
      <c r="C129" s="41"/>
      <c r="D129" s="41"/>
      <c r="E129" s="41"/>
      <c r="F129" s="19">
        <f t="shared" ca="1" si="75"/>
        <v>0</v>
      </c>
      <c r="G129" s="20">
        <f t="shared" ca="1" si="75"/>
        <v>0</v>
      </c>
      <c r="H129" s="20">
        <f t="shared" ca="1" si="75"/>
        <v>0</v>
      </c>
      <c r="I129" s="13">
        <f t="shared" ca="1" si="75"/>
        <v>0</v>
      </c>
      <c r="J129" s="16"/>
      <c r="K129" s="19">
        <f t="shared" ca="1" si="76"/>
        <v>0</v>
      </c>
      <c r="L129" s="15">
        <f t="shared" ca="1" si="74"/>
        <v>1</v>
      </c>
      <c r="M129" s="15"/>
      <c r="N129" s="15">
        <f t="shared" ca="1" si="73"/>
        <v>0</v>
      </c>
    </row>
    <row r="130" spans="1:14" x14ac:dyDescent="0.4">
      <c r="A130" s="11" t="s">
        <v>6</v>
      </c>
      <c r="B130" s="41">
        <f t="shared" ca="1" si="75"/>
        <v>0</v>
      </c>
      <c r="C130" s="41"/>
      <c r="D130" s="41"/>
      <c r="E130" s="41"/>
      <c r="F130" s="19">
        <f t="shared" ca="1" si="75"/>
        <v>0</v>
      </c>
      <c r="G130" s="20">
        <f t="shared" ca="1" si="75"/>
        <v>0</v>
      </c>
      <c r="H130" s="20">
        <f t="shared" ca="1" si="75"/>
        <v>0</v>
      </c>
      <c r="I130" s="13">
        <f t="shared" ca="1" si="75"/>
        <v>0</v>
      </c>
      <c r="J130" s="16"/>
      <c r="K130" s="19">
        <f t="shared" ca="1" si="76"/>
        <v>0</v>
      </c>
      <c r="L130" s="15">
        <f t="shared" ca="1" si="74"/>
        <v>1</v>
      </c>
      <c r="M130" s="15"/>
      <c r="N130" s="15">
        <f t="shared" ca="1" si="73"/>
        <v>0</v>
      </c>
    </row>
    <row r="131" spans="1:14" x14ac:dyDescent="0.4">
      <c r="A131" s="11" t="s">
        <v>57</v>
      </c>
      <c r="B131" s="40">
        <f t="shared" ref="B131:I133" ca="1" si="77">OFFSET(B131,-6,0)</f>
        <v>0</v>
      </c>
      <c r="C131" s="40"/>
      <c r="D131" s="40"/>
      <c r="E131" s="40"/>
      <c r="F131" s="13">
        <f t="shared" ca="1" si="77"/>
        <v>0</v>
      </c>
      <c r="G131" s="17">
        <f t="shared" ca="1" si="77"/>
        <v>0</v>
      </c>
      <c r="H131" s="17">
        <f t="shared" ca="1" si="77"/>
        <v>0</v>
      </c>
      <c r="I131" s="13">
        <f t="shared" ca="1" si="77"/>
        <v>0</v>
      </c>
      <c r="J131" s="16"/>
      <c r="K131" s="13">
        <f t="shared" ref="K131:K133" ca="1" si="78">OFFSET(K131,-6,0)</f>
        <v>0</v>
      </c>
      <c r="L131" s="15">
        <f t="shared" ca="1" si="74"/>
        <v>1</v>
      </c>
      <c r="M131" s="15"/>
      <c r="N131" s="15">
        <f t="shared" ca="1" si="73"/>
        <v>0</v>
      </c>
    </row>
    <row r="132" spans="1:14" x14ac:dyDescent="0.4">
      <c r="A132" s="11" t="s">
        <v>57</v>
      </c>
      <c r="B132" s="40">
        <f t="shared" ca="1" si="77"/>
        <v>0</v>
      </c>
      <c r="C132" s="40"/>
      <c r="D132" s="40"/>
      <c r="E132" s="40"/>
      <c r="F132" s="13">
        <f t="shared" ca="1" si="77"/>
        <v>0</v>
      </c>
      <c r="G132" s="17">
        <f t="shared" ca="1" si="77"/>
        <v>0</v>
      </c>
      <c r="H132" s="17">
        <f t="shared" ca="1" si="77"/>
        <v>0</v>
      </c>
      <c r="I132" s="13">
        <f t="shared" ca="1" si="77"/>
        <v>0</v>
      </c>
      <c r="J132" s="16"/>
      <c r="K132" s="13">
        <f t="shared" ca="1" si="78"/>
        <v>0</v>
      </c>
      <c r="L132" s="15">
        <f t="shared" ca="1" si="74"/>
        <v>1</v>
      </c>
      <c r="M132" s="15"/>
      <c r="N132" s="15">
        <f t="shared" ca="1" si="73"/>
        <v>0</v>
      </c>
    </row>
    <row r="133" spans="1:14" x14ac:dyDescent="0.4">
      <c r="A133" s="11" t="s">
        <v>57</v>
      </c>
      <c r="B133" s="40">
        <f t="shared" ca="1" si="77"/>
        <v>0</v>
      </c>
      <c r="C133" s="40"/>
      <c r="D133" s="40"/>
      <c r="E133" s="40"/>
      <c r="F133" s="13">
        <f t="shared" ca="1" si="77"/>
        <v>0</v>
      </c>
      <c r="G133" s="17">
        <f t="shared" ca="1" si="77"/>
        <v>0</v>
      </c>
      <c r="H133" s="17">
        <f t="shared" ca="1" si="77"/>
        <v>0</v>
      </c>
      <c r="I133" s="13">
        <f t="shared" ca="1" si="77"/>
        <v>0</v>
      </c>
      <c r="J133" s="16"/>
      <c r="K133" s="13">
        <f t="shared" ca="1" si="78"/>
        <v>0</v>
      </c>
      <c r="L133" s="15">
        <f t="shared" ca="1" si="74"/>
        <v>1</v>
      </c>
      <c r="M133" s="15"/>
      <c r="N133" s="15">
        <f t="shared" ca="1" si="73"/>
        <v>0</v>
      </c>
    </row>
    <row r="134" spans="1:14" x14ac:dyDescent="0.4">
      <c r="A134" s="11" t="s">
        <v>7</v>
      </c>
      <c r="B134" s="40">
        <f t="shared" ref="B134:I136" ca="1" si="79">OFFSET(B134,-9,0)</f>
        <v>0</v>
      </c>
      <c r="C134" s="40"/>
      <c r="D134" s="40"/>
      <c r="E134" s="40"/>
      <c r="F134" s="13">
        <f t="shared" ca="1" si="79"/>
        <v>0</v>
      </c>
      <c r="G134" s="17">
        <f t="shared" ca="1" si="79"/>
        <v>0</v>
      </c>
      <c r="H134" s="17">
        <f t="shared" ca="1" si="79"/>
        <v>0</v>
      </c>
      <c r="I134" s="13">
        <f t="shared" ca="1" si="79"/>
        <v>0</v>
      </c>
      <c r="J134" s="16"/>
      <c r="K134" s="13">
        <f t="shared" ref="K134:K136" ca="1" si="80">OFFSET(K134,-9,0)</f>
        <v>0</v>
      </c>
      <c r="L134" s="15">
        <f t="shared" ca="1" si="74"/>
        <v>1</v>
      </c>
      <c r="M134" s="15"/>
      <c r="N134" s="15">
        <f t="shared" ca="1" si="73"/>
        <v>0</v>
      </c>
    </row>
    <row r="135" spans="1:14" x14ac:dyDescent="0.4">
      <c r="A135" s="11" t="s">
        <v>7</v>
      </c>
      <c r="B135" s="40">
        <f t="shared" ca="1" si="79"/>
        <v>0</v>
      </c>
      <c r="C135" s="40"/>
      <c r="D135" s="40"/>
      <c r="E135" s="40"/>
      <c r="F135" s="13">
        <f t="shared" ca="1" si="79"/>
        <v>0</v>
      </c>
      <c r="G135" s="17">
        <f t="shared" ca="1" si="79"/>
        <v>0</v>
      </c>
      <c r="H135" s="17">
        <f t="shared" ca="1" si="79"/>
        <v>0</v>
      </c>
      <c r="I135" s="13">
        <f t="shared" ca="1" si="79"/>
        <v>0</v>
      </c>
      <c r="J135" s="16"/>
      <c r="K135" s="13">
        <f t="shared" ca="1" si="80"/>
        <v>0</v>
      </c>
      <c r="L135" s="15">
        <f t="shared" ca="1" si="74"/>
        <v>1</v>
      </c>
      <c r="M135" s="15"/>
      <c r="N135" s="15">
        <f t="shared" ca="1" si="73"/>
        <v>0</v>
      </c>
    </row>
    <row r="136" spans="1:14" x14ac:dyDescent="0.4">
      <c r="A136" s="11" t="s">
        <v>7</v>
      </c>
      <c r="B136" s="40">
        <f t="shared" ca="1" si="79"/>
        <v>0</v>
      </c>
      <c r="C136" s="40"/>
      <c r="D136" s="40"/>
      <c r="E136" s="40"/>
      <c r="F136" s="13">
        <f t="shared" ca="1" si="79"/>
        <v>0</v>
      </c>
      <c r="G136" s="17">
        <f t="shared" ca="1" si="79"/>
        <v>0</v>
      </c>
      <c r="H136" s="17">
        <f t="shared" ca="1" si="79"/>
        <v>0</v>
      </c>
      <c r="I136" s="13">
        <f t="shared" ca="1" si="79"/>
        <v>0</v>
      </c>
      <c r="J136" s="16"/>
      <c r="K136" s="13">
        <f t="shared" ca="1" si="80"/>
        <v>0</v>
      </c>
      <c r="L136" s="15">
        <f t="shared" ca="1" si="74"/>
        <v>1</v>
      </c>
      <c r="M136" s="15"/>
      <c r="N136" s="15">
        <f t="shared" ca="1" si="73"/>
        <v>0</v>
      </c>
    </row>
    <row r="137" spans="1:14" x14ac:dyDescent="0.4">
      <c r="A137" s="11" t="s">
        <v>8</v>
      </c>
      <c r="B137" s="40">
        <f t="shared" ref="B137:I139" ca="1" si="81">OFFSET(B137,-12,0)</f>
        <v>0</v>
      </c>
      <c r="C137" s="40"/>
      <c r="D137" s="40"/>
      <c r="E137" s="40"/>
      <c r="F137" s="13">
        <f t="shared" ca="1" si="81"/>
        <v>0</v>
      </c>
      <c r="G137" s="17">
        <f t="shared" ca="1" si="81"/>
        <v>0</v>
      </c>
      <c r="H137" s="17">
        <f t="shared" ca="1" si="81"/>
        <v>0</v>
      </c>
      <c r="I137" s="13">
        <f t="shared" ca="1" si="81"/>
        <v>0</v>
      </c>
      <c r="J137" s="16"/>
      <c r="K137" s="13">
        <f t="shared" ref="K137:K139" ca="1" si="82">OFFSET(K137,-12,0)</f>
        <v>0</v>
      </c>
      <c r="L137" s="15">
        <f t="shared" ca="1" si="74"/>
        <v>1</v>
      </c>
      <c r="M137" s="15"/>
      <c r="N137" s="15">
        <f t="shared" ca="1" si="73"/>
        <v>0</v>
      </c>
    </row>
    <row r="138" spans="1:14" x14ac:dyDescent="0.4">
      <c r="A138" s="11" t="s">
        <v>8</v>
      </c>
      <c r="B138" s="40">
        <f t="shared" ca="1" si="81"/>
        <v>0</v>
      </c>
      <c r="C138" s="40"/>
      <c r="D138" s="40"/>
      <c r="E138" s="40"/>
      <c r="F138" s="13">
        <f t="shared" ca="1" si="81"/>
        <v>0</v>
      </c>
      <c r="G138" s="17">
        <f t="shared" ca="1" si="81"/>
        <v>0</v>
      </c>
      <c r="H138" s="17">
        <f t="shared" ca="1" si="81"/>
        <v>0</v>
      </c>
      <c r="I138" s="13">
        <f t="shared" ca="1" si="81"/>
        <v>0</v>
      </c>
      <c r="J138" s="16"/>
      <c r="K138" s="13">
        <f t="shared" ca="1" si="82"/>
        <v>0</v>
      </c>
      <c r="L138" s="15">
        <f t="shared" ca="1" si="74"/>
        <v>1</v>
      </c>
      <c r="M138" s="15"/>
      <c r="N138" s="15">
        <f t="shared" ca="1" si="73"/>
        <v>0</v>
      </c>
    </row>
    <row r="139" spans="1:14" x14ac:dyDescent="0.4">
      <c r="A139" s="11" t="s">
        <v>8</v>
      </c>
      <c r="B139" s="40">
        <f t="shared" ca="1" si="81"/>
        <v>0</v>
      </c>
      <c r="C139" s="40"/>
      <c r="D139" s="40"/>
      <c r="E139" s="40"/>
      <c r="F139" s="13">
        <f t="shared" ca="1" si="81"/>
        <v>0</v>
      </c>
      <c r="G139" s="17">
        <f t="shared" ca="1" si="81"/>
        <v>0</v>
      </c>
      <c r="H139" s="17">
        <f t="shared" ca="1" si="81"/>
        <v>0</v>
      </c>
      <c r="I139" s="13">
        <f t="shared" ca="1" si="81"/>
        <v>0</v>
      </c>
      <c r="J139" s="16"/>
      <c r="K139" s="13">
        <f t="shared" ca="1" si="82"/>
        <v>0</v>
      </c>
      <c r="L139" s="15">
        <f t="shared" ca="1" si="74"/>
        <v>1</v>
      </c>
      <c r="M139" s="15"/>
      <c r="N139" s="15">
        <f t="shared" ca="1" si="73"/>
        <v>0</v>
      </c>
    </row>
    <row r="140" spans="1:14" x14ac:dyDescent="0.4">
      <c r="A140" s="11" t="s">
        <v>9</v>
      </c>
      <c r="B140" s="41">
        <f t="shared" ref="B140:I142" ca="1" si="83">OFFSET(B140,-15,0)</f>
        <v>0</v>
      </c>
      <c r="C140" s="41"/>
      <c r="D140" s="41"/>
      <c r="E140" s="41"/>
      <c r="F140" s="19">
        <f t="shared" ca="1" si="83"/>
        <v>0</v>
      </c>
      <c r="G140" s="20">
        <f t="shared" ca="1" si="83"/>
        <v>0</v>
      </c>
      <c r="H140" s="20">
        <f t="shared" ca="1" si="83"/>
        <v>0</v>
      </c>
      <c r="I140" s="13">
        <f t="shared" ca="1" si="83"/>
        <v>0</v>
      </c>
      <c r="J140" s="16"/>
      <c r="K140" s="19">
        <f t="shared" ref="K140:K142" ca="1" si="84">OFFSET(K140,-15,0)</f>
        <v>0</v>
      </c>
      <c r="L140" s="15">
        <f t="shared" ca="1" si="74"/>
        <v>1</v>
      </c>
      <c r="M140" s="15"/>
      <c r="N140" s="15">
        <f t="shared" ca="1" si="73"/>
        <v>0</v>
      </c>
    </row>
    <row r="141" spans="1:14" x14ac:dyDescent="0.4">
      <c r="A141" s="11" t="s">
        <v>9</v>
      </c>
      <c r="B141" s="41">
        <f t="shared" ca="1" si="83"/>
        <v>0</v>
      </c>
      <c r="C141" s="41"/>
      <c r="D141" s="41"/>
      <c r="E141" s="41"/>
      <c r="F141" s="19">
        <f t="shared" ca="1" si="83"/>
        <v>0</v>
      </c>
      <c r="G141" s="20">
        <f t="shared" ca="1" si="83"/>
        <v>0</v>
      </c>
      <c r="H141" s="20">
        <f t="shared" ca="1" si="83"/>
        <v>0</v>
      </c>
      <c r="I141" s="13">
        <f t="shared" ca="1" si="83"/>
        <v>0</v>
      </c>
      <c r="J141" s="16"/>
      <c r="K141" s="19">
        <f t="shared" ca="1" si="84"/>
        <v>0</v>
      </c>
      <c r="L141" s="15">
        <f t="shared" ca="1" si="74"/>
        <v>1</v>
      </c>
      <c r="M141" s="15"/>
      <c r="N141" s="15">
        <f t="shared" ca="1" si="73"/>
        <v>0</v>
      </c>
    </row>
    <row r="142" spans="1:14" x14ac:dyDescent="0.4">
      <c r="A142" s="11" t="s">
        <v>9</v>
      </c>
      <c r="B142" s="41">
        <f t="shared" ca="1" si="83"/>
        <v>0</v>
      </c>
      <c r="C142" s="41"/>
      <c r="D142" s="41"/>
      <c r="E142" s="41"/>
      <c r="F142" s="19">
        <f t="shared" ca="1" si="83"/>
        <v>0</v>
      </c>
      <c r="G142" s="20">
        <f t="shared" ca="1" si="83"/>
        <v>0</v>
      </c>
      <c r="H142" s="20">
        <f t="shared" ca="1" si="83"/>
        <v>0</v>
      </c>
      <c r="I142" s="13">
        <f t="shared" ca="1" si="83"/>
        <v>0</v>
      </c>
      <c r="J142" s="16"/>
      <c r="K142" s="19">
        <f t="shared" ca="1" si="84"/>
        <v>0</v>
      </c>
      <c r="L142" s="15">
        <f t="shared" ca="1" si="74"/>
        <v>1</v>
      </c>
      <c r="M142" s="15"/>
      <c r="N142" s="15">
        <f t="shared" ca="1" si="73"/>
        <v>0</v>
      </c>
    </row>
    <row r="143" spans="1:14" ht="17.399999999999999" x14ac:dyDescent="0.4">
      <c r="A143" s="77" t="s">
        <v>27</v>
      </c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6"/>
    </row>
    <row r="144" spans="1:14" x14ac:dyDescent="0.4">
      <c r="A144" s="11" t="s">
        <v>5</v>
      </c>
      <c r="B144" s="40"/>
      <c r="C144" s="40"/>
      <c r="D144" s="40"/>
      <c r="E144" s="40"/>
      <c r="F144" s="13"/>
      <c r="G144" s="11"/>
      <c r="H144" s="17"/>
      <c r="I144" s="13"/>
      <c r="J144" s="16"/>
      <c r="K144" s="13"/>
      <c r="L144" s="15">
        <f>ROUND((10^(K144/10))/(10^(I144/10)),3)</f>
        <v>1</v>
      </c>
      <c r="M144" s="15"/>
      <c r="N144" s="15">
        <f t="shared" ref="N144:N161" si="85">J144*L144</f>
        <v>0</v>
      </c>
    </row>
    <row r="145" spans="1:14" x14ac:dyDescent="0.4">
      <c r="A145" s="11" t="s">
        <v>5</v>
      </c>
      <c r="B145" s="40"/>
      <c r="C145" s="40"/>
      <c r="D145" s="40"/>
      <c r="E145" s="40"/>
      <c r="F145" s="13"/>
      <c r="G145" s="11"/>
      <c r="H145" s="17"/>
      <c r="I145" s="13"/>
      <c r="J145" s="16"/>
      <c r="K145" s="13"/>
      <c r="L145" s="15">
        <f t="shared" ref="L145:L161" si="86">ROUND((10^(K145/10))/(10^(I145/10)),3)</f>
        <v>1</v>
      </c>
      <c r="M145" s="15"/>
      <c r="N145" s="15">
        <f t="shared" si="85"/>
        <v>0</v>
      </c>
    </row>
    <row r="146" spans="1:14" x14ac:dyDescent="0.4">
      <c r="A146" s="11" t="s">
        <v>5</v>
      </c>
      <c r="B146" s="40"/>
      <c r="C146" s="40"/>
      <c r="D146" s="40"/>
      <c r="E146" s="40"/>
      <c r="F146" s="13"/>
      <c r="G146" s="11"/>
      <c r="H146" s="17"/>
      <c r="I146" s="13"/>
      <c r="J146" s="16"/>
      <c r="K146" s="13"/>
      <c r="L146" s="15">
        <f t="shared" si="86"/>
        <v>1</v>
      </c>
      <c r="M146" s="15"/>
      <c r="N146" s="15">
        <f t="shared" si="85"/>
        <v>0</v>
      </c>
    </row>
    <row r="147" spans="1:14" x14ac:dyDescent="0.4">
      <c r="A147" s="11" t="s">
        <v>6</v>
      </c>
      <c r="B147" s="41">
        <f t="shared" ref="B147:I149" ca="1" si="87">OFFSET(B147,-3,0)</f>
        <v>0</v>
      </c>
      <c r="C147" s="41"/>
      <c r="D147" s="41"/>
      <c r="E147" s="41"/>
      <c r="F147" s="19">
        <f t="shared" ca="1" si="87"/>
        <v>0</v>
      </c>
      <c r="G147" s="20">
        <f t="shared" ca="1" si="87"/>
        <v>0</v>
      </c>
      <c r="H147" s="20">
        <f t="shared" ca="1" si="87"/>
        <v>0</v>
      </c>
      <c r="I147" s="13">
        <f t="shared" ca="1" si="87"/>
        <v>0</v>
      </c>
      <c r="J147" s="16"/>
      <c r="K147" s="19">
        <f t="shared" ref="K147:K149" ca="1" si="88">OFFSET(K147,-3,0)</f>
        <v>0</v>
      </c>
      <c r="L147" s="15">
        <f t="shared" ca="1" si="86"/>
        <v>1</v>
      </c>
      <c r="M147" s="15"/>
      <c r="N147" s="15">
        <f t="shared" ca="1" si="85"/>
        <v>0</v>
      </c>
    </row>
    <row r="148" spans="1:14" x14ac:dyDescent="0.4">
      <c r="A148" s="11" t="s">
        <v>6</v>
      </c>
      <c r="B148" s="41">
        <f t="shared" ca="1" si="87"/>
        <v>0</v>
      </c>
      <c r="C148" s="41"/>
      <c r="D148" s="41"/>
      <c r="E148" s="41"/>
      <c r="F148" s="19">
        <f t="shared" ca="1" si="87"/>
        <v>0</v>
      </c>
      <c r="G148" s="20">
        <f t="shared" ca="1" si="87"/>
        <v>0</v>
      </c>
      <c r="H148" s="20">
        <f t="shared" ca="1" si="87"/>
        <v>0</v>
      </c>
      <c r="I148" s="13">
        <f t="shared" ca="1" si="87"/>
        <v>0</v>
      </c>
      <c r="J148" s="16"/>
      <c r="K148" s="19">
        <f t="shared" ca="1" si="88"/>
        <v>0</v>
      </c>
      <c r="L148" s="15">
        <f t="shared" ca="1" si="86"/>
        <v>1</v>
      </c>
      <c r="M148" s="15"/>
      <c r="N148" s="15">
        <f t="shared" ca="1" si="85"/>
        <v>0</v>
      </c>
    </row>
    <row r="149" spans="1:14" x14ac:dyDescent="0.4">
      <c r="A149" s="11" t="s">
        <v>6</v>
      </c>
      <c r="B149" s="41">
        <f t="shared" ca="1" si="87"/>
        <v>0</v>
      </c>
      <c r="C149" s="41"/>
      <c r="D149" s="41"/>
      <c r="E149" s="41"/>
      <c r="F149" s="19">
        <f t="shared" ca="1" si="87"/>
        <v>0</v>
      </c>
      <c r="G149" s="20">
        <f t="shared" ca="1" si="87"/>
        <v>0</v>
      </c>
      <c r="H149" s="20">
        <f t="shared" ca="1" si="87"/>
        <v>0</v>
      </c>
      <c r="I149" s="13">
        <f t="shared" ca="1" si="87"/>
        <v>0</v>
      </c>
      <c r="J149" s="16"/>
      <c r="K149" s="19">
        <f t="shared" ca="1" si="88"/>
        <v>0</v>
      </c>
      <c r="L149" s="15">
        <f t="shared" ca="1" si="86"/>
        <v>1</v>
      </c>
      <c r="M149" s="15"/>
      <c r="N149" s="15">
        <f t="shared" ca="1" si="85"/>
        <v>0</v>
      </c>
    </row>
    <row r="150" spans="1:14" x14ac:dyDescent="0.4">
      <c r="A150" s="11" t="s">
        <v>57</v>
      </c>
      <c r="B150" s="40">
        <f t="shared" ref="B150:I152" ca="1" si="89">OFFSET(B150,-6,0)</f>
        <v>0</v>
      </c>
      <c r="C150" s="40"/>
      <c r="D150" s="40"/>
      <c r="E150" s="40"/>
      <c r="F150" s="13">
        <f t="shared" ca="1" si="89"/>
        <v>0</v>
      </c>
      <c r="G150" s="17">
        <f t="shared" ca="1" si="89"/>
        <v>0</v>
      </c>
      <c r="H150" s="17">
        <f t="shared" ca="1" si="89"/>
        <v>0</v>
      </c>
      <c r="I150" s="13">
        <f t="shared" ca="1" si="89"/>
        <v>0</v>
      </c>
      <c r="J150" s="16"/>
      <c r="K150" s="13">
        <f t="shared" ref="K150:K152" ca="1" si="90">OFFSET(K150,-6,0)</f>
        <v>0</v>
      </c>
      <c r="L150" s="15">
        <f t="shared" ca="1" si="86"/>
        <v>1</v>
      </c>
      <c r="M150" s="15"/>
      <c r="N150" s="15">
        <f t="shared" ca="1" si="85"/>
        <v>0</v>
      </c>
    </row>
    <row r="151" spans="1:14" x14ac:dyDescent="0.4">
      <c r="A151" s="11" t="s">
        <v>57</v>
      </c>
      <c r="B151" s="40">
        <f t="shared" ca="1" si="89"/>
        <v>0</v>
      </c>
      <c r="C151" s="40"/>
      <c r="D151" s="40"/>
      <c r="E151" s="40"/>
      <c r="F151" s="13">
        <f t="shared" ca="1" si="89"/>
        <v>0</v>
      </c>
      <c r="G151" s="17">
        <f t="shared" ca="1" si="89"/>
        <v>0</v>
      </c>
      <c r="H151" s="17">
        <f t="shared" ca="1" si="89"/>
        <v>0</v>
      </c>
      <c r="I151" s="13">
        <f t="shared" ca="1" si="89"/>
        <v>0</v>
      </c>
      <c r="J151" s="16"/>
      <c r="K151" s="13">
        <f t="shared" ca="1" si="90"/>
        <v>0</v>
      </c>
      <c r="L151" s="15">
        <f t="shared" ca="1" si="86"/>
        <v>1</v>
      </c>
      <c r="M151" s="15"/>
      <c r="N151" s="15">
        <f t="shared" ca="1" si="85"/>
        <v>0</v>
      </c>
    </row>
    <row r="152" spans="1:14" x14ac:dyDescent="0.4">
      <c r="A152" s="11" t="s">
        <v>57</v>
      </c>
      <c r="B152" s="40">
        <f t="shared" ca="1" si="89"/>
        <v>0</v>
      </c>
      <c r="C152" s="40"/>
      <c r="D152" s="40"/>
      <c r="E152" s="40"/>
      <c r="F152" s="13">
        <f t="shared" ca="1" si="89"/>
        <v>0</v>
      </c>
      <c r="G152" s="17">
        <f t="shared" ca="1" si="89"/>
        <v>0</v>
      </c>
      <c r="H152" s="17">
        <f t="shared" ca="1" si="89"/>
        <v>0</v>
      </c>
      <c r="I152" s="13">
        <f t="shared" ca="1" si="89"/>
        <v>0</v>
      </c>
      <c r="J152" s="16"/>
      <c r="K152" s="13">
        <f t="shared" ca="1" si="90"/>
        <v>0</v>
      </c>
      <c r="L152" s="15">
        <f t="shared" ca="1" si="86"/>
        <v>1</v>
      </c>
      <c r="M152" s="15"/>
      <c r="N152" s="15">
        <f t="shared" ca="1" si="85"/>
        <v>0</v>
      </c>
    </row>
    <row r="153" spans="1:14" x14ac:dyDescent="0.4">
      <c r="A153" s="11" t="s">
        <v>7</v>
      </c>
      <c r="B153" s="40">
        <f t="shared" ref="B153:I155" ca="1" si="91">OFFSET(B153,-9,0)</f>
        <v>0</v>
      </c>
      <c r="C153" s="40"/>
      <c r="D153" s="40"/>
      <c r="E153" s="40"/>
      <c r="F153" s="13">
        <f t="shared" ca="1" si="91"/>
        <v>0</v>
      </c>
      <c r="G153" s="17">
        <f t="shared" ca="1" si="91"/>
        <v>0</v>
      </c>
      <c r="H153" s="17">
        <f t="shared" ca="1" si="91"/>
        <v>0</v>
      </c>
      <c r="I153" s="13">
        <f t="shared" ca="1" si="91"/>
        <v>0</v>
      </c>
      <c r="J153" s="16"/>
      <c r="K153" s="13">
        <f t="shared" ref="K153:K155" ca="1" si="92">OFFSET(K153,-9,0)</f>
        <v>0</v>
      </c>
      <c r="L153" s="15">
        <f t="shared" ca="1" si="86"/>
        <v>1</v>
      </c>
      <c r="M153" s="15"/>
      <c r="N153" s="15">
        <f t="shared" ca="1" si="85"/>
        <v>0</v>
      </c>
    </row>
    <row r="154" spans="1:14" x14ac:dyDescent="0.4">
      <c r="A154" s="11" t="s">
        <v>7</v>
      </c>
      <c r="B154" s="40">
        <f t="shared" ca="1" si="91"/>
        <v>0</v>
      </c>
      <c r="C154" s="40"/>
      <c r="D154" s="40"/>
      <c r="E154" s="40"/>
      <c r="F154" s="13">
        <f t="shared" ca="1" si="91"/>
        <v>0</v>
      </c>
      <c r="G154" s="17">
        <f t="shared" ca="1" si="91"/>
        <v>0</v>
      </c>
      <c r="H154" s="17">
        <f t="shared" ca="1" si="91"/>
        <v>0</v>
      </c>
      <c r="I154" s="13">
        <f t="shared" ca="1" si="91"/>
        <v>0</v>
      </c>
      <c r="J154" s="16"/>
      <c r="K154" s="13">
        <f t="shared" ca="1" si="92"/>
        <v>0</v>
      </c>
      <c r="L154" s="15">
        <f t="shared" ca="1" si="86"/>
        <v>1</v>
      </c>
      <c r="M154" s="15"/>
      <c r="N154" s="15">
        <f t="shared" ca="1" si="85"/>
        <v>0</v>
      </c>
    </row>
    <row r="155" spans="1:14" x14ac:dyDescent="0.4">
      <c r="A155" s="11" t="s">
        <v>7</v>
      </c>
      <c r="B155" s="40">
        <f t="shared" ca="1" si="91"/>
        <v>0</v>
      </c>
      <c r="C155" s="40"/>
      <c r="D155" s="40"/>
      <c r="E155" s="40"/>
      <c r="F155" s="13">
        <f t="shared" ca="1" si="91"/>
        <v>0</v>
      </c>
      <c r="G155" s="17">
        <f t="shared" ca="1" si="91"/>
        <v>0</v>
      </c>
      <c r="H155" s="17">
        <f t="shared" ca="1" si="91"/>
        <v>0</v>
      </c>
      <c r="I155" s="13">
        <f t="shared" ca="1" si="91"/>
        <v>0</v>
      </c>
      <c r="J155" s="16"/>
      <c r="K155" s="13">
        <f t="shared" ca="1" si="92"/>
        <v>0</v>
      </c>
      <c r="L155" s="15">
        <f t="shared" ca="1" si="86"/>
        <v>1</v>
      </c>
      <c r="M155" s="15"/>
      <c r="N155" s="15">
        <f t="shared" ca="1" si="85"/>
        <v>0</v>
      </c>
    </row>
    <row r="156" spans="1:14" x14ac:dyDescent="0.4">
      <c r="A156" s="11" t="s">
        <v>8</v>
      </c>
      <c r="B156" s="40">
        <f t="shared" ref="B156:I158" ca="1" si="93">OFFSET(B156,-12,0)</f>
        <v>0</v>
      </c>
      <c r="C156" s="40"/>
      <c r="D156" s="40"/>
      <c r="E156" s="40"/>
      <c r="F156" s="13">
        <f t="shared" ca="1" si="93"/>
        <v>0</v>
      </c>
      <c r="G156" s="17">
        <f t="shared" ca="1" si="93"/>
        <v>0</v>
      </c>
      <c r="H156" s="17">
        <f t="shared" ca="1" si="93"/>
        <v>0</v>
      </c>
      <c r="I156" s="13">
        <f t="shared" ca="1" si="93"/>
        <v>0</v>
      </c>
      <c r="J156" s="16"/>
      <c r="K156" s="13">
        <f t="shared" ref="K156:K158" ca="1" si="94">OFFSET(K156,-12,0)</f>
        <v>0</v>
      </c>
      <c r="L156" s="15">
        <f t="shared" ca="1" si="86"/>
        <v>1</v>
      </c>
      <c r="M156" s="15"/>
      <c r="N156" s="15">
        <f t="shared" ca="1" si="85"/>
        <v>0</v>
      </c>
    </row>
    <row r="157" spans="1:14" x14ac:dyDescent="0.4">
      <c r="A157" s="11" t="s">
        <v>8</v>
      </c>
      <c r="B157" s="40">
        <f t="shared" ca="1" si="93"/>
        <v>0</v>
      </c>
      <c r="C157" s="40"/>
      <c r="D157" s="40"/>
      <c r="E157" s="40"/>
      <c r="F157" s="13">
        <f t="shared" ca="1" si="93"/>
        <v>0</v>
      </c>
      <c r="G157" s="17">
        <f t="shared" ca="1" si="93"/>
        <v>0</v>
      </c>
      <c r="H157" s="17">
        <f t="shared" ca="1" si="93"/>
        <v>0</v>
      </c>
      <c r="I157" s="13">
        <f t="shared" ca="1" si="93"/>
        <v>0</v>
      </c>
      <c r="J157" s="16"/>
      <c r="K157" s="13">
        <f t="shared" ca="1" si="94"/>
        <v>0</v>
      </c>
      <c r="L157" s="15">
        <f t="shared" ca="1" si="86"/>
        <v>1</v>
      </c>
      <c r="M157" s="15"/>
      <c r="N157" s="15">
        <f t="shared" ca="1" si="85"/>
        <v>0</v>
      </c>
    </row>
    <row r="158" spans="1:14" x14ac:dyDescent="0.4">
      <c r="A158" s="11" t="s">
        <v>8</v>
      </c>
      <c r="B158" s="40">
        <f t="shared" ca="1" si="93"/>
        <v>0</v>
      </c>
      <c r="C158" s="40"/>
      <c r="D158" s="40"/>
      <c r="E158" s="40"/>
      <c r="F158" s="13">
        <f t="shared" ca="1" si="93"/>
        <v>0</v>
      </c>
      <c r="G158" s="17">
        <f t="shared" ca="1" si="93"/>
        <v>0</v>
      </c>
      <c r="H158" s="17">
        <f t="shared" ca="1" si="93"/>
        <v>0</v>
      </c>
      <c r="I158" s="13">
        <f t="shared" ca="1" si="93"/>
        <v>0</v>
      </c>
      <c r="J158" s="16"/>
      <c r="K158" s="13">
        <f t="shared" ca="1" si="94"/>
        <v>0</v>
      </c>
      <c r="L158" s="15">
        <f t="shared" ca="1" si="86"/>
        <v>1</v>
      </c>
      <c r="M158" s="15"/>
      <c r="N158" s="15">
        <f t="shared" ca="1" si="85"/>
        <v>0</v>
      </c>
    </row>
    <row r="159" spans="1:14" x14ac:dyDescent="0.4">
      <c r="A159" s="11" t="s">
        <v>9</v>
      </c>
      <c r="B159" s="41">
        <f t="shared" ref="B159:I161" ca="1" si="95">OFFSET(B159,-15,0)</f>
        <v>0</v>
      </c>
      <c r="C159" s="41"/>
      <c r="D159" s="41"/>
      <c r="E159" s="41"/>
      <c r="F159" s="19">
        <f t="shared" ca="1" si="95"/>
        <v>0</v>
      </c>
      <c r="G159" s="20">
        <f t="shared" ca="1" si="95"/>
        <v>0</v>
      </c>
      <c r="H159" s="20">
        <f t="shared" ca="1" si="95"/>
        <v>0</v>
      </c>
      <c r="I159" s="13">
        <f t="shared" ca="1" si="95"/>
        <v>0</v>
      </c>
      <c r="J159" s="16"/>
      <c r="K159" s="19">
        <f t="shared" ref="K159:K161" ca="1" si="96">OFFSET(K159,-15,0)</f>
        <v>0</v>
      </c>
      <c r="L159" s="15">
        <f t="shared" ca="1" si="86"/>
        <v>1</v>
      </c>
      <c r="M159" s="15"/>
      <c r="N159" s="15">
        <f t="shared" ca="1" si="85"/>
        <v>0</v>
      </c>
    </row>
    <row r="160" spans="1:14" x14ac:dyDescent="0.4">
      <c r="A160" s="11" t="s">
        <v>9</v>
      </c>
      <c r="B160" s="41">
        <f t="shared" ca="1" si="95"/>
        <v>0</v>
      </c>
      <c r="C160" s="41"/>
      <c r="D160" s="41"/>
      <c r="E160" s="41"/>
      <c r="F160" s="19">
        <f t="shared" ca="1" si="95"/>
        <v>0</v>
      </c>
      <c r="G160" s="20">
        <f t="shared" ca="1" si="95"/>
        <v>0</v>
      </c>
      <c r="H160" s="20">
        <f t="shared" ca="1" si="95"/>
        <v>0</v>
      </c>
      <c r="I160" s="13">
        <f t="shared" ca="1" si="95"/>
        <v>0</v>
      </c>
      <c r="J160" s="16"/>
      <c r="K160" s="19">
        <f t="shared" ca="1" si="96"/>
        <v>0</v>
      </c>
      <c r="L160" s="15">
        <f t="shared" ca="1" si="86"/>
        <v>1</v>
      </c>
      <c r="M160" s="15"/>
      <c r="N160" s="15">
        <f t="shared" ca="1" si="85"/>
        <v>0</v>
      </c>
    </row>
    <row r="161" spans="1:14" x14ac:dyDescent="0.4">
      <c r="A161" s="11" t="s">
        <v>9</v>
      </c>
      <c r="B161" s="41">
        <f t="shared" ca="1" si="95"/>
        <v>0</v>
      </c>
      <c r="C161" s="41"/>
      <c r="D161" s="41"/>
      <c r="E161" s="41"/>
      <c r="F161" s="19">
        <f t="shared" ca="1" si="95"/>
        <v>0</v>
      </c>
      <c r="G161" s="20">
        <f t="shared" ca="1" si="95"/>
        <v>0</v>
      </c>
      <c r="H161" s="20">
        <f t="shared" ca="1" si="95"/>
        <v>0</v>
      </c>
      <c r="I161" s="13">
        <f t="shared" ca="1" si="95"/>
        <v>0</v>
      </c>
      <c r="J161" s="16"/>
      <c r="K161" s="19">
        <f t="shared" ca="1" si="96"/>
        <v>0</v>
      </c>
      <c r="L161" s="15">
        <f t="shared" ca="1" si="86"/>
        <v>1</v>
      </c>
      <c r="M161" s="15"/>
      <c r="N161" s="15">
        <f t="shared" ca="1" si="85"/>
        <v>0</v>
      </c>
    </row>
    <row r="162" spans="1:14" ht="17.399999999999999" x14ac:dyDescent="0.4">
      <c r="A162" s="77" t="s">
        <v>31</v>
      </c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6"/>
    </row>
    <row r="163" spans="1:14" x14ac:dyDescent="0.4">
      <c r="A163" s="11" t="s">
        <v>5</v>
      </c>
      <c r="B163" s="40"/>
      <c r="C163" s="40"/>
      <c r="D163" s="40"/>
      <c r="E163" s="40"/>
      <c r="F163" s="13"/>
      <c r="G163" s="11"/>
      <c r="H163" s="17"/>
      <c r="I163" s="13"/>
      <c r="J163" s="16"/>
      <c r="K163" s="13"/>
      <c r="L163" s="15">
        <f>ROUND((10^(K163/10))/(10^(I163/10)),3)</f>
        <v>1</v>
      </c>
      <c r="M163" s="15"/>
      <c r="N163" s="15">
        <f t="shared" ref="N163:N180" si="97">J163*L163</f>
        <v>0</v>
      </c>
    </row>
    <row r="164" spans="1:14" x14ac:dyDescent="0.4">
      <c r="A164" s="11" t="s">
        <v>5</v>
      </c>
      <c r="B164" s="40"/>
      <c r="C164" s="40"/>
      <c r="D164" s="40"/>
      <c r="E164" s="40"/>
      <c r="F164" s="13"/>
      <c r="G164" s="11"/>
      <c r="H164" s="17"/>
      <c r="I164" s="13"/>
      <c r="J164" s="16"/>
      <c r="K164" s="13"/>
      <c r="L164" s="15">
        <f t="shared" ref="L164:L180" si="98">ROUND((10^(K164/10))/(10^(I164/10)),3)</f>
        <v>1</v>
      </c>
      <c r="M164" s="15"/>
      <c r="N164" s="15">
        <f t="shared" si="97"/>
        <v>0</v>
      </c>
    </row>
    <row r="165" spans="1:14" x14ac:dyDescent="0.4">
      <c r="A165" s="11" t="s">
        <v>5</v>
      </c>
      <c r="B165" s="40"/>
      <c r="C165" s="40"/>
      <c r="D165" s="40"/>
      <c r="E165" s="40"/>
      <c r="F165" s="13"/>
      <c r="G165" s="11"/>
      <c r="H165" s="17"/>
      <c r="I165" s="13"/>
      <c r="J165" s="16"/>
      <c r="K165" s="13"/>
      <c r="L165" s="15">
        <f t="shared" si="98"/>
        <v>1</v>
      </c>
      <c r="M165" s="15"/>
      <c r="N165" s="15">
        <f t="shared" si="97"/>
        <v>0</v>
      </c>
    </row>
    <row r="166" spans="1:14" x14ac:dyDescent="0.4">
      <c r="A166" s="11" t="s">
        <v>6</v>
      </c>
      <c r="B166" s="41">
        <f t="shared" ref="B166:I168" ca="1" si="99">OFFSET(B166,-3,0)</f>
        <v>0</v>
      </c>
      <c r="C166" s="41"/>
      <c r="D166" s="41"/>
      <c r="E166" s="41"/>
      <c r="F166" s="19">
        <f t="shared" ca="1" si="99"/>
        <v>0</v>
      </c>
      <c r="G166" s="20">
        <f t="shared" ca="1" si="99"/>
        <v>0</v>
      </c>
      <c r="H166" s="20">
        <f t="shared" ca="1" si="99"/>
        <v>0</v>
      </c>
      <c r="I166" s="13">
        <f t="shared" ca="1" si="99"/>
        <v>0</v>
      </c>
      <c r="J166" s="16"/>
      <c r="K166" s="19">
        <f t="shared" ref="K166:K168" ca="1" si="100">OFFSET(K166,-3,0)</f>
        <v>0</v>
      </c>
      <c r="L166" s="15">
        <f t="shared" ca="1" si="98"/>
        <v>1</v>
      </c>
      <c r="M166" s="15"/>
      <c r="N166" s="15">
        <f t="shared" ca="1" si="97"/>
        <v>0</v>
      </c>
    </row>
    <row r="167" spans="1:14" x14ac:dyDescent="0.4">
      <c r="A167" s="11" t="s">
        <v>6</v>
      </c>
      <c r="B167" s="41">
        <f t="shared" ca="1" si="99"/>
        <v>0</v>
      </c>
      <c r="C167" s="41"/>
      <c r="D167" s="41"/>
      <c r="E167" s="41"/>
      <c r="F167" s="19">
        <f t="shared" ca="1" si="99"/>
        <v>0</v>
      </c>
      <c r="G167" s="20">
        <f t="shared" ca="1" si="99"/>
        <v>0</v>
      </c>
      <c r="H167" s="20">
        <f t="shared" ca="1" si="99"/>
        <v>0</v>
      </c>
      <c r="I167" s="13">
        <f t="shared" ca="1" si="99"/>
        <v>0</v>
      </c>
      <c r="J167" s="16"/>
      <c r="K167" s="19">
        <f t="shared" ca="1" si="100"/>
        <v>0</v>
      </c>
      <c r="L167" s="15">
        <f t="shared" ca="1" si="98"/>
        <v>1</v>
      </c>
      <c r="M167" s="15"/>
      <c r="N167" s="15">
        <f t="shared" ca="1" si="97"/>
        <v>0</v>
      </c>
    </row>
    <row r="168" spans="1:14" x14ac:dyDescent="0.4">
      <c r="A168" s="11" t="s">
        <v>6</v>
      </c>
      <c r="B168" s="41">
        <f t="shared" ca="1" si="99"/>
        <v>0</v>
      </c>
      <c r="C168" s="41"/>
      <c r="D168" s="41"/>
      <c r="E168" s="41"/>
      <c r="F168" s="19">
        <f t="shared" ca="1" si="99"/>
        <v>0</v>
      </c>
      <c r="G168" s="20">
        <f t="shared" ca="1" si="99"/>
        <v>0</v>
      </c>
      <c r="H168" s="20">
        <f t="shared" ca="1" si="99"/>
        <v>0</v>
      </c>
      <c r="I168" s="13">
        <f t="shared" ca="1" si="99"/>
        <v>0</v>
      </c>
      <c r="J168" s="16"/>
      <c r="K168" s="19">
        <f t="shared" ca="1" si="100"/>
        <v>0</v>
      </c>
      <c r="L168" s="15">
        <f t="shared" ca="1" si="98"/>
        <v>1</v>
      </c>
      <c r="M168" s="15"/>
      <c r="N168" s="15">
        <f t="shared" ca="1" si="97"/>
        <v>0</v>
      </c>
    </row>
    <row r="169" spans="1:14" x14ac:dyDescent="0.4">
      <c r="A169" s="11" t="s">
        <v>10</v>
      </c>
      <c r="B169" s="40">
        <f t="shared" ref="B169:I171" ca="1" si="101">OFFSET(B169,-6,0)</f>
        <v>0</v>
      </c>
      <c r="C169" s="40"/>
      <c r="D169" s="40"/>
      <c r="E169" s="40"/>
      <c r="F169" s="13">
        <f t="shared" ca="1" si="101"/>
        <v>0</v>
      </c>
      <c r="G169" s="17">
        <f t="shared" ca="1" si="101"/>
        <v>0</v>
      </c>
      <c r="H169" s="17">
        <f t="shared" ca="1" si="101"/>
        <v>0</v>
      </c>
      <c r="I169" s="13">
        <f t="shared" ca="1" si="101"/>
        <v>0</v>
      </c>
      <c r="J169" s="16"/>
      <c r="K169" s="13">
        <f t="shared" ref="K169:K171" ca="1" si="102">OFFSET(K169,-6,0)</f>
        <v>0</v>
      </c>
      <c r="L169" s="15">
        <f t="shared" ca="1" si="98"/>
        <v>1</v>
      </c>
      <c r="M169" s="15"/>
      <c r="N169" s="15">
        <f t="shared" ca="1" si="97"/>
        <v>0</v>
      </c>
    </row>
    <row r="170" spans="1:14" x14ac:dyDescent="0.4">
      <c r="A170" s="11" t="s">
        <v>10</v>
      </c>
      <c r="B170" s="40">
        <f t="shared" ca="1" si="101"/>
        <v>0</v>
      </c>
      <c r="C170" s="40"/>
      <c r="D170" s="40"/>
      <c r="E170" s="40"/>
      <c r="F170" s="13">
        <f t="shared" ca="1" si="101"/>
        <v>0</v>
      </c>
      <c r="G170" s="17">
        <f t="shared" ca="1" si="101"/>
        <v>0</v>
      </c>
      <c r="H170" s="17">
        <f t="shared" ca="1" si="101"/>
        <v>0</v>
      </c>
      <c r="I170" s="13">
        <f t="shared" ca="1" si="101"/>
        <v>0</v>
      </c>
      <c r="J170" s="16"/>
      <c r="K170" s="13">
        <f t="shared" ca="1" si="102"/>
        <v>0</v>
      </c>
      <c r="L170" s="15">
        <f t="shared" ca="1" si="98"/>
        <v>1</v>
      </c>
      <c r="M170" s="15"/>
      <c r="N170" s="15">
        <f t="shared" ca="1" si="97"/>
        <v>0</v>
      </c>
    </row>
    <row r="171" spans="1:14" x14ac:dyDescent="0.4">
      <c r="A171" s="11" t="s">
        <v>10</v>
      </c>
      <c r="B171" s="40">
        <f t="shared" ca="1" si="101"/>
        <v>0</v>
      </c>
      <c r="C171" s="40"/>
      <c r="D171" s="40"/>
      <c r="E171" s="40"/>
      <c r="F171" s="13">
        <f t="shared" ca="1" si="101"/>
        <v>0</v>
      </c>
      <c r="G171" s="17">
        <f t="shared" ca="1" si="101"/>
        <v>0</v>
      </c>
      <c r="H171" s="17">
        <f t="shared" ca="1" si="101"/>
        <v>0</v>
      </c>
      <c r="I171" s="13">
        <f t="shared" ca="1" si="101"/>
        <v>0</v>
      </c>
      <c r="J171" s="16"/>
      <c r="K171" s="13">
        <f t="shared" ca="1" si="102"/>
        <v>0</v>
      </c>
      <c r="L171" s="15">
        <f t="shared" ca="1" si="98"/>
        <v>1</v>
      </c>
      <c r="M171" s="15"/>
      <c r="N171" s="15">
        <f t="shared" ca="1" si="97"/>
        <v>0</v>
      </c>
    </row>
    <row r="172" spans="1:14" x14ac:dyDescent="0.4">
      <c r="A172" s="11" t="s">
        <v>7</v>
      </c>
      <c r="B172" s="40">
        <f t="shared" ref="B172:I174" ca="1" si="103">OFFSET(B172,-9,0)</f>
        <v>0</v>
      </c>
      <c r="C172" s="40"/>
      <c r="D172" s="40"/>
      <c r="E172" s="40"/>
      <c r="F172" s="13">
        <f t="shared" ca="1" si="103"/>
        <v>0</v>
      </c>
      <c r="G172" s="17">
        <f t="shared" ca="1" si="103"/>
        <v>0</v>
      </c>
      <c r="H172" s="17">
        <f t="shared" ca="1" si="103"/>
        <v>0</v>
      </c>
      <c r="I172" s="13">
        <f t="shared" ca="1" si="103"/>
        <v>0</v>
      </c>
      <c r="J172" s="16"/>
      <c r="K172" s="13">
        <f t="shared" ref="K172:K174" ca="1" si="104">OFFSET(K172,-9,0)</f>
        <v>0</v>
      </c>
      <c r="L172" s="15">
        <f t="shared" ca="1" si="98"/>
        <v>1</v>
      </c>
      <c r="M172" s="15"/>
      <c r="N172" s="15">
        <f t="shared" ca="1" si="97"/>
        <v>0</v>
      </c>
    </row>
    <row r="173" spans="1:14" x14ac:dyDescent="0.4">
      <c r="A173" s="11" t="s">
        <v>7</v>
      </c>
      <c r="B173" s="40">
        <f t="shared" ca="1" si="103"/>
        <v>0</v>
      </c>
      <c r="C173" s="40"/>
      <c r="D173" s="40"/>
      <c r="E173" s="40"/>
      <c r="F173" s="13">
        <f t="shared" ca="1" si="103"/>
        <v>0</v>
      </c>
      <c r="G173" s="17">
        <f t="shared" ca="1" si="103"/>
        <v>0</v>
      </c>
      <c r="H173" s="17">
        <f t="shared" ca="1" si="103"/>
        <v>0</v>
      </c>
      <c r="I173" s="13">
        <f t="shared" ca="1" si="103"/>
        <v>0</v>
      </c>
      <c r="J173" s="16"/>
      <c r="K173" s="13">
        <f t="shared" ca="1" si="104"/>
        <v>0</v>
      </c>
      <c r="L173" s="15">
        <f t="shared" ca="1" si="98"/>
        <v>1</v>
      </c>
      <c r="M173" s="15"/>
      <c r="N173" s="15">
        <f t="shared" ca="1" si="97"/>
        <v>0</v>
      </c>
    </row>
    <row r="174" spans="1:14" x14ac:dyDescent="0.4">
      <c r="A174" s="11" t="s">
        <v>7</v>
      </c>
      <c r="B174" s="40">
        <f t="shared" ca="1" si="103"/>
        <v>0</v>
      </c>
      <c r="C174" s="40"/>
      <c r="D174" s="40"/>
      <c r="E174" s="40"/>
      <c r="F174" s="13">
        <f t="shared" ca="1" si="103"/>
        <v>0</v>
      </c>
      <c r="G174" s="17">
        <f t="shared" ca="1" si="103"/>
        <v>0</v>
      </c>
      <c r="H174" s="17">
        <f t="shared" ca="1" si="103"/>
        <v>0</v>
      </c>
      <c r="I174" s="13">
        <f t="shared" ca="1" si="103"/>
        <v>0</v>
      </c>
      <c r="J174" s="16"/>
      <c r="K174" s="13">
        <f t="shared" ca="1" si="104"/>
        <v>0</v>
      </c>
      <c r="L174" s="15">
        <f t="shared" ca="1" si="98"/>
        <v>1</v>
      </c>
      <c r="M174" s="15"/>
      <c r="N174" s="15">
        <f t="shared" ca="1" si="97"/>
        <v>0</v>
      </c>
    </row>
    <row r="175" spans="1:14" x14ac:dyDescent="0.4">
      <c r="A175" s="11" t="s">
        <v>8</v>
      </c>
      <c r="B175" s="40">
        <f t="shared" ref="B175:I177" ca="1" si="105">OFFSET(B175,-12,0)</f>
        <v>0</v>
      </c>
      <c r="C175" s="40"/>
      <c r="D175" s="40"/>
      <c r="E175" s="40"/>
      <c r="F175" s="13">
        <f t="shared" ca="1" si="105"/>
        <v>0</v>
      </c>
      <c r="G175" s="17">
        <f t="shared" ca="1" si="105"/>
        <v>0</v>
      </c>
      <c r="H175" s="17">
        <f t="shared" ca="1" si="105"/>
        <v>0</v>
      </c>
      <c r="I175" s="13">
        <f t="shared" ca="1" si="105"/>
        <v>0</v>
      </c>
      <c r="J175" s="16"/>
      <c r="K175" s="13">
        <f t="shared" ref="K175:K177" ca="1" si="106">OFFSET(K175,-12,0)</f>
        <v>0</v>
      </c>
      <c r="L175" s="15">
        <f t="shared" ca="1" si="98"/>
        <v>1</v>
      </c>
      <c r="M175" s="15"/>
      <c r="N175" s="15">
        <f t="shared" ca="1" si="97"/>
        <v>0</v>
      </c>
    </row>
    <row r="176" spans="1:14" x14ac:dyDescent="0.4">
      <c r="A176" s="11" t="s">
        <v>8</v>
      </c>
      <c r="B176" s="40">
        <f t="shared" ca="1" si="105"/>
        <v>0</v>
      </c>
      <c r="C176" s="40"/>
      <c r="D176" s="40"/>
      <c r="E176" s="40"/>
      <c r="F176" s="13">
        <f t="shared" ca="1" si="105"/>
        <v>0</v>
      </c>
      <c r="G176" s="17">
        <f t="shared" ca="1" si="105"/>
        <v>0</v>
      </c>
      <c r="H176" s="17">
        <f t="shared" ca="1" si="105"/>
        <v>0</v>
      </c>
      <c r="I176" s="13">
        <f t="shared" ca="1" si="105"/>
        <v>0</v>
      </c>
      <c r="J176" s="16"/>
      <c r="K176" s="13">
        <f t="shared" ca="1" si="106"/>
        <v>0</v>
      </c>
      <c r="L176" s="15">
        <f t="shared" ca="1" si="98"/>
        <v>1</v>
      </c>
      <c r="M176" s="15"/>
      <c r="N176" s="15">
        <f t="shared" ca="1" si="97"/>
        <v>0</v>
      </c>
    </row>
    <row r="177" spans="1:14" x14ac:dyDescent="0.4">
      <c r="A177" s="11" t="s">
        <v>8</v>
      </c>
      <c r="B177" s="40">
        <f t="shared" ca="1" si="105"/>
        <v>0</v>
      </c>
      <c r="C177" s="40"/>
      <c r="D177" s="40"/>
      <c r="E177" s="40"/>
      <c r="F177" s="13">
        <f t="shared" ca="1" si="105"/>
        <v>0</v>
      </c>
      <c r="G177" s="17">
        <f t="shared" ca="1" si="105"/>
        <v>0</v>
      </c>
      <c r="H177" s="17">
        <f t="shared" ca="1" si="105"/>
        <v>0</v>
      </c>
      <c r="I177" s="13">
        <f t="shared" ca="1" si="105"/>
        <v>0</v>
      </c>
      <c r="J177" s="16"/>
      <c r="K177" s="13">
        <f t="shared" ca="1" si="106"/>
        <v>0</v>
      </c>
      <c r="L177" s="15">
        <f t="shared" ca="1" si="98"/>
        <v>1</v>
      </c>
      <c r="M177" s="15"/>
      <c r="N177" s="15">
        <f t="shared" ca="1" si="97"/>
        <v>0</v>
      </c>
    </row>
    <row r="178" spans="1:14" x14ac:dyDescent="0.4">
      <c r="A178" s="11" t="s">
        <v>9</v>
      </c>
      <c r="B178" s="41">
        <f t="shared" ref="B178:I180" ca="1" si="107">OFFSET(B178,-15,0)</f>
        <v>0</v>
      </c>
      <c r="C178" s="41"/>
      <c r="D178" s="41"/>
      <c r="E178" s="41"/>
      <c r="F178" s="19">
        <f t="shared" ca="1" si="107"/>
        <v>0</v>
      </c>
      <c r="G178" s="20">
        <f t="shared" ca="1" si="107"/>
        <v>0</v>
      </c>
      <c r="H178" s="20">
        <f t="shared" ca="1" si="107"/>
        <v>0</v>
      </c>
      <c r="I178" s="13">
        <f t="shared" ca="1" si="107"/>
        <v>0</v>
      </c>
      <c r="J178" s="16"/>
      <c r="K178" s="19">
        <f t="shared" ref="K178:K180" ca="1" si="108">OFFSET(K178,-15,0)</f>
        <v>0</v>
      </c>
      <c r="L178" s="15">
        <f t="shared" ca="1" si="98"/>
        <v>1</v>
      </c>
      <c r="M178" s="15"/>
      <c r="N178" s="15">
        <f t="shared" ca="1" si="97"/>
        <v>0</v>
      </c>
    </row>
    <row r="179" spans="1:14" x14ac:dyDescent="0.4">
      <c r="A179" s="11" t="s">
        <v>9</v>
      </c>
      <c r="B179" s="41">
        <f t="shared" ca="1" si="107"/>
        <v>0</v>
      </c>
      <c r="C179" s="41"/>
      <c r="D179" s="41"/>
      <c r="E179" s="41"/>
      <c r="F179" s="19">
        <f t="shared" ca="1" si="107"/>
        <v>0</v>
      </c>
      <c r="G179" s="20">
        <f t="shared" ca="1" si="107"/>
        <v>0</v>
      </c>
      <c r="H179" s="20">
        <f t="shared" ca="1" si="107"/>
        <v>0</v>
      </c>
      <c r="I179" s="13">
        <f t="shared" ca="1" si="107"/>
        <v>0</v>
      </c>
      <c r="J179" s="16"/>
      <c r="K179" s="19">
        <f t="shared" ca="1" si="108"/>
        <v>0</v>
      </c>
      <c r="L179" s="15">
        <f t="shared" ca="1" si="98"/>
        <v>1</v>
      </c>
      <c r="M179" s="15"/>
      <c r="N179" s="15">
        <f t="shared" ca="1" si="97"/>
        <v>0</v>
      </c>
    </row>
    <row r="180" spans="1:14" x14ac:dyDescent="0.4">
      <c r="A180" s="11" t="s">
        <v>9</v>
      </c>
      <c r="B180" s="41">
        <f t="shared" ca="1" si="107"/>
        <v>0</v>
      </c>
      <c r="C180" s="41"/>
      <c r="D180" s="41"/>
      <c r="E180" s="41"/>
      <c r="F180" s="19">
        <f t="shared" ca="1" si="107"/>
        <v>0</v>
      </c>
      <c r="G180" s="20">
        <f t="shared" ca="1" si="107"/>
        <v>0</v>
      </c>
      <c r="H180" s="20">
        <f t="shared" ca="1" si="107"/>
        <v>0</v>
      </c>
      <c r="I180" s="13">
        <f t="shared" ca="1" si="107"/>
        <v>0</v>
      </c>
      <c r="J180" s="16"/>
      <c r="K180" s="19">
        <f t="shared" ca="1" si="108"/>
        <v>0</v>
      </c>
      <c r="L180" s="15">
        <f t="shared" ca="1" si="98"/>
        <v>1</v>
      </c>
      <c r="M180" s="15"/>
      <c r="N180" s="15">
        <f t="shared" ca="1" si="97"/>
        <v>0</v>
      </c>
    </row>
    <row r="181" spans="1:14" ht="17.399999999999999" x14ac:dyDescent="0.4">
      <c r="A181" s="77" t="s">
        <v>23</v>
      </c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6"/>
    </row>
    <row r="182" spans="1:14" x14ac:dyDescent="0.4">
      <c r="A182" s="11" t="str">
        <f ca="1">INDEX(A30:A180, MATCH(MAX(N30:N180), N30:N180, 0), 0)</f>
        <v>Front</v>
      </c>
      <c r="B182" s="40">
        <f ca="1">INDEX(B30:B180, MATCH(MAX(N30:N180), N30:N180, 0), 0)</f>
        <v>0</v>
      </c>
      <c r="C182" s="40"/>
      <c r="D182" s="40"/>
      <c r="E182" s="40"/>
      <c r="F182" s="13">
        <f ca="1">INDEX(F30:F180, MATCH(MAX(N30:N180), N30:N180, 0), 0)</f>
        <v>0</v>
      </c>
      <c r="G182" s="11">
        <f ca="1">INDEX(G30:G180, MATCH(MAX(N30:N180), N30:N180, 0), 0)</f>
        <v>0</v>
      </c>
      <c r="H182" s="17">
        <f ca="1">INDEX(H30:H180, MATCH(MAX(N30:N180), N30:N180, 0), 0)</f>
        <v>0</v>
      </c>
      <c r="I182" s="13">
        <f ca="1">INDEX(I30:I180, MATCH(MAX(N30:N180), N30:N180, 0), 0)</f>
        <v>0</v>
      </c>
      <c r="J182" s="16"/>
      <c r="K182" s="13">
        <f ca="1">INDEX(K30:K180, MATCH(MAX(N30:N180), N30:N180, 0), 0)</f>
        <v>0</v>
      </c>
      <c r="L182" s="15">
        <f ca="1">ROUND((10^(K182/10))/(10^(I182/10)),3)</f>
        <v>1</v>
      </c>
      <c r="M182" s="15"/>
      <c r="N182" s="15">
        <f t="shared" ref="N182" ca="1" si="109">J182*L182</f>
        <v>0</v>
      </c>
    </row>
    <row r="183" spans="1:14" x14ac:dyDescent="0.4">
      <c r="A183" s="11"/>
      <c r="B183" s="40"/>
      <c r="C183" s="40"/>
      <c r="D183" s="40"/>
      <c r="E183" s="40"/>
      <c r="F183" s="13"/>
      <c r="G183" s="11"/>
      <c r="H183" s="17"/>
      <c r="I183" s="13"/>
      <c r="J183" s="16"/>
      <c r="K183" s="13"/>
      <c r="L183" s="15"/>
      <c r="M183" s="15"/>
      <c r="N183" s="15"/>
    </row>
    <row r="184" spans="1:14" x14ac:dyDescent="0.4">
      <c r="A184" s="11"/>
      <c r="B184" s="40"/>
      <c r="C184" s="40"/>
      <c r="D184" s="40"/>
      <c r="E184" s="40"/>
      <c r="F184" s="13"/>
      <c r="G184" s="11"/>
      <c r="H184" s="17"/>
      <c r="I184" s="13"/>
      <c r="J184" s="16"/>
      <c r="K184" s="13"/>
      <c r="L184" s="15"/>
      <c r="M184" s="15"/>
      <c r="N184" s="15"/>
    </row>
    <row r="185" spans="1:14" x14ac:dyDescent="0.4">
      <c r="A185" s="11"/>
      <c r="B185" s="41"/>
      <c r="C185" s="41"/>
      <c r="D185" s="41"/>
      <c r="E185" s="41"/>
      <c r="F185" s="19"/>
      <c r="G185" s="11"/>
      <c r="H185" s="20"/>
      <c r="I185" s="19"/>
      <c r="J185" s="16"/>
      <c r="K185" s="19"/>
      <c r="L185" s="15"/>
      <c r="M185" s="15"/>
      <c r="N185" s="15"/>
    </row>
    <row r="186" spans="1:14" x14ac:dyDescent="0.4">
      <c r="A186" s="11"/>
      <c r="B186" s="41"/>
      <c r="C186" s="41"/>
      <c r="D186" s="41"/>
      <c r="E186" s="41"/>
      <c r="F186" s="19"/>
      <c r="G186" s="11"/>
      <c r="H186" s="20"/>
      <c r="I186" s="19"/>
      <c r="J186" s="16"/>
      <c r="K186" s="19"/>
      <c r="L186" s="15"/>
      <c r="M186" s="15"/>
      <c r="N186" s="15"/>
    </row>
    <row r="187" spans="1:14" x14ac:dyDescent="0.4">
      <c r="A187" s="11"/>
      <c r="B187" s="41"/>
      <c r="C187" s="41"/>
      <c r="D187" s="41"/>
      <c r="E187" s="41"/>
      <c r="F187" s="19"/>
      <c r="G187" s="11"/>
      <c r="H187" s="20"/>
      <c r="I187" s="19"/>
      <c r="J187" s="16"/>
      <c r="K187" s="19"/>
      <c r="L187" s="15"/>
      <c r="M187" s="15"/>
      <c r="N187" s="15"/>
    </row>
    <row r="188" spans="1:14" x14ac:dyDescent="0.4">
      <c r="A188" s="11"/>
      <c r="B188" s="40"/>
      <c r="C188" s="40"/>
      <c r="D188" s="40"/>
      <c r="E188" s="40"/>
      <c r="F188" s="13"/>
      <c r="G188" s="11"/>
      <c r="H188" s="17"/>
      <c r="I188" s="13"/>
      <c r="J188" s="16"/>
      <c r="K188" s="13"/>
      <c r="L188" s="15"/>
      <c r="M188" s="15"/>
      <c r="N188" s="15"/>
    </row>
    <row r="189" spans="1:14" x14ac:dyDescent="0.4">
      <c r="A189" s="11"/>
      <c r="B189" s="40"/>
      <c r="C189" s="40"/>
      <c r="D189" s="40"/>
      <c r="E189" s="40"/>
      <c r="F189" s="13"/>
      <c r="G189" s="11"/>
      <c r="H189" s="17"/>
      <c r="I189" s="13"/>
      <c r="J189" s="16"/>
      <c r="K189" s="13"/>
      <c r="L189" s="15"/>
      <c r="M189" s="15"/>
      <c r="N189" s="15"/>
    </row>
    <row r="190" spans="1:14" x14ac:dyDescent="0.4">
      <c r="A190" s="11"/>
      <c r="B190" s="40"/>
      <c r="C190" s="40"/>
      <c r="D190" s="40"/>
      <c r="E190" s="40"/>
      <c r="F190" s="13"/>
      <c r="G190" s="11"/>
      <c r="H190" s="17"/>
      <c r="I190" s="13"/>
      <c r="J190" s="16"/>
      <c r="K190" s="13"/>
      <c r="L190" s="15"/>
      <c r="M190" s="15"/>
      <c r="N190" s="15"/>
    </row>
    <row r="191" spans="1:14" x14ac:dyDescent="0.4">
      <c r="A191" s="11"/>
      <c r="B191" s="40"/>
      <c r="C191" s="40"/>
      <c r="D191" s="40"/>
      <c r="E191" s="40"/>
      <c r="F191" s="13"/>
      <c r="G191" s="11"/>
      <c r="H191" s="17"/>
      <c r="I191" s="13"/>
      <c r="J191" s="16"/>
      <c r="K191" s="13"/>
      <c r="L191" s="15"/>
      <c r="M191" s="15"/>
      <c r="N191" s="15"/>
    </row>
    <row r="192" spans="1:14" x14ac:dyDescent="0.4">
      <c r="A192" s="11"/>
      <c r="B192" s="40"/>
      <c r="C192" s="40"/>
      <c r="D192" s="40"/>
      <c r="E192" s="40"/>
      <c r="F192" s="13"/>
      <c r="G192" s="11"/>
      <c r="H192" s="17"/>
      <c r="I192" s="13"/>
      <c r="J192" s="16"/>
      <c r="K192" s="13"/>
      <c r="L192" s="15"/>
      <c r="M192" s="15"/>
      <c r="N192" s="15"/>
    </row>
    <row r="193" spans="1:14" x14ac:dyDescent="0.4">
      <c r="A193" s="11"/>
      <c r="B193" s="40"/>
      <c r="C193" s="40"/>
      <c r="D193" s="40"/>
      <c r="E193" s="40"/>
      <c r="F193" s="13"/>
      <c r="G193" s="11"/>
      <c r="H193" s="17"/>
      <c r="I193" s="13"/>
      <c r="J193" s="16"/>
      <c r="K193" s="13"/>
      <c r="L193" s="15"/>
      <c r="M193" s="15"/>
      <c r="N193" s="15"/>
    </row>
    <row r="194" spans="1:14" x14ac:dyDescent="0.4">
      <c r="A194" s="11"/>
      <c r="B194" s="40"/>
      <c r="C194" s="40"/>
      <c r="D194" s="40"/>
      <c r="E194" s="40"/>
      <c r="F194" s="13"/>
      <c r="G194" s="11"/>
      <c r="H194" s="17"/>
      <c r="I194" s="13"/>
      <c r="J194" s="16"/>
      <c r="K194" s="13"/>
      <c r="L194" s="15"/>
      <c r="M194" s="15"/>
      <c r="N194" s="15"/>
    </row>
    <row r="195" spans="1:14" x14ac:dyDescent="0.4">
      <c r="A195" s="11"/>
      <c r="B195" s="40"/>
      <c r="C195" s="40"/>
      <c r="D195" s="40"/>
      <c r="E195" s="40"/>
      <c r="F195" s="13"/>
      <c r="G195" s="11"/>
      <c r="H195" s="17"/>
      <c r="I195" s="13"/>
      <c r="J195" s="16"/>
      <c r="K195" s="13"/>
      <c r="L195" s="15"/>
      <c r="M195" s="15"/>
      <c r="N195" s="15"/>
    </row>
    <row r="196" spans="1:14" x14ac:dyDescent="0.4">
      <c r="A196" s="11"/>
      <c r="B196" s="40"/>
      <c r="C196" s="40"/>
      <c r="D196" s="40"/>
      <c r="E196" s="40"/>
      <c r="F196" s="13"/>
      <c r="G196" s="11"/>
      <c r="H196" s="17"/>
      <c r="I196" s="13"/>
      <c r="J196" s="16"/>
      <c r="K196" s="13"/>
      <c r="L196" s="15"/>
      <c r="M196" s="15"/>
      <c r="N196" s="15"/>
    </row>
    <row r="197" spans="1:14" x14ac:dyDescent="0.4">
      <c r="A197" s="11"/>
      <c r="B197" s="41"/>
      <c r="C197" s="41"/>
      <c r="D197" s="41"/>
      <c r="E197" s="41"/>
      <c r="F197" s="19"/>
      <c r="G197" s="11"/>
      <c r="H197" s="20"/>
      <c r="I197" s="19"/>
      <c r="J197" s="16"/>
      <c r="K197" s="19"/>
      <c r="L197" s="15"/>
      <c r="M197" s="15"/>
      <c r="N197" s="15"/>
    </row>
    <row r="198" spans="1:14" x14ac:dyDescent="0.4">
      <c r="A198" s="11"/>
      <c r="B198" s="41"/>
      <c r="C198" s="41"/>
      <c r="D198" s="41"/>
      <c r="E198" s="41"/>
      <c r="F198" s="19"/>
      <c r="G198" s="11"/>
      <c r="H198" s="20"/>
      <c r="I198" s="19"/>
      <c r="J198" s="16"/>
      <c r="K198" s="19"/>
      <c r="L198" s="15"/>
      <c r="M198" s="15"/>
      <c r="N198" s="15"/>
    </row>
    <row r="199" spans="1:14" x14ac:dyDescent="0.4">
      <c r="A199" s="11"/>
      <c r="B199" s="41"/>
      <c r="C199" s="41"/>
      <c r="D199" s="41"/>
      <c r="E199" s="41"/>
      <c r="F199" s="19"/>
      <c r="G199" s="11"/>
      <c r="H199" s="20"/>
      <c r="I199" s="19"/>
      <c r="J199" s="16"/>
      <c r="K199" s="19"/>
      <c r="L199" s="15"/>
      <c r="M199" s="15"/>
      <c r="N199" s="15"/>
    </row>
    <row r="200" spans="1:14" ht="17.399999999999999" x14ac:dyDescent="0.4">
      <c r="A200" s="77" t="s">
        <v>24</v>
      </c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6"/>
    </row>
    <row r="201" spans="1:14" x14ac:dyDescent="0.4">
      <c r="A201" s="11" t="str">
        <f ca="1">INDEX(A30:A180, MATCH(MAX(N30:N180), N30:N180, 0), 0)</f>
        <v>Front</v>
      </c>
      <c r="B201" s="40">
        <f ca="1">INDEX(B30:B180, MATCH(MAX(N30:N180), N30:N180, 0), 0)</f>
        <v>0</v>
      </c>
      <c r="C201" s="40"/>
      <c r="D201" s="40"/>
      <c r="E201" s="40"/>
      <c r="F201" s="13">
        <f ca="1">INDEX(F30:F180, MATCH(MAX(N30:N180), N30:N180, 0), 0)</f>
        <v>0</v>
      </c>
      <c r="G201" s="11">
        <f ca="1">INDEX(G30:G180, MATCH(MAX(N30:N180), N30:N180, 0), 0)</f>
        <v>0</v>
      </c>
      <c r="H201" s="17">
        <f ca="1">INDEX(H30:H180, MATCH(MAX(N30:N180), N30:N180, 0), 0)</f>
        <v>0</v>
      </c>
      <c r="I201" s="13">
        <f ca="1">INDEX(I30:I180, MATCH(MAX(N30:N180), N30:N180, 0), 0)</f>
        <v>0</v>
      </c>
      <c r="J201" s="16"/>
      <c r="K201" s="13">
        <f ca="1">INDEX(K30:K180, MATCH(MAX(N30:N180), N30:N180, 0), 0)</f>
        <v>0</v>
      </c>
      <c r="L201" s="15">
        <f ca="1">ROUND((10^(K201/10))/(10^(I201/10)),3)</f>
        <v>1</v>
      </c>
      <c r="M201" s="15"/>
      <c r="N201" s="15">
        <f t="shared" ref="N201" ca="1" si="110">J201*L201</f>
        <v>0</v>
      </c>
    </row>
    <row r="202" spans="1:14" x14ac:dyDescent="0.4">
      <c r="A202" s="11"/>
      <c r="B202" s="40"/>
      <c r="C202" s="40"/>
      <c r="D202" s="40"/>
      <c r="E202" s="40"/>
      <c r="F202" s="13"/>
      <c r="G202" s="11"/>
      <c r="H202" s="17"/>
      <c r="I202" s="13"/>
      <c r="J202" s="16"/>
      <c r="K202" s="13"/>
      <c r="L202" s="15"/>
      <c r="M202" s="15"/>
      <c r="N202" s="52"/>
    </row>
    <row r="203" spans="1:14" x14ac:dyDescent="0.4">
      <c r="A203" s="11"/>
      <c r="B203" s="40"/>
      <c r="C203" s="40"/>
      <c r="D203" s="40"/>
      <c r="E203" s="40"/>
      <c r="F203" s="13"/>
      <c r="G203" s="11"/>
      <c r="H203" s="17"/>
      <c r="I203" s="13"/>
      <c r="J203" s="16"/>
      <c r="K203" s="13"/>
      <c r="L203" s="15"/>
      <c r="M203" s="15"/>
      <c r="N203" s="52"/>
    </row>
    <row r="204" spans="1:14" x14ac:dyDescent="0.4">
      <c r="A204" s="11"/>
      <c r="B204" s="41"/>
      <c r="C204" s="41"/>
      <c r="D204" s="41"/>
      <c r="E204" s="41"/>
      <c r="F204" s="19"/>
      <c r="G204" s="11"/>
      <c r="H204" s="20"/>
      <c r="I204" s="19"/>
      <c r="J204" s="16"/>
      <c r="K204" s="19"/>
      <c r="L204" s="15"/>
      <c r="M204" s="15"/>
      <c r="N204" s="52"/>
    </row>
    <row r="205" spans="1:14" x14ac:dyDescent="0.4">
      <c r="A205" s="11"/>
      <c r="B205" s="41"/>
      <c r="C205" s="41"/>
      <c r="D205" s="41"/>
      <c r="E205" s="41"/>
      <c r="F205" s="19"/>
      <c r="G205" s="11"/>
      <c r="H205" s="20"/>
      <c r="I205" s="19"/>
      <c r="J205" s="16"/>
      <c r="K205" s="19"/>
      <c r="L205" s="15"/>
      <c r="M205" s="15"/>
      <c r="N205" s="52"/>
    </row>
    <row r="206" spans="1:14" x14ac:dyDescent="0.4">
      <c r="A206" s="11"/>
      <c r="B206" s="41"/>
      <c r="C206" s="41"/>
      <c r="D206" s="41"/>
      <c r="E206" s="41"/>
      <c r="F206" s="19"/>
      <c r="G206" s="11"/>
      <c r="H206" s="20"/>
      <c r="I206" s="19"/>
      <c r="J206" s="16"/>
      <c r="K206" s="19"/>
      <c r="L206" s="15"/>
      <c r="M206" s="15"/>
      <c r="N206" s="52"/>
    </row>
    <row r="207" spans="1:14" x14ac:dyDescent="0.4">
      <c r="A207" s="11"/>
      <c r="B207" s="40"/>
      <c r="C207" s="40"/>
      <c r="D207" s="40"/>
      <c r="E207" s="40"/>
      <c r="F207" s="13"/>
      <c r="G207" s="11"/>
      <c r="H207" s="17"/>
      <c r="I207" s="13"/>
      <c r="J207" s="16"/>
      <c r="K207" s="13"/>
      <c r="L207" s="15"/>
      <c r="M207" s="15"/>
      <c r="N207" s="52"/>
    </row>
    <row r="208" spans="1:14" x14ac:dyDescent="0.4">
      <c r="A208" s="11"/>
      <c r="B208" s="40"/>
      <c r="C208" s="40"/>
      <c r="D208" s="40"/>
      <c r="E208" s="40"/>
      <c r="F208" s="13"/>
      <c r="G208" s="11"/>
      <c r="H208" s="17"/>
      <c r="I208" s="13"/>
      <c r="J208" s="16"/>
      <c r="K208" s="13"/>
      <c r="L208" s="15"/>
      <c r="M208" s="15"/>
      <c r="N208" s="52"/>
    </row>
    <row r="209" spans="1:14" x14ac:dyDescent="0.4">
      <c r="A209" s="11"/>
      <c r="B209" s="40"/>
      <c r="C209" s="40"/>
      <c r="D209" s="40"/>
      <c r="E209" s="40"/>
      <c r="F209" s="13"/>
      <c r="G209" s="11"/>
      <c r="H209" s="17"/>
      <c r="I209" s="13"/>
      <c r="J209" s="16"/>
      <c r="K209" s="13"/>
      <c r="L209" s="15"/>
      <c r="M209" s="15"/>
      <c r="N209" s="52"/>
    </row>
    <row r="210" spans="1:14" x14ac:dyDescent="0.4">
      <c r="A210" s="11"/>
      <c r="B210" s="40"/>
      <c r="C210" s="40"/>
      <c r="D210" s="40"/>
      <c r="E210" s="40"/>
      <c r="F210" s="13"/>
      <c r="G210" s="11"/>
      <c r="H210" s="17"/>
      <c r="I210" s="13"/>
      <c r="J210" s="16"/>
      <c r="K210" s="13"/>
      <c r="L210" s="15"/>
      <c r="M210" s="15"/>
      <c r="N210" s="52"/>
    </row>
    <row r="211" spans="1:14" x14ac:dyDescent="0.4">
      <c r="A211" s="11"/>
      <c r="B211" s="40"/>
      <c r="C211" s="40"/>
      <c r="D211" s="40"/>
      <c r="E211" s="40"/>
      <c r="F211" s="13"/>
      <c r="G211" s="11"/>
      <c r="H211" s="17"/>
      <c r="I211" s="13"/>
      <c r="J211" s="16"/>
      <c r="K211" s="13"/>
      <c r="L211" s="15"/>
      <c r="M211" s="15"/>
      <c r="N211" s="52"/>
    </row>
    <row r="212" spans="1:14" x14ac:dyDescent="0.4">
      <c r="A212" s="11"/>
      <c r="B212" s="40"/>
      <c r="C212" s="40"/>
      <c r="D212" s="40"/>
      <c r="E212" s="40"/>
      <c r="F212" s="13"/>
      <c r="G212" s="11"/>
      <c r="H212" s="17"/>
      <c r="I212" s="13"/>
      <c r="J212" s="16"/>
      <c r="K212" s="13"/>
      <c r="L212" s="15"/>
      <c r="M212" s="15"/>
      <c r="N212" s="52"/>
    </row>
    <row r="213" spans="1:14" x14ac:dyDescent="0.4">
      <c r="A213" s="11"/>
      <c r="B213" s="40"/>
      <c r="C213" s="40"/>
      <c r="D213" s="40"/>
      <c r="E213" s="40"/>
      <c r="F213" s="13"/>
      <c r="G213" s="11"/>
      <c r="H213" s="17"/>
      <c r="I213" s="13"/>
      <c r="J213" s="16"/>
      <c r="K213" s="13"/>
      <c r="L213" s="15"/>
      <c r="M213" s="15"/>
      <c r="N213" s="52"/>
    </row>
    <row r="214" spans="1:14" x14ac:dyDescent="0.4">
      <c r="A214" s="11"/>
      <c r="B214" s="40"/>
      <c r="C214" s="40"/>
      <c r="D214" s="40"/>
      <c r="E214" s="40"/>
      <c r="F214" s="13"/>
      <c r="G214" s="11"/>
      <c r="H214" s="17"/>
      <c r="I214" s="13"/>
      <c r="J214" s="16"/>
      <c r="K214" s="13"/>
      <c r="L214" s="15"/>
      <c r="M214" s="15"/>
      <c r="N214" s="52"/>
    </row>
    <row r="215" spans="1:14" x14ac:dyDescent="0.4">
      <c r="A215" s="11"/>
      <c r="B215" s="40"/>
      <c r="C215" s="40"/>
      <c r="D215" s="40"/>
      <c r="E215" s="40"/>
      <c r="F215" s="13"/>
      <c r="G215" s="11"/>
      <c r="H215" s="17"/>
      <c r="I215" s="13"/>
      <c r="J215" s="16"/>
      <c r="K215" s="13"/>
      <c r="L215" s="15"/>
      <c r="M215" s="15"/>
      <c r="N215" s="52"/>
    </row>
    <row r="216" spans="1:14" x14ac:dyDescent="0.4">
      <c r="A216" s="11"/>
      <c r="B216" s="41"/>
      <c r="C216" s="41"/>
      <c r="D216" s="41"/>
      <c r="E216" s="41"/>
      <c r="F216" s="19"/>
      <c r="G216" s="11"/>
      <c r="H216" s="20"/>
      <c r="I216" s="19"/>
      <c r="J216" s="16"/>
      <c r="K216" s="19"/>
      <c r="L216" s="15"/>
      <c r="M216" s="15"/>
      <c r="N216" s="52"/>
    </row>
    <row r="217" spans="1:14" x14ac:dyDescent="0.4">
      <c r="A217" s="11"/>
      <c r="B217" s="41"/>
      <c r="C217" s="41"/>
      <c r="D217" s="41"/>
      <c r="E217" s="41"/>
      <c r="F217" s="19"/>
      <c r="G217" s="11"/>
      <c r="H217" s="20"/>
      <c r="I217" s="19"/>
      <c r="J217" s="16"/>
      <c r="K217" s="19"/>
      <c r="L217" s="15"/>
      <c r="M217" s="15"/>
      <c r="N217" s="52"/>
    </row>
    <row r="218" spans="1:14" x14ac:dyDescent="0.4">
      <c r="A218" s="11"/>
      <c r="B218" s="41"/>
      <c r="C218" s="41"/>
      <c r="D218" s="41"/>
      <c r="E218" s="41"/>
      <c r="F218" s="19"/>
      <c r="G218" s="11"/>
      <c r="H218" s="20"/>
      <c r="I218" s="19"/>
      <c r="J218" s="16"/>
      <c r="K218" s="19"/>
      <c r="L218" s="15"/>
      <c r="M218" s="15"/>
      <c r="N218" s="52"/>
    </row>
    <row r="221" spans="1:14" x14ac:dyDescent="0.4">
      <c r="A221" s="58" t="s">
        <v>166</v>
      </c>
      <c r="B221" s="59"/>
      <c r="C221" s="59"/>
      <c r="D221" s="59"/>
      <c r="E221" s="59"/>
      <c r="F221" s="59"/>
      <c r="G221" s="59"/>
      <c r="H221" s="60"/>
      <c r="I221" s="54" t="s">
        <v>3</v>
      </c>
      <c r="J221" s="54"/>
      <c r="K221" s="54"/>
      <c r="L221" s="7"/>
      <c r="M221" s="7"/>
      <c r="N221" s="8"/>
    </row>
    <row r="222" spans="1:14" x14ac:dyDescent="0.4">
      <c r="A222" s="61"/>
      <c r="B222" s="62"/>
      <c r="C222" s="62"/>
      <c r="D222" s="62"/>
      <c r="E222" s="62"/>
      <c r="F222" s="62"/>
      <c r="G222" s="62"/>
      <c r="H222" s="63"/>
      <c r="I222" s="54" t="s">
        <v>4</v>
      </c>
      <c r="J222" s="54"/>
      <c r="K222" s="54"/>
      <c r="L222" s="7"/>
      <c r="M222" s="7"/>
      <c r="N222" s="8"/>
    </row>
    <row r="223" spans="1:14" x14ac:dyDescent="0.4">
      <c r="A223" s="64"/>
      <c r="B223" s="65"/>
      <c r="C223" s="65"/>
      <c r="D223" s="65"/>
      <c r="E223" s="65"/>
      <c r="F223" s="65"/>
      <c r="G223" s="65"/>
      <c r="H223" s="66"/>
      <c r="I223" s="54" t="s">
        <v>0</v>
      </c>
      <c r="J223" s="54"/>
      <c r="K223" s="54"/>
      <c r="L223" s="9"/>
      <c r="M223" s="9"/>
      <c r="N223" s="8"/>
    </row>
    <row r="224" spans="1:14" x14ac:dyDescent="0.4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</row>
    <row r="225" spans="1:14" x14ac:dyDescent="0.4">
      <c r="A225" s="53" t="s">
        <v>14</v>
      </c>
      <c r="B225" s="55" t="s">
        <v>34</v>
      </c>
      <c r="C225" s="71" t="s">
        <v>152</v>
      </c>
      <c r="D225" s="71" t="s">
        <v>153</v>
      </c>
      <c r="E225" s="71" t="s">
        <v>145</v>
      </c>
      <c r="F225" s="53" t="s">
        <v>1</v>
      </c>
      <c r="G225" s="53"/>
      <c r="H225" s="57" t="s">
        <v>15</v>
      </c>
      <c r="I225" s="57" t="s">
        <v>16</v>
      </c>
      <c r="J225" s="53" t="s">
        <v>17</v>
      </c>
      <c r="K225" s="67" t="s">
        <v>84</v>
      </c>
      <c r="L225" s="68"/>
      <c r="M225" s="53" t="s">
        <v>20</v>
      </c>
      <c r="N225" s="8"/>
    </row>
    <row r="226" spans="1:14" x14ac:dyDescent="0.4">
      <c r="A226" s="53"/>
      <c r="B226" s="55"/>
      <c r="C226" s="72"/>
      <c r="D226" s="72"/>
      <c r="E226" s="72"/>
      <c r="F226" s="53" t="s">
        <v>18</v>
      </c>
      <c r="G226" s="53" t="s">
        <v>2</v>
      </c>
      <c r="H226" s="57"/>
      <c r="I226" s="57"/>
      <c r="J226" s="53"/>
      <c r="K226" s="69"/>
      <c r="L226" s="70"/>
      <c r="M226" s="53"/>
      <c r="N226" s="8"/>
    </row>
    <row r="227" spans="1:14" x14ac:dyDescent="0.4">
      <c r="A227" s="53"/>
      <c r="B227" s="56"/>
      <c r="C227" s="73"/>
      <c r="D227" s="73"/>
      <c r="E227" s="73"/>
      <c r="F227" s="53"/>
      <c r="G227" s="53"/>
      <c r="H227" s="57"/>
      <c r="I227" s="57"/>
      <c r="J227" s="53"/>
      <c r="K227" s="42" t="s">
        <v>85</v>
      </c>
      <c r="L227" s="42" t="s">
        <v>86</v>
      </c>
      <c r="M227" s="53"/>
      <c r="N227" s="8"/>
    </row>
    <row r="228" spans="1:14" x14ac:dyDescent="0.4">
      <c r="A228" s="11" t="s">
        <v>11</v>
      </c>
      <c r="B228" s="40"/>
      <c r="C228" s="40"/>
      <c r="D228" s="40"/>
      <c r="E228" s="40"/>
      <c r="F228" s="13"/>
      <c r="G228" s="11"/>
      <c r="H228" s="13"/>
      <c r="I228" s="14">
        <v>123</v>
      </c>
      <c r="J228" s="13"/>
      <c r="K228" s="15">
        <f>ROUND((10^(J228/10))/(10^(H228/10)),3)</f>
        <v>1</v>
      </c>
      <c r="L228" s="15"/>
      <c r="M228" s="15">
        <f t="shared" ref="M228:M239" si="111">I228*K228</f>
        <v>123</v>
      </c>
      <c r="N228" s="8"/>
    </row>
    <row r="229" spans="1:14" x14ac:dyDescent="0.4">
      <c r="A229" s="11" t="s">
        <v>11</v>
      </c>
      <c r="B229" s="40"/>
      <c r="C229" s="40"/>
      <c r="D229" s="40"/>
      <c r="E229" s="40"/>
      <c r="F229" s="13"/>
      <c r="G229" s="11"/>
      <c r="H229" s="13"/>
      <c r="I229" s="14"/>
      <c r="J229" s="13"/>
      <c r="K229" s="15">
        <f t="shared" ref="K229:K239" si="112">ROUND((10^(J229/10))/(10^(H229/10)),3)</f>
        <v>1</v>
      </c>
      <c r="L229" s="15"/>
      <c r="M229" s="15">
        <f t="shared" si="111"/>
        <v>0</v>
      </c>
      <c r="N229" s="8"/>
    </row>
    <row r="230" spans="1:14" x14ac:dyDescent="0.4">
      <c r="A230" s="11" t="s">
        <v>11</v>
      </c>
      <c r="B230" s="40"/>
      <c r="C230" s="40"/>
      <c r="D230" s="40"/>
      <c r="E230" s="40"/>
      <c r="F230" s="13"/>
      <c r="G230" s="11"/>
      <c r="H230" s="13"/>
      <c r="I230" s="14"/>
      <c r="J230" s="13"/>
      <c r="K230" s="15">
        <f t="shared" si="112"/>
        <v>1</v>
      </c>
      <c r="L230" s="15"/>
      <c r="M230" s="15">
        <f t="shared" si="111"/>
        <v>0</v>
      </c>
      <c r="N230" s="8"/>
    </row>
    <row r="231" spans="1:14" x14ac:dyDescent="0.4">
      <c r="A231" s="11" t="s">
        <v>13</v>
      </c>
      <c r="B231" s="40">
        <f t="shared" ref="B231" si="113">B228</f>
        <v>0</v>
      </c>
      <c r="C231" s="40"/>
      <c r="D231" s="40"/>
      <c r="E231" s="40">
        <f t="shared" ref="E231:G231" si="114">E228</f>
        <v>0</v>
      </c>
      <c r="F231" s="13">
        <f t="shared" si="114"/>
        <v>0</v>
      </c>
      <c r="G231" s="40">
        <f t="shared" si="114"/>
        <v>0</v>
      </c>
      <c r="H231" s="13">
        <f>H228</f>
        <v>0</v>
      </c>
      <c r="I231" s="16"/>
      <c r="J231" s="13">
        <f t="shared" ref="J231:J233" si="115">J228</f>
        <v>0</v>
      </c>
      <c r="K231" s="15">
        <f t="shared" si="112"/>
        <v>1</v>
      </c>
      <c r="L231" s="15"/>
      <c r="M231" s="15">
        <f t="shared" si="111"/>
        <v>0</v>
      </c>
      <c r="N231" s="8"/>
    </row>
    <row r="232" spans="1:14" x14ac:dyDescent="0.4">
      <c r="A232" s="11" t="s">
        <v>13</v>
      </c>
      <c r="B232" s="40">
        <f t="shared" ref="B232" si="116">B229</f>
        <v>0</v>
      </c>
      <c r="C232" s="40"/>
      <c r="D232" s="40"/>
      <c r="E232" s="40">
        <f t="shared" ref="E232:H232" si="117">E229</f>
        <v>0</v>
      </c>
      <c r="F232" s="13">
        <f t="shared" si="117"/>
        <v>0</v>
      </c>
      <c r="G232" s="40">
        <f t="shared" si="117"/>
        <v>0</v>
      </c>
      <c r="H232" s="13">
        <f t="shared" si="117"/>
        <v>0</v>
      </c>
      <c r="I232" s="16"/>
      <c r="J232" s="13">
        <f t="shared" si="115"/>
        <v>0</v>
      </c>
      <c r="K232" s="15">
        <f t="shared" si="112"/>
        <v>1</v>
      </c>
      <c r="L232" s="15"/>
      <c r="M232" s="15">
        <f t="shared" si="111"/>
        <v>0</v>
      </c>
      <c r="N232" s="8"/>
    </row>
    <row r="233" spans="1:14" x14ac:dyDescent="0.4">
      <c r="A233" s="11" t="s">
        <v>13</v>
      </c>
      <c r="B233" s="40">
        <f t="shared" ref="B233" si="118">B230</f>
        <v>0</v>
      </c>
      <c r="C233" s="40"/>
      <c r="D233" s="40"/>
      <c r="E233" s="40">
        <f t="shared" ref="E233:H233" si="119">E230</f>
        <v>0</v>
      </c>
      <c r="F233" s="13">
        <f t="shared" si="119"/>
        <v>0</v>
      </c>
      <c r="G233" s="40">
        <f t="shared" si="119"/>
        <v>0</v>
      </c>
      <c r="H233" s="13">
        <f t="shared" si="119"/>
        <v>0</v>
      </c>
      <c r="I233" s="16"/>
      <c r="J233" s="13">
        <f t="shared" si="115"/>
        <v>0</v>
      </c>
      <c r="K233" s="15">
        <f t="shared" si="112"/>
        <v>1</v>
      </c>
      <c r="L233" s="15"/>
      <c r="M233" s="15">
        <f t="shared" si="111"/>
        <v>0</v>
      </c>
      <c r="N233" s="8"/>
    </row>
    <row r="234" spans="1:14" x14ac:dyDescent="0.4">
      <c r="A234" s="11" t="s">
        <v>12</v>
      </c>
      <c r="B234" s="40">
        <f t="shared" ref="B234:J239" ca="1" si="120">OFFSET(B234,-6,0)</f>
        <v>0</v>
      </c>
      <c r="C234" s="40"/>
      <c r="D234" s="40"/>
      <c r="E234" s="40">
        <f t="shared" ca="1" si="120"/>
        <v>0</v>
      </c>
      <c r="F234" s="13">
        <f t="shared" ca="1" si="120"/>
        <v>0</v>
      </c>
      <c r="G234" s="17">
        <f t="shared" ca="1" si="120"/>
        <v>0</v>
      </c>
      <c r="H234" s="13">
        <f t="shared" ca="1" si="120"/>
        <v>0</v>
      </c>
      <c r="I234" s="16"/>
      <c r="J234" s="13">
        <f t="shared" ca="1" si="120"/>
        <v>0</v>
      </c>
      <c r="K234" s="15">
        <f t="shared" ca="1" si="112"/>
        <v>1</v>
      </c>
      <c r="L234" s="15"/>
      <c r="M234" s="15">
        <f t="shared" ca="1" si="111"/>
        <v>0</v>
      </c>
      <c r="N234" s="8"/>
    </row>
    <row r="235" spans="1:14" x14ac:dyDescent="0.4">
      <c r="A235" s="11" t="s">
        <v>12</v>
      </c>
      <c r="B235" s="40">
        <f t="shared" ca="1" si="120"/>
        <v>0</v>
      </c>
      <c r="C235" s="40"/>
      <c r="D235" s="40"/>
      <c r="E235" s="40">
        <f t="shared" ca="1" si="120"/>
        <v>0</v>
      </c>
      <c r="F235" s="13">
        <f t="shared" ca="1" si="120"/>
        <v>0</v>
      </c>
      <c r="G235" s="17">
        <f t="shared" ca="1" si="120"/>
        <v>0</v>
      </c>
      <c r="H235" s="13">
        <f t="shared" ca="1" si="120"/>
        <v>0</v>
      </c>
      <c r="I235" s="16"/>
      <c r="J235" s="13">
        <f t="shared" ca="1" si="120"/>
        <v>0</v>
      </c>
      <c r="K235" s="15">
        <f t="shared" ca="1" si="112"/>
        <v>1</v>
      </c>
      <c r="L235" s="15"/>
      <c r="M235" s="15">
        <f t="shared" ca="1" si="111"/>
        <v>0</v>
      </c>
      <c r="N235" s="8"/>
    </row>
    <row r="236" spans="1:14" x14ac:dyDescent="0.4">
      <c r="A236" s="11" t="s">
        <v>12</v>
      </c>
      <c r="B236" s="40">
        <f t="shared" ca="1" si="120"/>
        <v>0</v>
      </c>
      <c r="C236" s="40"/>
      <c r="D236" s="40"/>
      <c r="E236" s="40">
        <f t="shared" ca="1" si="120"/>
        <v>0</v>
      </c>
      <c r="F236" s="13">
        <f t="shared" ca="1" si="120"/>
        <v>0</v>
      </c>
      <c r="G236" s="17">
        <f t="shared" ca="1" si="120"/>
        <v>0</v>
      </c>
      <c r="H236" s="13">
        <f t="shared" ca="1" si="120"/>
        <v>0</v>
      </c>
      <c r="I236" s="16"/>
      <c r="J236" s="13">
        <f t="shared" ca="1" si="120"/>
        <v>0</v>
      </c>
      <c r="K236" s="15">
        <f t="shared" ca="1" si="112"/>
        <v>1</v>
      </c>
      <c r="L236" s="15"/>
      <c r="M236" s="15">
        <f t="shared" ca="1" si="111"/>
        <v>0</v>
      </c>
      <c r="N236" s="8"/>
    </row>
    <row r="237" spans="1:14" x14ac:dyDescent="0.4">
      <c r="A237" s="11" t="s">
        <v>21</v>
      </c>
      <c r="B237" s="40">
        <f t="shared" ca="1" si="120"/>
        <v>0</v>
      </c>
      <c r="C237" s="40"/>
      <c r="D237" s="40"/>
      <c r="E237" s="40">
        <f t="shared" ca="1" si="120"/>
        <v>0</v>
      </c>
      <c r="F237" s="13">
        <f t="shared" ca="1" si="120"/>
        <v>0</v>
      </c>
      <c r="G237" s="17">
        <f t="shared" ca="1" si="120"/>
        <v>0</v>
      </c>
      <c r="H237" s="13">
        <f t="shared" ca="1" si="120"/>
        <v>0</v>
      </c>
      <c r="I237" s="16"/>
      <c r="J237" s="13">
        <f t="shared" ca="1" si="120"/>
        <v>0</v>
      </c>
      <c r="K237" s="15">
        <f t="shared" ca="1" si="112"/>
        <v>1</v>
      </c>
      <c r="L237" s="15"/>
      <c r="M237" s="15">
        <f t="shared" ca="1" si="111"/>
        <v>0</v>
      </c>
      <c r="N237" s="8"/>
    </row>
    <row r="238" spans="1:14" x14ac:dyDescent="0.4">
      <c r="A238" s="11" t="s">
        <v>21</v>
      </c>
      <c r="B238" s="40">
        <f t="shared" ca="1" si="120"/>
        <v>0</v>
      </c>
      <c r="C238" s="40"/>
      <c r="D238" s="40"/>
      <c r="E238" s="40">
        <f t="shared" ca="1" si="120"/>
        <v>0</v>
      </c>
      <c r="F238" s="13">
        <f t="shared" ca="1" si="120"/>
        <v>0</v>
      </c>
      <c r="G238" s="17">
        <f t="shared" ca="1" si="120"/>
        <v>0</v>
      </c>
      <c r="H238" s="13">
        <f t="shared" ca="1" si="120"/>
        <v>0</v>
      </c>
      <c r="I238" s="16"/>
      <c r="J238" s="13">
        <f t="shared" ca="1" si="120"/>
        <v>0</v>
      </c>
      <c r="K238" s="15">
        <f t="shared" ca="1" si="112"/>
        <v>1</v>
      </c>
      <c r="L238" s="15"/>
      <c r="M238" s="15">
        <f t="shared" ca="1" si="111"/>
        <v>0</v>
      </c>
      <c r="N238" s="8"/>
    </row>
    <row r="239" spans="1:14" x14ac:dyDescent="0.4">
      <c r="A239" s="11" t="s">
        <v>21</v>
      </c>
      <c r="B239" s="40">
        <f t="shared" ca="1" si="120"/>
        <v>0</v>
      </c>
      <c r="C239" s="40"/>
      <c r="D239" s="40"/>
      <c r="E239" s="40">
        <f t="shared" ca="1" si="120"/>
        <v>0</v>
      </c>
      <c r="F239" s="13">
        <f t="shared" ca="1" si="120"/>
        <v>0</v>
      </c>
      <c r="G239" s="17">
        <f t="shared" ca="1" si="120"/>
        <v>0</v>
      </c>
      <c r="H239" s="13">
        <f t="shared" ca="1" si="120"/>
        <v>0</v>
      </c>
      <c r="I239" s="16"/>
      <c r="J239" s="13">
        <f t="shared" ca="1" si="120"/>
        <v>0</v>
      </c>
      <c r="K239" s="15">
        <f t="shared" ca="1" si="112"/>
        <v>1</v>
      </c>
      <c r="L239" s="15"/>
      <c r="M239" s="15">
        <f t="shared" ca="1" si="111"/>
        <v>0</v>
      </c>
      <c r="N239" s="8"/>
    </row>
    <row r="240" spans="1:14" x14ac:dyDescent="0.4">
      <c r="A240" s="36"/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7"/>
    </row>
    <row r="241" spans="1:14" x14ac:dyDescent="0.4">
      <c r="A241" s="58" t="s">
        <v>159</v>
      </c>
      <c r="B241" s="59"/>
      <c r="C241" s="59"/>
      <c r="D241" s="59"/>
      <c r="E241" s="59"/>
      <c r="F241" s="59"/>
      <c r="G241" s="59"/>
      <c r="H241" s="59"/>
      <c r="I241" s="60"/>
      <c r="J241" s="54" t="s">
        <v>3</v>
      </c>
      <c r="K241" s="54"/>
      <c r="L241" s="54"/>
      <c r="M241" s="7"/>
      <c r="N241" s="7"/>
    </row>
    <row r="242" spans="1:14" x14ac:dyDescent="0.4">
      <c r="A242" s="61"/>
      <c r="B242" s="62"/>
      <c r="C242" s="62"/>
      <c r="D242" s="62"/>
      <c r="E242" s="62"/>
      <c r="F242" s="62"/>
      <c r="G242" s="62"/>
      <c r="H242" s="62"/>
      <c r="I242" s="63"/>
      <c r="J242" s="54" t="s">
        <v>4</v>
      </c>
      <c r="K242" s="54"/>
      <c r="L242" s="54"/>
      <c r="M242" s="7"/>
      <c r="N242" s="7"/>
    </row>
    <row r="243" spans="1:14" x14ac:dyDescent="0.4">
      <c r="A243" s="64"/>
      <c r="B243" s="65"/>
      <c r="C243" s="65"/>
      <c r="D243" s="65"/>
      <c r="E243" s="65"/>
      <c r="F243" s="65"/>
      <c r="G243" s="65"/>
      <c r="H243" s="65"/>
      <c r="I243" s="66"/>
      <c r="J243" s="54" t="s">
        <v>0</v>
      </c>
      <c r="K243" s="54"/>
      <c r="L243" s="54"/>
      <c r="M243" s="9"/>
      <c r="N243" s="9"/>
    </row>
    <row r="244" spans="1:14" x14ac:dyDescent="0.4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</row>
    <row r="245" spans="1:14" x14ac:dyDescent="0.4">
      <c r="A245" s="53" t="s">
        <v>14</v>
      </c>
      <c r="B245" s="55" t="s">
        <v>33</v>
      </c>
      <c r="C245" s="71" t="s">
        <v>152</v>
      </c>
      <c r="D245" s="71" t="s">
        <v>153</v>
      </c>
      <c r="E245" s="55" t="s">
        <v>145</v>
      </c>
      <c r="F245" s="53" t="s">
        <v>1</v>
      </c>
      <c r="G245" s="53"/>
      <c r="H245" s="53" t="s">
        <v>19</v>
      </c>
      <c r="I245" s="57" t="s">
        <v>15</v>
      </c>
      <c r="J245" s="57" t="s">
        <v>16</v>
      </c>
      <c r="K245" s="53" t="s">
        <v>17</v>
      </c>
      <c r="L245" s="53" t="s">
        <v>84</v>
      </c>
      <c r="M245" s="53"/>
      <c r="N245" s="53" t="s">
        <v>20</v>
      </c>
    </row>
    <row r="246" spans="1:14" x14ac:dyDescent="0.4">
      <c r="A246" s="53"/>
      <c r="B246" s="55"/>
      <c r="C246" s="72"/>
      <c r="D246" s="72"/>
      <c r="E246" s="55"/>
      <c r="F246" s="53" t="s">
        <v>18</v>
      </c>
      <c r="G246" s="53" t="s">
        <v>2</v>
      </c>
      <c r="H246" s="53"/>
      <c r="I246" s="57"/>
      <c r="J246" s="57"/>
      <c r="K246" s="53"/>
      <c r="L246" s="53"/>
      <c r="M246" s="53"/>
      <c r="N246" s="53"/>
    </row>
    <row r="247" spans="1:14" x14ac:dyDescent="0.4">
      <c r="A247" s="53"/>
      <c r="B247" s="56"/>
      <c r="C247" s="73"/>
      <c r="D247" s="73"/>
      <c r="E247" s="55"/>
      <c r="F247" s="53"/>
      <c r="G247" s="53"/>
      <c r="H247" s="53"/>
      <c r="I247" s="57"/>
      <c r="J247" s="57"/>
      <c r="K247" s="53"/>
      <c r="L247" s="42" t="s">
        <v>85</v>
      </c>
      <c r="M247" s="42" t="s">
        <v>86</v>
      </c>
      <c r="N247" s="53"/>
    </row>
    <row r="248" spans="1:14" x14ac:dyDescent="0.4">
      <c r="A248" s="74" t="s">
        <v>26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9"/>
    </row>
    <row r="249" spans="1:14" x14ac:dyDescent="0.4">
      <c r="A249" s="11" t="s">
        <v>5</v>
      </c>
      <c r="B249" s="40"/>
      <c r="C249" s="40"/>
      <c r="D249" s="40"/>
      <c r="E249" s="40"/>
      <c r="F249" s="13"/>
      <c r="G249" s="11"/>
      <c r="H249" s="17"/>
      <c r="I249" s="13"/>
      <c r="J249" s="16">
        <v>567</v>
      </c>
      <c r="K249" s="13"/>
      <c r="L249" s="15">
        <f>ROUND((10^(K249/10))/(10^(I249/10)),3)</f>
        <v>1</v>
      </c>
      <c r="M249" s="15"/>
      <c r="N249" s="15">
        <f t="shared" ref="N249:N266" si="121">J249*L249</f>
        <v>567</v>
      </c>
    </row>
    <row r="250" spans="1:14" x14ac:dyDescent="0.4">
      <c r="A250" s="11" t="s">
        <v>5</v>
      </c>
      <c r="B250" s="40"/>
      <c r="C250" s="40"/>
      <c r="D250" s="40"/>
      <c r="E250" s="40"/>
      <c r="F250" s="13"/>
      <c r="G250" s="11"/>
      <c r="H250" s="17"/>
      <c r="I250" s="13"/>
      <c r="J250" s="16"/>
      <c r="K250" s="13"/>
      <c r="L250" s="15">
        <f t="shared" ref="L250:L266" si="122">ROUND((10^(K250/10))/(10^(I250/10)),3)</f>
        <v>1</v>
      </c>
      <c r="M250" s="15"/>
      <c r="N250" s="15">
        <f t="shared" si="121"/>
        <v>0</v>
      </c>
    </row>
    <row r="251" spans="1:14" x14ac:dyDescent="0.4">
      <c r="A251" s="11" t="s">
        <v>5</v>
      </c>
      <c r="B251" s="40"/>
      <c r="C251" s="40"/>
      <c r="D251" s="40"/>
      <c r="E251" s="40"/>
      <c r="F251" s="13"/>
      <c r="G251" s="11"/>
      <c r="H251" s="17"/>
      <c r="I251" s="13"/>
      <c r="J251" s="16"/>
      <c r="K251" s="13"/>
      <c r="L251" s="15">
        <f t="shared" si="122"/>
        <v>1</v>
      </c>
      <c r="M251" s="15"/>
      <c r="N251" s="15">
        <f t="shared" si="121"/>
        <v>0</v>
      </c>
    </row>
    <row r="252" spans="1:14" x14ac:dyDescent="0.4">
      <c r="A252" s="11" t="s">
        <v>6</v>
      </c>
      <c r="B252" s="41">
        <f t="shared" ref="B252:I254" ca="1" si="123">OFFSET(B252,-3,0)</f>
        <v>0</v>
      </c>
      <c r="C252" s="41"/>
      <c r="D252" s="41"/>
      <c r="E252" s="41"/>
      <c r="F252" s="19">
        <f t="shared" ca="1" si="123"/>
        <v>0</v>
      </c>
      <c r="G252" s="20">
        <f t="shared" ca="1" si="123"/>
        <v>0</v>
      </c>
      <c r="H252" s="20">
        <f t="shared" ca="1" si="123"/>
        <v>0</v>
      </c>
      <c r="I252" s="13">
        <f t="shared" ca="1" si="123"/>
        <v>0</v>
      </c>
      <c r="J252" s="16"/>
      <c r="K252" s="19">
        <f t="shared" ref="K252:K254" ca="1" si="124">OFFSET(K252,-3,0)</f>
        <v>0</v>
      </c>
      <c r="L252" s="15">
        <f t="shared" ca="1" si="122"/>
        <v>1</v>
      </c>
      <c r="M252" s="15"/>
      <c r="N252" s="15">
        <f t="shared" ca="1" si="121"/>
        <v>0</v>
      </c>
    </row>
    <row r="253" spans="1:14" x14ac:dyDescent="0.4">
      <c r="A253" s="11" t="s">
        <v>6</v>
      </c>
      <c r="B253" s="41">
        <f t="shared" ca="1" si="123"/>
        <v>0</v>
      </c>
      <c r="C253" s="41"/>
      <c r="D253" s="41"/>
      <c r="E253" s="41"/>
      <c r="F253" s="19">
        <f t="shared" ca="1" si="123"/>
        <v>0</v>
      </c>
      <c r="G253" s="20">
        <f t="shared" ca="1" si="123"/>
        <v>0</v>
      </c>
      <c r="H253" s="20">
        <f t="shared" ca="1" si="123"/>
        <v>0</v>
      </c>
      <c r="I253" s="13">
        <f t="shared" ca="1" si="123"/>
        <v>0</v>
      </c>
      <c r="J253" s="16"/>
      <c r="K253" s="19">
        <f t="shared" ca="1" si="124"/>
        <v>0</v>
      </c>
      <c r="L253" s="15">
        <f t="shared" ca="1" si="122"/>
        <v>1</v>
      </c>
      <c r="M253" s="15"/>
      <c r="N253" s="15">
        <f t="shared" ca="1" si="121"/>
        <v>0</v>
      </c>
    </row>
    <row r="254" spans="1:14" x14ac:dyDescent="0.4">
      <c r="A254" s="11" t="s">
        <v>6</v>
      </c>
      <c r="B254" s="41">
        <f t="shared" ca="1" si="123"/>
        <v>0</v>
      </c>
      <c r="C254" s="41"/>
      <c r="D254" s="41"/>
      <c r="E254" s="41"/>
      <c r="F254" s="19">
        <f t="shared" ca="1" si="123"/>
        <v>0</v>
      </c>
      <c r="G254" s="20">
        <f t="shared" ca="1" si="123"/>
        <v>0</v>
      </c>
      <c r="H254" s="20">
        <f t="shared" ca="1" si="123"/>
        <v>0</v>
      </c>
      <c r="I254" s="13">
        <f t="shared" ca="1" si="123"/>
        <v>0</v>
      </c>
      <c r="J254" s="16"/>
      <c r="K254" s="19">
        <f t="shared" ca="1" si="124"/>
        <v>0</v>
      </c>
      <c r="L254" s="15">
        <f t="shared" ca="1" si="122"/>
        <v>1</v>
      </c>
      <c r="M254" s="15"/>
      <c r="N254" s="15">
        <f t="shared" ca="1" si="121"/>
        <v>0</v>
      </c>
    </row>
    <row r="255" spans="1:14" x14ac:dyDescent="0.4">
      <c r="A255" s="11" t="s">
        <v>10</v>
      </c>
      <c r="B255" s="40">
        <f t="shared" ref="B255:I257" ca="1" si="125">OFFSET(B255,-6,0)</f>
        <v>0</v>
      </c>
      <c r="C255" s="40"/>
      <c r="D255" s="40"/>
      <c r="E255" s="40"/>
      <c r="F255" s="13">
        <f t="shared" ca="1" si="125"/>
        <v>0</v>
      </c>
      <c r="G255" s="17">
        <f t="shared" ca="1" si="125"/>
        <v>0</v>
      </c>
      <c r="H255" s="17">
        <f t="shared" ca="1" si="125"/>
        <v>0</v>
      </c>
      <c r="I255" s="13">
        <f t="shared" ca="1" si="125"/>
        <v>0</v>
      </c>
      <c r="J255" s="16"/>
      <c r="K255" s="13">
        <f t="shared" ref="K255:K257" ca="1" si="126">OFFSET(K255,-6,0)</f>
        <v>0</v>
      </c>
      <c r="L255" s="15">
        <f t="shared" ca="1" si="122"/>
        <v>1</v>
      </c>
      <c r="M255" s="15"/>
      <c r="N255" s="15">
        <f t="shared" ca="1" si="121"/>
        <v>0</v>
      </c>
    </row>
    <row r="256" spans="1:14" x14ac:dyDescent="0.4">
      <c r="A256" s="11" t="s">
        <v>10</v>
      </c>
      <c r="B256" s="40">
        <f t="shared" ca="1" si="125"/>
        <v>0</v>
      </c>
      <c r="C256" s="40"/>
      <c r="D256" s="40"/>
      <c r="E256" s="40"/>
      <c r="F256" s="13">
        <f t="shared" ca="1" si="125"/>
        <v>0</v>
      </c>
      <c r="G256" s="17">
        <f t="shared" ca="1" si="125"/>
        <v>0</v>
      </c>
      <c r="H256" s="17">
        <f t="shared" ca="1" si="125"/>
        <v>0</v>
      </c>
      <c r="I256" s="13">
        <f t="shared" ca="1" si="125"/>
        <v>0</v>
      </c>
      <c r="J256" s="16"/>
      <c r="K256" s="13">
        <f t="shared" ca="1" si="126"/>
        <v>0</v>
      </c>
      <c r="L256" s="15">
        <f t="shared" ca="1" si="122"/>
        <v>1</v>
      </c>
      <c r="M256" s="15"/>
      <c r="N256" s="15">
        <f t="shared" ca="1" si="121"/>
        <v>0</v>
      </c>
    </row>
    <row r="257" spans="1:14" x14ac:dyDescent="0.4">
      <c r="A257" s="11" t="s">
        <v>10</v>
      </c>
      <c r="B257" s="40">
        <f t="shared" ca="1" si="125"/>
        <v>0</v>
      </c>
      <c r="C257" s="40"/>
      <c r="D257" s="40"/>
      <c r="E257" s="40"/>
      <c r="F257" s="13">
        <f t="shared" ca="1" si="125"/>
        <v>0</v>
      </c>
      <c r="G257" s="17">
        <f t="shared" ca="1" si="125"/>
        <v>0</v>
      </c>
      <c r="H257" s="17">
        <f t="shared" ca="1" si="125"/>
        <v>0</v>
      </c>
      <c r="I257" s="13">
        <f t="shared" ca="1" si="125"/>
        <v>0</v>
      </c>
      <c r="J257" s="16"/>
      <c r="K257" s="13">
        <f t="shared" ca="1" si="126"/>
        <v>0</v>
      </c>
      <c r="L257" s="15">
        <f t="shared" ca="1" si="122"/>
        <v>1</v>
      </c>
      <c r="M257" s="15"/>
      <c r="N257" s="15">
        <f t="shared" ca="1" si="121"/>
        <v>0</v>
      </c>
    </row>
    <row r="258" spans="1:14" x14ac:dyDescent="0.4">
      <c r="A258" s="11" t="s">
        <v>7</v>
      </c>
      <c r="B258" s="40">
        <f t="shared" ref="B258:I260" ca="1" si="127">OFFSET(B258,-9,0)</f>
        <v>0</v>
      </c>
      <c r="C258" s="40"/>
      <c r="D258" s="40"/>
      <c r="E258" s="40"/>
      <c r="F258" s="13">
        <f t="shared" ca="1" si="127"/>
        <v>0</v>
      </c>
      <c r="G258" s="17">
        <f t="shared" ca="1" si="127"/>
        <v>0</v>
      </c>
      <c r="H258" s="17">
        <f t="shared" ca="1" si="127"/>
        <v>0</v>
      </c>
      <c r="I258" s="13">
        <f t="shared" ca="1" si="127"/>
        <v>0</v>
      </c>
      <c r="J258" s="16"/>
      <c r="K258" s="13">
        <f t="shared" ref="K258:K260" ca="1" si="128">OFFSET(K258,-9,0)</f>
        <v>0</v>
      </c>
      <c r="L258" s="15">
        <f t="shared" ca="1" si="122"/>
        <v>1</v>
      </c>
      <c r="M258" s="15"/>
      <c r="N258" s="15">
        <f t="shared" ca="1" si="121"/>
        <v>0</v>
      </c>
    </row>
    <row r="259" spans="1:14" x14ac:dyDescent="0.4">
      <c r="A259" s="11" t="s">
        <v>7</v>
      </c>
      <c r="B259" s="40">
        <f t="shared" ca="1" si="127"/>
        <v>0</v>
      </c>
      <c r="C259" s="40"/>
      <c r="D259" s="40"/>
      <c r="E259" s="40"/>
      <c r="F259" s="13">
        <f t="shared" ca="1" si="127"/>
        <v>0</v>
      </c>
      <c r="G259" s="17">
        <f t="shared" ca="1" si="127"/>
        <v>0</v>
      </c>
      <c r="H259" s="17">
        <f t="shared" ca="1" si="127"/>
        <v>0</v>
      </c>
      <c r="I259" s="13">
        <f t="shared" ca="1" si="127"/>
        <v>0</v>
      </c>
      <c r="J259" s="16"/>
      <c r="K259" s="13">
        <f t="shared" ca="1" si="128"/>
        <v>0</v>
      </c>
      <c r="L259" s="15">
        <f t="shared" ca="1" si="122"/>
        <v>1</v>
      </c>
      <c r="M259" s="15"/>
      <c r="N259" s="15">
        <f t="shared" ca="1" si="121"/>
        <v>0</v>
      </c>
    </row>
    <row r="260" spans="1:14" x14ac:dyDescent="0.4">
      <c r="A260" s="11" t="s">
        <v>7</v>
      </c>
      <c r="B260" s="40">
        <f t="shared" ca="1" si="127"/>
        <v>0</v>
      </c>
      <c r="C260" s="40"/>
      <c r="D260" s="40"/>
      <c r="E260" s="40"/>
      <c r="F260" s="13">
        <f t="shared" ca="1" si="127"/>
        <v>0</v>
      </c>
      <c r="G260" s="17">
        <f t="shared" ca="1" si="127"/>
        <v>0</v>
      </c>
      <c r="H260" s="17">
        <f t="shared" ca="1" si="127"/>
        <v>0</v>
      </c>
      <c r="I260" s="13">
        <f t="shared" ca="1" si="127"/>
        <v>0</v>
      </c>
      <c r="J260" s="16"/>
      <c r="K260" s="13">
        <f t="shared" ca="1" si="128"/>
        <v>0</v>
      </c>
      <c r="L260" s="15">
        <f t="shared" ca="1" si="122"/>
        <v>1</v>
      </c>
      <c r="M260" s="15"/>
      <c r="N260" s="15">
        <f t="shared" ca="1" si="121"/>
        <v>0</v>
      </c>
    </row>
    <row r="261" spans="1:14" x14ac:dyDescent="0.4">
      <c r="A261" s="11" t="s">
        <v>8</v>
      </c>
      <c r="B261" s="40">
        <f t="shared" ref="B261:I263" ca="1" si="129">OFFSET(B261,-12,0)</f>
        <v>0</v>
      </c>
      <c r="C261" s="40"/>
      <c r="D261" s="40"/>
      <c r="E261" s="40"/>
      <c r="F261" s="13">
        <f t="shared" ca="1" si="129"/>
        <v>0</v>
      </c>
      <c r="G261" s="17">
        <f t="shared" ca="1" si="129"/>
        <v>0</v>
      </c>
      <c r="H261" s="17">
        <f t="shared" ca="1" si="129"/>
        <v>0</v>
      </c>
      <c r="I261" s="13">
        <f t="shared" ca="1" si="129"/>
        <v>0</v>
      </c>
      <c r="J261" s="16"/>
      <c r="K261" s="13">
        <f t="shared" ref="K261:K263" ca="1" si="130">OFFSET(K261,-12,0)</f>
        <v>0</v>
      </c>
      <c r="L261" s="15">
        <f t="shared" ca="1" si="122"/>
        <v>1</v>
      </c>
      <c r="M261" s="15"/>
      <c r="N261" s="15">
        <f t="shared" ca="1" si="121"/>
        <v>0</v>
      </c>
    </row>
    <row r="262" spans="1:14" x14ac:dyDescent="0.4">
      <c r="A262" s="11" t="s">
        <v>8</v>
      </c>
      <c r="B262" s="40">
        <f t="shared" ca="1" si="129"/>
        <v>0</v>
      </c>
      <c r="C262" s="40"/>
      <c r="D262" s="40"/>
      <c r="E262" s="40"/>
      <c r="F262" s="13">
        <f t="shared" ca="1" si="129"/>
        <v>0</v>
      </c>
      <c r="G262" s="17">
        <f t="shared" ca="1" si="129"/>
        <v>0</v>
      </c>
      <c r="H262" s="17">
        <f t="shared" ca="1" si="129"/>
        <v>0</v>
      </c>
      <c r="I262" s="13">
        <f t="shared" ca="1" si="129"/>
        <v>0</v>
      </c>
      <c r="J262" s="16"/>
      <c r="K262" s="13">
        <f t="shared" ca="1" si="130"/>
        <v>0</v>
      </c>
      <c r="L262" s="15">
        <f t="shared" ca="1" si="122"/>
        <v>1</v>
      </c>
      <c r="M262" s="15"/>
      <c r="N262" s="15">
        <f t="shared" ca="1" si="121"/>
        <v>0</v>
      </c>
    </row>
    <row r="263" spans="1:14" x14ac:dyDescent="0.4">
      <c r="A263" s="11" t="s">
        <v>8</v>
      </c>
      <c r="B263" s="40">
        <f t="shared" ca="1" si="129"/>
        <v>0</v>
      </c>
      <c r="C263" s="40"/>
      <c r="D263" s="40"/>
      <c r="E263" s="40"/>
      <c r="F263" s="13">
        <f t="shared" ca="1" si="129"/>
        <v>0</v>
      </c>
      <c r="G263" s="17">
        <f t="shared" ca="1" si="129"/>
        <v>0</v>
      </c>
      <c r="H263" s="17">
        <f t="shared" ca="1" si="129"/>
        <v>0</v>
      </c>
      <c r="I263" s="13">
        <f t="shared" ca="1" si="129"/>
        <v>0</v>
      </c>
      <c r="J263" s="16"/>
      <c r="K263" s="13">
        <f t="shared" ca="1" si="130"/>
        <v>0</v>
      </c>
      <c r="L263" s="15">
        <f t="shared" ca="1" si="122"/>
        <v>1</v>
      </c>
      <c r="M263" s="15"/>
      <c r="N263" s="15">
        <f t="shared" ca="1" si="121"/>
        <v>0</v>
      </c>
    </row>
    <row r="264" spans="1:14" x14ac:dyDescent="0.4">
      <c r="A264" s="11" t="s">
        <v>9</v>
      </c>
      <c r="B264" s="41">
        <f t="shared" ref="B264:G266" ca="1" si="131">OFFSET(B264,-15,0)</f>
        <v>0</v>
      </c>
      <c r="C264" s="41"/>
      <c r="D264" s="41"/>
      <c r="E264" s="41"/>
      <c r="F264" s="19">
        <f t="shared" ca="1" si="131"/>
        <v>0</v>
      </c>
      <c r="G264" s="20">
        <f t="shared" ca="1" si="131"/>
        <v>0</v>
      </c>
      <c r="H264" s="20">
        <f ca="1">OFFSET(H264,-15,0)</f>
        <v>0</v>
      </c>
      <c r="I264" s="13">
        <f t="shared" ref="H264:I266" ca="1" si="132">OFFSET(I264,-15,0)</f>
        <v>0</v>
      </c>
      <c r="J264" s="16"/>
      <c r="K264" s="19">
        <f t="shared" ref="K264:K266" ca="1" si="133">OFFSET(K264,-15,0)</f>
        <v>0</v>
      </c>
      <c r="L264" s="15">
        <f t="shared" ca="1" si="122"/>
        <v>1</v>
      </c>
      <c r="M264" s="15"/>
      <c r="N264" s="15">
        <f t="shared" ca="1" si="121"/>
        <v>0</v>
      </c>
    </row>
    <row r="265" spans="1:14" x14ac:dyDescent="0.4">
      <c r="A265" s="11" t="s">
        <v>9</v>
      </c>
      <c r="B265" s="41">
        <f t="shared" ca="1" si="131"/>
        <v>0</v>
      </c>
      <c r="C265" s="41"/>
      <c r="D265" s="41"/>
      <c r="E265" s="41"/>
      <c r="F265" s="19">
        <f t="shared" ca="1" si="131"/>
        <v>0</v>
      </c>
      <c r="G265" s="20">
        <f t="shared" ca="1" si="131"/>
        <v>0</v>
      </c>
      <c r="H265" s="20">
        <f t="shared" ca="1" si="132"/>
        <v>0</v>
      </c>
      <c r="I265" s="13">
        <f t="shared" ca="1" si="132"/>
        <v>0</v>
      </c>
      <c r="J265" s="16"/>
      <c r="K265" s="19">
        <f t="shared" ca="1" si="133"/>
        <v>0</v>
      </c>
      <c r="L265" s="15">
        <f t="shared" ca="1" si="122"/>
        <v>1</v>
      </c>
      <c r="M265" s="15"/>
      <c r="N265" s="15">
        <f t="shared" ca="1" si="121"/>
        <v>0</v>
      </c>
    </row>
    <row r="266" spans="1:14" x14ac:dyDescent="0.4">
      <c r="A266" s="11" t="s">
        <v>9</v>
      </c>
      <c r="B266" s="41">
        <f t="shared" ca="1" si="131"/>
        <v>0</v>
      </c>
      <c r="C266" s="41"/>
      <c r="D266" s="41"/>
      <c r="E266" s="41"/>
      <c r="F266" s="19">
        <f t="shared" ca="1" si="131"/>
        <v>0</v>
      </c>
      <c r="G266" s="20">
        <f t="shared" ca="1" si="131"/>
        <v>0</v>
      </c>
      <c r="H266" s="20">
        <f t="shared" ca="1" si="132"/>
        <v>0</v>
      </c>
      <c r="I266" s="13">
        <f t="shared" ca="1" si="132"/>
        <v>0</v>
      </c>
      <c r="J266" s="16"/>
      <c r="K266" s="19">
        <f t="shared" ca="1" si="133"/>
        <v>0</v>
      </c>
      <c r="L266" s="15">
        <f t="shared" ca="1" si="122"/>
        <v>1</v>
      </c>
      <c r="M266" s="15"/>
      <c r="N266" s="15">
        <f t="shared" ca="1" si="121"/>
        <v>0</v>
      </c>
    </row>
    <row r="267" spans="1:14" ht="17.399999999999999" x14ac:dyDescent="0.4">
      <c r="A267" s="74" t="s">
        <v>28</v>
      </c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6"/>
    </row>
    <row r="268" spans="1:14" x14ac:dyDescent="0.4">
      <c r="A268" s="11" t="s">
        <v>5</v>
      </c>
      <c r="B268" s="40"/>
      <c r="C268" s="40"/>
      <c r="D268" s="40"/>
      <c r="E268" s="40"/>
      <c r="F268" s="13"/>
      <c r="G268" s="11"/>
      <c r="H268" s="17"/>
      <c r="I268" s="13"/>
      <c r="J268" s="16"/>
      <c r="K268" s="13"/>
      <c r="L268" s="15">
        <f>ROUND((10^(K268/10))/(10^(I268/10)),3)</f>
        <v>1</v>
      </c>
      <c r="M268" s="15"/>
      <c r="N268" s="15">
        <f t="shared" ref="N268:N285" si="134">J268*L268</f>
        <v>0</v>
      </c>
    </row>
    <row r="269" spans="1:14" x14ac:dyDescent="0.4">
      <c r="A269" s="11" t="s">
        <v>5</v>
      </c>
      <c r="B269" s="40"/>
      <c r="C269" s="40"/>
      <c r="D269" s="40"/>
      <c r="E269" s="40"/>
      <c r="F269" s="13"/>
      <c r="G269" s="11"/>
      <c r="H269" s="17"/>
      <c r="I269" s="13"/>
      <c r="J269" s="16"/>
      <c r="K269" s="13"/>
      <c r="L269" s="15">
        <f t="shared" ref="L269:L285" si="135">ROUND((10^(K269/10))/(10^(I269/10)),3)</f>
        <v>1</v>
      </c>
      <c r="M269" s="15"/>
      <c r="N269" s="15">
        <f t="shared" si="134"/>
        <v>0</v>
      </c>
    </row>
    <row r="270" spans="1:14" x14ac:dyDescent="0.4">
      <c r="A270" s="11" t="s">
        <v>5</v>
      </c>
      <c r="B270" s="40"/>
      <c r="C270" s="40"/>
      <c r="D270" s="40"/>
      <c r="E270" s="40"/>
      <c r="F270" s="13"/>
      <c r="G270" s="11"/>
      <c r="H270" s="17"/>
      <c r="I270" s="13"/>
      <c r="J270" s="16"/>
      <c r="K270" s="13"/>
      <c r="L270" s="15">
        <f t="shared" si="135"/>
        <v>1</v>
      </c>
      <c r="M270" s="15"/>
      <c r="N270" s="15">
        <f t="shared" si="134"/>
        <v>0</v>
      </c>
    </row>
    <row r="271" spans="1:14" x14ac:dyDescent="0.4">
      <c r="A271" s="11" t="s">
        <v>6</v>
      </c>
      <c r="B271" s="41">
        <f t="shared" ref="B271:I273" ca="1" si="136">OFFSET(B271,-3,0)</f>
        <v>0</v>
      </c>
      <c r="C271" s="41"/>
      <c r="D271" s="41"/>
      <c r="E271" s="41"/>
      <c r="F271" s="19">
        <f t="shared" ca="1" si="136"/>
        <v>0</v>
      </c>
      <c r="G271" s="20">
        <f t="shared" ca="1" si="136"/>
        <v>0</v>
      </c>
      <c r="H271" s="20">
        <f t="shared" ca="1" si="136"/>
        <v>0</v>
      </c>
      <c r="I271" s="13">
        <f t="shared" ca="1" si="136"/>
        <v>0</v>
      </c>
      <c r="J271" s="16"/>
      <c r="K271" s="19">
        <f t="shared" ref="K271:K273" ca="1" si="137">OFFSET(K271,-3,0)</f>
        <v>0</v>
      </c>
      <c r="L271" s="15">
        <f t="shared" ca="1" si="135"/>
        <v>1</v>
      </c>
      <c r="M271" s="15"/>
      <c r="N271" s="15">
        <f t="shared" ca="1" si="134"/>
        <v>0</v>
      </c>
    </row>
    <row r="272" spans="1:14" x14ac:dyDescent="0.4">
      <c r="A272" s="11" t="s">
        <v>6</v>
      </c>
      <c r="B272" s="41">
        <f t="shared" ca="1" si="136"/>
        <v>0</v>
      </c>
      <c r="C272" s="41"/>
      <c r="D272" s="41"/>
      <c r="E272" s="41"/>
      <c r="F272" s="19">
        <f t="shared" ca="1" si="136"/>
        <v>0</v>
      </c>
      <c r="G272" s="20">
        <f t="shared" ca="1" si="136"/>
        <v>0</v>
      </c>
      <c r="H272" s="20">
        <f t="shared" ca="1" si="136"/>
        <v>0</v>
      </c>
      <c r="I272" s="13">
        <f t="shared" ca="1" si="136"/>
        <v>0</v>
      </c>
      <c r="J272" s="16"/>
      <c r="K272" s="19">
        <f t="shared" ca="1" si="137"/>
        <v>0</v>
      </c>
      <c r="L272" s="15">
        <f t="shared" ca="1" si="135"/>
        <v>1</v>
      </c>
      <c r="M272" s="15"/>
      <c r="N272" s="15">
        <f t="shared" ca="1" si="134"/>
        <v>0</v>
      </c>
    </row>
    <row r="273" spans="1:14" x14ac:dyDescent="0.4">
      <c r="A273" s="11" t="s">
        <v>6</v>
      </c>
      <c r="B273" s="41">
        <f t="shared" ca="1" si="136"/>
        <v>0</v>
      </c>
      <c r="C273" s="41"/>
      <c r="D273" s="41"/>
      <c r="E273" s="41"/>
      <c r="F273" s="19">
        <f t="shared" ca="1" si="136"/>
        <v>0</v>
      </c>
      <c r="G273" s="20">
        <f t="shared" ca="1" si="136"/>
        <v>0</v>
      </c>
      <c r="H273" s="20">
        <f t="shared" ca="1" si="136"/>
        <v>0</v>
      </c>
      <c r="I273" s="13">
        <f t="shared" ca="1" si="136"/>
        <v>0</v>
      </c>
      <c r="J273" s="16"/>
      <c r="K273" s="19">
        <f t="shared" ca="1" si="137"/>
        <v>0</v>
      </c>
      <c r="L273" s="15">
        <f t="shared" ca="1" si="135"/>
        <v>1</v>
      </c>
      <c r="M273" s="15"/>
      <c r="N273" s="15">
        <f t="shared" ca="1" si="134"/>
        <v>0</v>
      </c>
    </row>
    <row r="274" spans="1:14" x14ac:dyDescent="0.4">
      <c r="A274" s="11" t="s">
        <v>10</v>
      </c>
      <c r="B274" s="40">
        <f t="shared" ref="B274:I276" ca="1" si="138">OFFSET(B274,-6,0)</f>
        <v>0</v>
      </c>
      <c r="C274" s="40"/>
      <c r="D274" s="40"/>
      <c r="E274" s="40"/>
      <c r="F274" s="13">
        <f t="shared" ca="1" si="138"/>
        <v>0</v>
      </c>
      <c r="G274" s="17">
        <f t="shared" ca="1" si="138"/>
        <v>0</v>
      </c>
      <c r="H274" s="17">
        <f t="shared" ca="1" si="138"/>
        <v>0</v>
      </c>
      <c r="I274" s="13">
        <f t="shared" ca="1" si="138"/>
        <v>0</v>
      </c>
      <c r="J274" s="16"/>
      <c r="K274" s="13">
        <f t="shared" ref="K274:K276" ca="1" si="139">OFFSET(K274,-6,0)</f>
        <v>0</v>
      </c>
      <c r="L274" s="15">
        <f t="shared" ca="1" si="135"/>
        <v>1</v>
      </c>
      <c r="M274" s="15"/>
      <c r="N274" s="15">
        <f t="shared" ca="1" si="134"/>
        <v>0</v>
      </c>
    </row>
    <row r="275" spans="1:14" x14ac:dyDescent="0.4">
      <c r="A275" s="11" t="s">
        <v>10</v>
      </c>
      <c r="B275" s="40">
        <f t="shared" ca="1" si="138"/>
        <v>0</v>
      </c>
      <c r="C275" s="40"/>
      <c r="D275" s="40"/>
      <c r="E275" s="40"/>
      <c r="F275" s="13">
        <f t="shared" ca="1" si="138"/>
        <v>0</v>
      </c>
      <c r="G275" s="17">
        <f t="shared" ca="1" si="138"/>
        <v>0</v>
      </c>
      <c r="H275" s="17">
        <f t="shared" ca="1" si="138"/>
        <v>0</v>
      </c>
      <c r="I275" s="13">
        <f t="shared" ca="1" si="138"/>
        <v>0</v>
      </c>
      <c r="J275" s="16"/>
      <c r="K275" s="13">
        <f t="shared" ca="1" si="139"/>
        <v>0</v>
      </c>
      <c r="L275" s="15">
        <f t="shared" ca="1" si="135"/>
        <v>1</v>
      </c>
      <c r="M275" s="15"/>
      <c r="N275" s="15">
        <f t="shared" ca="1" si="134"/>
        <v>0</v>
      </c>
    </row>
    <row r="276" spans="1:14" x14ac:dyDescent="0.4">
      <c r="A276" s="11" t="s">
        <v>10</v>
      </c>
      <c r="B276" s="40">
        <f t="shared" ca="1" si="138"/>
        <v>0</v>
      </c>
      <c r="C276" s="40"/>
      <c r="D276" s="40"/>
      <c r="E276" s="40"/>
      <c r="F276" s="13">
        <f t="shared" ca="1" si="138"/>
        <v>0</v>
      </c>
      <c r="G276" s="17">
        <f t="shared" ca="1" si="138"/>
        <v>0</v>
      </c>
      <c r="H276" s="17">
        <f t="shared" ca="1" si="138"/>
        <v>0</v>
      </c>
      <c r="I276" s="13">
        <f t="shared" ca="1" si="138"/>
        <v>0</v>
      </c>
      <c r="J276" s="16"/>
      <c r="K276" s="13">
        <f t="shared" ca="1" si="139"/>
        <v>0</v>
      </c>
      <c r="L276" s="15">
        <f t="shared" ca="1" si="135"/>
        <v>1</v>
      </c>
      <c r="M276" s="15"/>
      <c r="N276" s="15">
        <f t="shared" ca="1" si="134"/>
        <v>0</v>
      </c>
    </row>
    <row r="277" spans="1:14" x14ac:dyDescent="0.4">
      <c r="A277" s="11" t="s">
        <v>7</v>
      </c>
      <c r="B277" s="40">
        <f t="shared" ref="B277:I279" ca="1" si="140">OFFSET(B277,-9,0)</f>
        <v>0</v>
      </c>
      <c r="C277" s="40"/>
      <c r="D277" s="40"/>
      <c r="E277" s="40"/>
      <c r="F277" s="13">
        <f t="shared" ca="1" si="140"/>
        <v>0</v>
      </c>
      <c r="G277" s="17">
        <f t="shared" ca="1" si="140"/>
        <v>0</v>
      </c>
      <c r="H277" s="17">
        <f t="shared" ca="1" si="140"/>
        <v>0</v>
      </c>
      <c r="I277" s="13">
        <f t="shared" ca="1" si="140"/>
        <v>0</v>
      </c>
      <c r="J277" s="16"/>
      <c r="K277" s="13">
        <f t="shared" ref="K277:K279" ca="1" si="141">OFFSET(K277,-9,0)</f>
        <v>0</v>
      </c>
      <c r="L277" s="15">
        <f t="shared" ca="1" si="135"/>
        <v>1</v>
      </c>
      <c r="M277" s="15"/>
      <c r="N277" s="15">
        <f t="shared" ca="1" si="134"/>
        <v>0</v>
      </c>
    </row>
    <row r="278" spans="1:14" x14ac:dyDescent="0.4">
      <c r="A278" s="11" t="s">
        <v>7</v>
      </c>
      <c r="B278" s="40">
        <f t="shared" ca="1" si="140"/>
        <v>0</v>
      </c>
      <c r="C278" s="40"/>
      <c r="D278" s="40"/>
      <c r="E278" s="40"/>
      <c r="F278" s="13">
        <f t="shared" ca="1" si="140"/>
        <v>0</v>
      </c>
      <c r="G278" s="17">
        <f t="shared" ca="1" si="140"/>
        <v>0</v>
      </c>
      <c r="H278" s="17">
        <f t="shared" ca="1" si="140"/>
        <v>0</v>
      </c>
      <c r="I278" s="13">
        <f t="shared" ca="1" si="140"/>
        <v>0</v>
      </c>
      <c r="J278" s="16"/>
      <c r="K278" s="13">
        <f t="shared" ca="1" si="141"/>
        <v>0</v>
      </c>
      <c r="L278" s="15">
        <f t="shared" ca="1" si="135"/>
        <v>1</v>
      </c>
      <c r="M278" s="15"/>
      <c r="N278" s="15">
        <f t="shared" ca="1" si="134"/>
        <v>0</v>
      </c>
    </row>
    <row r="279" spans="1:14" x14ac:dyDescent="0.4">
      <c r="A279" s="11" t="s">
        <v>7</v>
      </c>
      <c r="B279" s="40">
        <f t="shared" ca="1" si="140"/>
        <v>0</v>
      </c>
      <c r="C279" s="40"/>
      <c r="D279" s="40"/>
      <c r="E279" s="40"/>
      <c r="F279" s="13">
        <f t="shared" ca="1" si="140"/>
        <v>0</v>
      </c>
      <c r="G279" s="17">
        <f t="shared" ca="1" si="140"/>
        <v>0</v>
      </c>
      <c r="H279" s="17">
        <f t="shared" ca="1" si="140"/>
        <v>0</v>
      </c>
      <c r="I279" s="13">
        <f t="shared" ca="1" si="140"/>
        <v>0</v>
      </c>
      <c r="J279" s="16"/>
      <c r="K279" s="13">
        <f t="shared" ca="1" si="141"/>
        <v>0</v>
      </c>
      <c r="L279" s="15">
        <f t="shared" ca="1" si="135"/>
        <v>1</v>
      </c>
      <c r="M279" s="15"/>
      <c r="N279" s="15">
        <f t="shared" ca="1" si="134"/>
        <v>0</v>
      </c>
    </row>
    <row r="280" spans="1:14" x14ac:dyDescent="0.4">
      <c r="A280" s="11" t="s">
        <v>8</v>
      </c>
      <c r="B280" s="40">
        <f t="shared" ref="B280:I282" ca="1" si="142">OFFSET(B280,-12,0)</f>
        <v>0</v>
      </c>
      <c r="C280" s="40"/>
      <c r="D280" s="40"/>
      <c r="E280" s="40"/>
      <c r="F280" s="13">
        <f t="shared" ca="1" si="142"/>
        <v>0</v>
      </c>
      <c r="G280" s="17">
        <f t="shared" ca="1" si="142"/>
        <v>0</v>
      </c>
      <c r="H280" s="17">
        <f t="shared" ca="1" si="142"/>
        <v>0</v>
      </c>
      <c r="I280" s="13">
        <f t="shared" ca="1" si="142"/>
        <v>0</v>
      </c>
      <c r="J280" s="16"/>
      <c r="K280" s="13">
        <f t="shared" ref="K280:K282" ca="1" si="143">OFFSET(K280,-12,0)</f>
        <v>0</v>
      </c>
      <c r="L280" s="15">
        <f t="shared" ca="1" si="135"/>
        <v>1</v>
      </c>
      <c r="M280" s="15"/>
      <c r="N280" s="15">
        <f t="shared" ca="1" si="134"/>
        <v>0</v>
      </c>
    </row>
    <row r="281" spans="1:14" x14ac:dyDescent="0.4">
      <c r="A281" s="11" t="s">
        <v>8</v>
      </c>
      <c r="B281" s="40">
        <f t="shared" ca="1" si="142"/>
        <v>0</v>
      </c>
      <c r="C281" s="40"/>
      <c r="D281" s="40"/>
      <c r="E281" s="40"/>
      <c r="F281" s="13">
        <f t="shared" ca="1" si="142"/>
        <v>0</v>
      </c>
      <c r="G281" s="17">
        <f t="shared" ca="1" si="142"/>
        <v>0</v>
      </c>
      <c r="H281" s="17">
        <f t="shared" ca="1" si="142"/>
        <v>0</v>
      </c>
      <c r="I281" s="13">
        <f t="shared" ca="1" si="142"/>
        <v>0</v>
      </c>
      <c r="J281" s="16"/>
      <c r="K281" s="13">
        <f t="shared" ca="1" si="143"/>
        <v>0</v>
      </c>
      <c r="L281" s="15">
        <f t="shared" ca="1" si="135"/>
        <v>1</v>
      </c>
      <c r="M281" s="15"/>
      <c r="N281" s="15">
        <f t="shared" ca="1" si="134"/>
        <v>0</v>
      </c>
    </row>
    <row r="282" spans="1:14" x14ac:dyDescent="0.4">
      <c r="A282" s="11" t="s">
        <v>8</v>
      </c>
      <c r="B282" s="40">
        <f t="shared" ca="1" si="142"/>
        <v>0</v>
      </c>
      <c r="C282" s="40"/>
      <c r="D282" s="40"/>
      <c r="E282" s="40"/>
      <c r="F282" s="13">
        <f t="shared" ca="1" si="142"/>
        <v>0</v>
      </c>
      <c r="G282" s="17">
        <f t="shared" ca="1" si="142"/>
        <v>0</v>
      </c>
      <c r="H282" s="17">
        <f t="shared" ca="1" si="142"/>
        <v>0</v>
      </c>
      <c r="I282" s="13">
        <f t="shared" ca="1" si="142"/>
        <v>0</v>
      </c>
      <c r="J282" s="16"/>
      <c r="K282" s="13">
        <f t="shared" ca="1" si="143"/>
        <v>0</v>
      </c>
      <c r="L282" s="15">
        <f t="shared" ca="1" si="135"/>
        <v>1</v>
      </c>
      <c r="M282" s="15"/>
      <c r="N282" s="15">
        <f t="shared" ca="1" si="134"/>
        <v>0</v>
      </c>
    </row>
    <row r="283" spans="1:14" x14ac:dyDescent="0.4">
      <c r="A283" s="11" t="s">
        <v>9</v>
      </c>
      <c r="B283" s="41">
        <f t="shared" ref="B283:H285" ca="1" si="144">OFFSET(B283,-15,0)</f>
        <v>0</v>
      </c>
      <c r="C283" s="41"/>
      <c r="D283" s="41"/>
      <c r="E283" s="41"/>
      <c r="F283" s="19">
        <f t="shared" ca="1" si="144"/>
        <v>0</v>
      </c>
      <c r="G283" s="20">
        <f t="shared" ca="1" si="144"/>
        <v>0</v>
      </c>
      <c r="H283" s="20">
        <f ca="1">OFFSET(H283,-15,0)</f>
        <v>0</v>
      </c>
      <c r="I283" s="13">
        <f t="shared" ref="I283:I285" ca="1" si="145">OFFSET(I283,-15,0)</f>
        <v>0</v>
      </c>
      <c r="J283" s="16"/>
      <c r="K283" s="19">
        <f t="shared" ref="K283:K285" ca="1" si="146">OFFSET(K283,-15,0)</f>
        <v>0</v>
      </c>
      <c r="L283" s="15">
        <f t="shared" ca="1" si="135"/>
        <v>1</v>
      </c>
      <c r="M283" s="15"/>
      <c r="N283" s="15">
        <f t="shared" ca="1" si="134"/>
        <v>0</v>
      </c>
    </row>
    <row r="284" spans="1:14" x14ac:dyDescent="0.4">
      <c r="A284" s="11" t="s">
        <v>9</v>
      </c>
      <c r="B284" s="41">
        <f t="shared" ca="1" si="144"/>
        <v>0</v>
      </c>
      <c r="C284" s="41"/>
      <c r="D284" s="41"/>
      <c r="E284" s="41"/>
      <c r="F284" s="19">
        <f t="shared" ca="1" si="144"/>
        <v>0</v>
      </c>
      <c r="G284" s="20">
        <f t="shared" ca="1" si="144"/>
        <v>0</v>
      </c>
      <c r="H284" s="20">
        <f t="shared" ca="1" si="144"/>
        <v>0</v>
      </c>
      <c r="I284" s="13">
        <f t="shared" ca="1" si="145"/>
        <v>0</v>
      </c>
      <c r="J284" s="16"/>
      <c r="K284" s="19">
        <f t="shared" ca="1" si="146"/>
        <v>0</v>
      </c>
      <c r="L284" s="15">
        <f t="shared" ca="1" si="135"/>
        <v>1</v>
      </c>
      <c r="M284" s="15"/>
      <c r="N284" s="15">
        <f t="shared" ca="1" si="134"/>
        <v>0</v>
      </c>
    </row>
    <row r="285" spans="1:14" x14ac:dyDescent="0.4">
      <c r="A285" s="11" t="s">
        <v>9</v>
      </c>
      <c r="B285" s="41">
        <f t="shared" ca="1" si="144"/>
        <v>0</v>
      </c>
      <c r="C285" s="41"/>
      <c r="D285" s="41"/>
      <c r="E285" s="41"/>
      <c r="F285" s="19">
        <f t="shared" ca="1" si="144"/>
        <v>0</v>
      </c>
      <c r="G285" s="20">
        <f t="shared" ca="1" si="144"/>
        <v>0</v>
      </c>
      <c r="H285" s="20">
        <f t="shared" ca="1" si="144"/>
        <v>0</v>
      </c>
      <c r="I285" s="13">
        <f t="shared" ca="1" si="145"/>
        <v>0</v>
      </c>
      <c r="J285" s="16"/>
      <c r="K285" s="19">
        <f t="shared" ca="1" si="146"/>
        <v>0</v>
      </c>
      <c r="L285" s="15">
        <f t="shared" ca="1" si="135"/>
        <v>1</v>
      </c>
      <c r="M285" s="15"/>
      <c r="N285" s="15">
        <f t="shared" ca="1" si="134"/>
        <v>0</v>
      </c>
    </row>
    <row r="286" spans="1:14" ht="17.399999999999999" x14ac:dyDescent="0.4">
      <c r="A286" s="74" t="s">
        <v>25</v>
      </c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6"/>
    </row>
    <row r="287" spans="1:14" x14ac:dyDescent="0.4">
      <c r="A287" s="11" t="s">
        <v>5</v>
      </c>
      <c r="B287" s="40"/>
      <c r="C287" s="40"/>
      <c r="D287" s="40"/>
      <c r="E287" s="40"/>
      <c r="F287" s="13"/>
      <c r="G287" s="11"/>
      <c r="H287" s="17"/>
      <c r="I287" s="13"/>
      <c r="J287" s="16"/>
      <c r="K287" s="13"/>
      <c r="L287" s="15">
        <f>ROUND((10^(K287/10))/(10^(I287/10)),3)</f>
        <v>1</v>
      </c>
      <c r="M287" s="15"/>
      <c r="N287" s="15">
        <f t="shared" ref="N287:N304" si="147">J287*L287</f>
        <v>0</v>
      </c>
    </row>
    <row r="288" spans="1:14" x14ac:dyDescent="0.4">
      <c r="A288" s="11" t="s">
        <v>5</v>
      </c>
      <c r="B288" s="40"/>
      <c r="C288" s="40"/>
      <c r="D288" s="40"/>
      <c r="E288" s="40"/>
      <c r="F288" s="13"/>
      <c r="G288" s="11"/>
      <c r="H288" s="17"/>
      <c r="I288" s="13"/>
      <c r="J288" s="16"/>
      <c r="K288" s="13"/>
      <c r="L288" s="15">
        <f t="shared" ref="L288:L304" si="148">ROUND((10^(K288/10))/(10^(I288/10)),3)</f>
        <v>1</v>
      </c>
      <c r="M288" s="15"/>
      <c r="N288" s="15">
        <f t="shared" si="147"/>
        <v>0</v>
      </c>
    </row>
    <row r="289" spans="1:14" x14ac:dyDescent="0.4">
      <c r="A289" s="11" t="s">
        <v>5</v>
      </c>
      <c r="B289" s="40"/>
      <c r="C289" s="40"/>
      <c r="D289" s="40"/>
      <c r="E289" s="40"/>
      <c r="F289" s="13"/>
      <c r="G289" s="11"/>
      <c r="H289" s="17"/>
      <c r="I289" s="13"/>
      <c r="J289" s="16"/>
      <c r="K289" s="13"/>
      <c r="L289" s="15">
        <f t="shared" si="148"/>
        <v>1</v>
      </c>
      <c r="M289" s="15"/>
      <c r="N289" s="15">
        <f t="shared" si="147"/>
        <v>0</v>
      </c>
    </row>
    <row r="290" spans="1:14" x14ac:dyDescent="0.4">
      <c r="A290" s="11" t="s">
        <v>6</v>
      </c>
      <c r="B290" s="41">
        <f t="shared" ref="B290:I292" ca="1" si="149">OFFSET(B290,-3,0)</f>
        <v>0</v>
      </c>
      <c r="C290" s="41"/>
      <c r="D290" s="41"/>
      <c r="E290" s="41"/>
      <c r="F290" s="19">
        <f t="shared" ca="1" si="149"/>
        <v>0</v>
      </c>
      <c r="G290" s="20">
        <f t="shared" ca="1" si="149"/>
        <v>0</v>
      </c>
      <c r="H290" s="20">
        <f t="shared" ca="1" si="149"/>
        <v>0</v>
      </c>
      <c r="I290" s="13">
        <f t="shared" ca="1" si="149"/>
        <v>0</v>
      </c>
      <c r="J290" s="16"/>
      <c r="K290" s="19">
        <f t="shared" ref="K290:K292" ca="1" si="150">OFFSET(K290,-3,0)</f>
        <v>0</v>
      </c>
      <c r="L290" s="15">
        <f t="shared" ca="1" si="148"/>
        <v>1</v>
      </c>
      <c r="M290" s="15"/>
      <c r="N290" s="15">
        <f t="shared" ca="1" si="147"/>
        <v>0</v>
      </c>
    </row>
    <row r="291" spans="1:14" x14ac:dyDescent="0.4">
      <c r="A291" s="11" t="s">
        <v>6</v>
      </c>
      <c r="B291" s="41">
        <f t="shared" ca="1" si="149"/>
        <v>0</v>
      </c>
      <c r="C291" s="41"/>
      <c r="D291" s="41"/>
      <c r="E291" s="41"/>
      <c r="F291" s="19">
        <f t="shared" ca="1" si="149"/>
        <v>0</v>
      </c>
      <c r="G291" s="20">
        <f t="shared" ca="1" si="149"/>
        <v>0</v>
      </c>
      <c r="H291" s="20">
        <f t="shared" ca="1" si="149"/>
        <v>0</v>
      </c>
      <c r="I291" s="13">
        <f t="shared" ca="1" si="149"/>
        <v>0</v>
      </c>
      <c r="J291" s="16"/>
      <c r="K291" s="19">
        <f t="shared" ca="1" si="150"/>
        <v>0</v>
      </c>
      <c r="L291" s="15">
        <f t="shared" ca="1" si="148"/>
        <v>1</v>
      </c>
      <c r="M291" s="15"/>
      <c r="N291" s="15">
        <f t="shared" ca="1" si="147"/>
        <v>0</v>
      </c>
    </row>
    <row r="292" spans="1:14" x14ac:dyDescent="0.4">
      <c r="A292" s="11" t="s">
        <v>6</v>
      </c>
      <c r="B292" s="41">
        <f t="shared" ca="1" si="149"/>
        <v>0</v>
      </c>
      <c r="C292" s="41"/>
      <c r="D292" s="41"/>
      <c r="E292" s="41"/>
      <c r="F292" s="19">
        <f t="shared" ca="1" si="149"/>
        <v>0</v>
      </c>
      <c r="G292" s="20">
        <f t="shared" ca="1" si="149"/>
        <v>0</v>
      </c>
      <c r="H292" s="20">
        <f t="shared" ca="1" si="149"/>
        <v>0</v>
      </c>
      <c r="I292" s="13">
        <f t="shared" ca="1" si="149"/>
        <v>0</v>
      </c>
      <c r="J292" s="16"/>
      <c r="K292" s="19">
        <f t="shared" ca="1" si="150"/>
        <v>0</v>
      </c>
      <c r="L292" s="15">
        <f t="shared" ca="1" si="148"/>
        <v>1</v>
      </c>
      <c r="M292" s="15"/>
      <c r="N292" s="15">
        <f t="shared" ca="1" si="147"/>
        <v>0</v>
      </c>
    </row>
    <row r="293" spans="1:14" x14ac:dyDescent="0.4">
      <c r="A293" s="11" t="s">
        <v>10</v>
      </c>
      <c r="B293" s="40">
        <f t="shared" ref="B293:I295" ca="1" si="151">OFFSET(B293,-6,0)</f>
        <v>0</v>
      </c>
      <c r="C293" s="40"/>
      <c r="D293" s="40"/>
      <c r="E293" s="40"/>
      <c r="F293" s="13">
        <f t="shared" ca="1" si="151"/>
        <v>0</v>
      </c>
      <c r="G293" s="17">
        <f t="shared" ca="1" si="151"/>
        <v>0</v>
      </c>
      <c r="H293" s="17">
        <f t="shared" ca="1" si="151"/>
        <v>0</v>
      </c>
      <c r="I293" s="13">
        <f t="shared" ca="1" si="151"/>
        <v>0</v>
      </c>
      <c r="J293" s="16"/>
      <c r="K293" s="13">
        <f t="shared" ref="K293:K295" ca="1" si="152">OFFSET(K293,-6,0)</f>
        <v>0</v>
      </c>
      <c r="L293" s="15">
        <f t="shared" ca="1" si="148"/>
        <v>1</v>
      </c>
      <c r="M293" s="15"/>
      <c r="N293" s="15">
        <f t="shared" ca="1" si="147"/>
        <v>0</v>
      </c>
    </row>
    <row r="294" spans="1:14" x14ac:dyDescent="0.4">
      <c r="A294" s="11" t="s">
        <v>10</v>
      </c>
      <c r="B294" s="40">
        <f t="shared" ca="1" si="151"/>
        <v>0</v>
      </c>
      <c r="C294" s="40"/>
      <c r="D294" s="40"/>
      <c r="E294" s="40"/>
      <c r="F294" s="13">
        <f t="shared" ca="1" si="151"/>
        <v>0</v>
      </c>
      <c r="G294" s="17">
        <f t="shared" ca="1" si="151"/>
        <v>0</v>
      </c>
      <c r="H294" s="17">
        <f t="shared" ca="1" si="151"/>
        <v>0</v>
      </c>
      <c r="I294" s="13">
        <f t="shared" ca="1" si="151"/>
        <v>0</v>
      </c>
      <c r="J294" s="16"/>
      <c r="K294" s="13">
        <f t="shared" ca="1" si="152"/>
        <v>0</v>
      </c>
      <c r="L294" s="15">
        <f t="shared" ca="1" si="148"/>
        <v>1</v>
      </c>
      <c r="M294" s="15"/>
      <c r="N294" s="15">
        <f t="shared" ca="1" si="147"/>
        <v>0</v>
      </c>
    </row>
    <row r="295" spans="1:14" x14ac:dyDescent="0.4">
      <c r="A295" s="11" t="s">
        <v>10</v>
      </c>
      <c r="B295" s="40">
        <f t="shared" ca="1" si="151"/>
        <v>0</v>
      </c>
      <c r="C295" s="40"/>
      <c r="D295" s="40"/>
      <c r="E295" s="40"/>
      <c r="F295" s="13">
        <f t="shared" ca="1" si="151"/>
        <v>0</v>
      </c>
      <c r="G295" s="17">
        <f t="shared" ca="1" si="151"/>
        <v>0</v>
      </c>
      <c r="H295" s="17">
        <f t="shared" ca="1" si="151"/>
        <v>0</v>
      </c>
      <c r="I295" s="13">
        <f t="shared" ca="1" si="151"/>
        <v>0</v>
      </c>
      <c r="J295" s="16"/>
      <c r="K295" s="13">
        <f t="shared" ca="1" si="152"/>
        <v>0</v>
      </c>
      <c r="L295" s="15">
        <f t="shared" ca="1" si="148"/>
        <v>1</v>
      </c>
      <c r="M295" s="15"/>
      <c r="N295" s="15">
        <f t="shared" ca="1" si="147"/>
        <v>0</v>
      </c>
    </row>
    <row r="296" spans="1:14" x14ac:dyDescent="0.4">
      <c r="A296" s="11" t="s">
        <v>7</v>
      </c>
      <c r="B296" s="40">
        <f t="shared" ref="B296:I298" ca="1" si="153">OFFSET(B296,-9,0)</f>
        <v>0</v>
      </c>
      <c r="C296" s="40"/>
      <c r="D296" s="40"/>
      <c r="E296" s="40"/>
      <c r="F296" s="13">
        <f t="shared" ca="1" si="153"/>
        <v>0</v>
      </c>
      <c r="G296" s="17">
        <f t="shared" ca="1" si="153"/>
        <v>0</v>
      </c>
      <c r="H296" s="17">
        <f t="shared" ca="1" si="153"/>
        <v>0</v>
      </c>
      <c r="I296" s="13">
        <f t="shared" ca="1" si="153"/>
        <v>0</v>
      </c>
      <c r="J296" s="16"/>
      <c r="K296" s="13">
        <f t="shared" ref="K296:K298" ca="1" si="154">OFFSET(K296,-9,0)</f>
        <v>0</v>
      </c>
      <c r="L296" s="15">
        <f t="shared" ca="1" si="148"/>
        <v>1</v>
      </c>
      <c r="M296" s="15"/>
      <c r="N296" s="15">
        <f t="shared" ca="1" si="147"/>
        <v>0</v>
      </c>
    </row>
    <row r="297" spans="1:14" x14ac:dyDescent="0.4">
      <c r="A297" s="11" t="s">
        <v>7</v>
      </c>
      <c r="B297" s="40">
        <f t="shared" ca="1" si="153"/>
        <v>0</v>
      </c>
      <c r="C297" s="40"/>
      <c r="D297" s="40"/>
      <c r="E297" s="40"/>
      <c r="F297" s="13">
        <f t="shared" ca="1" si="153"/>
        <v>0</v>
      </c>
      <c r="G297" s="17">
        <f t="shared" ca="1" si="153"/>
        <v>0</v>
      </c>
      <c r="H297" s="17">
        <f t="shared" ca="1" si="153"/>
        <v>0</v>
      </c>
      <c r="I297" s="13">
        <f t="shared" ca="1" si="153"/>
        <v>0</v>
      </c>
      <c r="J297" s="16"/>
      <c r="K297" s="13">
        <f t="shared" ca="1" si="154"/>
        <v>0</v>
      </c>
      <c r="L297" s="15">
        <f t="shared" ca="1" si="148"/>
        <v>1</v>
      </c>
      <c r="M297" s="15"/>
      <c r="N297" s="15">
        <f t="shared" ca="1" si="147"/>
        <v>0</v>
      </c>
    </row>
    <row r="298" spans="1:14" x14ac:dyDescent="0.4">
      <c r="A298" s="11" t="s">
        <v>7</v>
      </c>
      <c r="B298" s="40">
        <f t="shared" ca="1" si="153"/>
        <v>0</v>
      </c>
      <c r="C298" s="40"/>
      <c r="D298" s="40"/>
      <c r="E298" s="40"/>
      <c r="F298" s="13">
        <f t="shared" ca="1" si="153"/>
        <v>0</v>
      </c>
      <c r="G298" s="17">
        <f t="shared" ca="1" si="153"/>
        <v>0</v>
      </c>
      <c r="H298" s="17">
        <f t="shared" ca="1" si="153"/>
        <v>0</v>
      </c>
      <c r="I298" s="13">
        <f t="shared" ca="1" si="153"/>
        <v>0</v>
      </c>
      <c r="J298" s="16"/>
      <c r="K298" s="13">
        <f t="shared" ca="1" si="154"/>
        <v>0</v>
      </c>
      <c r="L298" s="15">
        <f t="shared" ca="1" si="148"/>
        <v>1</v>
      </c>
      <c r="M298" s="15"/>
      <c r="N298" s="15">
        <f t="shared" ca="1" si="147"/>
        <v>0</v>
      </c>
    </row>
    <row r="299" spans="1:14" x14ac:dyDescent="0.4">
      <c r="A299" s="11" t="s">
        <v>8</v>
      </c>
      <c r="B299" s="40">
        <f t="shared" ref="B299:I301" ca="1" si="155">OFFSET(B299,-12,0)</f>
        <v>0</v>
      </c>
      <c r="C299" s="40"/>
      <c r="D299" s="40"/>
      <c r="E299" s="40"/>
      <c r="F299" s="13">
        <f t="shared" ca="1" si="155"/>
        <v>0</v>
      </c>
      <c r="G299" s="17">
        <f t="shared" ca="1" si="155"/>
        <v>0</v>
      </c>
      <c r="H299" s="17">
        <f t="shared" ca="1" si="155"/>
        <v>0</v>
      </c>
      <c r="I299" s="13">
        <f t="shared" ca="1" si="155"/>
        <v>0</v>
      </c>
      <c r="J299" s="16"/>
      <c r="K299" s="13">
        <f t="shared" ref="K299:K301" ca="1" si="156">OFFSET(K299,-12,0)</f>
        <v>0</v>
      </c>
      <c r="L299" s="15">
        <f t="shared" ca="1" si="148"/>
        <v>1</v>
      </c>
      <c r="M299" s="15"/>
      <c r="N299" s="15">
        <f t="shared" ca="1" si="147"/>
        <v>0</v>
      </c>
    </row>
    <row r="300" spans="1:14" x14ac:dyDescent="0.4">
      <c r="A300" s="11" t="s">
        <v>8</v>
      </c>
      <c r="B300" s="40">
        <f t="shared" ca="1" si="155"/>
        <v>0</v>
      </c>
      <c r="C300" s="40"/>
      <c r="D300" s="40"/>
      <c r="E300" s="40"/>
      <c r="F300" s="13">
        <f t="shared" ca="1" si="155"/>
        <v>0</v>
      </c>
      <c r="G300" s="17">
        <f t="shared" ca="1" si="155"/>
        <v>0</v>
      </c>
      <c r="H300" s="17">
        <f t="shared" ca="1" si="155"/>
        <v>0</v>
      </c>
      <c r="I300" s="13">
        <f t="shared" ca="1" si="155"/>
        <v>0</v>
      </c>
      <c r="J300" s="16"/>
      <c r="K300" s="13">
        <f t="shared" ca="1" si="156"/>
        <v>0</v>
      </c>
      <c r="L300" s="15">
        <f t="shared" ca="1" si="148"/>
        <v>1</v>
      </c>
      <c r="M300" s="15"/>
      <c r="N300" s="15">
        <f t="shared" ca="1" si="147"/>
        <v>0</v>
      </c>
    </row>
    <row r="301" spans="1:14" x14ac:dyDescent="0.4">
      <c r="A301" s="11" t="s">
        <v>8</v>
      </c>
      <c r="B301" s="40">
        <f t="shared" ca="1" si="155"/>
        <v>0</v>
      </c>
      <c r="C301" s="40"/>
      <c r="D301" s="40"/>
      <c r="E301" s="40"/>
      <c r="F301" s="13">
        <f t="shared" ca="1" si="155"/>
        <v>0</v>
      </c>
      <c r="G301" s="17">
        <f t="shared" ca="1" si="155"/>
        <v>0</v>
      </c>
      <c r="H301" s="17">
        <f t="shared" ca="1" si="155"/>
        <v>0</v>
      </c>
      <c r="I301" s="13">
        <f t="shared" ca="1" si="155"/>
        <v>0</v>
      </c>
      <c r="J301" s="16"/>
      <c r="K301" s="13">
        <f t="shared" ca="1" si="156"/>
        <v>0</v>
      </c>
      <c r="L301" s="15">
        <f t="shared" ca="1" si="148"/>
        <v>1</v>
      </c>
      <c r="M301" s="15"/>
      <c r="N301" s="15">
        <f t="shared" ca="1" si="147"/>
        <v>0</v>
      </c>
    </row>
    <row r="302" spans="1:14" x14ac:dyDescent="0.4">
      <c r="A302" s="11" t="s">
        <v>9</v>
      </c>
      <c r="B302" s="41">
        <f t="shared" ref="B302:I304" ca="1" si="157">OFFSET(B302,-15,0)</f>
        <v>0</v>
      </c>
      <c r="C302" s="41"/>
      <c r="D302" s="41"/>
      <c r="E302" s="41"/>
      <c r="F302" s="19">
        <f t="shared" ca="1" si="157"/>
        <v>0</v>
      </c>
      <c r="G302" s="20">
        <f t="shared" ca="1" si="157"/>
        <v>0</v>
      </c>
      <c r="H302" s="20">
        <f t="shared" ca="1" si="157"/>
        <v>0</v>
      </c>
      <c r="I302" s="13">
        <f t="shared" ca="1" si="157"/>
        <v>0</v>
      </c>
      <c r="J302" s="16"/>
      <c r="K302" s="19">
        <f t="shared" ref="K302:K304" ca="1" si="158">OFFSET(K302,-15,0)</f>
        <v>0</v>
      </c>
      <c r="L302" s="15">
        <f t="shared" ca="1" si="148"/>
        <v>1</v>
      </c>
      <c r="M302" s="15"/>
      <c r="N302" s="15">
        <f t="shared" ca="1" si="147"/>
        <v>0</v>
      </c>
    </row>
    <row r="303" spans="1:14" x14ac:dyDescent="0.4">
      <c r="A303" s="11" t="s">
        <v>9</v>
      </c>
      <c r="B303" s="41">
        <f t="shared" ca="1" si="157"/>
        <v>0</v>
      </c>
      <c r="C303" s="41"/>
      <c r="D303" s="41"/>
      <c r="E303" s="41"/>
      <c r="F303" s="19">
        <f t="shared" ca="1" si="157"/>
        <v>0</v>
      </c>
      <c r="G303" s="20">
        <f t="shared" ca="1" si="157"/>
        <v>0</v>
      </c>
      <c r="H303" s="20">
        <f t="shared" ca="1" si="157"/>
        <v>0</v>
      </c>
      <c r="I303" s="13">
        <f t="shared" ca="1" si="157"/>
        <v>0</v>
      </c>
      <c r="J303" s="16"/>
      <c r="K303" s="19">
        <f t="shared" ca="1" si="158"/>
        <v>0</v>
      </c>
      <c r="L303" s="15">
        <f t="shared" ca="1" si="148"/>
        <v>1</v>
      </c>
      <c r="M303" s="15"/>
      <c r="N303" s="15">
        <f t="shared" ca="1" si="147"/>
        <v>0</v>
      </c>
    </row>
    <row r="304" spans="1:14" x14ac:dyDescent="0.4">
      <c r="A304" s="11" t="s">
        <v>9</v>
      </c>
      <c r="B304" s="41">
        <f t="shared" ca="1" si="157"/>
        <v>0</v>
      </c>
      <c r="C304" s="41"/>
      <c r="D304" s="41"/>
      <c r="E304" s="41"/>
      <c r="F304" s="19">
        <f t="shared" ca="1" si="157"/>
        <v>0</v>
      </c>
      <c r="G304" s="20">
        <f t="shared" ca="1" si="157"/>
        <v>0</v>
      </c>
      <c r="H304" s="20">
        <f t="shared" ca="1" si="157"/>
        <v>0</v>
      </c>
      <c r="I304" s="13">
        <f t="shared" ca="1" si="157"/>
        <v>0</v>
      </c>
      <c r="J304" s="16"/>
      <c r="K304" s="19">
        <f t="shared" ca="1" si="158"/>
        <v>0</v>
      </c>
      <c r="L304" s="15">
        <f t="shared" ca="1" si="148"/>
        <v>1</v>
      </c>
      <c r="M304" s="15"/>
      <c r="N304" s="15">
        <f t="shared" ca="1" si="147"/>
        <v>0</v>
      </c>
    </row>
    <row r="305" spans="1:14" ht="17.399999999999999" x14ac:dyDescent="0.4">
      <c r="A305" s="74" t="s">
        <v>29</v>
      </c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6"/>
    </row>
    <row r="306" spans="1:14" x14ac:dyDescent="0.4">
      <c r="A306" s="11" t="s">
        <v>5</v>
      </c>
      <c r="B306" s="40"/>
      <c r="C306" s="40"/>
      <c r="D306" s="40"/>
      <c r="E306" s="40"/>
      <c r="F306" s="13"/>
      <c r="G306" s="11"/>
      <c r="H306" s="17"/>
      <c r="I306" s="13"/>
      <c r="J306" s="16"/>
      <c r="K306" s="13"/>
      <c r="L306" s="15">
        <f>ROUND((10^(K306/10))/(10^(I306/10)),3)</f>
        <v>1</v>
      </c>
      <c r="M306" s="15"/>
      <c r="N306" s="15">
        <f t="shared" ref="N306:N323" si="159">J306*L306</f>
        <v>0</v>
      </c>
    </row>
    <row r="307" spans="1:14" x14ac:dyDescent="0.4">
      <c r="A307" s="11" t="s">
        <v>5</v>
      </c>
      <c r="B307" s="40"/>
      <c r="C307" s="40"/>
      <c r="D307" s="40"/>
      <c r="E307" s="40"/>
      <c r="F307" s="13"/>
      <c r="G307" s="11"/>
      <c r="H307" s="17"/>
      <c r="I307" s="13"/>
      <c r="J307" s="16"/>
      <c r="K307" s="13"/>
      <c r="L307" s="15">
        <f t="shared" ref="L307:L323" si="160">ROUND((10^(K307/10))/(10^(I307/10)),3)</f>
        <v>1</v>
      </c>
      <c r="M307" s="15"/>
      <c r="N307" s="15">
        <f t="shared" si="159"/>
        <v>0</v>
      </c>
    </row>
    <row r="308" spans="1:14" x14ac:dyDescent="0.4">
      <c r="A308" s="11" t="s">
        <v>5</v>
      </c>
      <c r="B308" s="40"/>
      <c r="C308" s="40"/>
      <c r="D308" s="40"/>
      <c r="E308" s="40"/>
      <c r="F308" s="13"/>
      <c r="G308" s="11"/>
      <c r="H308" s="17"/>
      <c r="I308" s="13"/>
      <c r="J308" s="16"/>
      <c r="K308" s="13"/>
      <c r="L308" s="15">
        <f t="shared" si="160"/>
        <v>1</v>
      </c>
      <c r="M308" s="15"/>
      <c r="N308" s="15">
        <f t="shared" si="159"/>
        <v>0</v>
      </c>
    </row>
    <row r="309" spans="1:14" x14ac:dyDescent="0.4">
      <c r="A309" s="11" t="s">
        <v>6</v>
      </c>
      <c r="B309" s="41">
        <f t="shared" ref="B309:I311" ca="1" si="161">OFFSET(B309,-3,0)</f>
        <v>0</v>
      </c>
      <c r="C309" s="41"/>
      <c r="D309" s="41"/>
      <c r="E309" s="41"/>
      <c r="F309" s="19">
        <f t="shared" ca="1" si="161"/>
        <v>0</v>
      </c>
      <c r="G309" s="20">
        <f t="shared" ca="1" si="161"/>
        <v>0</v>
      </c>
      <c r="H309" s="20">
        <f t="shared" ca="1" si="161"/>
        <v>0</v>
      </c>
      <c r="I309" s="13">
        <f t="shared" ca="1" si="161"/>
        <v>0</v>
      </c>
      <c r="J309" s="16"/>
      <c r="K309" s="19">
        <f t="shared" ref="K309:K311" ca="1" si="162">OFFSET(K309,-3,0)</f>
        <v>0</v>
      </c>
      <c r="L309" s="15">
        <f t="shared" ca="1" si="160"/>
        <v>1</v>
      </c>
      <c r="M309" s="15"/>
      <c r="N309" s="15">
        <f t="shared" ca="1" si="159"/>
        <v>0</v>
      </c>
    </row>
    <row r="310" spans="1:14" x14ac:dyDescent="0.4">
      <c r="A310" s="11" t="s">
        <v>6</v>
      </c>
      <c r="B310" s="41">
        <f t="shared" ca="1" si="161"/>
        <v>0</v>
      </c>
      <c r="C310" s="41"/>
      <c r="D310" s="41"/>
      <c r="E310" s="41"/>
      <c r="F310" s="19">
        <f t="shared" ca="1" si="161"/>
        <v>0</v>
      </c>
      <c r="G310" s="20">
        <f t="shared" ca="1" si="161"/>
        <v>0</v>
      </c>
      <c r="H310" s="20">
        <f t="shared" ca="1" si="161"/>
        <v>0</v>
      </c>
      <c r="I310" s="13">
        <f t="shared" ca="1" si="161"/>
        <v>0</v>
      </c>
      <c r="J310" s="16"/>
      <c r="K310" s="19">
        <f t="shared" ca="1" si="162"/>
        <v>0</v>
      </c>
      <c r="L310" s="15">
        <f t="shared" ca="1" si="160"/>
        <v>1</v>
      </c>
      <c r="M310" s="15"/>
      <c r="N310" s="15">
        <f t="shared" ca="1" si="159"/>
        <v>0</v>
      </c>
    </row>
    <row r="311" spans="1:14" x14ac:dyDescent="0.4">
      <c r="A311" s="11" t="s">
        <v>6</v>
      </c>
      <c r="B311" s="41">
        <f t="shared" ca="1" si="161"/>
        <v>0</v>
      </c>
      <c r="C311" s="41"/>
      <c r="D311" s="41"/>
      <c r="E311" s="41"/>
      <c r="F311" s="19">
        <f t="shared" ca="1" si="161"/>
        <v>0</v>
      </c>
      <c r="G311" s="20">
        <f t="shared" ca="1" si="161"/>
        <v>0</v>
      </c>
      <c r="H311" s="20">
        <f t="shared" ca="1" si="161"/>
        <v>0</v>
      </c>
      <c r="I311" s="13">
        <f t="shared" ca="1" si="161"/>
        <v>0</v>
      </c>
      <c r="J311" s="16"/>
      <c r="K311" s="19">
        <f t="shared" ca="1" si="162"/>
        <v>0</v>
      </c>
      <c r="L311" s="15">
        <f t="shared" ca="1" si="160"/>
        <v>1</v>
      </c>
      <c r="M311" s="15"/>
      <c r="N311" s="15">
        <f t="shared" ca="1" si="159"/>
        <v>0</v>
      </c>
    </row>
    <row r="312" spans="1:14" x14ac:dyDescent="0.4">
      <c r="A312" s="11" t="s">
        <v>10</v>
      </c>
      <c r="B312" s="40">
        <f t="shared" ref="B312:I314" ca="1" si="163">OFFSET(B312,-6,0)</f>
        <v>0</v>
      </c>
      <c r="C312" s="40"/>
      <c r="D312" s="40"/>
      <c r="E312" s="40"/>
      <c r="F312" s="13">
        <f t="shared" ca="1" si="163"/>
        <v>0</v>
      </c>
      <c r="G312" s="17">
        <f t="shared" ca="1" si="163"/>
        <v>0</v>
      </c>
      <c r="H312" s="17">
        <f t="shared" ca="1" si="163"/>
        <v>0</v>
      </c>
      <c r="I312" s="13">
        <f t="shared" ca="1" si="163"/>
        <v>0</v>
      </c>
      <c r="J312" s="16"/>
      <c r="K312" s="13">
        <f t="shared" ref="K312:K314" ca="1" si="164">OFFSET(K312,-6,0)</f>
        <v>0</v>
      </c>
      <c r="L312" s="15">
        <f t="shared" ca="1" si="160"/>
        <v>1</v>
      </c>
      <c r="M312" s="15"/>
      <c r="N312" s="15">
        <f t="shared" ca="1" si="159"/>
        <v>0</v>
      </c>
    </row>
    <row r="313" spans="1:14" x14ac:dyDescent="0.4">
      <c r="A313" s="11" t="s">
        <v>10</v>
      </c>
      <c r="B313" s="40">
        <f t="shared" ca="1" si="163"/>
        <v>0</v>
      </c>
      <c r="C313" s="40"/>
      <c r="D313" s="40"/>
      <c r="E313" s="40"/>
      <c r="F313" s="13">
        <f t="shared" ca="1" si="163"/>
        <v>0</v>
      </c>
      <c r="G313" s="17">
        <f t="shared" ca="1" si="163"/>
        <v>0</v>
      </c>
      <c r="H313" s="17">
        <f t="shared" ca="1" si="163"/>
        <v>0</v>
      </c>
      <c r="I313" s="13">
        <f t="shared" ca="1" si="163"/>
        <v>0</v>
      </c>
      <c r="J313" s="16"/>
      <c r="K313" s="13">
        <f t="shared" ca="1" si="164"/>
        <v>0</v>
      </c>
      <c r="L313" s="15">
        <f t="shared" ca="1" si="160"/>
        <v>1</v>
      </c>
      <c r="M313" s="15"/>
      <c r="N313" s="15">
        <f t="shared" ca="1" si="159"/>
        <v>0</v>
      </c>
    </row>
    <row r="314" spans="1:14" x14ac:dyDescent="0.4">
      <c r="A314" s="11" t="s">
        <v>10</v>
      </c>
      <c r="B314" s="40">
        <f t="shared" ca="1" si="163"/>
        <v>0</v>
      </c>
      <c r="C314" s="40"/>
      <c r="D314" s="40"/>
      <c r="E314" s="40"/>
      <c r="F314" s="13">
        <f t="shared" ca="1" si="163"/>
        <v>0</v>
      </c>
      <c r="G314" s="17">
        <f t="shared" ca="1" si="163"/>
        <v>0</v>
      </c>
      <c r="H314" s="17">
        <f t="shared" ca="1" si="163"/>
        <v>0</v>
      </c>
      <c r="I314" s="13">
        <f t="shared" ca="1" si="163"/>
        <v>0</v>
      </c>
      <c r="J314" s="16"/>
      <c r="K314" s="13">
        <f t="shared" ca="1" si="164"/>
        <v>0</v>
      </c>
      <c r="L314" s="15">
        <f t="shared" ca="1" si="160"/>
        <v>1</v>
      </c>
      <c r="M314" s="15"/>
      <c r="N314" s="15">
        <f t="shared" ca="1" si="159"/>
        <v>0</v>
      </c>
    </row>
    <row r="315" spans="1:14" x14ac:dyDescent="0.4">
      <c r="A315" s="11" t="s">
        <v>7</v>
      </c>
      <c r="B315" s="40">
        <f t="shared" ref="B315:I317" ca="1" si="165">OFFSET(B315,-9,0)</f>
        <v>0</v>
      </c>
      <c r="C315" s="40"/>
      <c r="D315" s="40"/>
      <c r="E315" s="40"/>
      <c r="F315" s="13">
        <f t="shared" ca="1" si="165"/>
        <v>0</v>
      </c>
      <c r="G315" s="17">
        <f t="shared" ca="1" si="165"/>
        <v>0</v>
      </c>
      <c r="H315" s="17">
        <f t="shared" ca="1" si="165"/>
        <v>0</v>
      </c>
      <c r="I315" s="13">
        <f t="shared" ca="1" si="165"/>
        <v>0</v>
      </c>
      <c r="J315" s="16"/>
      <c r="K315" s="13">
        <f t="shared" ref="K315:K317" ca="1" si="166">OFFSET(K315,-9,0)</f>
        <v>0</v>
      </c>
      <c r="L315" s="15">
        <f t="shared" ca="1" si="160"/>
        <v>1</v>
      </c>
      <c r="M315" s="15"/>
      <c r="N315" s="15">
        <f t="shared" ca="1" si="159"/>
        <v>0</v>
      </c>
    </row>
    <row r="316" spans="1:14" x14ac:dyDescent="0.4">
      <c r="A316" s="11" t="s">
        <v>7</v>
      </c>
      <c r="B316" s="40">
        <f t="shared" ca="1" si="165"/>
        <v>0</v>
      </c>
      <c r="C316" s="40"/>
      <c r="D316" s="40"/>
      <c r="E316" s="40"/>
      <c r="F316" s="13">
        <f t="shared" ca="1" si="165"/>
        <v>0</v>
      </c>
      <c r="G316" s="17">
        <f t="shared" ca="1" si="165"/>
        <v>0</v>
      </c>
      <c r="H316" s="17">
        <f t="shared" ca="1" si="165"/>
        <v>0</v>
      </c>
      <c r="I316" s="13">
        <f t="shared" ca="1" si="165"/>
        <v>0</v>
      </c>
      <c r="J316" s="16"/>
      <c r="K316" s="13">
        <f t="shared" ca="1" si="166"/>
        <v>0</v>
      </c>
      <c r="L316" s="15">
        <f t="shared" ca="1" si="160"/>
        <v>1</v>
      </c>
      <c r="M316" s="15"/>
      <c r="N316" s="15">
        <f t="shared" ca="1" si="159"/>
        <v>0</v>
      </c>
    </row>
    <row r="317" spans="1:14" x14ac:dyDescent="0.4">
      <c r="A317" s="11" t="s">
        <v>7</v>
      </c>
      <c r="B317" s="40">
        <f t="shared" ca="1" si="165"/>
        <v>0</v>
      </c>
      <c r="C317" s="40"/>
      <c r="D317" s="40"/>
      <c r="E317" s="40"/>
      <c r="F317" s="13">
        <f t="shared" ca="1" si="165"/>
        <v>0</v>
      </c>
      <c r="G317" s="17">
        <f t="shared" ca="1" si="165"/>
        <v>0</v>
      </c>
      <c r="H317" s="17">
        <f t="shared" ca="1" si="165"/>
        <v>0</v>
      </c>
      <c r="I317" s="13">
        <f t="shared" ca="1" si="165"/>
        <v>0</v>
      </c>
      <c r="J317" s="16"/>
      <c r="K317" s="13">
        <f t="shared" ca="1" si="166"/>
        <v>0</v>
      </c>
      <c r="L317" s="15">
        <f t="shared" ca="1" si="160"/>
        <v>1</v>
      </c>
      <c r="M317" s="15"/>
      <c r="N317" s="15">
        <f t="shared" ca="1" si="159"/>
        <v>0</v>
      </c>
    </row>
    <row r="318" spans="1:14" x14ac:dyDescent="0.4">
      <c r="A318" s="11" t="s">
        <v>8</v>
      </c>
      <c r="B318" s="40">
        <f t="shared" ref="B318:I320" ca="1" si="167">OFFSET(B318,-12,0)</f>
        <v>0</v>
      </c>
      <c r="C318" s="40"/>
      <c r="D318" s="40"/>
      <c r="E318" s="40"/>
      <c r="F318" s="13">
        <f t="shared" ca="1" si="167"/>
        <v>0</v>
      </c>
      <c r="G318" s="17">
        <f t="shared" ca="1" si="167"/>
        <v>0</v>
      </c>
      <c r="H318" s="17">
        <f t="shared" ca="1" si="167"/>
        <v>0</v>
      </c>
      <c r="I318" s="13">
        <f t="shared" ca="1" si="167"/>
        <v>0</v>
      </c>
      <c r="J318" s="16"/>
      <c r="K318" s="13">
        <f t="shared" ref="K318:K320" ca="1" si="168">OFFSET(K318,-12,0)</f>
        <v>0</v>
      </c>
      <c r="L318" s="15">
        <f t="shared" ca="1" si="160"/>
        <v>1</v>
      </c>
      <c r="M318" s="15"/>
      <c r="N318" s="15">
        <f t="shared" ca="1" si="159"/>
        <v>0</v>
      </c>
    </row>
    <row r="319" spans="1:14" x14ac:dyDescent="0.4">
      <c r="A319" s="11" t="s">
        <v>8</v>
      </c>
      <c r="B319" s="40">
        <f t="shared" ca="1" si="167"/>
        <v>0</v>
      </c>
      <c r="C319" s="40"/>
      <c r="D319" s="40"/>
      <c r="E319" s="40"/>
      <c r="F319" s="13">
        <f t="shared" ca="1" si="167"/>
        <v>0</v>
      </c>
      <c r="G319" s="17">
        <f t="shared" ca="1" si="167"/>
        <v>0</v>
      </c>
      <c r="H319" s="17">
        <f t="shared" ca="1" si="167"/>
        <v>0</v>
      </c>
      <c r="I319" s="13">
        <f t="shared" ca="1" si="167"/>
        <v>0</v>
      </c>
      <c r="J319" s="16"/>
      <c r="K319" s="13">
        <f t="shared" ca="1" si="168"/>
        <v>0</v>
      </c>
      <c r="L319" s="15">
        <f t="shared" ca="1" si="160"/>
        <v>1</v>
      </c>
      <c r="M319" s="15"/>
      <c r="N319" s="15">
        <f t="shared" ca="1" si="159"/>
        <v>0</v>
      </c>
    </row>
    <row r="320" spans="1:14" x14ac:dyDescent="0.4">
      <c r="A320" s="11" t="s">
        <v>8</v>
      </c>
      <c r="B320" s="40">
        <f t="shared" ca="1" si="167"/>
        <v>0</v>
      </c>
      <c r="C320" s="40"/>
      <c r="D320" s="40"/>
      <c r="E320" s="40"/>
      <c r="F320" s="13">
        <f t="shared" ca="1" si="167"/>
        <v>0</v>
      </c>
      <c r="G320" s="17">
        <f t="shared" ca="1" si="167"/>
        <v>0</v>
      </c>
      <c r="H320" s="17">
        <f t="shared" ca="1" si="167"/>
        <v>0</v>
      </c>
      <c r="I320" s="13">
        <f t="shared" ca="1" si="167"/>
        <v>0</v>
      </c>
      <c r="J320" s="16"/>
      <c r="K320" s="13">
        <f t="shared" ca="1" si="168"/>
        <v>0</v>
      </c>
      <c r="L320" s="15">
        <f t="shared" ca="1" si="160"/>
        <v>1</v>
      </c>
      <c r="M320" s="15"/>
      <c r="N320" s="15">
        <f t="shared" ca="1" si="159"/>
        <v>0</v>
      </c>
    </row>
    <row r="321" spans="1:14" x14ac:dyDescent="0.4">
      <c r="A321" s="11" t="s">
        <v>9</v>
      </c>
      <c r="B321" s="41">
        <f t="shared" ref="B321:I323" ca="1" si="169">OFFSET(B321,-15,0)</f>
        <v>0</v>
      </c>
      <c r="C321" s="41"/>
      <c r="D321" s="41"/>
      <c r="E321" s="41"/>
      <c r="F321" s="19">
        <f t="shared" ca="1" si="169"/>
        <v>0</v>
      </c>
      <c r="G321" s="20">
        <f t="shared" ca="1" si="169"/>
        <v>0</v>
      </c>
      <c r="H321" s="20">
        <f t="shared" ca="1" si="169"/>
        <v>0</v>
      </c>
      <c r="I321" s="13">
        <f t="shared" ca="1" si="169"/>
        <v>0</v>
      </c>
      <c r="J321" s="16"/>
      <c r="K321" s="19">
        <f t="shared" ref="K321:K323" ca="1" si="170">OFFSET(K321,-15,0)</f>
        <v>0</v>
      </c>
      <c r="L321" s="15">
        <f t="shared" ca="1" si="160"/>
        <v>1</v>
      </c>
      <c r="M321" s="15"/>
      <c r="N321" s="15">
        <f t="shared" ca="1" si="159"/>
        <v>0</v>
      </c>
    </row>
    <row r="322" spans="1:14" x14ac:dyDescent="0.4">
      <c r="A322" s="11" t="s">
        <v>9</v>
      </c>
      <c r="B322" s="41">
        <f t="shared" ca="1" si="169"/>
        <v>0</v>
      </c>
      <c r="C322" s="41"/>
      <c r="D322" s="41"/>
      <c r="E322" s="41"/>
      <c r="F322" s="19">
        <f t="shared" ca="1" si="169"/>
        <v>0</v>
      </c>
      <c r="G322" s="20">
        <f t="shared" ca="1" si="169"/>
        <v>0</v>
      </c>
      <c r="H322" s="20">
        <f t="shared" ca="1" si="169"/>
        <v>0</v>
      </c>
      <c r="I322" s="13">
        <f t="shared" ca="1" si="169"/>
        <v>0</v>
      </c>
      <c r="J322" s="16"/>
      <c r="K322" s="19">
        <f t="shared" ca="1" si="170"/>
        <v>0</v>
      </c>
      <c r="L322" s="15">
        <f t="shared" ca="1" si="160"/>
        <v>1</v>
      </c>
      <c r="M322" s="15"/>
      <c r="N322" s="15">
        <f t="shared" ca="1" si="159"/>
        <v>0</v>
      </c>
    </row>
    <row r="323" spans="1:14" x14ac:dyDescent="0.4">
      <c r="A323" s="11" t="s">
        <v>9</v>
      </c>
      <c r="B323" s="41">
        <f t="shared" ca="1" si="169"/>
        <v>0</v>
      </c>
      <c r="C323" s="41"/>
      <c r="D323" s="41"/>
      <c r="E323" s="41"/>
      <c r="F323" s="19">
        <f t="shared" ca="1" si="169"/>
        <v>0</v>
      </c>
      <c r="G323" s="20">
        <f t="shared" ca="1" si="169"/>
        <v>0</v>
      </c>
      <c r="H323" s="20">
        <f t="shared" ca="1" si="169"/>
        <v>0</v>
      </c>
      <c r="I323" s="13">
        <f t="shared" ca="1" si="169"/>
        <v>0</v>
      </c>
      <c r="J323" s="16"/>
      <c r="K323" s="19">
        <f t="shared" ca="1" si="170"/>
        <v>0</v>
      </c>
      <c r="L323" s="15">
        <f t="shared" ca="1" si="160"/>
        <v>1</v>
      </c>
      <c r="M323" s="15"/>
      <c r="N323" s="15">
        <f t="shared" ca="1" si="159"/>
        <v>0</v>
      </c>
    </row>
    <row r="324" spans="1:14" ht="17.399999999999999" x14ac:dyDescent="0.4">
      <c r="A324" s="74" t="s">
        <v>32</v>
      </c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6"/>
    </row>
    <row r="325" spans="1:14" x14ac:dyDescent="0.4">
      <c r="A325" s="11" t="s">
        <v>5</v>
      </c>
      <c r="B325" s="40"/>
      <c r="C325" s="40"/>
      <c r="D325" s="40"/>
      <c r="E325" s="40"/>
      <c r="F325" s="13"/>
      <c r="G325" s="11"/>
      <c r="H325" s="17"/>
      <c r="I325" s="13"/>
      <c r="J325" s="16"/>
      <c r="K325" s="13"/>
      <c r="L325" s="15">
        <f>ROUND((10^(K325/10))/(10^(I325/10)),3)</f>
        <v>1</v>
      </c>
      <c r="M325" s="15"/>
      <c r="N325" s="15">
        <f t="shared" ref="N325:N342" si="171">J325*L325</f>
        <v>0</v>
      </c>
    </row>
    <row r="326" spans="1:14" x14ac:dyDescent="0.4">
      <c r="A326" s="11" t="s">
        <v>5</v>
      </c>
      <c r="B326" s="40"/>
      <c r="C326" s="40"/>
      <c r="D326" s="40"/>
      <c r="E326" s="40"/>
      <c r="F326" s="13"/>
      <c r="G326" s="11"/>
      <c r="H326" s="17"/>
      <c r="I326" s="13"/>
      <c r="J326" s="16"/>
      <c r="K326" s="13"/>
      <c r="L326" s="15">
        <f t="shared" ref="L326:L342" si="172">ROUND((10^(K326/10))/(10^(I326/10)),3)</f>
        <v>1</v>
      </c>
      <c r="M326" s="15"/>
      <c r="N326" s="15">
        <f t="shared" si="171"/>
        <v>0</v>
      </c>
    </row>
    <row r="327" spans="1:14" x14ac:dyDescent="0.4">
      <c r="A327" s="11" t="s">
        <v>5</v>
      </c>
      <c r="B327" s="40"/>
      <c r="C327" s="40"/>
      <c r="D327" s="40"/>
      <c r="E327" s="40"/>
      <c r="F327" s="13"/>
      <c r="G327" s="11"/>
      <c r="H327" s="17"/>
      <c r="I327" s="13"/>
      <c r="J327" s="16"/>
      <c r="K327" s="13"/>
      <c r="L327" s="15">
        <f t="shared" si="172"/>
        <v>1</v>
      </c>
      <c r="M327" s="15"/>
      <c r="N327" s="15">
        <f t="shared" si="171"/>
        <v>0</v>
      </c>
    </row>
    <row r="328" spans="1:14" x14ac:dyDescent="0.4">
      <c r="A328" s="11" t="s">
        <v>6</v>
      </c>
      <c r="B328" s="41">
        <f t="shared" ref="B328:I330" ca="1" si="173">OFFSET(B328,-3,0)</f>
        <v>0</v>
      </c>
      <c r="C328" s="41"/>
      <c r="D328" s="41"/>
      <c r="E328" s="41"/>
      <c r="F328" s="19">
        <f t="shared" ca="1" si="173"/>
        <v>0</v>
      </c>
      <c r="G328" s="20">
        <f t="shared" ca="1" si="173"/>
        <v>0</v>
      </c>
      <c r="H328" s="20">
        <f t="shared" ca="1" si="173"/>
        <v>0</v>
      </c>
      <c r="I328" s="13">
        <f t="shared" ca="1" si="173"/>
        <v>0</v>
      </c>
      <c r="J328" s="16"/>
      <c r="K328" s="19">
        <f t="shared" ref="K328:K330" ca="1" si="174">OFFSET(K328,-3,0)</f>
        <v>0</v>
      </c>
      <c r="L328" s="15">
        <f t="shared" ca="1" si="172"/>
        <v>1</v>
      </c>
      <c r="M328" s="15"/>
      <c r="N328" s="15">
        <f t="shared" ca="1" si="171"/>
        <v>0</v>
      </c>
    </row>
    <row r="329" spans="1:14" x14ac:dyDescent="0.4">
      <c r="A329" s="11" t="s">
        <v>6</v>
      </c>
      <c r="B329" s="41">
        <f t="shared" ca="1" si="173"/>
        <v>0</v>
      </c>
      <c r="C329" s="41"/>
      <c r="D329" s="41"/>
      <c r="E329" s="41"/>
      <c r="F329" s="19">
        <f t="shared" ca="1" si="173"/>
        <v>0</v>
      </c>
      <c r="G329" s="20">
        <f t="shared" ca="1" si="173"/>
        <v>0</v>
      </c>
      <c r="H329" s="20">
        <f t="shared" ca="1" si="173"/>
        <v>0</v>
      </c>
      <c r="I329" s="13">
        <f t="shared" ca="1" si="173"/>
        <v>0</v>
      </c>
      <c r="J329" s="16"/>
      <c r="K329" s="19">
        <f t="shared" ca="1" si="174"/>
        <v>0</v>
      </c>
      <c r="L329" s="15">
        <f t="shared" ca="1" si="172"/>
        <v>1</v>
      </c>
      <c r="M329" s="15"/>
      <c r="N329" s="15">
        <f t="shared" ca="1" si="171"/>
        <v>0</v>
      </c>
    </row>
    <row r="330" spans="1:14" x14ac:dyDescent="0.4">
      <c r="A330" s="11" t="s">
        <v>6</v>
      </c>
      <c r="B330" s="41">
        <f t="shared" ca="1" si="173"/>
        <v>0</v>
      </c>
      <c r="C330" s="41"/>
      <c r="D330" s="41"/>
      <c r="E330" s="41"/>
      <c r="F330" s="19">
        <f t="shared" ca="1" si="173"/>
        <v>0</v>
      </c>
      <c r="G330" s="20">
        <f t="shared" ca="1" si="173"/>
        <v>0</v>
      </c>
      <c r="H330" s="20">
        <f t="shared" ca="1" si="173"/>
        <v>0</v>
      </c>
      <c r="I330" s="13">
        <f t="shared" ca="1" si="173"/>
        <v>0</v>
      </c>
      <c r="J330" s="16"/>
      <c r="K330" s="19">
        <f t="shared" ca="1" si="174"/>
        <v>0</v>
      </c>
      <c r="L330" s="15">
        <f t="shared" ca="1" si="172"/>
        <v>1</v>
      </c>
      <c r="M330" s="15"/>
      <c r="N330" s="15">
        <f t="shared" ca="1" si="171"/>
        <v>0</v>
      </c>
    </row>
    <row r="331" spans="1:14" x14ac:dyDescent="0.4">
      <c r="A331" s="11" t="s">
        <v>10</v>
      </c>
      <c r="B331" s="40">
        <f t="shared" ref="B331:I333" ca="1" si="175">OFFSET(B331,-6,0)</f>
        <v>0</v>
      </c>
      <c r="C331" s="40"/>
      <c r="D331" s="40"/>
      <c r="E331" s="40"/>
      <c r="F331" s="13">
        <f t="shared" ca="1" si="175"/>
        <v>0</v>
      </c>
      <c r="G331" s="17">
        <f t="shared" ca="1" si="175"/>
        <v>0</v>
      </c>
      <c r="H331" s="17">
        <f t="shared" ca="1" si="175"/>
        <v>0</v>
      </c>
      <c r="I331" s="13">
        <f t="shared" ca="1" si="175"/>
        <v>0</v>
      </c>
      <c r="J331" s="16"/>
      <c r="K331" s="13">
        <f t="shared" ref="K331:K333" ca="1" si="176">OFFSET(K331,-6,0)</f>
        <v>0</v>
      </c>
      <c r="L331" s="15">
        <f t="shared" ca="1" si="172"/>
        <v>1</v>
      </c>
      <c r="M331" s="15"/>
      <c r="N331" s="15">
        <f t="shared" ca="1" si="171"/>
        <v>0</v>
      </c>
    </row>
    <row r="332" spans="1:14" x14ac:dyDescent="0.4">
      <c r="A332" s="11" t="s">
        <v>10</v>
      </c>
      <c r="B332" s="40">
        <f t="shared" ca="1" si="175"/>
        <v>0</v>
      </c>
      <c r="C332" s="40"/>
      <c r="D332" s="40"/>
      <c r="E332" s="40"/>
      <c r="F332" s="13">
        <f t="shared" ca="1" si="175"/>
        <v>0</v>
      </c>
      <c r="G332" s="17">
        <f t="shared" ca="1" si="175"/>
        <v>0</v>
      </c>
      <c r="H332" s="17">
        <f t="shared" ca="1" si="175"/>
        <v>0</v>
      </c>
      <c r="I332" s="13">
        <f t="shared" ca="1" si="175"/>
        <v>0</v>
      </c>
      <c r="J332" s="16"/>
      <c r="K332" s="13">
        <f t="shared" ca="1" si="176"/>
        <v>0</v>
      </c>
      <c r="L332" s="15">
        <f t="shared" ca="1" si="172"/>
        <v>1</v>
      </c>
      <c r="M332" s="15"/>
      <c r="N332" s="15">
        <f t="shared" ca="1" si="171"/>
        <v>0</v>
      </c>
    </row>
    <row r="333" spans="1:14" x14ac:dyDescent="0.4">
      <c r="A333" s="11" t="s">
        <v>10</v>
      </c>
      <c r="B333" s="40">
        <f t="shared" ca="1" si="175"/>
        <v>0</v>
      </c>
      <c r="C333" s="40"/>
      <c r="D333" s="40"/>
      <c r="E333" s="40"/>
      <c r="F333" s="13">
        <f t="shared" ca="1" si="175"/>
        <v>0</v>
      </c>
      <c r="G333" s="17">
        <f t="shared" ca="1" si="175"/>
        <v>0</v>
      </c>
      <c r="H333" s="17">
        <f t="shared" ca="1" si="175"/>
        <v>0</v>
      </c>
      <c r="I333" s="13">
        <f t="shared" ca="1" si="175"/>
        <v>0</v>
      </c>
      <c r="J333" s="16"/>
      <c r="K333" s="13">
        <f t="shared" ca="1" si="176"/>
        <v>0</v>
      </c>
      <c r="L333" s="15">
        <f t="shared" ca="1" si="172"/>
        <v>1</v>
      </c>
      <c r="M333" s="15"/>
      <c r="N333" s="15">
        <f t="shared" ca="1" si="171"/>
        <v>0</v>
      </c>
    </row>
    <row r="334" spans="1:14" x14ac:dyDescent="0.4">
      <c r="A334" s="11" t="s">
        <v>7</v>
      </c>
      <c r="B334" s="40">
        <f t="shared" ref="B334:I336" ca="1" si="177">OFFSET(B334,-9,0)</f>
        <v>0</v>
      </c>
      <c r="C334" s="40"/>
      <c r="D334" s="40"/>
      <c r="E334" s="40"/>
      <c r="F334" s="13">
        <f t="shared" ca="1" si="177"/>
        <v>0</v>
      </c>
      <c r="G334" s="17">
        <f t="shared" ca="1" si="177"/>
        <v>0</v>
      </c>
      <c r="H334" s="17">
        <f t="shared" ca="1" si="177"/>
        <v>0</v>
      </c>
      <c r="I334" s="13">
        <f t="shared" ca="1" si="177"/>
        <v>0</v>
      </c>
      <c r="J334" s="16"/>
      <c r="K334" s="13">
        <f t="shared" ref="K334:K336" ca="1" si="178">OFFSET(K334,-9,0)</f>
        <v>0</v>
      </c>
      <c r="L334" s="15">
        <f t="shared" ca="1" si="172"/>
        <v>1</v>
      </c>
      <c r="M334" s="15"/>
      <c r="N334" s="15">
        <f t="shared" ca="1" si="171"/>
        <v>0</v>
      </c>
    </row>
    <row r="335" spans="1:14" x14ac:dyDescent="0.4">
      <c r="A335" s="11" t="s">
        <v>7</v>
      </c>
      <c r="B335" s="40">
        <f t="shared" ca="1" si="177"/>
        <v>0</v>
      </c>
      <c r="C335" s="40"/>
      <c r="D335" s="40"/>
      <c r="E335" s="40"/>
      <c r="F335" s="13">
        <f t="shared" ca="1" si="177"/>
        <v>0</v>
      </c>
      <c r="G335" s="17">
        <f t="shared" ca="1" si="177"/>
        <v>0</v>
      </c>
      <c r="H335" s="17">
        <f t="shared" ca="1" si="177"/>
        <v>0</v>
      </c>
      <c r="I335" s="13">
        <f t="shared" ca="1" si="177"/>
        <v>0</v>
      </c>
      <c r="J335" s="16"/>
      <c r="K335" s="13">
        <f t="shared" ca="1" si="178"/>
        <v>0</v>
      </c>
      <c r="L335" s="15">
        <f t="shared" ca="1" si="172"/>
        <v>1</v>
      </c>
      <c r="M335" s="15"/>
      <c r="N335" s="15">
        <f t="shared" ca="1" si="171"/>
        <v>0</v>
      </c>
    </row>
    <row r="336" spans="1:14" x14ac:dyDescent="0.4">
      <c r="A336" s="11" t="s">
        <v>7</v>
      </c>
      <c r="B336" s="40">
        <f t="shared" ca="1" si="177"/>
        <v>0</v>
      </c>
      <c r="C336" s="40"/>
      <c r="D336" s="40"/>
      <c r="E336" s="40"/>
      <c r="F336" s="13">
        <f t="shared" ca="1" si="177"/>
        <v>0</v>
      </c>
      <c r="G336" s="17">
        <f t="shared" ca="1" si="177"/>
        <v>0</v>
      </c>
      <c r="H336" s="17">
        <f t="shared" ca="1" si="177"/>
        <v>0</v>
      </c>
      <c r="I336" s="13">
        <f t="shared" ca="1" si="177"/>
        <v>0</v>
      </c>
      <c r="J336" s="16"/>
      <c r="K336" s="13">
        <f t="shared" ca="1" si="178"/>
        <v>0</v>
      </c>
      <c r="L336" s="15">
        <f t="shared" ca="1" si="172"/>
        <v>1</v>
      </c>
      <c r="M336" s="15"/>
      <c r="N336" s="15">
        <f t="shared" ca="1" si="171"/>
        <v>0</v>
      </c>
    </row>
    <row r="337" spans="1:14" x14ac:dyDescent="0.4">
      <c r="A337" s="11" t="s">
        <v>8</v>
      </c>
      <c r="B337" s="40">
        <f t="shared" ref="B337:I339" ca="1" si="179">OFFSET(B337,-12,0)</f>
        <v>0</v>
      </c>
      <c r="C337" s="40"/>
      <c r="D337" s="40"/>
      <c r="E337" s="40"/>
      <c r="F337" s="13">
        <f t="shared" ca="1" si="179"/>
        <v>0</v>
      </c>
      <c r="G337" s="17">
        <f t="shared" ca="1" si="179"/>
        <v>0</v>
      </c>
      <c r="H337" s="17">
        <f t="shared" ca="1" si="179"/>
        <v>0</v>
      </c>
      <c r="I337" s="13">
        <f t="shared" ca="1" si="179"/>
        <v>0</v>
      </c>
      <c r="J337" s="16"/>
      <c r="K337" s="13">
        <f t="shared" ref="K337:K339" ca="1" si="180">OFFSET(K337,-12,0)</f>
        <v>0</v>
      </c>
      <c r="L337" s="15">
        <f t="shared" ca="1" si="172"/>
        <v>1</v>
      </c>
      <c r="M337" s="15"/>
      <c r="N337" s="15">
        <f t="shared" ca="1" si="171"/>
        <v>0</v>
      </c>
    </row>
    <row r="338" spans="1:14" x14ac:dyDescent="0.4">
      <c r="A338" s="11" t="s">
        <v>8</v>
      </c>
      <c r="B338" s="40">
        <f t="shared" ca="1" si="179"/>
        <v>0</v>
      </c>
      <c r="C338" s="40"/>
      <c r="D338" s="40"/>
      <c r="E338" s="40"/>
      <c r="F338" s="13">
        <f t="shared" ca="1" si="179"/>
        <v>0</v>
      </c>
      <c r="G338" s="17">
        <f t="shared" ca="1" si="179"/>
        <v>0</v>
      </c>
      <c r="H338" s="17">
        <f t="shared" ca="1" si="179"/>
        <v>0</v>
      </c>
      <c r="I338" s="13">
        <f t="shared" ca="1" si="179"/>
        <v>0</v>
      </c>
      <c r="J338" s="16"/>
      <c r="K338" s="13">
        <f t="shared" ca="1" si="180"/>
        <v>0</v>
      </c>
      <c r="L338" s="15">
        <f t="shared" ca="1" si="172"/>
        <v>1</v>
      </c>
      <c r="M338" s="15"/>
      <c r="N338" s="15">
        <f t="shared" ca="1" si="171"/>
        <v>0</v>
      </c>
    </row>
    <row r="339" spans="1:14" x14ac:dyDescent="0.4">
      <c r="A339" s="11" t="s">
        <v>8</v>
      </c>
      <c r="B339" s="40">
        <f t="shared" ca="1" si="179"/>
        <v>0</v>
      </c>
      <c r="C339" s="40"/>
      <c r="D339" s="40"/>
      <c r="E339" s="40"/>
      <c r="F339" s="13">
        <f t="shared" ca="1" si="179"/>
        <v>0</v>
      </c>
      <c r="G339" s="17">
        <f t="shared" ca="1" si="179"/>
        <v>0</v>
      </c>
      <c r="H339" s="17">
        <f t="shared" ca="1" si="179"/>
        <v>0</v>
      </c>
      <c r="I339" s="13">
        <f t="shared" ca="1" si="179"/>
        <v>0</v>
      </c>
      <c r="J339" s="16"/>
      <c r="K339" s="13">
        <f t="shared" ca="1" si="180"/>
        <v>0</v>
      </c>
      <c r="L339" s="15">
        <f t="shared" ca="1" si="172"/>
        <v>1</v>
      </c>
      <c r="M339" s="15"/>
      <c r="N339" s="15">
        <f t="shared" ca="1" si="171"/>
        <v>0</v>
      </c>
    </row>
    <row r="340" spans="1:14" x14ac:dyDescent="0.4">
      <c r="A340" s="11" t="s">
        <v>9</v>
      </c>
      <c r="B340" s="41">
        <f t="shared" ref="B340:H342" ca="1" si="181">OFFSET(B340,-15,0)</f>
        <v>0</v>
      </c>
      <c r="C340" s="41"/>
      <c r="D340" s="41"/>
      <c r="E340" s="41"/>
      <c r="F340" s="19">
        <f t="shared" ca="1" si="181"/>
        <v>0</v>
      </c>
      <c r="G340" s="20">
        <f t="shared" ca="1" si="181"/>
        <v>0</v>
      </c>
      <c r="H340" s="20">
        <f ca="1">OFFSET(H340,-15,0)</f>
        <v>0</v>
      </c>
      <c r="I340" s="13">
        <f t="shared" ref="I340:I342" ca="1" si="182">OFFSET(I340,-15,0)</f>
        <v>0</v>
      </c>
      <c r="J340" s="16"/>
      <c r="K340" s="19">
        <f t="shared" ref="K340:K342" ca="1" si="183">OFFSET(K340,-15,0)</f>
        <v>0</v>
      </c>
      <c r="L340" s="15">
        <f t="shared" ca="1" si="172"/>
        <v>1</v>
      </c>
      <c r="M340" s="15"/>
      <c r="N340" s="15">
        <f t="shared" ca="1" si="171"/>
        <v>0</v>
      </c>
    </row>
    <row r="341" spans="1:14" x14ac:dyDescent="0.4">
      <c r="A341" s="11" t="s">
        <v>9</v>
      </c>
      <c r="B341" s="41">
        <f t="shared" ca="1" si="181"/>
        <v>0</v>
      </c>
      <c r="C341" s="41"/>
      <c r="D341" s="41"/>
      <c r="E341" s="41"/>
      <c r="F341" s="19">
        <f t="shared" ca="1" si="181"/>
        <v>0</v>
      </c>
      <c r="G341" s="20">
        <f t="shared" ca="1" si="181"/>
        <v>0</v>
      </c>
      <c r="H341" s="20">
        <f t="shared" ca="1" si="181"/>
        <v>0</v>
      </c>
      <c r="I341" s="13">
        <f t="shared" ca="1" si="182"/>
        <v>0</v>
      </c>
      <c r="J341" s="16"/>
      <c r="K341" s="19">
        <f t="shared" ca="1" si="183"/>
        <v>0</v>
      </c>
      <c r="L341" s="15">
        <f t="shared" ca="1" si="172"/>
        <v>1</v>
      </c>
      <c r="M341" s="15"/>
      <c r="N341" s="15">
        <f t="shared" ca="1" si="171"/>
        <v>0</v>
      </c>
    </row>
    <row r="342" spans="1:14" x14ac:dyDescent="0.4">
      <c r="A342" s="11" t="s">
        <v>9</v>
      </c>
      <c r="B342" s="41">
        <f t="shared" ca="1" si="181"/>
        <v>0</v>
      </c>
      <c r="C342" s="41"/>
      <c r="D342" s="41"/>
      <c r="E342" s="41"/>
      <c r="F342" s="19">
        <f t="shared" ca="1" si="181"/>
        <v>0</v>
      </c>
      <c r="G342" s="20">
        <f t="shared" ca="1" si="181"/>
        <v>0</v>
      </c>
      <c r="H342" s="20">
        <f t="shared" ca="1" si="181"/>
        <v>0</v>
      </c>
      <c r="I342" s="13">
        <f t="shared" ca="1" si="182"/>
        <v>0</v>
      </c>
      <c r="J342" s="16"/>
      <c r="K342" s="19">
        <f t="shared" ca="1" si="183"/>
        <v>0</v>
      </c>
      <c r="L342" s="15">
        <f t="shared" ca="1" si="172"/>
        <v>1</v>
      </c>
      <c r="M342" s="15"/>
      <c r="N342" s="15">
        <f t="shared" ca="1" si="171"/>
        <v>0</v>
      </c>
    </row>
    <row r="343" spans="1:14" ht="17.399999999999999" x14ac:dyDescent="0.4">
      <c r="A343" s="74" t="s">
        <v>30</v>
      </c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6"/>
    </row>
    <row r="344" spans="1:14" x14ac:dyDescent="0.4">
      <c r="A344" s="11" t="s">
        <v>5</v>
      </c>
      <c r="B344" s="40"/>
      <c r="C344" s="40"/>
      <c r="D344" s="40"/>
      <c r="E344" s="40"/>
      <c r="F344" s="13"/>
      <c r="G344" s="11"/>
      <c r="H344" s="17"/>
      <c r="I344" s="13"/>
      <c r="J344" s="16"/>
      <c r="K344" s="13"/>
      <c r="L344" s="15">
        <f>ROUND((10^(K344/10))/(10^(I344/10)),3)</f>
        <v>1</v>
      </c>
      <c r="M344" s="15"/>
      <c r="N344" s="15">
        <f t="shared" ref="N344:N361" si="184">J344*L344</f>
        <v>0</v>
      </c>
    </row>
    <row r="345" spans="1:14" x14ac:dyDescent="0.4">
      <c r="A345" s="11" t="s">
        <v>5</v>
      </c>
      <c r="B345" s="40"/>
      <c r="C345" s="40"/>
      <c r="D345" s="40"/>
      <c r="E345" s="40"/>
      <c r="F345" s="13"/>
      <c r="G345" s="11"/>
      <c r="H345" s="17"/>
      <c r="I345" s="13"/>
      <c r="J345" s="16"/>
      <c r="K345" s="13"/>
      <c r="L345" s="15">
        <f t="shared" ref="L345:L361" si="185">ROUND((10^(K345/10))/(10^(I345/10)),3)</f>
        <v>1</v>
      </c>
      <c r="M345" s="15"/>
      <c r="N345" s="15">
        <f t="shared" si="184"/>
        <v>0</v>
      </c>
    </row>
    <row r="346" spans="1:14" x14ac:dyDescent="0.4">
      <c r="A346" s="11" t="s">
        <v>5</v>
      </c>
      <c r="B346" s="40"/>
      <c r="C346" s="40"/>
      <c r="D346" s="40"/>
      <c r="E346" s="40"/>
      <c r="F346" s="13"/>
      <c r="G346" s="11"/>
      <c r="H346" s="17"/>
      <c r="I346" s="13"/>
      <c r="J346" s="16"/>
      <c r="K346" s="13"/>
      <c r="L346" s="15">
        <f t="shared" si="185"/>
        <v>1</v>
      </c>
      <c r="M346" s="15"/>
      <c r="N346" s="15">
        <f t="shared" si="184"/>
        <v>0</v>
      </c>
    </row>
    <row r="347" spans="1:14" x14ac:dyDescent="0.4">
      <c r="A347" s="11" t="s">
        <v>6</v>
      </c>
      <c r="B347" s="41">
        <f t="shared" ref="B347:I349" ca="1" si="186">OFFSET(B347,-3,0)</f>
        <v>0</v>
      </c>
      <c r="C347" s="41"/>
      <c r="D347" s="41"/>
      <c r="E347" s="41"/>
      <c r="F347" s="19">
        <f t="shared" ca="1" si="186"/>
        <v>0</v>
      </c>
      <c r="G347" s="20">
        <f t="shared" ca="1" si="186"/>
        <v>0</v>
      </c>
      <c r="H347" s="20">
        <f t="shared" ca="1" si="186"/>
        <v>0</v>
      </c>
      <c r="I347" s="13">
        <f t="shared" ca="1" si="186"/>
        <v>0</v>
      </c>
      <c r="J347" s="16"/>
      <c r="K347" s="19">
        <f t="shared" ref="K347:K349" ca="1" si="187">OFFSET(K347,-3,0)</f>
        <v>0</v>
      </c>
      <c r="L347" s="15">
        <f t="shared" ca="1" si="185"/>
        <v>1</v>
      </c>
      <c r="M347" s="15"/>
      <c r="N347" s="15">
        <f t="shared" ca="1" si="184"/>
        <v>0</v>
      </c>
    </row>
    <row r="348" spans="1:14" x14ac:dyDescent="0.4">
      <c r="A348" s="11" t="s">
        <v>6</v>
      </c>
      <c r="B348" s="41">
        <f t="shared" ca="1" si="186"/>
        <v>0</v>
      </c>
      <c r="C348" s="41"/>
      <c r="D348" s="41"/>
      <c r="E348" s="41"/>
      <c r="F348" s="19">
        <f t="shared" ca="1" si="186"/>
        <v>0</v>
      </c>
      <c r="G348" s="20">
        <f t="shared" ca="1" si="186"/>
        <v>0</v>
      </c>
      <c r="H348" s="20">
        <f t="shared" ca="1" si="186"/>
        <v>0</v>
      </c>
      <c r="I348" s="13">
        <f t="shared" ca="1" si="186"/>
        <v>0</v>
      </c>
      <c r="J348" s="16"/>
      <c r="K348" s="19">
        <f t="shared" ca="1" si="187"/>
        <v>0</v>
      </c>
      <c r="L348" s="15">
        <f t="shared" ca="1" si="185"/>
        <v>1</v>
      </c>
      <c r="M348" s="15"/>
      <c r="N348" s="15">
        <f t="shared" ca="1" si="184"/>
        <v>0</v>
      </c>
    </row>
    <row r="349" spans="1:14" x14ac:dyDescent="0.4">
      <c r="A349" s="11" t="s">
        <v>6</v>
      </c>
      <c r="B349" s="41">
        <f t="shared" ca="1" si="186"/>
        <v>0</v>
      </c>
      <c r="C349" s="41"/>
      <c r="D349" s="41"/>
      <c r="E349" s="41"/>
      <c r="F349" s="19">
        <f t="shared" ca="1" si="186"/>
        <v>0</v>
      </c>
      <c r="G349" s="20">
        <f t="shared" ca="1" si="186"/>
        <v>0</v>
      </c>
      <c r="H349" s="20">
        <f t="shared" ca="1" si="186"/>
        <v>0</v>
      </c>
      <c r="I349" s="13">
        <f t="shared" ca="1" si="186"/>
        <v>0</v>
      </c>
      <c r="J349" s="16"/>
      <c r="K349" s="19">
        <f t="shared" ca="1" si="187"/>
        <v>0</v>
      </c>
      <c r="L349" s="15">
        <f t="shared" ca="1" si="185"/>
        <v>1</v>
      </c>
      <c r="M349" s="15"/>
      <c r="N349" s="15">
        <f t="shared" ca="1" si="184"/>
        <v>0</v>
      </c>
    </row>
    <row r="350" spans="1:14" x14ac:dyDescent="0.4">
      <c r="A350" s="11" t="s">
        <v>57</v>
      </c>
      <c r="B350" s="40">
        <f t="shared" ref="B350:I352" ca="1" si="188">OFFSET(B350,-6,0)</f>
        <v>0</v>
      </c>
      <c r="C350" s="40"/>
      <c r="D350" s="40"/>
      <c r="E350" s="40"/>
      <c r="F350" s="13">
        <f t="shared" ca="1" si="188"/>
        <v>0</v>
      </c>
      <c r="G350" s="17">
        <f t="shared" ca="1" si="188"/>
        <v>0</v>
      </c>
      <c r="H350" s="17">
        <f t="shared" ca="1" si="188"/>
        <v>0</v>
      </c>
      <c r="I350" s="13">
        <f t="shared" ca="1" si="188"/>
        <v>0</v>
      </c>
      <c r="J350" s="16"/>
      <c r="K350" s="13">
        <f t="shared" ref="K350:K352" ca="1" si="189">OFFSET(K350,-6,0)</f>
        <v>0</v>
      </c>
      <c r="L350" s="15">
        <f t="shared" ca="1" si="185"/>
        <v>1</v>
      </c>
      <c r="M350" s="15"/>
      <c r="N350" s="15">
        <f t="shared" ca="1" si="184"/>
        <v>0</v>
      </c>
    </row>
    <row r="351" spans="1:14" x14ac:dyDescent="0.4">
      <c r="A351" s="11" t="s">
        <v>57</v>
      </c>
      <c r="B351" s="40">
        <f t="shared" ca="1" si="188"/>
        <v>0</v>
      </c>
      <c r="C351" s="40"/>
      <c r="D351" s="40"/>
      <c r="E351" s="40"/>
      <c r="F351" s="13">
        <f t="shared" ca="1" si="188"/>
        <v>0</v>
      </c>
      <c r="G351" s="17">
        <f t="shared" ca="1" si="188"/>
        <v>0</v>
      </c>
      <c r="H351" s="17">
        <f t="shared" ca="1" si="188"/>
        <v>0</v>
      </c>
      <c r="I351" s="13">
        <f t="shared" ca="1" si="188"/>
        <v>0</v>
      </c>
      <c r="J351" s="16"/>
      <c r="K351" s="13">
        <f t="shared" ca="1" si="189"/>
        <v>0</v>
      </c>
      <c r="L351" s="15">
        <f t="shared" ca="1" si="185"/>
        <v>1</v>
      </c>
      <c r="M351" s="15"/>
      <c r="N351" s="15">
        <f t="shared" ca="1" si="184"/>
        <v>0</v>
      </c>
    </row>
    <row r="352" spans="1:14" x14ac:dyDescent="0.4">
      <c r="A352" s="11" t="s">
        <v>57</v>
      </c>
      <c r="B352" s="40">
        <f t="shared" ca="1" si="188"/>
        <v>0</v>
      </c>
      <c r="C352" s="40"/>
      <c r="D352" s="40"/>
      <c r="E352" s="40"/>
      <c r="F352" s="13">
        <f t="shared" ca="1" si="188"/>
        <v>0</v>
      </c>
      <c r="G352" s="17">
        <f t="shared" ca="1" si="188"/>
        <v>0</v>
      </c>
      <c r="H352" s="17">
        <f t="shared" ca="1" si="188"/>
        <v>0</v>
      </c>
      <c r="I352" s="13">
        <f t="shared" ca="1" si="188"/>
        <v>0</v>
      </c>
      <c r="J352" s="16"/>
      <c r="K352" s="13">
        <f t="shared" ca="1" si="189"/>
        <v>0</v>
      </c>
      <c r="L352" s="15">
        <f t="shared" ca="1" si="185"/>
        <v>1</v>
      </c>
      <c r="M352" s="15"/>
      <c r="N352" s="15">
        <f t="shared" ca="1" si="184"/>
        <v>0</v>
      </c>
    </row>
    <row r="353" spans="1:14" x14ac:dyDescent="0.4">
      <c r="A353" s="11" t="s">
        <v>7</v>
      </c>
      <c r="B353" s="40">
        <f t="shared" ref="B353:I355" ca="1" si="190">OFFSET(B353,-9,0)</f>
        <v>0</v>
      </c>
      <c r="C353" s="40"/>
      <c r="D353" s="40"/>
      <c r="E353" s="40"/>
      <c r="F353" s="13">
        <f t="shared" ca="1" si="190"/>
        <v>0</v>
      </c>
      <c r="G353" s="17">
        <f t="shared" ca="1" si="190"/>
        <v>0</v>
      </c>
      <c r="H353" s="17">
        <f t="shared" ca="1" si="190"/>
        <v>0</v>
      </c>
      <c r="I353" s="13">
        <f t="shared" ca="1" si="190"/>
        <v>0</v>
      </c>
      <c r="J353" s="16"/>
      <c r="K353" s="13">
        <f t="shared" ref="K353:K355" ca="1" si="191">OFFSET(K353,-9,0)</f>
        <v>0</v>
      </c>
      <c r="L353" s="15">
        <f t="shared" ca="1" si="185"/>
        <v>1</v>
      </c>
      <c r="M353" s="15"/>
      <c r="N353" s="15">
        <f t="shared" ca="1" si="184"/>
        <v>0</v>
      </c>
    </row>
    <row r="354" spans="1:14" x14ac:dyDescent="0.4">
      <c r="A354" s="11" t="s">
        <v>7</v>
      </c>
      <c r="B354" s="40">
        <f t="shared" ca="1" si="190"/>
        <v>0</v>
      </c>
      <c r="C354" s="40"/>
      <c r="D354" s="40"/>
      <c r="E354" s="40"/>
      <c r="F354" s="13">
        <f t="shared" ca="1" si="190"/>
        <v>0</v>
      </c>
      <c r="G354" s="17">
        <f t="shared" ca="1" si="190"/>
        <v>0</v>
      </c>
      <c r="H354" s="17">
        <f t="shared" ca="1" si="190"/>
        <v>0</v>
      </c>
      <c r="I354" s="13">
        <f t="shared" ca="1" si="190"/>
        <v>0</v>
      </c>
      <c r="J354" s="16"/>
      <c r="K354" s="13">
        <f t="shared" ca="1" si="191"/>
        <v>0</v>
      </c>
      <c r="L354" s="15">
        <f t="shared" ca="1" si="185"/>
        <v>1</v>
      </c>
      <c r="M354" s="15"/>
      <c r="N354" s="15">
        <f t="shared" ca="1" si="184"/>
        <v>0</v>
      </c>
    </row>
    <row r="355" spans="1:14" x14ac:dyDescent="0.4">
      <c r="A355" s="11" t="s">
        <v>7</v>
      </c>
      <c r="B355" s="40">
        <f t="shared" ca="1" si="190"/>
        <v>0</v>
      </c>
      <c r="C355" s="40"/>
      <c r="D355" s="40"/>
      <c r="E355" s="40"/>
      <c r="F355" s="13">
        <f t="shared" ca="1" si="190"/>
        <v>0</v>
      </c>
      <c r="G355" s="17">
        <f t="shared" ca="1" si="190"/>
        <v>0</v>
      </c>
      <c r="H355" s="17">
        <f t="shared" ca="1" si="190"/>
        <v>0</v>
      </c>
      <c r="I355" s="13">
        <f t="shared" ca="1" si="190"/>
        <v>0</v>
      </c>
      <c r="J355" s="16"/>
      <c r="K355" s="13">
        <f t="shared" ca="1" si="191"/>
        <v>0</v>
      </c>
      <c r="L355" s="15">
        <f t="shared" ca="1" si="185"/>
        <v>1</v>
      </c>
      <c r="M355" s="15"/>
      <c r="N355" s="15">
        <f t="shared" ca="1" si="184"/>
        <v>0</v>
      </c>
    </row>
    <row r="356" spans="1:14" x14ac:dyDescent="0.4">
      <c r="A356" s="11" t="s">
        <v>8</v>
      </c>
      <c r="B356" s="40">
        <f t="shared" ref="B356:I358" ca="1" si="192">OFFSET(B356,-12,0)</f>
        <v>0</v>
      </c>
      <c r="C356" s="40"/>
      <c r="D356" s="40"/>
      <c r="E356" s="40"/>
      <c r="F356" s="13">
        <f t="shared" ca="1" si="192"/>
        <v>0</v>
      </c>
      <c r="G356" s="17">
        <f t="shared" ca="1" si="192"/>
        <v>0</v>
      </c>
      <c r="H356" s="17">
        <f t="shared" ca="1" si="192"/>
        <v>0</v>
      </c>
      <c r="I356" s="13">
        <f t="shared" ca="1" si="192"/>
        <v>0</v>
      </c>
      <c r="J356" s="16"/>
      <c r="K356" s="13">
        <f t="shared" ref="K356:K358" ca="1" si="193">OFFSET(K356,-12,0)</f>
        <v>0</v>
      </c>
      <c r="L356" s="15">
        <f t="shared" ca="1" si="185"/>
        <v>1</v>
      </c>
      <c r="M356" s="15"/>
      <c r="N356" s="15">
        <f t="shared" ca="1" si="184"/>
        <v>0</v>
      </c>
    </row>
    <row r="357" spans="1:14" x14ac:dyDescent="0.4">
      <c r="A357" s="11" t="s">
        <v>8</v>
      </c>
      <c r="B357" s="40">
        <f t="shared" ca="1" si="192"/>
        <v>0</v>
      </c>
      <c r="C357" s="40"/>
      <c r="D357" s="40"/>
      <c r="E357" s="40"/>
      <c r="F357" s="13">
        <f t="shared" ca="1" si="192"/>
        <v>0</v>
      </c>
      <c r="G357" s="17">
        <f t="shared" ca="1" si="192"/>
        <v>0</v>
      </c>
      <c r="H357" s="17">
        <f t="shared" ca="1" si="192"/>
        <v>0</v>
      </c>
      <c r="I357" s="13">
        <f t="shared" ca="1" si="192"/>
        <v>0</v>
      </c>
      <c r="J357" s="16"/>
      <c r="K357" s="13">
        <f t="shared" ca="1" si="193"/>
        <v>0</v>
      </c>
      <c r="L357" s="15">
        <f t="shared" ca="1" si="185"/>
        <v>1</v>
      </c>
      <c r="M357" s="15"/>
      <c r="N357" s="15">
        <f t="shared" ca="1" si="184"/>
        <v>0</v>
      </c>
    </row>
    <row r="358" spans="1:14" x14ac:dyDescent="0.4">
      <c r="A358" s="11" t="s">
        <v>8</v>
      </c>
      <c r="B358" s="40">
        <f t="shared" ca="1" si="192"/>
        <v>0</v>
      </c>
      <c r="C358" s="40"/>
      <c r="D358" s="40"/>
      <c r="E358" s="40"/>
      <c r="F358" s="13">
        <f t="shared" ca="1" si="192"/>
        <v>0</v>
      </c>
      <c r="G358" s="17">
        <f t="shared" ca="1" si="192"/>
        <v>0</v>
      </c>
      <c r="H358" s="17">
        <f t="shared" ca="1" si="192"/>
        <v>0</v>
      </c>
      <c r="I358" s="13">
        <f t="shared" ca="1" si="192"/>
        <v>0</v>
      </c>
      <c r="J358" s="16"/>
      <c r="K358" s="13">
        <f t="shared" ca="1" si="193"/>
        <v>0</v>
      </c>
      <c r="L358" s="15">
        <f t="shared" ca="1" si="185"/>
        <v>1</v>
      </c>
      <c r="M358" s="15"/>
      <c r="N358" s="15">
        <f t="shared" ca="1" si="184"/>
        <v>0</v>
      </c>
    </row>
    <row r="359" spans="1:14" x14ac:dyDescent="0.4">
      <c r="A359" s="11" t="s">
        <v>9</v>
      </c>
      <c r="B359" s="41">
        <f t="shared" ref="B359:I361" ca="1" si="194">OFFSET(B359,-15,0)</f>
        <v>0</v>
      </c>
      <c r="C359" s="41"/>
      <c r="D359" s="41"/>
      <c r="E359" s="41"/>
      <c r="F359" s="19">
        <f t="shared" ca="1" si="194"/>
        <v>0</v>
      </c>
      <c r="G359" s="20">
        <f t="shared" ca="1" si="194"/>
        <v>0</v>
      </c>
      <c r="H359" s="20">
        <f t="shared" ca="1" si="194"/>
        <v>0</v>
      </c>
      <c r="I359" s="13">
        <f t="shared" ca="1" si="194"/>
        <v>0</v>
      </c>
      <c r="J359" s="16"/>
      <c r="K359" s="19">
        <f t="shared" ref="K359:K361" ca="1" si="195">OFFSET(K359,-15,0)</f>
        <v>0</v>
      </c>
      <c r="L359" s="15">
        <f t="shared" ca="1" si="185"/>
        <v>1</v>
      </c>
      <c r="M359" s="15"/>
      <c r="N359" s="15">
        <f t="shared" ca="1" si="184"/>
        <v>0</v>
      </c>
    </row>
    <row r="360" spans="1:14" x14ac:dyDescent="0.4">
      <c r="A360" s="11" t="s">
        <v>9</v>
      </c>
      <c r="B360" s="41">
        <f t="shared" ca="1" si="194"/>
        <v>0</v>
      </c>
      <c r="C360" s="41"/>
      <c r="D360" s="41"/>
      <c r="E360" s="41"/>
      <c r="F360" s="19">
        <f t="shared" ca="1" si="194"/>
        <v>0</v>
      </c>
      <c r="G360" s="20">
        <f t="shared" ca="1" si="194"/>
        <v>0</v>
      </c>
      <c r="H360" s="20">
        <f t="shared" ca="1" si="194"/>
        <v>0</v>
      </c>
      <c r="I360" s="13">
        <f t="shared" ca="1" si="194"/>
        <v>0</v>
      </c>
      <c r="J360" s="16"/>
      <c r="K360" s="19">
        <f t="shared" ca="1" si="195"/>
        <v>0</v>
      </c>
      <c r="L360" s="15">
        <f t="shared" ca="1" si="185"/>
        <v>1</v>
      </c>
      <c r="M360" s="15"/>
      <c r="N360" s="15">
        <f t="shared" ca="1" si="184"/>
        <v>0</v>
      </c>
    </row>
    <row r="361" spans="1:14" x14ac:dyDescent="0.4">
      <c r="A361" s="11" t="s">
        <v>9</v>
      </c>
      <c r="B361" s="41">
        <f t="shared" ca="1" si="194"/>
        <v>0</v>
      </c>
      <c r="C361" s="41"/>
      <c r="D361" s="41"/>
      <c r="E361" s="41"/>
      <c r="F361" s="19">
        <f t="shared" ca="1" si="194"/>
        <v>0</v>
      </c>
      <c r="G361" s="20">
        <f t="shared" ca="1" si="194"/>
        <v>0</v>
      </c>
      <c r="H361" s="20">
        <f t="shared" ca="1" si="194"/>
        <v>0</v>
      </c>
      <c r="I361" s="13">
        <f t="shared" ca="1" si="194"/>
        <v>0</v>
      </c>
      <c r="J361" s="16"/>
      <c r="K361" s="19">
        <f t="shared" ca="1" si="195"/>
        <v>0</v>
      </c>
      <c r="L361" s="15">
        <f t="shared" ca="1" si="185"/>
        <v>1</v>
      </c>
      <c r="M361" s="15"/>
      <c r="N361" s="15">
        <f t="shared" ca="1" si="184"/>
        <v>0</v>
      </c>
    </row>
    <row r="362" spans="1:14" ht="17.399999999999999" x14ac:dyDescent="0.4">
      <c r="A362" s="77" t="s">
        <v>27</v>
      </c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6"/>
    </row>
    <row r="363" spans="1:14" x14ac:dyDescent="0.4">
      <c r="A363" s="11" t="s">
        <v>5</v>
      </c>
      <c r="B363" s="40"/>
      <c r="C363" s="40"/>
      <c r="D363" s="40"/>
      <c r="E363" s="40"/>
      <c r="F363" s="13"/>
      <c r="G363" s="11"/>
      <c r="H363" s="17"/>
      <c r="I363" s="13"/>
      <c r="J363" s="16"/>
      <c r="K363" s="13"/>
      <c r="L363" s="15">
        <f>ROUND((10^(K363/10))/(10^(I363/10)),3)</f>
        <v>1</v>
      </c>
      <c r="M363" s="15"/>
      <c r="N363" s="15">
        <f t="shared" ref="N363:N380" si="196">J363*L363</f>
        <v>0</v>
      </c>
    </row>
    <row r="364" spans="1:14" x14ac:dyDescent="0.4">
      <c r="A364" s="11" t="s">
        <v>5</v>
      </c>
      <c r="B364" s="40"/>
      <c r="C364" s="40"/>
      <c r="D364" s="40"/>
      <c r="E364" s="40"/>
      <c r="F364" s="13"/>
      <c r="G364" s="11"/>
      <c r="H364" s="17"/>
      <c r="I364" s="13"/>
      <c r="J364" s="16"/>
      <c r="K364" s="13"/>
      <c r="L364" s="15">
        <f t="shared" ref="L364:L380" si="197">ROUND((10^(K364/10))/(10^(I364/10)),3)</f>
        <v>1</v>
      </c>
      <c r="M364" s="15"/>
      <c r="N364" s="15">
        <f t="shared" si="196"/>
        <v>0</v>
      </c>
    </row>
    <row r="365" spans="1:14" x14ac:dyDescent="0.4">
      <c r="A365" s="11" t="s">
        <v>5</v>
      </c>
      <c r="B365" s="40"/>
      <c r="C365" s="40"/>
      <c r="D365" s="40"/>
      <c r="E365" s="40"/>
      <c r="F365" s="13"/>
      <c r="G365" s="11"/>
      <c r="H365" s="17"/>
      <c r="I365" s="13"/>
      <c r="J365" s="16"/>
      <c r="K365" s="13"/>
      <c r="L365" s="15">
        <f t="shared" si="197"/>
        <v>1</v>
      </c>
      <c r="M365" s="15"/>
      <c r="N365" s="15">
        <f t="shared" si="196"/>
        <v>0</v>
      </c>
    </row>
    <row r="366" spans="1:14" x14ac:dyDescent="0.4">
      <c r="A366" s="11" t="s">
        <v>6</v>
      </c>
      <c r="B366" s="41">
        <f t="shared" ref="B366:I368" ca="1" si="198">OFFSET(B366,-3,0)</f>
        <v>0</v>
      </c>
      <c r="C366" s="41"/>
      <c r="D366" s="41"/>
      <c r="E366" s="41"/>
      <c r="F366" s="19">
        <f t="shared" ca="1" si="198"/>
        <v>0</v>
      </c>
      <c r="G366" s="20">
        <f t="shared" ca="1" si="198"/>
        <v>0</v>
      </c>
      <c r="H366" s="20">
        <f t="shared" ca="1" si="198"/>
        <v>0</v>
      </c>
      <c r="I366" s="13">
        <f t="shared" ca="1" si="198"/>
        <v>0</v>
      </c>
      <c r="J366" s="16"/>
      <c r="K366" s="19">
        <f t="shared" ref="K366:K368" ca="1" si="199">OFFSET(K366,-3,0)</f>
        <v>0</v>
      </c>
      <c r="L366" s="15">
        <f t="shared" ca="1" si="197"/>
        <v>1</v>
      </c>
      <c r="M366" s="15"/>
      <c r="N366" s="15">
        <f t="shared" ca="1" si="196"/>
        <v>0</v>
      </c>
    </row>
    <row r="367" spans="1:14" x14ac:dyDescent="0.4">
      <c r="A367" s="11" t="s">
        <v>6</v>
      </c>
      <c r="B367" s="41">
        <f t="shared" ca="1" si="198"/>
        <v>0</v>
      </c>
      <c r="C367" s="41"/>
      <c r="D367" s="41"/>
      <c r="E367" s="41"/>
      <c r="F367" s="19">
        <f t="shared" ca="1" si="198"/>
        <v>0</v>
      </c>
      <c r="G367" s="20">
        <f t="shared" ca="1" si="198"/>
        <v>0</v>
      </c>
      <c r="H367" s="20">
        <f t="shared" ca="1" si="198"/>
        <v>0</v>
      </c>
      <c r="I367" s="13">
        <f t="shared" ca="1" si="198"/>
        <v>0</v>
      </c>
      <c r="J367" s="16"/>
      <c r="K367" s="19">
        <f t="shared" ca="1" si="199"/>
        <v>0</v>
      </c>
      <c r="L367" s="15">
        <f t="shared" ca="1" si="197"/>
        <v>1</v>
      </c>
      <c r="M367" s="15"/>
      <c r="N367" s="15">
        <f t="shared" ca="1" si="196"/>
        <v>0</v>
      </c>
    </row>
    <row r="368" spans="1:14" x14ac:dyDescent="0.4">
      <c r="A368" s="11" t="s">
        <v>6</v>
      </c>
      <c r="B368" s="41">
        <f t="shared" ca="1" si="198"/>
        <v>0</v>
      </c>
      <c r="C368" s="41"/>
      <c r="D368" s="41"/>
      <c r="E368" s="41"/>
      <c r="F368" s="19">
        <f t="shared" ca="1" si="198"/>
        <v>0</v>
      </c>
      <c r="G368" s="20">
        <f t="shared" ca="1" si="198"/>
        <v>0</v>
      </c>
      <c r="H368" s="20">
        <f t="shared" ca="1" si="198"/>
        <v>0</v>
      </c>
      <c r="I368" s="13">
        <f t="shared" ca="1" si="198"/>
        <v>0</v>
      </c>
      <c r="J368" s="16"/>
      <c r="K368" s="19">
        <f t="shared" ca="1" si="199"/>
        <v>0</v>
      </c>
      <c r="L368" s="15">
        <f t="shared" ca="1" si="197"/>
        <v>1</v>
      </c>
      <c r="M368" s="15"/>
      <c r="N368" s="15">
        <f t="shared" ca="1" si="196"/>
        <v>0</v>
      </c>
    </row>
    <row r="369" spans="1:14" x14ac:dyDescent="0.4">
      <c r="A369" s="11" t="s">
        <v>57</v>
      </c>
      <c r="B369" s="40">
        <f t="shared" ref="B369:I371" ca="1" si="200">OFFSET(B369,-6,0)</f>
        <v>0</v>
      </c>
      <c r="C369" s="40"/>
      <c r="D369" s="40"/>
      <c r="E369" s="40"/>
      <c r="F369" s="13">
        <f t="shared" ca="1" si="200"/>
        <v>0</v>
      </c>
      <c r="G369" s="17">
        <f t="shared" ca="1" si="200"/>
        <v>0</v>
      </c>
      <c r="H369" s="17">
        <f t="shared" ca="1" si="200"/>
        <v>0</v>
      </c>
      <c r="I369" s="13">
        <f t="shared" ca="1" si="200"/>
        <v>0</v>
      </c>
      <c r="J369" s="16"/>
      <c r="K369" s="13">
        <f t="shared" ref="K369:K371" ca="1" si="201">OFFSET(K369,-6,0)</f>
        <v>0</v>
      </c>
      <c r="L369" s="15">
        <f t="shared" ca="1" si="197"/>
        <v>1</v>
      </c>
      <c r="M369" s="15"/>
      <c r="N369" s="15">
        <f t="shared" ca="1" si="196"/>
        <v>0</v>
      </c>
    </row>
    <row r="370" spans="1:14" x14ac:dyDescent="0.4">
      <c r="A370" s="11" t="s">
        <v>57</v>
      </c>
      <c r="B370" s="40">
        <f t="shared" ca="1" si="200"/>
        <v>0</v>
      </c>
      <c r="C370" s="40"/>
      <c r="D370" s="40"/>
      <c r="E370" s="40"/>
      <c r="F370" s="13">
        <f t="shared" ca="1" si="200"/>
        <v>0</v>
      </c>
      <c r="G370" s="17">
        <f t="shared" ca="1" si="200"/>
        <v>0</v>
      </c>
      <c r="H370" s="17">
        <f t="shared" ca="1" si="200"/>
        <v>0</v>
      </c>
      <c r="I370" s="13">
        <f t="shared" ca="1" si="200"/>
        <v>0</v>
      </c>
      <c r="J370" s="16"/>
      <c r="K370" s="13">
        <f t="shared" ca="1" si="201"/>
        <v>0</v>
      </c>
      <c r="L370" s="15">
        <f t="shared" ca="1" si="197"/>
        <v>1</v>
      </c>
      <c r="M370" s="15"/>
      <c r="N370" s="15">
        <f t="shared" ca="1" si="196"/>
        <v>0</v>
      </c>
    </row>
    <row r="371" spans="1:14" x14ac:dyDescent="0.4">
      <c r="A371" s="11" t="s">
        <v>57</v>
      </c>
      <c r="B371" s="40">
        <f t="shared" ca="1" si="200"/>
        <v>0</v>
      </c>
      <c r="C371" s="40"/>
      <c r="D371" s="40"/>
      <c r="E371" s="40"/>
      <c r="F371" s="13">
        <f t="shared" ca="1" si="200"/>
        <v>0</v>
      </c>
      <c r="G371" s="17">
        <f t="shared" ca="1" si="200"/>
        <v>0</v>
      </c>
      <c r="H371" s="17">
        <f t="shared" ca="1" si="200"/>
        <v>0</v>
      </c>
      <c r="I371" s="13">
        <f t="shared" ca="1" si="200"/>
        <v>0</v>
      </c>
      <c r="J371" s="16"/>
      <c r="K371" s="13">
        <f t="shared" ca="1" si="201"/>
        <v>0</v>
      </c>
      <c r="L371" s="15">
        <f t="shared" ca="1" si="197"/>
        <v>1</v>
      </c>
      <c r="M371" s="15"/>
      <c r="N371" s="15">
        <f t="shared" ca="1" si="196"/>
        <v>0</v>
      </c>
    </row>
    <row r="372" spans="1:14" x14ac:dyDescent="0.4">
      <c r="A372" s="11" t="s">
        <v>7</v>
      </c>
      <c r="B372" s="40">
        <f t="shared" ref="B372:I374" ca="1" si="202">OFFSET(B372,-9,0)</f>
        <v>0</v>
      </c>
      <c r="C372" s="40"/>
      <c r="D372" s="40"/>
      <c r="E372" s="40"/>
      <c r="F372" s="13">
        <f t="shared" ca="1" si="202"/>
        <v>0</v>
      </c>
      <c r="G372" s="17">
        <f t="shared" ca="1" si="202"/>
        <v>0</v>
      </c>
      <c r="H372" s="17">
        <f t="shared" ca="1" si="202"/>
        <v>0</v>
      </c>
      <c r="I372" s="13">
        <f t="shared" ca="1" si="202"/>
        <v>0</v>
      </c>
      <c r="J372" s="16"/>
      <c r="K372" s="13">
        <f t="shared" ref="K372:K374" ca="1" si="203">OFFSET(K372,-9,0)</f>
        <v>0</v>
      </c>
      <c r="L372" s="15">
        <f t="shared" ca="1" si="197"/>
        <v>1</v>
      </c>
      <c r="M372" s="15"/>
      <c r="N372" s="15">
        <f t="shared" ca="1" si="196"/>
        <v>0</v>
      </c>
    </row>
    <row r="373" spans="1:14" x14ac:dyDescent="0.4">
      <c r="A373" s="11" t="s">
        <v>7</v>
      </c>
      <c r="B373" s="40">
        <f t="shared" ca="1" si="202"/>
        <v>0</v>
      </c>
      <c r="C373" s="40"/>
      <c r="D373" s="40"/>
      <c r="E373" s="40"/>
      <c r="F373" s="13">
        <f t="shared" ca="1" si="202"/>
        <v>0</v>
      </c>
      <c r="G373" s="17">
        <f t="shared" ca="1" si="202"/>
        <v>0</v>
      </c>
      <c r="H373" s="17">
        <f t="shared" ca="1" si="202"/>
        <v>0</v>
      </c>
      <c r="I373" s="13">
        <f t="shared" ca="1" si="202"/>
        <v>0</v>
      </c>
      <c r="J373" s="16"/>
      <c r="K373" s="13">
        <f t="shared" ca="1" si="203"/>
        <v>0</v>
      </c>
      <c r="L373" s="15">
        <f t="shared" ca="1" si="197"/>
        <v>1</v>
      </c>
      <c r="M373" s="15"/>
      <c r="N373" s="15">
        <f t="shared" ca="1" si="196"/>
        <v>0</v>
      </c>
    </row>
    <row r="374" spans="1:14" x14ac:dyDescent="0.4">
      <c r="A374" s="11" t="s">
        <v>7</v>
      </c>
      <c r="B374" s="40">
        <f t="shared" ca="1" si="202"/>
        <v>0</v>
      </c>
      <c r="C374" s="40"/>
      <c r="D374" s="40"/>
      <c r="E374" s="40"/>
      <c r="F374" s="13">
        <f t="shared" ca="1" si="202"/>
        <v>0</v>
      </c>
      <c r="G374" s="17">
        <f t="shared" ca="1" si="202"/>
        <v>0</v>
      </c>
      <c r="H374" s="17">
        <f t="shared" ca="1" si="202"/>
        <v>0</v>
      </c>
      <c r="I374" s="13">
        <f t="shared" ca="1" si="202"/>
        <v>0</v>
      </c>
      <c r="J374" s="16"/>
      <c r="K374" s="13">
        <f t="shared" ca="1" si="203"/>
        <v>0</v>
      </c>
      <c r="L374" s="15">
        <f t="shared" ca="1" si="197"/>
        <v>1</v>
      </c>
      <c r="M374" s="15"/>
      <c r="N374" s="15">
        <f t="shared" ca="1" si="196"/>
        <v>0</v>
      </c>
    </row>
    <row r="375" spans="1:14" x14ac:dyDescent="0.4">
      <c r="A375" s="11" t="s">
        <v>8</v>
      </c>
      <c r="B375" s="40">
        <f t="shared" ref="B375:I377" ca="1" si="204">OFFSET(B375,-12,0)</f>
        <v>0</v>
      </c>
      <c r="C375" s="40"/>
      <c r="D375" s="40"/>
      <c r="E375" s="40"/>
      <c r="F375" s="13">
        <f t="shared" ca="1" si="204"/>
        <v>0</v>
      </c>
      <c r="G375" s="17">
        <f t="shared" ca="1" si="204"/>
        <v>0</v>
      </c>
      <c r="H375" s="17">
        <f t="shared" ca="1" si="204"/>
        <v>0</v>
      </c>
      <c r="I375" s="13">
        <f t="shared" ca="1" si="204"/>
        <v>0</v>
      </c>
      <c r="J375" s="16"/>
      <c r="K375" s="13">
        <f t="shared" ref="K375:K377" ca="1" si="205">OFFSET(K375,-12,0)</f>
        <v>0</v>
      </c>
      <c r="L375" s="15">
        <f t="shared" ca="1" si="197"/>
        <v>1</v>
      </c>
      <c r="M375" s="15"/>
      <c r="N375" s="15">
        <f t="shared" ca="1" si="196"/>
        <v>0</v>
      </c>
    </row>
    <row r="376" spans="1:14" x14ac:dyDescent="0.4">
      <c r="A376" s="11" t="s">
        <v>8</v>
      </c>
      <c r="B376" s="40">
        <f t="shared" ca="1" si="204"/>
        <v>0</v>
      </c>
      <c r="C376" s="40"/>
      <c r="D376" s="40"/>
      <c r="E376" s="40"/>
      <c r="F376" s="13">
        <f t="shared" ca="1" si="204"/>
        <v>0</v>
      </c>
      <c r="G376" s="17">
        <f t="shared" ca="1" si="204"/>
        <v>0</v>
      </c>
      <c r="H376" s="17">
        <f t="shared" ca="1" si="204"/>
        <v>0</v>
      </c>
      <c r="I376" s="13">
        <f t="shared" ca="1" si="204"/>
        <v>0</v>
      </c>
      <c r="J376" s="16"/>
      <c r="K376" s="13">
        <f t="shared" ca="1" si="205"/>
        <v>0</v>
      </c>
      <c r="L376" s="15">
        <f t="shared" ca="1" si="197"/>
        <v>1</v>
      </c>
      <c r="M376" s="15"/>
      <c r="N376" s="15">
        <f t="shared" ca="1" si="196"/>
        <v>0</v>
      </c>
    </row>
    <row r="377" spans="1:14" x14ac:dyDescent="0.4">
      <c r="A377" s="11" t="s">
        <v>8</v>
      </c>
      <c r="B377" s="40">
        <f t="shared" ca="1" si="204"/>
        <v>0</v>
      </c>
      <c r="C377" s="40"/>
      <c r="D377" s="40"/>
      <c r="E377" s="40"/>
      <c r="F377" s="13">
        <f t="shared" ca="1" si="204"/>
        <v>0</v>
      </c>
      <c r="G377" s="17">
        <f t="shared" ca="1" si="204"/>
        <v>0</v>
      </c>
      <c r="H377" s="17">
        <f t="shared" ca="1" si="204"/>
        <v>0</v>
      </c>
      <c r="I377" s="13">
        <f t="shared" ca="1" si="204"/>
        <v>0</v>
      </c>
      <c r="J377" s="16"/>
      <c r="K377" s="13">
        <f t="shared" ca="1" si="205"/>
        <v>0</v>
      </c>
      <c r="L377" s="15">
        <f t="shared" ca="1" si="197"/>
        <v>1</v>
      </c>
      <c r="M377" s="15"/>
      <c r="N377" s="15">
        <f t="shared" ca="1" si="196"/>
        <v>0</v>
      </c>
    </row>
    <row r="378" spans="1:14" x14ac:dyDescent="0.4">
      <c r="A378" s="11" t="s">
        <v>9</v>
      </c>
      <c r="B378" s="41">
        <f t="shared" ref="B378:I380" ca="1" si="206">OFFSET(B378,-15,0)</f>
        <v>0</v>
      </c>
      <c r="C378" s="41"/>
      <c r="D378" s="41"/>
      <c r="E378" s="41"/>
      <c r="F378" s="19">
        <f t="shared" ca="1" si="206"/>
        <v>0</v>
      </c>
      <c r="G378" s="20">
        <f t="shared" ca="1" si="206"/>
        <v>0</v>
      </c>
      <c r="H378" s="20">
        <f t="shared" ca="1" si="206"/>
        <v>0</v>
      </c>
      <c r="I378" s="13">
        <f t="shared" ca="1" si="206"/>
        <v>0</v>
      </c>
      <c r="J378" s="16"/>
      <c r="K378" s="19">
        <f t="shared" ref="K378:K380" ca="1" si="207">OFFSET(K378,-15,0)</f>
        <v>0</v>
      </c>
      <c r="L378" s="15">
        <f t="shared" ca="1" si="197"/>
        <v>1</v>
      </c>
      <c r="M378" s="15"/>
      <c r="N378" s="15">
        <f t="shared" ca="1" si="196"/>
        <v>0</v>
      </c>
    </row>
    <row r="379" spans="1:14" x14ac:dyDescent="0.4">
      <c r="A379" s="11" t="s">
        <v>9</v>
      </c>
      <c r="B379" s="41">
        <f t="shared" ca="1" si="206"/>
        <v>0</v>
      </c>
      <c r="C379" s="41"/>
      <c r="D379" s="41"/>
      <c r="E379" s="41"/>
      <c r="F379" s="19">
        <f t="shared" ca="1" si="206"/>
        <v>0</v>
      </c>
      <c r="G379" s="20">
        <f t="shared" ca="1" si="206"/>
        <v>0</v>
      </c>
      <c r="H379" s="20">
        <f t="shared" ca="1" si="206"/>
        <v>0</v>
      </c>
      <c r="I379" s="13">
        <f t="shared" ca="1" si="206"/>
        <v>0</v>
      </c>
      <c r="J379" s="16"/>
      <c r="K379" s="19">
        <f t="shared" ca="1" si="207"/>
        <v>0</v>
      </c>
      <c r="L379" s="15">
        <f t="shared" ca="1" si="197"/>
        <v>1</v>
      </c>
      <c r="M379" s="15"/>
      <c r="N379" s="15">
        <f t="shared" ca="1" si="196"/>
        <v>0</v>
      </c>
    </row>
    <row r="380" spans="1:14" x14ac:dyDescent="0.4">
      <c r="A380" s="11" t="s">
        <v>9</v>
      </c>
      <c r="B380" s="41">
        <f t="shared" ca="1" si="206"/>
        <v>0</v>
      </c>
      <c r="C380" s="41"/>
      <c r="D380" s="41"/>
      <c r="E380" s="41"/>
      <c r="F380" s="19">
        <f t="shared" ca="1" si="206"/>
        <v>0</v>
      </c>
      <c r="G380" s="20">
        <f t="shared" ca="1" si="206"/>
        <v>0</v>
      </c>
      <c r="H380" s="20">
        <f t="shared" ca="1" si="206"/>
        <v>0</v>
      </c>
      <c r="I380" s="13">
        <f t="shared" ca="1" si="206"/>
        <v>0</v>
      </c>
      <c r="J380" s="16"/>
      <c r="K380" s="19">
        <f t="shared" ca="1" si="207"/>
        <v>0</v>
      </c>
      <c r="L380" s="15">
        <f t="shared" ca="1" si="197"/>
        <v>1</v>
      </c>
      <c r="M380" s="15"/>
      <c r="N380" s="15">
        <f t="shared" ca="1" si="196"/>
        <v>0</v>
      </c>
    </row>
    <row r="381" spans="1:14" ht="17.399999999999999" x14ac:dyDescent="0.4">
      <c r="A381" s="77" t="s">
        <v>31</v>
      </c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6"/>
    </row>
    <row r="382" spans="1:14" x14ac:dyDescent="0.4">
      <c r="A382" s="11" t="s">
        <v>5</v>
      </c>
      <c r="B382" s="40"/>
      <c r="C382" s="40"/>
      <c r="D382" s="40"/>
      <c r="E382" s="40"/>
      <c r="F382" s="13"/>
      <c r="G382" s="11"/>
      <c r="H382" s="17"/>
      <c r="I382" s="13"/>
      <c r="J382" s="16"/>
      <c r="K382" s="13"/>
      <c r="L382" s="15">
        <f>ROUND((10^(K382/10))/(10^(I382/10)),3)</f>
        <v>1</v>
      </c>
      <c r="M382" s="15"/>
      <c r="N382" s="15">
        <f t="shared" ref="N382:N399" si="208">J382*L382</f>
        <v>0</v>
      </c>
    </row>
    <row r="383" spans="1:14" x14ac:dyDescent="0.4">
      <c r="A383" s="11" t="s">
        <v>5</v>
      </c>
      <c r="B383" s="40"/>
      <c r="C383" s="40"/>
      <c r="D383" s="40"/>
      <c r="E383" s="40"/>
      <c r="F383" s="13"/>
      <c r="G383" s="11"/>
      <c r="H383" s="17"/>
      <c r="I383" s="13"/>
      <c r="J383" s="16"/>
      <c r="K383" s="13"/>
      <c r="L383" s="15">
        <f t="shared" ref="L383:L399" si="209">ROUND((10^(K383/10))/(10^(I383/10)),3)</f>
        <v>1</v>
      </c>
      <c r="M383" s="15"/>
      <c r="N383" s="15">
        <f t="shared" si="208"/>
        <v>0</v>
      </c>
    </row>
    <row r="384" spans="1:14" x14ac:dyDescent="0.4">
      <c r="A384" s="11" t="s">
        <v>5</v>
      </c>
      <c r="B384" s="40"/>
      <c r="C384" s="40"/>
      <c r="D384" s="40"/>
      <c r="E384" s="40"/>
      <c r="F384" s="13"/>
      <c r="G384" s="11"/>
      <c r="H384" s="17"/>
      <c r="I384" s="13"/>
      <c r="J384" s="16"/>
      <c r="K384" s="13"/>
      <c r="L384" s="15">
        <f t="shared" si="209"/>
        <v>1</v>
      </c>
      <c r="M384" s="15"/>
      <c r="N384" s="15">
        <f t="shared" si="208"/>
        <v>0</v>
      </c>
    </row>
    <row r="385" spans="1:14" x14ac:dyDescent="0.4">
      <c r="A385" s="11" t="s">
        <v>6</v>
      </c>
      <c r="B385" s="41">
        <f t="shared" ref="B385:I387" ca="1" si="210">OFFSET(B385,-3,0)</f>
        <v>0</v>
      </c>
      <c r="C385" s="41"/>
      <c r="D385" s="41"/>
      <c r="E385" s="41"/>
      <c r="F385" s="19">
        <f t="shared" ca="1" si="210"/>
        <v>0</v>
      </c>
      <c r="G385" s="20">
        <f t="shared" ca="1" si="210"/>
        <v>0</v>
      </c>
      <c r="H385" s="20">
        <f t="shared" ca="1" si="210"/>
        <v>0</v>
      </c>
      <c r="I385" s="13">
        <f t="shared" ca="1" si="210"/>
        <v>0</v>
      </c>
      <c r="J385" s="16"/>
      <c r="K385" s="19">
        <f t="shared" ref="K385:K387" ca="1" si="211">OFFSET(K385,-3,0)</f>
        <v>0</v>
      </c>
      <c r="L385" s="15">
        <f t="shared" ca="1" si="209"/>
        <v>1</v>
      </c>
      <c r="M385" s="15"/>
      <c r="N385" s="15">
        <f t="shared" ca="1" si="208"/>
        <v>0</v>
      </c>
    </row>
    <row r="386" spans="1:14" x14ac:dyDescent="0.4">
      <c r="A386" s="11" t="s">
        <v>6</v>
      </c>
      <c r="B386" s="41">
        <f t="shared" ca="1" si="210"/>
        <v>0</v>
      </c>
      <c r="C386" s="41"/>
      <c r="D386" s="41"/>
      <c r="E386" s="41"/>
      <c r="F386" s="19">
        <f t="shared" ca="1" si="210"/>
        <v>0</v>
      </c>
      <c r="G386" s="20">
        <f t="shared" ca="1" si="210"/>
        <v>0</v>
      </c>
      <c r="H386" s="20">
        <f t="shared" ca="1" si="210"/>
        <v>0</v>
      </c>
      <c r="I386" s="13">
        <f t="shared" ca="1" si="210"/>
        <v>0</v>
      </c>
      <c r="J386" s="16"/>
      <c r="K386" s="19">
        <f t="shared" ca="1" si="211"/>
        <v>0</v>
      </c>
      <c r="L386" s="15">
        <f t="shared" ca="1" si="209"/>
        <v>1</v>
      </c>
      <c r="M386" s="15"/>
      <c r="N386" s="15">
        <f t="shared" ca="1" si="208"/>
        <v>0</v>
      </c>
    </row>
    <row r="387" spans="1:14" x14ac:dyDescent="0.4">
      <c r="A387" s="11" t="s">
        <v>6</v>
      </c>
      <c r="B387" s="41">
        <f t="shared" ca="1" si="210"/>
        <v>0</v>
      </c>
      <c r="C387" s="41"/>
      <c r="D387" s="41"/>
      <c r="E387" s="41"/>
      <c r="F387" s="19">
        <f t="shared" ca="1" si="210"/>
        <v>0</v>
      </c>
      <c r="G387" s="20">
        <f t="shared" ca="1" si="210"/>
        <v>0</v>
      </c>
      <c r="H387" s="20">
        <f t="shared" ca="1" si="210"/>
        <v>0</v>
      </c>
      <c r="I387" s="13">
        <f t="shared" ca="1" si="210"/>
        <v>0</v>
      </c>
      <c r="J387" s="16"/>
      <c r="K387" s="19">
        <f t="shared" ca="1" si="211"/>
        <v>0</v>
      </c>
      <c r="L387" s="15">
        <f t="shared" ca="1" si="209"/>
        <v>1</v>
      </c>
      <c r="M387" s="15"/>
      <c r="N387" s="15">
        <f t="shared" ca="1" si="208"/>
        <v>0</v>
      </c>
    </row>
    <row r="388" spans="1:14" x14ac:dyDescent="0.4">
      <c r="A388" s="11" t="s">
        <v>10</v>
      </c>
      <c r="B388" s="40">
        <f t="shared" ref="B388:I390" ca="1" si="212">OFFSET(B388,-6,0)</f>
        <v>0</v>
      </c>
      <c r="C388" s="40"/>
      <c r="D388" s="40"/>
      <c r="E388" s="40"/>
      <c r="F388" s="13">
        <f t="shared" ca="1" si="212"/>
        <v>0</v>
      </c>
      <c r="G388" s="17">
        <f t="shared" ca="1" si="212"/>
        <v>0</v>
      </c>
      <c r="H388" s="17">
        <f t="shared" ca="1" si="212"/>
        <v>0</v>
      </c>
      <c r="I388" s="13">
        <f t="shared" ca="1" si="212"/>
        <v>0</v>
      </c>
      <c r="J388" s="16"/>
      <c r="K388" s="13">
        <f t="shared" ref="K388:K390" ca="1" si="213">OFFSET(K388,-6,0)</f>
        <v>0</v>
      </c>
      <c r="L388" s="15">
        <f t="shared" ca="1" si="209"/>
        <v>1</v>
      </c>
      <c r="M388" s="15"/>
      <c r="N388" s="15">
        <f t="shared" ca="1" si="208"/>
        <v>0</v>
      </c>
    </row>
    <row r="389" spans="1:14" x14ac:dyDescent="0.4">
      <c r="A389" s="11" t="s">
        <v>10</v>
      </c>
      <c r="B389" s="40">
        <f t="shared" ca="1" si="212"/>
        <v>0</v>
      </c>
      <c r="C389" s="40"/>
      <c r="D389" s="40"/>
      <c r="E389" s="40"/>
      <c r="F389" s="13">
        <f t="shared" ca="1" si="212"/>
        <v>0</v>
      </c>
      <c r="G389" s="17">
        <f t="shared" ca="1" si="212"/>
        <v>0</v>
      </c>
      <c r="H389" s="17">
        <f t="shared" ca="1" si="212"/>
        <v>0</v>
      </c>
      <c r="I389" s="13">
        <f t="shared" ca="1" si="212"/>
        <v>0</v>
      </c>
      <c r="J389" s="16"/>
      <c r="K389" s="13">
        <f t="shared" ca="1" si="213"/>
        <v>0</v>
      </c>
      <c r="L389" s="15">
        <f t="shared" ca="1" si="209"/>
        <v>1</v>
      </c>
      <c r="M389" s="15"/>
      <c r="N389" s="15">
        <f t="shared" ca="1" si="208"/>
        <v>0</v>
      </c>
    </row>
    <row r="390" spans="1:14" x14ac:dyDescent="0.4">
      <c r="A390" s="11" t="s">
        <v>10</v>
      </c>
      <c r="B390" s="40">
        <f t="shared" ca="1" si="212"/>
        <v>0</v>
      </c>
      <c r="C390" s="40"/>
      <c r="D390" s="40"/>
      <c r="E390" s="40"/>
      <c r="F390" s="13">
        <f t="shared" ca="1" si="212"/>
        <v>0</v>
      </c>
      <c r="G390" s="17">
        <f t="shared" ca="1" si="212"/>
        <v>0</v>
      </c>
      <c r="H390" s="17">
        <f t="shared" ca="1" si="212"/>
        <v>0</v>
      </c>
      <c r="I390" s="13">
        <f t="shared" ca="1" si="212"/>
        <v>0</v>
      </c>
      <c r="J390" s="16"/>
      <c r="K390" s="13">
        <f t="shared" ca="1" si="213"/>
        <v>0</v>
      </c>
      <c r="L390" s="15">
        <f t="shared" ca="1" si="209"/>
        <v>1</v>
      </c>
      <c r="M390" s="15"/>
      <c r="N390" s="15">
        <f t="shared" ca="1" si="208"/>
        <v>0</v>
      </c>
    </row>
    <row r="391" spans="1:14" x14ac:dyDescent="0.4">
      <c r="A391" s="11" t="s">
        <v>7</v>
      </c>
      <c r="B391" s="40">
        <f t="shared" ref="B391:I393" ca="1" si="214">OFFSET(B391,-9,0)</f>
        <v>0</v>
      </c>
      <c r="C391" s="40"/>
      <c r="D391" s="40"/>
      <c r="E391" s="40"/>
      <c r="F391" s="13">
        <f t="shared" ca="1" si="214"/>
        <v>0</v>
      </c>
      <c r="G391" s="17">
        <f t="shared" ca="1" si="214"/>
        <v>0</v>
      </c>
      <c r="H391" s="17">
        <f t="shared" ca="1" si="214"/>
        <v>0</v>
      </c>
      <c r="I391" s="13">
        <f t="shared" ca="1" si="214"/>
        <v>0</v>
      </c>
      <c r="J391" s="16"/>
      <c r="K391" s="13">
        <f t="shared" ref="K391:K393" ca="1" si="215">OFFSET(K391,-9,0)</f>
        <v>0</v>
      </c>
      <c r="L391" s="15">
        <f t="shared" ca="1" si="209"/>
        <v>1</v>
      </c>
      <c r="M391" s="15"/>
      <c r="N391" s="15">
        <f t="shared" ca="1" si="208"/>
        <v>0</v>
      </c>
    </row>
    <row r="392" spans="1:14" x14ac:dyDescent="0.4">
      <c r="A392" s="11" t="s">
        <v>7</v>
      </c>
      <c r="B392" s="40">
        <f t="shared" ca="1" si="214"/>
        <v>0</v>
      </c>
      <c r="C392" s="40"/>
      <c r="D392" s="40"/>
      <c r="E392" s="40"/>
      <c r="F392" s="13">
        <f t="shared" ca="1" si="214"/>
        <v>0</v>
      </c>
      <c r="G392" s="17">
        <f t="shared" ca="1" si="214"/>
        <v>0</v>
      </c>
      <c r="H392" s="17">
        <f t="shared" ca="1" si="214"/>
        <v>0</v>
      </c>
      <c r="I392" s="13">
        <f t="shared" ca="1" si="214"/>
        <v>0</v>
      </c>
      <c r="J392" s="16"/>
      <c r="K392" s="13">
        <f t="shared" ca="1" si="215"/>
        <v>0</v>
      </c>
      <c r="L392" s="15">
        <f t="shared" ca="1" si="209"/>
        <v>1</v>
      </c>
      <c r="M392" s="15"/>
      <c r="N392" s="15">
        <f t="shared" ca="1" si="208"/>
        <v>0</v>
      </c>
    </row>
    <row r="393" spans="1:14" x14ac:dyDescent="0.4">
      <c r="A393" s="11" t="s">
        <v>7</v>
      </c>
      <c r="B393" s="40">
        <f t="shared" ca="1" si="214"/>
        <v>0</v>
      </c>
      <c r="C393" s="40"/>
      <c r="D393" s="40"/>
      <c r="E393" s="40"/>
      <c r="F393" s="13">
        <f t="shared" ca="1" si="214"/>
        <v>0</v>
      </c>
      <c r="G393" s="17">
        <f t="shared" ca="1" si="214"/>
        <v>0</v>
      </c>
      <c r="H393" s="17">
        <f t="shared" ca="1" si="214"/>
        <v>0</v>
      </c>
      <c r="I393" s="13">
        <f t="shared" ca="1" si="214"/>
        <v>0</v>
      </c>
      <c r="J393" s="16"/>
      <c r="K393" s="13">
        <f t="shared" ca="1" si="215"/>
        <v>0</v>
      </c>
      <c r="L393" s="15">
        <f t="shared" ca="1" si="209"/>
        <v>1</v>
      </c>
      <c r="M393" s="15"/>
      <c r="N393" s="15">
        <f t="shared" ca="1" si="208"/>
        <v>0</v>
      </c>
    </row>
    <row r="394" spans="1:14" x14ac:dyDescent="0.4">
      <c r="A394" s="11" t="s">
        <v>8</v>
      </c>
      <c r="B394" s="40">
        <f t="shared" ref="B394:I396" ca="1" si="216">OFFSET(B394,-12,0)</f>
        <v>0</v>
      </c>
      <c r="C394" s="40"/>
      <c r="D394" s="40"/>
      <c r="E394" s="40"/>
      <c r="F394" s="13">
        <f t="shared" ca="1" si="216"/>
        <v>0</v>
      </c>
      <c r="G394" s="17">
        <f t="shared" ca="1" si="216"/>
        <v>0</v>
      </c>
      <c r="H394" s="17">
        <f t="shared" ca="1" si="216"/>
        <v>0</v>
      </c>
      <c r="I394" s="13">
        <f t="shared" ca="1" si="216"/>
        <v>0</v>
      </c>
      <c r="J394" s="16"/>
      <c r="K394" s="13">
        <f t="shared" ref="K394:K396" ca="1" si="217">OFFSET(K394,-12,0)</f>
        <v>0</v>
      </c>
      <c r="L394" s="15">
        <f t="shared" ca="1" si="209"/>
        <v>1</v>
      </c>
      <c r="M394" s="15"/>
      <c r="N394" s="15">
        <f t="shared" ca="1" si="208"/>
        <v>0</v>
      </c>
    </row>
    <row r="395" spans="1:14" x14ac:dyDescent="0.4">
      <c r="A395" s="11" t="s">
        <v>8</v>
      </c>
      <c r="B395" s="40">
        <f t="shared" ca="1" si="216"/>
        <v>0</v>
      </c>
      <c r="C395" s="40"/>
      <c r="D395" s="40"/>
      <c r="E395" s="40"/>
      <c r="F395" s="13">
        <f t="shared" ca="1" si="216"/>
        <v>0</v>
      </c>
      <c r="G395" s="17">
        <f t="shared" ca="1" si="216"/>
        <v>0</v>
      </c>
      <c r="H395" s="17">
        <f t="shared" ca="1" si="216"/>
        <v>0</v>
      </c>
      <c r="I395" s="13">
        <f t="shared" ca="1" si="216"/>
        <v>0</v>
      </c>
      <c r="J395" s="16"/>
      <c r="K395" s="13">
        <f t="shared" ca="1" si="217"/>
        <v>0</v>
      </c>
      <c r="L395" s="15">
        <f t="shared" ca="1" si="209"/>
        <v>1</v>
      </c>
      <c r="M395" s="15"/>
      <c r="N395" s="15">
        <f t="shared" ca="1" si="208"/>
        <v>0</v>
      </c>
    </row>
    <row r="396" spans="1:14" x14ac:dyDescent="0.4">
      <c r="A396" s="11" t="s">
        <v>8</v>
      </c>
      <c r="B396" s="40">
        <f t="shared" ca="1" si="216"/>
        <v>0</v>
      </c>
      <c r="C396" s="40"/>
      <c r="D396" s="40"/>
      <c r="E396" s="40"/>
      <c r="F396" s="13">
        <f t="shared" ca="1" si="216"/>
        <v>0</v>
      </c>
      <c r="G396" s="17">
        <f t="shared" ca="1" si="216"/>
        <v>0</v>
      </c>
      <c r="H396" s="17">
        <f t="shared" ca="1" si="216"/>
        <v>0</v>
      </c>
      <c r="I396" s="13">
        <f t="shared" ca="1" si="216"/>
        <v>0</v>
      </c>
      <c r="J396" s="16"/>
      <c r="K396" s="13">
        <f t="shared" ca="1" si="217"/>
        <v>0</v>
      </c>
      <c r="L396" s="15">
        <f t="shared" ca="1" si="209"/>
        <v>1</v>
      </c>
      <c r="M396" s="15"/>
      <c r="N396" s="15">
        <f t="shared" ca="1" si="208"/>
        <v>0</v>
      </c>
    </row>
    <row r="397" spans="1:14" x14ac:dyDescent="0.4">
      <c r="A397" s="11" t="s">
        <v>9</v>
      </c>
      <c r="B397" s="41">
        <f t="shared" ref="B397:I399" ca="1" si="218">OFFSET(B397,-15,0)</f>
        <v>0</v>
      </c>
      <c r="C397" s="41"/>
      <c r="D397" s="41"/>
      <c r="E397" s="41"/>
      <c r="F397" s="19">
        <f t="shared" ca="1" si="218"/>
        <v>0</v>
      </c>
      <c r="G397" s="20">
        <f t="shared" ca="1" si="218"/>
        <v>0</v>
      </c>
      <c r="H397" s="20">
        <f t="shared" ca="1" si="218"/>
        <v>0</v>
      </c>
      <c r="I397" s="13">
        <f t="shared" ca="1" si="218"/>
        <v>0</v>
      </c>
      <c r="J397" s="16"/>
      <c r="K397" s="19">
        <f t="shared" ref="K397:K399" ca="1" si="219">OFFSET(K397,-15,0)</f>
        <v>0</v>
      </c>
      <c r="L397" s="15">
        <f t="shared" ca="1" si="209"/>
        <v>1</v>
      </c>
      <c r="M397" s="15"/>
      <c r="N397" s="15">
        <f t="shared" ca="1" si="208"/>
        <v>0</v>
      </c>
    </row>
    <row r="398" spans="1:14" x14ac:dyDescent="0.4">
      <c r="A398" s="11" t="s">
        <v>9</v>
      </c>
      <c r="B398" s="41">
        <f t="shared" ca="1" si="218"/>
        <v>0</v>
      </c>
      <c r="C398" s="41"/>
      <c r="D398" s="41"/>
      <c r="E398" s="41"/>
      <c r="F398" s="19">
        <f t="shared" ca="1" si="218"/>
        <v>0</v>
      </c>
      <c r="G398" s="20">
        <f t="shared" ca="1" si="218"/>
        <v>0</v>
      </c>
      <c r="H398" s="20">
        <f t="shared" ca="1" si="218"/>
        <v>0</v>
      </c>
      <c r="I398" s="13">
        <f t="shared" ca="1" si="218"/>
        <v>0</v>
      </c>
      <c r="J398" s="16"/>
      <c r="K398" s="19">
        <f t="shared" ca="1" si="219"/>
        <v>0</v>
      </c>
      <c r="L398" s="15">
        <f t="shared" ca="1" si="209"/>
        <v>1</v>
      </c>
      <c r="M398" s="15"/>
      <c r="N398" s="15">
        <f t="shared" ca="1" si="208"/>
        <v>0</v>
      </c>
    </row>
    <row r="399" spans="1:14" x14ac:dyDescent="0.4">
      <c r="A399" s="11" t="s">
        <v>9</v>
      </c>
      <c r="B399" s="41">
        <f t="shared" ca="1" si="218"/>
        <v>0</v>
      </c>
      <c r="C399" s="41"/>
      <c r="D399" s="41"/>
      <c r="E399" s="41"/>
      <c r="F399" s="19">
        <f t="shared" ca="1" si="218"/>
        <v>0</v>
      </c>
      <c r="G399" s="20">
        <f t="shared" ca="1" si="218"/>
        <v>0</v>
      </c>
      <c r="H399" s="20">
        <f t="shared" ca="1" si="218"/>
        <v>0</v>
      </c>
      <c r="I399" s="13">
        <f t="shared" ca="1" si="218"/>
        <v>0</v>
      </c>
      <c r="J399" s="16"/>
      <c r="K399" s="19">
        <f t="shared" ca="1" si="219"/>
        <v>0</v>
      </c>
      <c r="L399" s="15">
        <f t="shared" ca="1" si="209"/>
        <v>1</v>
      </c>
      <c r="M399" s="15"/>
      <c r="N399" s="15">
        <f t="shared" ca="1" si="208"/>
        <v>0</v>
      </c>
    </row>
    <row r="400" spans="1:14" ht="17.399999999999999" x14ac:dyDescent="0.4">
      <c r="A400" s="77" t="s">
        <v>23</v>
      </c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6"/>
    </row>
    <row r="401" spans="1:14" x14ac:dyDescent="0.4">
      <c r="A401" s="11" t="str">
        <f ca="1">INDEX(A249:A399, MATCH(MAX(N249:N399), N249:N399, 0), 0)</f>
        <v>Front</v>
      </c>
      <c r="B401" s="40">
        <f ca="1">INDEX(B249:B399, MATCH(MAX(N249:N399), N249:N399, 0), 0)</f>
        <v>0</v>
      </c>
      <c r="C401" s="40"/>
      <c r="D401" s="40"/>
      <c r="E401" s="40"/>
      <c r="F401" s="13">
        <f ca="1">INDEX(F249:F399, MATCH(MAX(N249:N399), N249:N399, 0), 0)</f>
        <v>0</v>
      </c>
      <c r="G401" s="11">
        <f ca="1">INDEX(G249:G399, MATCH(MAX(N249:N399), N249:N399, 0), 0)</f>
        <v>0</v>
      </c>
      <c r="H401" s="17">
        <f ca="1">INDEX(H249:H399, MATCH(MAX(N249:N399), N249:N399, 0), 0)</f>
        <v>0</v>
      </c>
      <c r="I401" s="13">
        <f ca="1">INDEX(I249:I399, MATCH(MAX(N249:N399), N249:N399, 0), 0)</f>
        <v>0</v>
      </c>
      <c r="J401" s="16"/>
      <c r="K401" s="13">
        <f ca="1">INDEX(K249:K399, MATCH(MAX(N249:N399), N249:N399, 0), 0)</f>
        <v>0</v>
      </c>
      <c r="L401" s="15">
        <f ca="1">ROUND((10^(K401/10))/(10^(I401/10)),3)</f>
        <v>1</v>
      </c>
      <c r="M401" s="15"/>
      <c r="N401" s="15">
        <f t="shared" ref="N401" ca="1" si="220">J401*L401</f>
        <v>0</v>
      </c>
    </row>
    <row r="402" spans="1:14" x14ac:dyDescent="0.4">
      <c r="A402" s="11"/>
      <c r="B402" s="40"/>
      <c r="C402" s="40"/>
      <c r="D402" s="40"/>
      <c r="E402" s="40"/>
      <c r="F402" s="13"/>
      <c r="G402" s="11"/>
      <c r="H402" s="17"/>
      <c r="I402" s="13"/>
      <c r="J402" s="16"/>
      <c r="K402" s="13"/>
      <c r="L402" s="15"/>
      <c r="M402" s="15"/>
      <c r="N402" s="15"/>
    </row>
    <row r="403" spans="1:14" x14ac:dyDescent="0.4">
      <c r="A403" s="11"/>
      <c r="B403" s="40"/>
      <c r="C403" s="40"/>
      <c r="D403" s="40"/>
      <c r="E403" s="40"/>
      <c r="F403" s="13"/>
      <c r="G403" s="11"/>
      <c r="H403" s="17"/>
      <c r="I403" s="13"/>
      <c r="J403" s="16"/>
      <c r="K403" s="13"/>
      <c r="L403" s="15"/>
      <c r="M403" s="15"/>
      <c r="N403" s="15"/>
    </row>
    <row r="404" spans="1:14" x14ac:dyDescent="0.4">
      <c r="A404" s="11"/>
      <c r="B404" s="41"/>
      <c r="C404" s="41"/>
      <c r="D404" s="41"/>
      <c r="E404" s="41"/>
      <c r="F404" s="19"/>
      <c r="G404" s="11"/>
      <c r="H404" s="20"/>
      <c r="I404" s="19"/>
      <c r="J404" s="16"/>
      <c r="K404" s="19"/>
      <c r="L404" s="15"/>
      <c r="M404" s="15"/>
      <c r="N404" s="15"/>
    </row>
    <row r="405" spans="1:14" x14ac:dyDescent="0.4">
      <c r="A405" s="11"/>
      <c r="B405" s="41"/>
      <c r="C405" s="41"/>
      <c r="D405" s="41"/>
      <c r="E405" s="41"/>
      <c r="F405" s="19"/>
      <c r="G405" s="11"/>
      <c r="H405" s="20"/>
      <c r="I405" s="19"/>
      <c r="J405" s="16"/>
      <c r="K405" s="19"/>
      <c r="L405" s="15"/>
      <c r="M405" s="15"/>
      <c r="N405" s="15"/>
    </row>
    <row r="406" spans="1:14" x14ac:dyDescent="0.4">
      <c r="A406" s="11"/>
      <c r="B406" s="41"/>
      <c r="C406" s="41"/>
      <c r="D406" s="41"/>
      <c r="E406" s="41"/>
      <c r="F406" s="19"/>
      <c r="G406" s="11"/>
      <c r="H406" s="20"/>
      <c r="I406" s="19"/>
      <c r="J406" s="16"/>
      <c r="K406" s="19"/>
      <c r="L406" s="15"/>
      <c r="M406" s="15"/>
      <c r="N406" s="15"/>
    </row>
    <row r="407" spans="1:14" x14ac:dyDescent="0.4">
      <c r="A407" s="11"/>
      <c r="B407" s="40"/>
      <c r="C407" s="40"/>
      <c r="D407" s="40"/>
      <c r="E407" s="40"/>
      <c r="F407" s="13"/>
      <c r="G407" s="11"/>
      <c r="H407" s="17"/>
      <c r="I407" s="13"/>
      <c r="J407" s="16"/>
      <c r="K407" s="13"/>
      <c r="L407" s="15"/>
      <c r="M407" s="15"/>
      <c r="N407" s="15"/>
    </row>
    <row r="408" spans="1:14" x14ac:dyDescent="0.4">
      <c r="A408" s="11"/>
      <c r="B408" s="40"/>
      <c r="C408" s="40"/>
      <c r="D408" s="40"/>
      <c r="E408" s="40"/>
      <c r="F408" s="13"/>
      <c r="G408" s="11"/>
      <c r="H408" s="17"/>
      <c r="I408" s="13"/>
      <c r="J408" s="16"/>
      <c r="K408" s="13"/>
      <c r="L408" s="15"/>
      <c r="M408" s="15"/>
      <c r="N408" s="15"/>
    </row>
    <row r="409" spans="1:14" x14ac:dyDescent="0.4">
      <c r="A409" s="11"/>
      <c r="B409" s="40"/>
      <c r="C409" s="40"/>
      <c r="D409" s="40"/>
      <c r="E409" s="40"/>
      <c r="F409" s="13"/>
      <c r="G409" s="11"/>
      <c r="H409" s="17"/>
      <c r="I409" s="13"/>
      <c r="J409" s="16"/>
      <c r="K409" s="13"/>
      <c r="L409" s="15"/>
      <c r="M409" s="15"/>
      <c r="N409" s="15"/>
    </row>
    <row r="410" spans="1:14" x14ac:dyDescent="0.4">
      <c r="A410" s="11"/>
      <c r="B410" s="40"/>
      <c r="C410" s="40"/>
      <c r="D410" s="40"/>
      <c r="E410" s="40"/>
      <c r="F410" s="13"/>
      <c r="G410" s="11"/>
      <c r="H410" s="17"/>
      <c r="I410" s="13"/>
      <c r="J410" s="16"/>
      <c r="K410" s="13"/>
      <c r="L410" s="15"/>
      <c r="M410" s="15"/>
      <c r="N410" s="15"/>
    </row>
    <row r="411" spans="1:14" x14ac:dyDescent="0.4">
      <c r="A411" s="11"/>
      <c r="B411" s="40"/>
      <c r="C411" s="40"/>
      <c r="D411" s="40"/>
      <c r="E411" s="40"/>
      <c r="F411" s="13"/>
      <c r="G411" s="11"/>
      <c r="H411" s="17"/>
      <c r="I411" s="13"/>
      <c r="J411" s="16"/>
      <c r="K411" s="13"/>
      <c r="L411" s="15"/>
      <c r="M411" s="15"/>
      <c r="N411" s="15"/>
    </row>
    <row r="412" spans="1:14" x14ac:dyDescent="0.4">
      <c r="A412" s="11"/>
      <c r="B412" s="40"/>
      <c r="C412" s="40"/>
      <c r="D412" s="40"/>
      <c r="E412" s="40"/>
      <c r="F412" s="13"/>
      <c r="G412" s="11"/>
      <c r="H412" s="17"/>
      <c r="I412" s="13"/>
      <c r="J412" s="16"/>
      <c r="K412" s="13"/>
      <c r="L412" s="15"/>
      <c r="M412" s="15"/>
      <c r="N412" s="15"/>
    </row>
    <row r="413" spans="1:14" x14ac:dyDescent="0.4">
      <c r="A413" s="11"/>
      <c r="B413" s="40"/>
      <c r="C413" s="40"/>
      <c r="D413" s="40"/>
      <c r="E413" s="40"/>
      <c r="F413" s="13"/>
      <c r="G413" s="11"/>
      <c r="H413" s="17"/>
      <c r="I413" s="13"/>
      <c r="J413" s="16"/>
      <c r="K413" s="13"/>
      <c r="L413" s="15"/>
      <c r="M413" s="15"/>
      <c r="N413" s="15"/>
    </row>
    <row r="414" spans="1:14" x14ac:dyDescent="0.4">
      <c r="A414" s="11"/>
      <c r="B414" s="40"/>
      <c r="C414" s="40"/>
      <c r="D414" s="40"/>
      <c r="E414" s="40"/>
      <c r="F414" s="13"/>
      <c r="G414" s="11"/>
      <c r="H414" s="17"/>
      <c r="I414" s="13"/>
      <c r="J414" s="16"/>
      <c r="K414" s="13"/>
      <c r="L414" s="15"/>
      <c r="M414" s="15"/>
      <c r="N414" s="15"/>
    </row>
    <row r="415" spans="1:14" x14ac:dyDescent="0.4">
      <c r="A415" s="11"/>
      <c r="B415" s="40"/>
      <c r="C415" s="40"/>
      <c r="D415" s="40"/>
      <c r="E415" s="40"/>
      <c r="F415" s="13"/>
      <c r="G415" s="11"/>
      <c r="H415" s="17"/>
      <c r="I415" s="13"/>
      <c r="J415" s="16"/>
      <c r="K415" s="13"/>
      <c r="L415" s="15"/>
      <c r="M415" s="15"/>
      <c r="N415" s="15"/>
    </row>
    <row r="416" spans="1:14" x14ac:dyDescent="0.4">
      <c r="A416" s="11"/>
      <c r="B416" s="41"/>
      <c r="C416" s="41"/>
      <c r="D416" s="41"/>
      <c r="E416" s="41"/>
      <c r="F416" s="19"/>
      <c r="G416" s="11"/>
      <c r="H416" s="20"/>
      <c r="I416" s="19"/>
      <c r="J416" s="16"/>
      <c r="K416" s="19"/>
      <c r="L416" s="15"/>
      <c r="M416" s="15"/>
      <c r="N416" s="15"/>
    </row>
    <row r="417" spans="1:14" x14ac:dyDescent="0.4">
      <c r="A417" s="11"/>
      <c r="B417" s="41"/>
      <c r="C417" s="41"/>
      <c r="D417" s="41"/>
      <c r="E417" s="41"/>
      <c r="F417" s="19"/>
      <c r="G417" s="11"/>
      <c r="H417" s="20"/>
      <c r="I417" s="19"/>
      <c r="J417" s="16"/>
      <c r="K417" s="19"/>
      <c r="L417" s="15"/>
      <c r="M417" s="15"/>
      <c r="N417" s="15"/>
    </row>
    <row r="418" spans="1:14" x14ac:dyDescent="0.4">
      <c r="A418" s="11"/>
      <c r="B418" s="41"/>
      <c r="C418" s="41"/>
      <c r="D418" s="41"/>
      <c r="E418" s="41"/>
      <c r="F418" s="19"/>
      <c r="G418" s="11"/>
      <c r="H418" s="20"/>
      <c r="I418" s="19"/>
      <c r="J418" s="16"/>
      <c r="K418" s="19"/>
      <c r="L418" s="15"/>
      <c r="M418" s="15"/>
      <c r="N418" s="15"/>
    </row>
    <row r="419" spans="1:14" ht="17.399999999999999" x14ac:dyDescent="0.4">
      <c r="A419" s="77" t="s">
        <v>24</v>
      </c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6"/>
    </row>
    <row r="420" spans="1:14" x14ac:dyDescent="0.4">
      <c r="A420" s="11" t="str">
        <f ca="1">INDEX(A249:A399, MATCH(MAX(N249:N399), N249:N399, 0), 0)</f>
        <v>Front</v>
      </c>
      <c r="B420" s="40">
        <f ca="1">INDEX(B249:B399, MATCH(MAX(N249:N399), N249:N399, 0), 0)</f>
        <v>0</v>
      </c>
      <c r="C420" s="40"/>
      <c r="D420" s="40"/>
      <c r="E420" s="40"/>
      <c r="F420" s="13">
        <f ca="1">INDEX(F249:F399, MATCH(MAX(N249:N399), N249:N399, 0), 0)</f>
        <v>0</v>
      </c>
      <c r="G420" s="11">
        <f ca="1">INDEX(G249:G399, MATCH(MAX(N249:N399), N249:N399, 0), 0)</f>
        <v>0</v>
      </c>
      <c r="H420" s="17">
        <f ca="1">INDEX(H249:H399, MATCH(MAX(N249:N399), N249:N399, 0), 0)</f>
        <v>0</v>
      </c>
      <c r="I420" s="13">
        <f ca="1">INDEX(I249:I399, MATCH(MAX(N249:N399), N249:N399, 0), 0)</f>
        <v>0</v>
      </c>
      <c r="J420" s="16"/>
      <c r="K420" s="13">
        <f ca="1">INDEX(K249:K399, MATCH(MAX(N249:N399), N249:N399, 0), 0)</f>
        <v>0</v>
      </c>
      <c r="L420" s="15">
        <f ca="1">ROUND((10^(K420/10))/(10^(I420/10)),3)</f>
        <v>1</v>
      </c>
      <c r="M420" s="15"/>
      <c r="N420" s="15">
        <f t="shared" ref="N420" ca="1" si="221">J420*L420</f>
        <v>0</v>
      </c>
    </row>
    <row r="421" spans="1:14" x14ac:dyDescent="0.4">
      <c r="A421" s="11"/>
      <c r="B421" s="40"/>
      <c r="C421" s="40"/>
      <c r="D421" s="40"/>
      <c r="E421" s="40"/>
      <c r="F421" s="13"/>
      <c r="G421" s="11"/>
      <c r="H421" s="17"/>
      <c r="I421" s="13"/>
      <c r="J421" s="16"/>
      <c r="K421" s="13"/>
      <c r="L421" s="15"/>
      <c r="M421" s="15"/>
      <c r="N421" s="52"/>
    </row>
    <row r="422" spans="1:14" x14ac:dyDescent="0.4">
      <c r="A422" s="11"/>
      <c r="B422" s="40"/>
      <c r="C422" s="40"/>
      <c r="D422" s="40"/>
      <c r="E422" s="40"/>
      <c r="F422" s="13"/>
      <c r="G422" s="11"/>
      <c r="H422" s="17"/>
      <c r="I422" s="13"/>
      <c r="J422" s="16"/>
      <c r="K422" s="13"/>
      <c r="L422" s="15"/>
      <c r="M422" s="15"/>
      <c r="N422" s="52"/>
    </row>
    <row r="423" spans="1:14" x14ac:dyDescent="0.4">
      <c r="A423" s="11"/>
      <c r="B423" s="41"/>
      <c r="C423" s="41"/>
      <c r="D423" s="41"/>
      <c r="E423" s="41"/>
      <c r="F423" s="19"/>
      <c r="G423" s="11"/>
      <c r="H423" s="20"/>
      <c r="I423" s="19"/>
      <c r="J423" s="16"/>
      <c r="K423" s="19"/>
      <c r="L423" s="15"/>
      <c r="M423" s="15"/>
      <c r="N423" s="52"/>
    </row>
    <row r="424" spans="1:14" x14ac:dyDescent="0.4">
      <c r="A424" s="11"/>
      <c r="B424" s="41"/>
      <c r="C424" s="41"/>
      <c r="D424" s="41"/>
      <c r="E424" s="41"/>
      <c r="F424" s="19"/>
      <c r="G424" s="11"/>
      <c r="H424" s="20"/>
      <c r="I424" s="19"/>
      <c r="J424" s="16"/>
      <c r="K424" s="19"/>
      <c r="L424" s="15"/>
      <c r="M424" s="15"/>
      <c r="N424" s="52"/>
    </row>
    <row r="425" spans="1:14" x14ac:dyDescent="0.4">
      <c r="A425" s="11"/>
      <c r="B425" s="41"/>
      <c r="C425" s="41"/>
      <c r="D425" s="41"/>
      <c r="E425" s="41"/>
      <c r="F425" s="19"/>
      <c r="G425" s="11"/>
      <c r="H425" s="20"/>
      <c r="I425" s="19"/>
      <c r="J425" s="16"/>
      <c r="K425" s="19"/>
      <c r="L425" s="15"/>
      <c r="M425" s="15"/>
      <c r="N425" s="52"/>
    </row>
    <row r="426" spans="1:14" x14ac:dyDescent="0.4">
      <c r="A426" s="11"/>
      <c r="B426" s="40"/>
      <c r="C426" s="40"/>
      <c r="D426" s="40"/>
      <c r="E426" s="40"/>
      <c r="F426" s="13"/>
      <c r="G426" s="11"/>
      <c r="H426" s="17"/>
      <c r="I426" s="13"/>
      <c r="J426" s="16"/>
      <c r="K426" s="13"/>
      <c r="L426" s="15"/>
      <c r="M426" s="15"/>
      <c r="N426" s="52"/>
    </row>
    <row r="427" spans="1:14" x14ac:dyDescent="0.4">
      <c r="A427" s="11"/>
      <c r="B427" s="40"/>
      <c r="C427" s="40"/>
      <c r="D427" s="40"/>
      <c r="E427" s="40"/>
      <c r="F427" s="13"/>
      <c r="G427" s="11"/>
      <c r="H427" s="17"/>
      <c r="I427" s="13"/>
      <c r="J427" s="16"/>
      <c r="K427" s="13"/>
      <c r="L427" s="15"/>
      <c r="M427" s="15"/>
      <c r="N427" s="52"/>
    </row>
    <row r="428" spans="1:14" x14ac:dyDescent="0.4">
      <c r="A428" s="11"/>
      <c r="B428" s="40"/>
      <c r="C428" s="40"/>
      <c r="D428" s="40"/>
      <c r="E428" s="40"/>
      <c r="F428" s="13"/>
      <c r="G428" s="11"/>
      <c r="H428" s="17"/>
      <c r="I428" s="13"/>
      <c r="J428" s="16"/>
      <c r="K428" s="13"/>
      <c r="L428" s="15"/>
      <c r="M428" s="15"/>
      <c r="N428" s="52"/>
    </row>
    <row r="429" spans="1:14" x14ac:dyDescent="0.4">
      <c r="A429" s="11"/>
      <c r="B429" s="40"/>
      <c r="C429" s="40"/>
      <c r="D429" s="40"/>
      <c r="E429" s="40"/>
      <c r="F429" s="13"/>
      <c r="G429" s="11"/>
      <c r="H429" s="17"/>
      <c r="I429" s="13"/>
      <c r="J429" s="16"/>
      <c r="K429" s="13"/>
      <c r="L429" s="15"/>
      <c r="M429" s="15"/>
      <c r="N429" s="52"/>
    </row>
    <row r="430" spans="1:14" x14ac:dyDescent="0.4">
      <c r="A430" s="11"/>
      <c r="B430" s="40"/>
      <c r="C430" s="40"/>
      <c r="D430" s="40"/>
      <c r="E430" s="40"/>
      <c r="F430" s="13"/>
      <c r="G430" s="11"/>
      <c r="H430" s="17"/>
      <c r="I430" s="13"/>
      <c r="J430" s="16"/>
      <c r="K430" s="13"/>
      <c r="L430" s="15"/>
      <c r="M430" s="15"/>
      <c r="N430" s="52"/>
    </row>
    <row r="431" spans="1:14" x14ac:dyDescent="0.4">
      <c r="A431" s="11"/>
      <c r="B431" s="40"/>
      <c r="C431" s="40"/>
      <c r="D431" s="40"/>
      <c r="E431" s="40"/>
      <c r="F431" s="13"/>
      <c r="G431" s="11"/>
      <c r="H431" s="17"/>
      <c r="I431" s="13"/>
      <c r="J431" s="16"/>
      <c r="K431" s="13"/>
      <c r="L431" s="15"/>
      <c r="M431" s="15"/>
      <c r="N431" s="52"/>
    </row>
    <row r="432" spans="1:14" x14ac:dyDescent="0.4">
      <c r="A432" s="11"/>
      <c r="B432" s="40"/>
      <c r="C432" s="40"/>
      <c r="D432" s="40"/>
      <c r="E432" s="40"/>
      <c r="F432" s="13"/>
      <c r="G432" s="11"/>
      <c r="H432" s="17"/>
      <c r="I432" s="13"/>
      <c r="J432" s="16"/>
      <c r="K432" s="13"/>
      <c r="L432" s="15"/>
      <c r="M432" s="15"/>
      <c r="N432" s="52"/>
    </row>
    <row r="433" spans="1:14" x14ac:dyDescent="0.4">
      <c r="A433" s="11"/>
      <c r="B433" s="40"/>
      <c r="C433" s="40"/>
      <c r="D433" s="40"/>
      <c r="E433" s="40"/>
      <c r="F433" s="13"/>
      <c r="G433" s="11"/>
      <c r="H433" s="17"/>
      <c r="I433" s="13"/>
      <c r="J433" s="16"/>
      <c r="K433" s="13"/>
      <c r="L433" s="15"/>
      <c r="M433" s="15"/>
      <c r="N433" s="52"/>
    </row>
    <row r="434" spans="1:14" x14ac:dyDescent="0.4">
      <c r="A434" s="11"/>
      <c r="B434" s="40"/>
      <c r="C434" s="40"/>
      <c r="D434" s="40"/>
      <c r="E434" s="40"/>
      <c r="F434" s="13"/>
      <c r="G434" s="11"/>
      <c r="H434" s="17"/>
      <c r="I434" s="13"/>
      <c r="J434" s="16"/>
      <c r="K434" s="13"/>
      <c r="L434" s="15"/>
      <c r="M434" s="15"/>
      <c r="N434" s="52"/>
    </row>
    <row r="435" spans="1:14" x14ac:dyDescent="0.4">
      <c r="A435" s="11"/>
      <c r="B435" s="41"/>
      <c r="C435" s="41"/>
      <c r="D435" s="41"/>
      <c r="E435" s="41"/>
      <c r="F435" s="19"/>
      <c r="G435" s="11"/>
      <c r="H435" s="20"/>
      <c r="I435" s="19"/>
      <c r="J435" s="16"/>
      <c r="K435" s="19"/>
      <c r="L435" s="15"/>
      <c r="M435" s="15"/>
      <c r="N435" s="52"/>
    </row>
    <row r="436" spans="1:14" x14ac:dyDescent="0.4">
      <c r="A436" s="11"/>
      <c r="B436" s="41"/>
      <c r="C436" s="41"/>
      <c r="D436" s="41"/>
      <c r="E436" s="41"/>
      <c r="F436" s="19"/>
      <c r="G436" s="11"/>
      <c r="H436" s="20"/>
      <c r="I436" s="19"/>
      <c r="J436" s="16"/>
      <c r="K436" s="19"/>
      <c r="L436" s="15"/>
      <c r="M436" s="15"/>
      <c r="N436" s="52"/>
    </row>
    <row r="437" spans="1:14" x14ac:dyDescent="0.4">
      <c r="A437" s="11"/>
      <c r="B437" s="41"/>
      <c r="C437" s="41"/>
      <c r="D437" s="41"/>
      <c r="E437" s="41"/>
      <c r="F437" s="19"/>
      <c r="G437" s="11"/>
      <c r="H437" s="20"/>
      <c r="I437" s="19"/>
      <c r="J437" s="16"/>
      <c r="K437" s="19"/>
      <c r="L437" s="15"/>
      <c r="M437" s="15"/>
      <c r="N437" s="52"/>
    </row>
    <row r="440" spans="1:14" x14ac:dyDescent="0.4">
      <c r="A440" s="58" t="s">
        <v>160</v>
      </c>
      <c r="B440" s="59"/>
      <c r="C440" s="59"/>
      <c r="D440" s="59"/>
      <c r="E440" s="59"/>
      <c r="F440" s="59"/>
      <c r="G440" s="59"/>
      <c r="H440" s="60"/>
      <c r="I440" s="54" t="s">
        <v>3</v>
      </c>
      <c r="J440" s="54"/>
      <c r="K440" s="54"/>
      <c r="L440" s="7"/>
      <c r="M440" s="7"/>
      <c r="N440" s="8"/>
    </row>
    <row r="441" spans="1:14" x14ac:dyDescent="0.4">
      <c r="A441" s="61"/>
      <c r="B441" s="62"/>
      <c r="C441" s="62"/>
      <c r="D441" s="62"/>
      <c r="E441" s="62"/>
      <c r="F441" s="62"/>
      <c r="G441" s="62"/>
      <c r="H441" s="63"/>
      <c r="I441" s="54" t="s">
        <v>4</v>
      </c>
      <c r="J441" s="54"/>
      <c r="K441" s="54"/>
      <c r="L441" s="7"/>
      <c r="M441" s="7"/>
      <c r="N441" s="8"/>
    </row>
    <row r="442" spans="1:14" x14ac:dyDescent="0.4">
      <c r="A442" s="64"/>
      <c r="B442" s="65"/>
      <c r="C442" s="65"/>
      <c r="D442" s="65"/>
      <c r="E442" s="65"/>
      <c r="F442" s="65"/>
      <c r="G442" s="65"/>
      <c r="H442" s="66"/>
      <c r="I442" s="54" t="s">
        <v>0</v>
      </c>
      <c r="J442" s="54"/>
      <c r="K442" s="54"/>
      <c r="L442" s="9"/>
      <c r="M442" s="9"/>
      <c r="N442" s="8"/>
    </row>
    <row r="443" spans="1:14" x14ac:dyDescent="0.4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</row>
    <row r="444" spans="1:14" x14ac:dyDescent="0.4">
      <c r="A444" s="53" t="s">
        <v>14</v>
      </c>
      <c r="B444" s="55" t="s">
        <v>34</v>
      </c>
      <c r="C444" s="71" t="s">
        <v>152</v>
      </c>
      <c r="D444" s="71" t="s">
        <v>153</v>
      </c>
      <c r="E444" s="71" t="s">
        <v>145</v>
      </c>
      <c r="F444" s="53" t="s">
        <v>1</v>
      </c>
      <c r="G444" s="53"/>
      <c r="H444" s="57" t="s">
        <v>15</v>
      </c>
      <c r="I444" s="57" t="s">
        <v>16</v>
      </c>
      <c r="J444" s="53" t="s">
        <v>17</v>
      </c>
      <c r="K444" s="67" t="s">
        <v>84</v>
      </c>
      <c r="L444" s="68"/>
      <c r="M444" s="53" t="s">
        <v>20</v>
      </c>
      <c r="N444" s="8"/>
    </row>
    <row r="445" spans="1:14" x14ac:dyDescent="0.4">
      <c r="A445" s="53"/>
      <c r="B445" s="55"/>
      <c r="C445" s="72"/>
      <c r="D445" s="72"/>
      <c r="E445" s="72"/>
      <c r="F445" s="53" t="s">
        <v>18</v>
      </c>
      <c r="G445" s="53" t="s">
        <v>2</v>
      </c>
      <c r="H445" s="57"/>
      <c r="I445" s="57"/>
      <c r="J445" s="53"/>
      <c r="K445" s="69"/>
      <c r="L445" s="70"/>
      <c r="M445" s="53"/>
      <c r="N445" s="8"/>
    </row>
    <row r="446" spans="1:14" x14ac:dyDescent="0.4">
      <c r="A446" s="53"/>
      <c r="B446" s="56"/>
      <c r="C446" s="73"/>
      <c r="D446" s="73"/>
      <c r="E446" s="73"/>
      <c r="F446" s="53"/>
      <c r="G446" s="53"/>
      <c r="H446" s="57"/>
      <c r="I446" s="57"/>
      <c r="J446" s="53"/>
      <c r="K446" s="42" t="s">
        <v>85</v>
      </c>
      <c r="L446" s="42" t="s">
        <v>86</v>
      </c>
      <c r="M446" s="53"/>
      <c r="N446" s="8"/>
    </row>
    <row r="447" spans="1:14" x14ac:dyDescent="0.4">
      <c r="A447" s="11" t="s">
        <v>11</v>
      </c>
      <c r="B447" s="40"/>
      <c r="C447" s="40"/>
      <c r="D447" s="40"/>
      <c r="E447" s="40"/>
      <c r="F447" s="13"/>
      <c r="G447" s="11"/>
      <c r="H447" s="13"/>
      <c r="I447" s="14"/>
      <c r="J447" s="13"/>
      <c r="K447" s="15">
        <f>ROUND((10^(J447/10))/(10^(H447/10)),3)</f>
        <v>1</v>
      </c>
      <c r="L447" s="15"/>
      <c r="M447" s="15">
        <f t="shared" ref="M447:M458" si="222">I447*K447</f>
        <v>0</v>
      </c>
      <c r="N447" s="8"/>
    </row>
    <row r="448" spans="1:14" x14ac:dyDescent="0.4">
      <c r="A448" s="11" t="s">
        <v>11</v>
      </c>
      <c r="B448" s="40"/>
      <c r="C448" s="40"/>
      <c r="D448" s="40"/>
      <c r="E448" s="40"/>
      <c r="F448" s="13"/>
      <c r="G448" s="11"/>
      <c r="H448" s="13"/>
      <c r="I448" s="14"/>
      <c r="J448" s="13"/>
      <c r="K448" s="15">
        <f t="shared" ref="K448:K458" si="223">ROUND((10^(J448/10))/(10^(H448/10)),3)</f>
        <v>1</v>
      </c>
      <c r="L448" s="15"/>
      <c r="M448" s="15">
        <f t="shared" si="222"/>
        <v>0</v>
      </c>
      <c r="N448" s="8"/>
    </row>
    <row r="449" spans="1:14" x14ac:dyDescent="0.4">
      <c r="A449" s="11" t="s">
        <v>11</v>
      </c>
      <c r="B449" s="40"/>
      <c r="C449" s="40"/>
      <c r="D449" s="40"/>
      <c r="E449" s="40"/>
      <c r="F449" s="13"/>
      <c r="G449" s="11"/>
      <c r="H449" s="13"/>
      <c r="I449" s="14"/>
      <c r="J449" s="13"/>
      <c r="K449" s="15">
        <f t="shared" si="223"/>
        <v>1</v>
      </c>
      <c r="L449" s="15"/>
      <c r="M449" s="15">
        <f t="shared" si="222"/>
        <v>0</v>
      </c>
      <c r="N449" s="8"/>
    </row>
    <row r="450" spans="1:14" x14ac:dyDescent="0.4">
      <c r="A450" s="11" t="s">
        <v>13</v>
      </c>
      <c r="B450" s="40">
        <f t="shared" ref="B450" si="224">B447</f>
        <v>0</v>
      </c>
      <c r="C450" s="40"/>
      <c r="D450" s="40"/>
      <c r="E450" s="40">
        <f t="shared" ref="E450:G450" si="225">E447</f>
        <v>0</v>
      </c>
      <c r="F450" s="13">
        <f t="shared" si="225"/>
        <v>0</v>
      </c>
      <c r="G450" s="40">
        <f t="shared" si="225"/>
        <v>0</v>
      </c>
      <c r="H450" s="13">
        <f>H447</f>
        <v>0</v>
      </c>
      <c r="I450" s="16"/>
      <c r="J450" s="13">
        <f t="shared" ref="J450:J452" si="226">J447</f>
        <v>0</v>
      </c>
      <c r="K450" s="15">
        <f t="shared" si="223"/>
        <v>1</v>
      </c>
      <c r="L450" s="15"/>
      <c r="M450" s="15">
        <f t="shared" si="222"/>
        <v>0</v>
      </c>
      <c r="N450" s="8"/>
    </row>
    <row r="451" spans="1:14" x14ac:dyDescent="0.4">
      <c r="A451" s="11" t="s">
        <v>13</v>
      </c>
      <c r="B451" s="40">
        <f t="shared" ref="B451" si="227">B448</f>
        <v>0</v>
      </c>
      <c r="C451" s="40"/>
      <c r="D451" s="40"/>
      <c r="E451" s="40">
        <f t="shared" ref="E451:H451" si="228">E448</f>
        <v>0</v>
      </c>
      <c r="F451" s="13">
        <f t="shared" si="228"/>
        <v>0</v>
      </c>
      <c r="G451" s="40">
        <f t="shared" si="228"/>
        <v>0</v>
      </c>
      <c r="H451" s="13">
        <f t="shared" si="228"/>
        <v>0</v>
      </c>
      <c r="I451" s="16"/>
      <c r="J451" s="13">
        <f t="shared" si="226"/>
        <v>0</v>
      </c>
      <c r="K451" s="15">
        <f t="shared" si="223"/>
        <v>1</v>
      </c>
      <c r="L451" s="15"/>
      <c r="M451" s="15">
        <f t="shared" si="222"/>
        <v>0</v>
      </c>
      <c r="N451" s="8"/>
    </row>
    <row r="452" spans="1:14" x14ac:dyDescent="0.4">
      <c r="A452" s="11" t="s">
        <v>13</v>
      </c>
      <c r="B452" s="40">
        <f t="shared" ref="B452" si="229">B449</f>
        <v>0</v>
      </c>
      <c r="C452" s="40"/>
      <c r="D452" s="40"/>
      <c r="E452" s="40">
        <f t="shared" ref="E452:H452" si="230">E449</f>
        <v>0</v>
      </c>
      <c r="F452" s="13">
        <f t="shared" si="230"/>
        <v>0</v>
      </c>
      <c r="G452" s="40">
        <f t="shared" si="230"/>
        <v>0</v>
      </c>
      <c r="H452" s="13">
        <f t="shared" si="230"/>
        <v>0</v>
      </c>
      <c r="I452" s="16"/>
      <c r="J452" s="13">
        <f t="shared" si="226"/>
        <v>0</v>
      </c>
      <c r="K452" s="15">
        <f t="shared" si="223"/>
        <v>1</v>
      </c>
      <c r="L452" s="15"/>
      <c r="M452" s="15">
        <f t="shared" si="222"/>
        <v>0</v>
      </c>
      <c r="N452" s="8"/>
    </row>
    <row r="453" spans="1:14" x14ac:dyDescent="0.4">
      <c r="A453" s="11" t="s">
        <v>12</v>
      </c>
      <c r="B453" s="40">
        <f t="shared" ref="B453:J458" ca="1" si="231">OFFSET(B453,-6,0)</f>
        <v>0</v>
      </c>
      <c r="C453" s="40"/>
      <c r="D453" s="40"/>
      <c r="E453" s="40">
        <f t="shared" ca="1" si="231"/>
        <v>0</v>
      </c>
      <c r="F453" s="13">
        <f t="shared" ca="1" si="231"/>
        <v>0</v>
      </c>
      <c r="G453" s="17">
        <f t="shared" ca="1" si="231"/>
        <v>0</v>
      </c>
      <c r="H453" s="13">
        <f t="shared" ca="1" si="231"/>
        <v>0</v>
      </c>
      <c r="I453" s="16"/>
      <c r="J453" s="13">
        <f t="shared" ca="1" si="231"/>
        <v>0</v>
      </c>
      <c r="K453" s="15">
        <f t="shared" ca="1" si="223"/>
        <v>1</v>
      </c>
      <c r="L453" s="15"/>
      <c r="M453" s="15">
        <f t="shared" ca="1" si="222"/>
        <v>0</v>
      </c>
      <c r="N453" s="8"/>
    </row>
    <row r="454" spans="1:14" x14ac:dyDescent="0.4">
      <c r="A454" s="11" t="s">
        <v>12</v>
      </c>
      <c r="B454" s="40">
        <f t="shared" ca="1" si="231"/>
        <v>0</v>
      </c>
      <c r="C454" s="40"/>
      <c r="D454" s="40"/>
      <c r="E454" s="40">
        <f t="shared" ca="1" si="231"/>
        <v>0</v>
      </c>
      <c r="F454" s="13">
        <f t="shared" ca="1" si="231"/>
        <v>0</v>
      </c>
      <c r="G454" s="17">
        <f t="shared" ca="1" si="231"/>
        <v>0</v>
      </c>
      <c r="H454" s="13">
        <f t="shared" ca="1" si="231"/>
        <v>0</v>
      </c>
      <c r="I454" s="16"/>
      <c r="J454" s="13">
        <f t="shared" ca="1" si="231"/>
        <v>0</v>
      </c>
      <c r="K454" s="15">
        <f t="shared" ca="1" si="223"/>
        <v>1</v>
      </c>
      <c r="L454" s="15"/>
      <c r="M454" s="15">
        <f t="shared" ca="1" si="222"/>
        <v>0</v>
      </c>
      <c r="N454" s="8"/>
    </row>
    <row r="455" spans="1:14" x14ac:dyDescent="0.4">
      <c r="A455" s="11" t="s">
        <v>12</v>
      </c>
      <c r="B455" s="40">
        <f t="shared" ca="1" si="231"/>
        <v>0</v>
      </c>
      <c r="C455" s="40"/>
      <c r="D455" s="40"/>
      <c r="E455" s="40">
        <f t="shared" ca="1" si="231"/>
        <v>0</v>
      </c>
      <c r="F455" s="13">
        <f t="shared" ca="1" si="231"/>
        <v>0</v>
      </c>
      <c r="G455" s="17">
        <f t="shared" ca="1" si="231"/>
        <v>0</v>
      </c>
      <c r="H455" s="13">
        <f t="shared" ca="1" si="231"/>
        <v>0</v>
      </c>
      <c r="I455" s="16"/>
      <c r="J455" s="13">
        <f t="shared" ca="1" si="231"/>
        <v>0</v>
      </c>
      <c r="K455" s="15">
        <f t="shared" ca="1" si="223"/>
        <v>1</v>
      </c>
      <c r="L455" s="15"/>
      <c r="M455" s="15">
        <f t="shared" ca="1" si="222"/>
        <v>0</v>
      </c>
      <c r="N455" s="8"/>
    </row>
    <row r="456" spans="1:14" x14ac:dyDescent="0.4">
      <c r="A456" s="11" t="s">
        <v>21</v>
      </c>
      <c r="B456" s="40">
        <f t="shared" ca="1" si="231"/>
        <v>0</v>
      </c>
      <c r="C456" s="40"/>
      <c r="D456" s="40"/>
      <c r="E456" s="40">
        <f t="shared" ca="1" si="231"/>
        <v>0</v>
      </c>
      <c r="F456" s="13">
        <f t="shared" ca="1" si="231"/>
        <v>0</v>
      </c>
      <c r="G456" s="17">
        <f t="shared" ca="1" si="231"/>
        <v>0</v>
      </c>
      <c r="H456" s="13">
        <f t="shared" ca="1" si="231"/>
        <v>0</v>
      </c>
      <c r="I456" s="16"/>
      <c r="J456" s="13">
        <f t="shared" ca="1" si="231"/>
        <v>0</v>
      </c>
      <c r="K456" s="15">
        <f t="shared" ca="1" si="223"/>
        <v>1</v>
      </c>
      <c r="L456" s="15"/>
      <c r="M456" s="15">
        <f t="shared" ca="1" si="222"/>
        <v>0</v>
      </c>
      <c r="N456" s="8"/>
    </row>
    <row r="457" spans="1:14" x14ac:dyDescent="0.4">
      <c r="A457" s="11" t="s">
        <v>21</v>
      </c>
      <c r="B457" s="40">
        <f t="shared" ca="1" si="231"/>
        <v>0</v>
      </c>
      <c r="C457" s="40"/>
      <c r="D457" s="40"/>
      <c r="E457" s="40">
        <f t="shared" ca="1" si="231"/>
        <v>0</v>
      </c>
      <c r="F457" s="13">
        <f t="shared" ca="1" si="231"/>
        <v>0</v>
      </c>
      <c r="G457" s="17">
        <f t="shared" ca="1" si="231"/>
        <v>0</v>
      </c>
      <c r="H457" s="13">
        <f t="shared" ca="1" si="231"/>
        <v>0</v>
      </c>
      <c r="I457" s="16"/>
      <c r="J457" s="13">
        <f t="shared" ca="1" si="231"/>
        <v>0</v>
      </c>
      <c r="K457" s="15">
        <f t="shared" ca="1" si="223"/>
        <v>1</v>
      </c>
      <c r="L457" s="15"/>
      <c r="M457" s="15">
        <f t="shared" ca="1" si="222"/>
        <v>0</v>
      </c>
      <c r="N457" s="8"/>
    </row>
    <row r="458" spans="1:14" x14ac:dyDescent="0.4">
      <c r="A458" s="11" t="s">
        <v>21</v>
      </c>
      <c r="B458" s="40">
        <f t="shared" ca="1" si="231"/>
        <v>0</v>
      </c>
      <c r="C458" s="40"/>
      <c r="D458" s="40"/>
      <c r="E458" s="40">
        <f t="shared" ca="1" si="231"/>
        <v>0</v>
      </c>
      <c r="F458" s="13">
        <f t="shared" ca="1" si="231"/>
        <v>0</v>
      </c>
      <c r="G458" s="17">
        <f t="shared" ca="1" si="231"/>
        <v>0</v>
      </c>
      <c r="H458" s="13">
        <f t="shared" ca="1" si="231"/>
        <v>0</v>
      </c>
      <c r="I458" s="16"/>
      <c r="J458" s="13">
        <f t="shared" ca="1" si="231"/>
        <v>0</v>
      </c>
      <c r="K458" s="15">
        <f t="shared" ca="1" si="223"/>
        <v>1</v>
      </c>
      <c r="L458" s="15"/>
      <c r="M458" s="15">
        <f t="shared" ca="1" si="222"/>
        <v>0</v>
      </c>
      <c r="N458" s="8"/>
    </row>
    <row r="459" spans="1:14" x14ac:dyDescent="0.4">
      <c r="A459" s="36"/>
      <c r="B459" s="36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7"/>
    </row>
    <row r="460" spans="1:14" x14ac:dyDescent="0.4">
      <c r="A460" s="58" t="s">
        <v>167</v>
      </c>
      <c r="B460" s="59"/>
      <c r="C460" s="59"/>
      <c r="D460" s="59"/>
      <c r="E460" s="59"/>
      <c r="F460" s="59"/>
      <c r="G460" s="59"/>
      <c r="H460" s="59"/>
      <c r="I460" s="60"/>
      <c r="J460" s="54" t="s">
        <v>3</v>
      </c>
      <c r="K460" s="54"/>
      <c r="L460" s="54"/>
      <c r="M460" s="7"/>
      <c r="N460" s="7"/>
    </row>
    <row r="461" spans="1:14" x14ac:dyDescent="0.4">
      <c r="A461" s="61"/>
      <c r="B461" s="62"/>
      <c r="C461" s="62"/>
      <c r="D461" s="62"/>
      <c r="E461" s="62"/>
      <c r="F461" s="62"/>
      <c r="G461" s="62"/>
      <c r="H461" s="62"/>
      <c r="I461" s="63"/>
      <c r="J461" s="54" t="s">
        <v>4</v>
      </c>
      <c r="K461" s="54"/>
      <c r="L461" s="54"/>
      <c r="M461" s="7"/>
      <c r="N461" s="7"/>
    </row>
    <row r="462" spans="1:14" x14ac:dyDescent="0.4">
      <c r="A462" s="64"/>
      <c r="B462" s="65"/>
      <c r="C462" s="65"/>
      <c r="D462" s="65"/>
      <c r="E462" s="65"/>
      <c r="F462" s="65"/>
      <c r="G462" s="65"/>
      <c r="H462" s="65"/>
      <c r="I462" s="66"/>
      <c r="J462" s="54" t="s">
        <v>0</v>
      </c>
      <c r="K462" s="54"/>
      <c r="L462" s="54"/>
      <c r="M462" s="9"/>
      <c r="N462" s="9"/>
    </row>
    <row r="463" spans="1:14" x14ac:dyDescent="0.4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</row>
    <row r="464" spans="1:14" x14ac:dyDescent="0.4">
      <c r="A464" s="53" t="s">
        <v>14</v>
      </c>
      <c r="B464" s="55" t="s">
        <v>33</v>
      </c>
      <c r="C464" s="71" t="s">
        <v>152</v>
      </c>
      <c r="D464" s="71" t="s">
        <v>153</v>
      </c>
      <c r="E464" s="55" t="s">
        <v>145</v>
      </c>
      <c r="F464" s="53" t="s">
        <v>1</v>
      </c>
      <c r="G464" s="53"/>
      <c r="H464" s="53" t="s">
        <v>19</v>
      </c>
      <c r="I464" s="57" t="s">
        <v>15</v>
      </c>
      <c r="J464" s="57" t="s">
        <v>16</v>
      </c>
      <c r="K464" s="53" t="s">
        <v>17</v>
      </c>
      <c r="L464" s="53" t="s">
        <v>84</v>
      </c>
      <c r="M464" s="53"/>
      <c r="N464" s="53" t="s">
        <v>20</v>
      </c>
    </row>
    <row r="465" spans="1:14" x14ac:dyDescent="0.4">
      <c r="A465" s="53"/>
      <c r="B465" s="55"/>
      <c r="C465" s="72"/>
      <c r="D465" s="72"/>
      <c r="E465" s="55"/>
      <c r="F465" s="53" t="s">
        <v>18</v>
      </c>
      <c r="G465" s="53" t="s">
        <v>2</v>
      </c>
      <c r="H465" s="53"/>
      <c r="I465" s="57"/>
      <c r="J465" s="57"/>
      <c r="K465" s="53"/>
      <c r="L465" s="53"/>
      <c r="M465" s="53"/>
      <c r="N465" s="53"/>
    </row>
    <row r="466" spans="1:14" x14ac:dyDescent="0.4">
      <c r="A466" s="53"/>
      <c r="B466" s="56"/>
      <c r="C466" s="73"/>
      <c r="D466" s="73"/>
      <c r="E466" s="55"/>
      <c r="F466" s="53"/>
      <c r="G466" s="53"/>
      <c r="H466" s="53"/>
      <c r="I466" s="57"/>
      <c r="J466" s="57"/>
      <c r="K466" s="53"/>
      <c r="L466" s="42" t="s">
        <v>85</v>
      </c>
      <c r="M466" s="42" t="s">
        <v>86</v>
      </c>
      <c r="N466" s="53"/>
    </row>
    <row r="467" spans="1:14" x14ac:dyDescent="0.4">
      <c r="A467" s="74" t="s">
        <v>26</v>
      </c>
      <c r="B467" s="78"/>
      <c r="C467" s="78"/>
      <c r="D467" s="78"/>
      <c r="E467" s="78"/>
      <c r="F467" s="78"/>
      <c r="G467" s="78"/>
      <c r="H467" s="78"/>
      <c r="I467" s="78"/>
      <c r="J467" s="78"/>
      <c r="K467" s="78"/>
      <c r="L467" s="78"/>
      <c r="M467" s="78"/>
      <c r="N467" s="79"/>
    </row>
    <row r="468" spans="1:14" x14ac:dyDescent="0.4">
      <c r="A468" s="11" t="s">
        <v>5</v>
      </c>
      <c r="B468" s="40"/>
      <c r="C468" s="40"/>
      <c r="D468" s="40"/>
      <c r="E468" s="40"/>
      <c r="F468" s="13"/>
      <c r="G468" s="11"/>
      <c r="H468" s="17"/>
      <c r="I468" s="13"/>
      <c r="J468" s="16"/>
      <c r="K468" s="13"/>
      <c r="L468" s="15">
        <f>ROUND((10^(K468/10))/(10^(I468/10)),3)</f>
        <v>1</v>
      </c>
      <c r="M468" s="15"/>
      <c r="N468" s="15">
        <f t="shared" ref="N468:N485" si="232">J468*L468</f>
        <v>0</v>
      </c>
    </row>
    <row r="469" spans="1:14" x14ac:dyDescent="0.4">
      <c r="A469" s="11" t="s">
        <v>5</v>
      </c>
      <c r="B469" s="40"/>
      <c r="C469" s="40"/>
      <c r="D469" s="40"/>
      <c r="E469" s="40"/>
      <c r="F469" s="13"/>
      <c r="G469" s="11"/>
      <c r="H469" s="17"/>
      <c r="I469" s="13"/>
      <c r="J469" s="16"/>
      <c r="K469" s="13"/>
      <c r="L469" s="15">
        <f t="shared" ref="L469:L485" si="233">ROUND((10^(K469/10))/(10^(I469/10)),3)</f>
        <v>1</v>
      </c>
      <c r="M469" s="15"/>
      <c r="N469" s="15">
        <f t="shared" si="232"/>
        <v>0</v>
      </c>
    </row>
    <row r="470" spans="1:14" x14ac:dyDescent="0.4">
      <c r="A470" s="11" t="s">
        <v>5</v>
      </c>
      <c r="B470" s="40"/>
      <c r="C470" s="40"/>
      <c r="D470" s="40"/>
      <c r="E470" s="40"/>
      <c r="F470" s="13"/>
      <c r="G470" s="11"/>
      <c r="H470" s="17"/>
      <c r="I470" s="13"/>
      <c r="J470" s="16"/>
      <c r="K470" s="13"/>
      <c r="L470" s="15">
        <f t="shared" si="233"/>
        <v>1</v>
      </c>
      <c r="M470" s="15"/>
      <c r="N470" s="15">
        <f t="shared" si="232"/>
        <v>0</v>
      </c>
    </row>
    <row r="471" spans="1:14" x14ac:dyDescent="0.4">
      <c r="A471" s="11" t="s">
        <v>6</v>
      </c>
      <c r="B471" s="41">
        <f t="shared" ref="B471:I473" ca="1" si="234">OFFSET(B471,-3,0)</f>
        <v>0</v>
      </c>
      <c r="C471" s="41"/>
      <c r="D471" s="41"/>
      <c r="E471" s="41"/>
      <c r="F471" s="19">
        <f t="shared" ca="1" si="234"/>
        <v>0</v>
      </c>
      <c r="G471" s="20">
        <f t="shared" ca="1" si="234"/>
        <v>0</v>
      </c>
      <c r="H471" s="20">
        <f t="shared" ca="1" si="234"/>
        <v>0</v>
      </c>
      <c r="I471" s="13">
        <f t="shared" ca="1" si="234"/>
        <v>0</v>
      </c>
      <c r="J471" s="16"/>
      <c r="K471" s="19">
        <f t="shared" ref="K471:K473" ca="1" si="235">OFFSET(K471,-3,0)</f>
        <v>0</v>
      </c>
      <c r="L471" s="15">
        <f t="shared" ca="1" si="233"/>
        <v>1</v>
      </c>
      <c r="M471" s="15"/>
      <c r="N471" s="15">
        <f t="shared" ca="1" si="232"/>
        <v>0</v>
      </c>
    </row>
    <row r="472" spans="1:14" x14ac:dyDescent="0.4">
      <c r="A472" s="11" t="s">
        <v>6</v>
      </c>
      <c r="B472" s="41">
        <f t="shared" ca="1" si="234"/>
        <v>0</v>
      </c>
      <c r="C472" s="41"/>
      <c r="D472" s="41"/>
      <c r="E472" s="41"/>
      <c r="F472" s="19">
        <f t="shared" ca="1" si="234"/>
        <v>0</v>
      </c>
      <c r="G472" s="20">
        <f t="shared" ca="1" si="234"/>
        <v>0</v>
      </c>
      <c r="H472" s="20">
        <f t="shared" ca="1" si="234"/>
        <v>0</v>
      </c>
      <c r="I472" s="13">
        <f t="shared" ca="1" si="234"/>
        <v>0</v>
      </c>
      <c r="J472" s="16"/>
      <c r="K472" s="19">
        <f t="shared" ca="1" si="235"/>
        <v>0</v>
      </c>
      <c r="L472" s="15">
        <f t="shared" ca="1" si="233"/>
        <v>1</v>
      </c>
      <c r="M472" s="15"/>
      <c r="N472" s="15">
        <f t="shared" ca="1" si="232"/>
        <v>0</v>
      </c>
    </row>
    <row r="473" spans="1:14" x14ac:dyDescent="0.4">
      <c r="A473" s="11" t="s">
        <v>6</v>
      </c>
      <c r="B473" s="41">
        <f t="shared" ca="1" si="234"/>
        <v>0</v>
      </c>
      <c r="C473" s="41"/>
      <c r="D473" s="41"/>
      <c r="E473" s="41"/>
      <c r="F473" s="19">
        <f t="shared" ca="1" si="234"/>
        <v>0</v>
      </c>
      <c r="G473" s="20">
        <f t="shared" ca="1" si="234"/>
        <v>0</v>
      </c>
      <c r="H473" s="20">
        <f t="shared" ca="1" si="234"/>
        <v>0</v>
      </c>
      <c r="I473" s="13">
        <f t="shared" ca="1" si="234"/>
        <v>0</v>
      </c>
      <c r="J473" s="16"/>
      <c r="K473" s="19">
        <f t="shared" ca="1" si="235"/>
        <v>0</v>
      </c>
      <c r="L473" s="15">
        <f t="shared" ca="1" si="233"/>
        <v>1</v>
      </c>
      <c r="M473" s="15"/>
      <c r="N473" s="15">
        <f t="shared" ca="1" si="232"/>
        <v>0</v>
      </c>
    </row>
    <row r="474" spans="1:14" x14ac:dyDescent="0.4">
      <c r="A474" s="11" t="s">
        <v>10</v>
      </c>
      <c r="B474" s="40">
        <f t="shared" ref="B474:I476" ca="1" si="236">OFFSET(B474,-6,0)</f>
        <v>0</v>
      </c>
      <c r="C474" s="40"/>
      <c r="D474" s="40"/>
      <c r="E474" s="40"/>
      <c r="F474" s="13">
        <f t="shared" ca="1" si="236"/>
        <v>0</v>
      </c>
      <c r="G474" s="17">
        <f t="shared" ca="1" si="236"/>
        <v>0</v>
      </c>
      <c r="H474" s="17">
        <f t="shared" ca="1" si="236"/>
        <v>0</v>
      </c>
      <c r="I474" s="13">
        <f t="shared" ca="1" si="236"/>
        <v>0</v>
      </c>
      <c r="J474" s="16"/>
      <c r="K474" s="13">
        <f t="shared" ref="K474:K476" ca="1" si="237">OFFSET(K474,-6,0)</f>
        <v>0</v>
      </c>
      <c r="L474" s="15">
        <f t="shared" ca="1" si="233"/>
        <v>1</v>
      </c>
      <c r="M474" s="15"/>
      <c r="N474" s="15">
        <f t="shared" ca="1" si="232"/>
        <v>0</v>
      </c>
    </row>
    <row r="475" spans="1:14" x14ac:dyDescent="0.4">
      <c r="A475" s="11" t="s">
        <v>10</v>
      </c>
      <c r="B475" s="40">
        <f t="shared" ca="1" si="236"/>
        <v>0</v>
      </c>
      <c r="C475" s="40"/>
      <c r="D475" s="40"/>
      <c r="E475" s="40"/>
      <c r="F475" s="13">
        <f t="shared" ca="1" si="236"/>
        <v>0</v>
      </c>
      <c r="G475" s="17">
        <f t="shared" ca="1" si="236"/>
        <v>0</v>
      </c>
      <c r="H475" s="17">
        <f t="shared" ca="1" si="236"/>
        <v>0</v>
      </c>
      <c r="I475" s="13">
        <f t="shared" ca="1" si="236"/>
        <v>0</v>
      </c>
      <c r="J475" s="16"/>
      <c r="K475" s="13">
        <f t="shared" ca="1" si="237"/>
        <v>0</v>
      </c>
      <c r="L475" s="15">
        <f t="shared" ca="1" si="233"/>
        <v>1</v>
      </c>
      <c r="M475" s="15"/>
      <c r="N475" s="15">
        <f t="shared" ca="1" si="232"/>
        <v>0</v>
      </c>
    </row>
    <row r="476" spans="1:14" x14ac:dyDescent="0.4">
      <c r="A476" s="11" t="s">
        <v>10</v>
      </c>
      <c r="B476" s="40">
        <f t="shared" ca="1" si="236"/>
        <v>0</v>
      </c>
      <c r="C476" s="40"/>
      <c r="D476" s="40"/>
      <c r="E476" s="40"/>
      <c r="F476" s="13">
        <f t="shared" ca="1" si="236"/>
        <v>0</v>
      </c>
      <c r="G476" s="17">
        <f t="shared" ca="1" si="236"/>
        <v>0</v>
      </c>
      <c r="H476" s="17">
        <f t="shared" ca="1" si="236"/>
        <v>0</v>
      </c>
      <c r="I476" s="13">
        <f t="shared" ca="1" si="236"/>
        <v>0</v>
      </c>
      <c r="J476" s="16"/>
      <c r="K476" s="13">
        <f t="shared" ca="1" si="237"/>
        <v>0</v>
      </c>
      <c r="L476" s="15">
        <f t="shared" ca="1" si="233"/>
        <v>1</v>
      </c>
      <c r="M476" s="15"/>
      <c r="N476" s="15">
        <f t="shared" ca="1" si="232"/>
        <v>0</v>
      </c>
    </row>
    <row r="477" spans="1:14" x14ac:dyDescent="0.4">
      <c r="A477" s="11" t="s">
        <v>7</v>
      </c>
      <c r="B477" s="40">
        <f t="shared" ref="B477:I479" ca="1" si="238">OFFSET(B477,-9,0)</f>
        <v>0</v>
      </c>
      <c r="C477" s="40"/>
      <c r="D477" s="40"/>
      <c r="E477" s="40"/>
      <c r="F477" s="13">
        <f t="shared" ca="1" si="238"/>
        <v>0</v>
      </c>
      <c r="G477" s="17">
        <f t="shared" ca="1" si="238"/>
        <v>0</v>
      </c>
      <c r="H477" s="17">
        <f t="shared" ca="1" si="238"/>
        <v>0</v>
      </c>
      <c r="I477" s="13">
        <f t="shared" ca="1" si="238"/>
        <v>0</v>
      </c>
      <c r="J477" s="16"/>
      <c r="K477" s="13">
        <f t="shared" ref="K477:K479" ca="1" si="239">OFFSET(K477,-9,0)</f>
        <v>0</v>
      </c>
      <c r="L477" s="15">
        <f t="shared" ca="1" si="233"/>
        <v>1</v>
      </c>
      <c r="M477" s="15"/>
      <c r="N477" s="15">
        <f t="shared" ca="1" si="232"/>
        <v>0</v>
      </c>
    </row>
    <row r="478" spans="1:14" x14ac:dyDescent="0.4">
      <c r="A478" s="11" t="s">
        <v>7</v>
      </c>
      <c r="B478" s="40">
        <f t="shared" ca="1" si="238"/>
        <v>0</v>
      </c>
      <c r="C478" s="40"/>
      <c r="D478" s="40"/>
      <c r="E478" s="40"/>
      <c r="F478" s="13">
        <f t="shared" ca="1" si="238"/>
        <v>0</v>
      </c>
      <c r="G478" s="17">
        <f t="shared" ca="1" si="238"/>
        <v>0</v>
      </c>
      <c r="H478" s="17">
        <f t="shared" ca="1" si="238"/>
        <v>0</v>
      </c>
      <c r="I478" s="13">
        <f t="shared" ca="1" si="238"/>
        <v>0</v>
      </c>
      <c r="J478" s="16"/>
      <c r="K478" s="13">
        <f t="shared" ca="1" si="239"/>
        <v>0</v>
      </c>
      <c r="L478" s="15">
        <f t="shared" ca="1" si="233"/>
        <v>1</v>
      </c>
      <c r="M478" s="15"/>
      <c r="N478" s="15">
        <f t="shared" ca="1" si="232"/>
        <v>0</v>
      </c>
    </row>
    <row r="479" spans="1:14" x14ac:dyDescent="0.4">
      <c r="A479" s="11" t="s">
        <v>7</v>
      </c>
      <c r="B479" s="40">
        <f t="shared" ca="1" si="238"/>
        <v>0</v>
      </c>
      <c r="C479" s="40"/>
      <c r="D479" s="40"/>
      <c r="E479" s="40"/>
      <c r="F479" s="13">
        <f t="shared" ca="1" si="238"/>
        <v>0</v>
      </c>
      <c r="G479" s="17">
        <f t="shared" ca="1" si="238"/>
        <v>0</v>
      </c>
      <c r="H479" s="17">
        <f t="shared" ca="1" si="238"/>
        <v>0</v>
      </c>
      <c r="I479" s="13">
        <f t="shared" ca="1" si="238"/>
        <v>0</v>
      </c>
      <c r="J479" s="16"/>
      <c r="K479" s="13">
        <f t="shared" ca="1" si="239"/>
        <v>0</v>
      </c>
      <c r="L479" s="15">
        <f t="shared" ca="1" si="233"/>
        <v>1</v>
      </c>
      <c r="M479" s="15"/>
      <c r="N479" s="15">
        <f t="shared" ca="1" si="232"/>
        <v>0</v>
      </c>
    </row>
    <row r="480" spans="1:14" x14ac:dyDescent="0.4">
      <c r="A480" s="11" t="s">
        <v>8</v>
      </c>
      <c r="B480" s="40">
        <f t="shared" ref="B480:I482" ca="1" si="240">OFFSET(B480,-12,0)</f>
        <v>0</v>
      </c>
      <c r="C480" s="40"/>
      <c r="D480" s="40"/>
      <c r="E480" s="40"/>
      <c r="F480" s="13">
        <f t="shared" ca="1" si="240"/>
        <v>0</v>
      </c>
      <c r="G480" s="17">
        <f t="shared" ca="1" si="240"/>
        <v>0</v>
      </c>
      <c r="H480" s="17">
        <f t="shared" ca="1" si="240"/>
        <v>0</v>
      </c>
      <c r="I480" s="13">
        <f t="shared" ca="1" si="240"/>
        <v>0</v>
      </c>
      <c r="J480" s="16"/>
      <c r="K480" s="13">
        <f t="shared" ref="K480:K482" ca="1" si="241">OFFSET(K480,-12,0)</f>
        <v>0</v>
      </c>
      <c r="L480" s="15">
        <f t="shared" ca="1" si="233"/>
        <v>1</v>
      </c>
      <c r="M480" s="15"/>
      <c r="N480" s="15">
        <f t="shared" ca="1" si="232"/>
        <v>0</v>
      </c>
    </row>
    <row r="481" spans="1:14" x14ac:dyDescent="0.4">
      <c r="A481" s="11" t="s">
        <v>8</v>
      </c>
      <c r="B481" s="40">
        <f t="shared" ca="1" si="240"/>
        <v>0</v>
      </c>
      <c r="C481" s="40"/>
      <c r="D481" s="40"/>
      <c r="E481" s="40"/>
      <c r="F481" s="13">
        <f t="shared" ca="1" si="240"/>
        <v>0</v>
      </c>
      <c r="G481" s="17">
        <f t="shared" ca="1" si="240"/>
        <v>0</v>
      </c>
      <c r="H481" s="17">
        <f t="shared" ca="1" si="240"/>
        <v>0</v>
      </c>
      <c r="I481" s="13">
        <f t="shared" ca="1" si="240"/>
        <v>0</v>
      </c>
      <c r="J481" s="16"/>
      <c r="K481" s="13">
        <f t="shared" ca="1" si="241"/>
        <v>0</v>
      </c>
      <c r="L481" s="15">
        <f t="shared" ca="1" si="233"/>
        <v>1</v>
      </c>
      <c r="M481" s="15"/>
      <c r="N481" s="15">
        <f t="shared" ca="1" si="232"/>
        <v>0</v>
      </c>
    </row>
    <row r="482" spans="1:14" x14ac:dyDescent="0.4">
      <c r="A482" s="11" t="s">
        <v>8</v>
      </c>
      <c r="B482" s="40">
        <f t="shared" ca="1" si="240"/>
        <v>0</v>
      </c>
      <c r="C482" s="40"/>
      <c r="D482" s="40"/>
      <c r="E482" s="40"/>
      <c r="F482" s="13">
        <f t="shared" ca="1" si="240"/>
        <v>0</v>
      </c>
      <c r="G482" s="17">
        <f t="shared" ca="1" si="240"/>
        <v>0</v>
      </c>
      <c r="H482" s="17">
        <f t="shared" ca="1" si="240"/>
        <v>0</v>
      </c>
      <c r="I482" s="13">
        <f t="shared" ca="1" si="240"/>
        <v>0</v>
      </c>
      <c r="J482" s="16"/>
      <c r="K482" s="13">
        <f t="shared" ca="1" si="241"/>
        <v>0</v>
      </c>
      <c r="L482" s="15">
        <f t="shared" ca="1" si="233"/>
        <v>1</v>
      </c>
      <c r="M482" s="15"/>
      <c r="N482" s="15">
        <f t="shared" ca="1" si="232"/>
        <v>0</v>
      </c>
    </row>
    <row r="483" spans="1:14" x14ac:dyDescent="0.4">
      <c r="A483" s="11" t="s">
        <v>9</v>
      </c>
      <c r="B483" s="41">
        <f t="shared" ref="B483:G485" ca="1" si="242">OFFSET(B483,-15,0)</f>
        <v>0</v>
      </c>
      <c r="C483" s="41"/>
      <c r="D483" s="41"/>
      <c r="E483" s="41"/>
      <c r="F483" s="19">
        <f t="shared" ca="1" si="242"/>
        <v>0</v>
      </c>
      <c r="G483" s="20">
        <f t="shared" ca="1" si="242"/>
        <v>0</v>
      </c>
      <c r="H483" s="20">
        <f ca="1">OFFSET(H483,-15,0)</f>
        <v>0</v>
      </c>
      <c r="I483" s="13">
        <f t="shared" ref="H483:I485" ca="1" si="243">OFFSET(I483,-15,0)</f>
        <v>0</v>
      </c>
      <c r="J483" s="16"/>
      <c r="K483" s="19">
        <f t="shared" ref="K483:K485" ca="1" si="244">OFFSET(K483,-15,0)</f>
        <v>0</v>
      </c>
      <c r="L483" s="15">
        <f t="shared" ca="1" si="233"/>
        <v>1</v>
      </c>
      <c r="M483" s="15"/>
      <c r="N483" s="15">
        <f t="shared" ca="1" si="232"/>
        <v>0</v>
      </c>
    </row>
    <row r="484" spans="1:14" x14ac:dyDescent="0.4">
      <c r="A484" s="11" t="s">
        <v>9</v>
      </c>
      <c r="B484" s="41">
        <f t="shared" ca="1" si="242"/>
        <v>0</v>
      </c>
      <c r="C484" s="41"/>
      <c r="D484" s="41"/>
      <c r="E484" s="41"/>
      <c r="F484" s="19">
        <f t="shared" ca="1" si="242"/>
        <v>0</v>
      </c>
      <c r="G484" s="20">
        <f t="shared" ca="1" si="242"/>
        <v>0</v>
      </c>
      <c r="H484" s="20">
        <f t="shared" ca="1" si="243"/>
        <v>0</v>
      </c>
      <c r="I484" s="13">
        <f t="shared" ca="1" si="243"/>
        <v>0</v>
      </c>
      <c r="J484" s="16"/>
      <c r="K484" s="19">
        <f t="shared" ca="1" si="244"/>
        <v>0</v>
      </c>
      <c r="L484" s="15">
        <f t="shared" ca="1" si="233"/>
        <v>1</v>
      </c>
      <c r="M484" s="15"/>
      <c r="N484" s="15">
        <f t="shared" ca="1" si="232"/>
        <v>0</v>
      </c>
    </row>
    <row r="485" spans="1:14" x14ac:dyDescent="0.4">
      <c r="A485" s="11" t="s">
        <v>9</v>
      </c>
      <c r="B485" s="41">
        <f t="shared" ca="1" si="242"/>
        <v>0</v>
      </c>
      <c r="C485" s="41"/>
      <c r="D485" s="41"/>
      <c r="E485" s="41"/>
      <c r="F485" s="19">
        <f t="shared" ca="1" si="242"/>
        <v>0</v>
      </c>
      <c r="G485" s="20">
        <f t="shared" ca="1" si="242"/>
        <v>0</v>
      </c>
      <c r="H485" s="20">
        <f t="shared" ca="1" si="243"/>
        <v>0</v>
      </c>
      <c r="I485" s="13">
        <f t="shared" ca="1" si="243"/>
        <v>0</v>
      </c>
      <c r="J485" s="16"/>
      <c r="K485" s="19">
        <f t="shared" ca="1" si="244"/>
        <v>0</v>
      </c>
      <c r="L485" s="15">
        <f t="shared" ca="1" si="233"/>
        <v>1</v>
      </c>
      <c r="M485" s="15"/>
      <c r="N485" s="15">
        <f t="shared" ca="1" si="232"/>
        <v>0</v>
      </c>
    </row>
    <row r="486" spans="1:14" ht="17.399999999999999" x14ac:dyDescent="0.4">
      <c r="A486" s="74" t="s">
        <v>28</v>
      </c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6"/>
    </row>
    <row r="487" spans="1:14" x14ac:dyDescent="0.4">
      <c r="A487" s="11" t="s">
        <v>5</v>
      </c>
      <c r="B487" s="40"/>
      <c r="C487" s="40"/>
      <c r="D487" s="40"/>
      <c r="E487" s="40"/>
      <c r="F487" s="13"/>
      <c r="G487" s="11"/>
      <c r="H487" s="17"/>
      <c r="I487" s="13"/>
      <c r="J487" s="16"/>
      <c r="K487" s="13"/>
      <c r="L487" s="15">
        <f>ROUND((10^(K487/10))/(10^(I487/10)),3)</f>
        <v>1</v>
      </c>
      <c r="M487" s="15"/>
      <c r="N487" s="15">
        <f t="shared" ref="N487:N504" si="245">J487*L487</f>
        <v>0</v>
      </c>
    </row>
    <row r="488" spans="1:14" x14ac:dyDescent="0.4">
      <c r="A488" s="11" t="s">
        <v>5</v>
      </c>
      <c r="B488" s="40"/>
      <c r="C488" s="40"/>
      <c r="D488" s="40"/>
      <c r="E488" s="40"/>
      <c r="F488" s="13"/>
      <c r="G488" s="11"/>
      <c r="H488" s="17"/>
      <c r="I488" s="13"/>
      <c r="J488" s="16"/>
      <c r="K488" s="13"/>
      <c r="L488" s="15">
        <f t="shared" ref="L488:L504" si="246">ROUND((10^(K488/10))/(10^(I488/10)),3)</f>
        <v>1</v>
      </c>
      <c r="M488" s="15"/>
      <c r="N488" s="15">
        <f t="shared" si="245"/>
        <v>0</v>
      </c>
    </row>
    <row r="489" spans="1:14" x14ac:dyDescent="0.4">
      <c r="A489" s="11" t="s">
        <v>5</v>
      </c>
      <c r="B489" s="40"/>
      <c r="C489" s="40"/>
      <c r="D489" s="40"/>
      <c r="E489" s="40"/>
      <c r="F489" s="13"/>
      <c r="G489" s="11"/>
      <c r="H489" s="17"/>
      <c r="I489" s="13"/>
      <c r="J489" s="16"/>
      <c r="K489" s="13"/>
      <c r="L489" s="15">
        <f t="shared" si="246"/>
        <v>1</v>
      </c>
      <c r="M489" s="15"/>
      <c r="N489" s="15">
        <f t="shared" si="245"/>
        <v>0</v>
      </c>
    </row>
    <row r="490" spans="1:14" x14ac:dyDescent="0.4">
      <c r="A490" s="11" t="s">
        <v>6</v>
      </c>
      <c r="B490" s="41">
        <f t="shared" ref="B490:I492" ca="1" si="247">OFFSET(B490,-3,0)</f>
        <v>0</v>
      </c>
      <c r="C490" s="41"/>
      <c r="D490" s="41"/>
      <c r="E490" s="41"/>
      <c r="F490" s="19">
        <f t="shared" ca="1" si="247"/>
        <v>0</v>
      </c>
      <c r="G490" s="20">
        <f t="shared" ca="1" si="247"/>
        <v>0</v>
      </c>
      <c r="H490" s="20">
        <f t="shared" ca="1" si="247"/>
        <v>0</v>
      </c>
      <c r="I490" s="13">
        <f t="shared" ca="1" si="247"/>
        <v>0</v>
      </c>
      <c r="J490" s="16"/>
      <c r="K490" s="19">
        <f t="shared" ref="K490:K492" ca="1" si="248">OFFSET(K490,-3,0)</f>
        <v>0</v>
      </c>
      <c r="L490" s="15">
        <f t="shared" ca="1" si="246"/>
        <v>1</v>
      </c>
      <c r="M490" s="15"/>
      <c r="N490" s="15">
        <f t="shared" ca="1" si="245"/>
        <v>0</v>
      </c>
    </row>
    <row r="491" spans="1:14" x14ac:dyDescent="0.4">
      <c r="A491" s="11" t="s">
        <v>6</v>
      </c>
      <c r="B491" s="41">
        <f t="shared" ca="1" si="247"/>
        <v>0</v>
      </c>
      <c r="C491" s="41"/>
      <c r="D491" s="41"/>
      <c r="E491" s="41"/>
      <c r="F491" s="19">
        <f t="shared" ca="1" si="247"/>
        <v>0</v>
      </c>
      <c r="G491" s="20">
        <f t="shared" ca="1" si="247"/>
        <v>0</v>
      </c>
      <c r="H491" s="20">
        <f t="shared" ca="1" si="247"/>
        <v>0</v>
      </c>
      <c r="I491" s="13">
        <f t="shared" ca="1" si="247"/>
        <v>0</v>
      </c>
      <c r="J491" s="16"/>
      <c r="K491" s="19">
        <f t="shared" ca="1" si="248"/>
        <v>0</v>
      </c>
      <c r="L491" s="15">
        <f t="shared" ca="1" si="246"/>
        <v>1</v>
      </c>
      <c r="M491" s="15"/>
      <c r="N491" s="15">
        <f t="shared" ca="1" si="245"/>
        <v>0</v>
      </c>
    </row>
    <row r="492" spans="1:14" x14ac:dyDescent="0.4">
      <c r="A492" s="11" t="s">
        <v>6</v>
      </c>
      <c r="B492" s="41">
        <f t="shared" ca="1" si="247"/>
        <v>0</v>
      </c>
      <c r="C492" s="41"/>
      <c r="D492" s="41"/>
      <c r="E492" s="41"/>
      <c r="F492" s="19">
        <f t="shared" ca="1" si="247"/>
        <v>0</v>
      </c>
      <c r="G492" s="20">
        <f t="shared" ca="1" si="247"/>
        <v>0</v>
      </c>
      <c r="H492" s="20">
        <f t="shared" ca="1" si="247"/>
        <v>0</v>
      </c>
      <c r="I492" s="13">
        <f t="shared" ca="1" si="247"/>
        <v>0</v>
      </c>
      <c r="J492" s="16"/>
      <c r="K492" s="19">
        <f t="shared" ca="1" si="248"/>
        <v>0</v>
      </c>
      <c r="L492" s="15">
        <f t="shared" ca="1" si="246"/>
        <v>1</v>
      </c>
      <c r="M492" s="15"/>
      <c r="N492" s="15">
        <f t="shared" ca="1" si="245"/>
        <v>0</v>
      </c>
    </row>
    <row r="493" spans="1:14" x14ac:dyDescent="0.4">
      <c r="A493" s="11" t="s">
        <v>10</v>
      </c>
      <c r="B493" s="40">
        <f t="shared" ref="B493:I495" ca="1" si="249">OFFSET(B493,-6,0)</f>
        <v>0</v>
      </c>
      <c r="C493" s="40"/>
      <c r="D493" s="40"/>
      <c r="E493" s="40"/>
      <c r="F493" s="13">
        <f t="shared" ca="1" si="249"/>
        <v>0</v>
      </c>
      <c r="G493" s="17">
        <f t="shared" ca="1" si="249"/>
        <v>0</v>
      </c>
      <c r="H493" s="17">
        <f t="shared" ca="1" si="249"/>
        <v>0</v>
      </c>
      <c r="I493" s="13">
        <f t="shared" ca="1" si="249"/>
        <v>0</v>
      </c>
      <c r="J493" s="16"/>
      <c r="K493" s="13">
        <f t="shared" ref="K493:K495" ca="1" si="250">OFFSET(K493,-6,0)</f>
        <v>0</v>
      </c>
      <c r="L493" s="15">
        <f t="shared" ca="1" si="246"/>
        <v>1</v>
      </c>
      <c r="M493" s="15"/>
      <c r="N493" s="15">
        <f t="shared" ca="1" si="245"/>
        <v>0</v>
      </c>
    </row>
    <row r="494" spans="1:14" x14ac:dyDescent="0.4">
      <c r="A494" s="11" t="s">
        <v>10</v>
      </c>
      <c r="B494" s="40">
        <f t="shared" ca="1" si="249"/>
        <v>0</v>
      </c>
      <c r="C494" s="40"/>
      <c r="D494" s="40"/>
      <c r="E494" s="40"/>
      <c r="F494" s="13">
        <f t="shared" ca="1" si="249"/>
        <v>0</v>
      </c>
      <c r="G494" s="17">
        <f t="shared" ca="1" si="249"/>
        <v>0</v>
      </c>
      <c r="H494" s="17">
        <f t="shared" ca="1" si="249"/>
        <v>0</v>
      </c>
      <c r="I494" s="13">
        <f t="shared" ca="1" si="249"/>
        <v>0</v>
      </c>
      <c r="J494" s="16"/>
      <c r="K494" s="13">
        <f t="shared" ca="1" si="250"/>
        <v>0</v>
      </c>
      <c r="L494" s="15">
        <f t="shared" ca="1" si="246"/>
        <v>1</v>
      </c>
      <c r="M494" s="15"/>
      <c r="N494" s="15">
        <f t="shared" ca="1" si="245"/>
        <v>0</v>
      </c>
    </row>
    <row r="495" spans="1:14" x14ac:dyDescent="0.4">
      <c r="A495" s="11" t="s">
        <v>10</v>
      </c>
      <c r="B495" s="40">
        <f t="shared" ca="1" si="249"/>
        <v>0</v>
      </c>
      <c r="C495" s="40"/>
      <c r="D495" s="40"/>
      <c r="E495" s="40"/>
      <c r="F495" s="13">
        <f t="shared" ca="1" si="249"/>
        <v>0</v>
      </c>
      <c r="G495" s="17">
        <f t="shared" ca="1" si="249"/>
        <v>0</v>
      </c>
      <c r="H495" s="17">
        <f t="shared" ca="1" si="249"/>
        <v>0</v>
      </c>
      <c r="I495" s="13">
        <f t="shared" ca="1" si="249"/>
        <v>0</v>
      </c>
      <c r="J495" s="16"/>
      <c r="K495" s="13">
        <f t="shared" ca="1" si="250"/>
        <v>0</v>
      </c>
      <c r="L495" s="15">
        <f t="shared" ca="1" si="246"/>
        <v>1</v>
      </c>
      <c r="M495" s="15"/>
      <c r="N495" s="15">
        <f t="shared" ca="1" si="245"/>
        <v>0</v>
      </c>
    </row>
    <row r="496" spans="1:14" x14ac:dyDescent="0.4">
      <c r="A496" s="11" t="s">
        <v>7</v>
      </c>
      <c r="B496" s="40">
        <f t="shared" ref="B496:I498" ca="1" si="251">OFFSET(B496,-9,0)</f>
        <v>0</v>
      </c>
      <c r="C496" s="40"/>
      <c r="D496" s="40"/>
      <c r="E496" s="40"/>
      <c r="F496" s="13">
        <f t="shared" ca="1" si="251"/>
        <v>0</v>
      </c>
      <c r="G496" s="17">
        <f t="shared" ca="1" si="251"/>
        <v>0</v>
      </c>
      <c r="H496" s="17">
        <f t="shared" ca="1" si="251"/>
        <v>0</v>
      </c>
      <c r="I496" s="13">
        <f t="shared" ca="1" si="251"/>
        <v>0</v>
      </c>
      <c r="J496" s="16"/>
      <c r="K496" s="13">
        <f t="shared" ref="K496:K498" ca="1" si="252">OFFSET(K496,-9,0)</f>
        <v>0</v>
      </c>
      <c r="L496" s="15">
        <f t="shared" ca="1" si="246"/>
        <v>1</v>
      </c>
      <c r="M496" s="15"/>
      <c r="N496" s="15">
        <f t="shared" ca="1" si="245"/>
        <v>0</v>
      </c>
    </row>
    <row r="497" spans="1:14" x14ac:dyDescent="0.4">
      <c r="A497" s="11" t="s">
        <v>7</v>
      </c>
      <c r="B497" s="40">
        <f t="shared" ca="1" si="251"/>
        <v>0</v>
      </c>
      <c r="C497" s="40"/>
      <c r="D497" s="40"/>
      <c r="E497" s="40"/>
      <c r="F497" s="13">
        <f t="shared" ca="1" si="251"/>
        <v>0</v>
      </c>
      <c r="G497" s="17">
        <f t="shared" ca="1" si="251"/>
        <v>0</v>
      </c>
      <c r="H497" s="17">
        <f t="shared" ca="1" si="251"/>
        <v>0</v>
      </c>
      <c r="I497" s="13">
        <f t="shared" ca="1" si="251"/>
        <v>0</v>
      </c>
      <c r="J497" s="16"/>
      <c r="K497" s="13">
        <f t="shared" ca="1" si="252"/>
        <v>0</v>
      </c>
      <c r="L497" s="15">
        <f t="shared" ca="1" si="246"/>
        <v>1</v>
      </c>
      <c r="M497" s="15"/>
      <c r="N497" s="15">
        <f t="shared" ca="1" si="245"/>
        <v>0</v>
      </c>
    </row>
    <row r="498" spans="1:14" x14ac:dyDescent="0.4">
      <c r="A498" s="11" t="s">
        <v>7</v>
      </c>
      <c r="B498" s="40">
        <f t="shared" ca="1" si="251"/>
        <v>0</v>
      </c>
      <c r="C498" s="40"/>
      <c r="D498" s="40"/>
      <c r="E498" s="40"/>
      <c r="F498" s="13">
        <f t="shared" ca="1" si="251"/>
        <v>0</v>
      </c>
      <c r="G498" s="17">
        <f t="shared" ca="1" si="251"/>
        <v>0</v>
      </c>
      <c r="H498" s="17">
        <f t="shared" ca="1" si="251"/>
        <v>0</v>
      </c>
      <c r="I498" s="13">
        <f t="shared" ca="1" si="251"/>
        <v>0</v>
      </c>
      <c r="J498" s="16"/>
      <c r="K498" s="13">
        <f t="shared" ca="1" si="252"/>
        <v>0</v>
      </c>
      <c r="L498" s="15">
        <f t="shared" ca="1" si="246"/>
        <v>1</v>
      </c>
      <c r="M498" s="15"/>
      <c r="N498" s="15">
        <f t="shared" ca="1" si="245"/>
        <v>0</v>
      </c>
    </row>
    <row r="499" spans="1:14" x14ac:dyDescent="0.4">
      <c r="A499" s="11" t="s">
        <v>8</v>
      </c>
      <c r="B499" s="40">
        <f t="shared" ref="B499:I501" ca="1" si="253">OFFSET(B499,-12,0)</f>
        <v>0</v>
      </c>
      <c r="C499" s="40"/>
      <c r="D499" s="40"/>
      <c r="E499" s="40"/>
      <c r="F499" s="13">
        <f t="shared" ca="1" si="253"/>
        <v>0</v>
      </c>
      <c r="G499" s="17">
        <f t="shared" ca="1" si="253"/>
        <v>0</v>
      </c>
      <c r="H499" s="17">
        <f t="shared" ca="1" si="253"/>
        <v>0</v>
      </c>
      <c r="I499" s="13">
        <f t="shared" ca="1" si="253"/>
        <v>0</v>
      </c>
      <c r="J499" s="16"/>
      <c r="K499" s="13">
        <f t="shared" ref="K499:K501" ca="1" si="254">OFFSET(K499,-12,0)</f>
        <v>0</v>
      </c>
      <c r="L499" s="15">
        <f t="shared" ca="1" si="246"/>
        <v>1</v>
      </c>
      <c r="M499" s="15"/>
      <c r="N499" s="15">
        <f t="shared" ca="1" si="245"/>
        <v>0</v>
      </c>
    </row>
    <row r="500" spans="1:14" x14ac:dyDescent="0.4">
      <c r="A500" s="11" t="s">
        <v>8</v>
      </c>
      <c r="B500" s="40">
        <f t="shared" ca="1" si="253"/>
        <v>0</v>
      </c>
      <c r="C500" s="40"/>
      <c r="D500" s="40"/>
      <c r="E500" s="40"/>
      <c r="F500" s="13">
        <f t="shared" ca="1" si="253"/>
        <v>0</v>
      </c>
      <c r="G500" s="17">
        <f t="shared" ca="1" si="253"/>
        <v>0</v>
      </c>
      <c r="H500" s="17">
        <f t="shared" ca="1" si="253"/>
        <v>0</v>
      </c>
      <c r="I500" s="13">
        <f t="shared" ca="1" si="253"/>
        <v>0</v>
      </c>
      <c r="J500" s="16"/>
      <c r="K500" s="13">
        <f t="shared" ca="1" si="254"/>
        <v>0</v>
      </c>
      <c r="L500" s="15">
        <f t="shared" ca="1" si="246"/>
        <v>1</v>
      </c>
      <c r="M500" s="15"/>
      <c r="N500" s="15">
        <f t="shared" ca="1" si="245"/>
        <v>0</v>
      </c>
    </row>
    <row r="501" spans="1:14" x14ac:dyDescent="0.4">
      <c r="A501" s="11" t="s">
        <v>8</v>
      </c>
      <c r="B501" s="40">
        <f t="shared" ca="1" si="253"/>
        <v>0</v>
      </c>
      <c r="C501" s="40"/>
      <c r="D501" s="40"/>
      <c r="E501" s="40"/>
      <c r="F501" s="13">
        <f t="shared" ca="1" si="253"/>
        <v>0</v>
      </c>
      <c r="G501" s="17">
        <f t="shared" ca="1" si="253"/>
        <v>0</v>
      </c>
      <c r="H501" s="17">
        <f t="shared" ca="1" si="253"/>
        <v>0</v>
      </c>
      <c r="I501" s="13">
        <f t="shared" ca="1" si="253"/>
        <v>0</v>
      </c>
      <c r="J501" s="16"/>
      <c r="K501" s="13">
        <f t="shared" ca="1" si="254"/>
        <v>0</v>
      </c>
      <c r="L501" s="15">
        <f t="shared" ca="1" si="246"/>
        <v>1</v>
      </c>
      <c r="M501" s="15"/>
      <c r="N501" s="15">
        <f t="shared" ca="1" si="245"/>
        <v>0</v>
      </c>
    </row>
    <row r="502" spans="1:14" x14ac:dyDescent="0.4">
      <c r="A502" s="11" t="s">
        <v>9</v>
      </c>
      <c r="B502" s="41">
        <f t="shared" ref="B502:H504" ca="1" si="255">OFFSET(B502,-15,0)</f>
        <v>0</v>
      </c>
      <c r="C502" s="41"/>
      <c r="D502" s="41"/>
      <c r="E502" s="41"/>
      <c r="F502" s="19">
        <f t="shared" ca="1" si="255"/>
        <v>0</v>
      </c>
      <c r="G502" s="20">
        <f t="shared" ca="1" si="255"/>
        <v>0</v>
      </c>
      <c r="H502" s="20">
        <f ca="1">OFFSET(H502,-15,0)</f>
        <v>0</v>
      </c>
      <c r="I502" s="13">
        <f t="shared" ref="I502:I504" ca="1" si="256">OFFSET(I502,-15,0)</f>
        <v>0</v>
      </c>
      <c r="J502" s="16"/>
      <c r="K502" s="19">
        <f t="shared" ref="K502:K504" ca="1" si="257">OFFSET(K502,-15,0)</f>
        <v>0</v>
      </c>
      <c r="L502" s="15">
        <f t="shared" ca="1" si="246"/>
        <v>1</v>
      </c>
      <c r="M502" s="15"/>
      <c r="N502" s="15">
        <f t="shared" ca="1" si="245"/>
        <v>0</v>
      </c>
    </row>
    <row r="503" spans="1:14" x14ac:dyDescent="0.4">
      <c r="A503" s="11" t="s">
        <v>9</v>
      </c>
      <c r="B503" s="41">
        <f t="shared" ca="1" si="255"/>
        <v>0</v>
      </c>
      <c r="C503" s="41"/>
      <c r="D503" s="41"/>
      <c r="E503" s="41"/>
      <c r="F503" s="19">
        <f t="shared" ca="1" si="255"/>
        <v>0</v>
      </c>
      <c r="G503" s="20">
        <f t="shared" ca="1" si="255"/>
        <v>0</v>
      </c>
      <c r="H503" s="20">
        <f t="shared" ca="1" si="255"/>
        <v>0</v>
      </c>
      <c r="I503" s="13">
        <f t="shared" ca="1" si="256"/>
        <v>0</v>
      </c>
      <c r="J503" s="16"/>
      <c r="K503" s="19">
        <f t="shared" ca="1" si="257"/>
        <v>0</v>
      </c>
      <c r="L503" s="15">
        <f t="shared" ca="1" si="246"/>
        <v>1</v>
      </c>
      <c r="M503" s="15"/>
      <c r="N503" s="15">
        <f t="shared" ca="1" si="245"/>
        <v>0</v>
      </c>
    </row>
    <row r="504" spans="1:14" x14ac:dyDescent="0.4">
      <c r="A504" s="11" t="s">
        <v>9</v>
      </c>
      <c r="B504" s="41">
        <f t="shared" ca="1" si="255"/>
        <v>0</v>
      </c>
      <c r="C504" s="41"/>
      <c r="D504" s="41"/>
      <c r="E504" s="41"/>
      <c r="F504" s="19">
        <f t="shared" ca="1" si="255"/>
        <v>0</v>
      </c>
      <c r="G504" s="20">
        <f t="shared" ca="1" si="255"/>
        <v>0</v>
      </c>
      <c r="H504" s="20">
        <f t="shared" ca="1" si="255"/>
        <v>0</v>
      </c>
      <c r="I504" s="13">
        <f t="shared" ca="1" si="256"/>
        <v>0</v>
      </c>
      <c r="J504" s="16"/>
      <c r="K504" s="19">
        <f t="shared" ca="1" si="257"/>
        <v>0</v>
      </c>
      <c r="L504" s="15">
        <f t="shared" ca="1" si="246"/>
        <v>1</v>
      </c>
      <c r="M504" s="15"/>
      <c r="N504" s="15">
        <f t="shared" ca="1" si="245"/>
        <v>0</v>
      </c>
    </row>
    <row r="505" spans="1:14" ht="17.399999999999999" x14ac:dyDescent="0.4">
      <c r="A505" s="74" t="s">
        <v>25</v>
      </c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6"/>
    </row>
    <row r="506" spans="1:14" x14ac:dyDescent="0.4">
      <c r="A506" s="11" t="s">
        <v>5</v>
      </c>
      <c r="B506" s="40"/>
      <c r="C506" s="40"/>
      <c r="D506" s="40"/>
      <c r="E506" s="40"/>
      <c r="F506" s="13"/>
      <c r="G506" s="11"/>
      <c r="H506" s="17"/>
      <c r="I506" s="13"/>
      <c r="J506" s="16"/>
      <c r="K506" s="13"/>
      <c r="L506" s="15">
        <f>ROUND((10^(K506/10))/(10^(I506/10)),3)</f>
        <v>1</v>
      </c>
      <c r="M506" s="15"/>
      <c r="N506" s="15">
        <f t="shared" ref="N506:N523" si="258">J506*L506</f>
        <v>0</v>
      </c>
    </row>
    <row r="507" spans="1:14" x14ac:dyDescent="0.4">
      <c r="A507" s="11" t="s">
        <v>5</v>
      </c>
      <c r="B507" s="40"/>
      <c r="C507" s="40"/>
      <c r="D507" s="40"/>
      <c r="E507" s="40"/>
      <c r="F507" s="13"/>
      <c r="G507" s="11"/>
      <c r="H507" s="17"/>
      <c r="I507" s="13"/>
      <c r="J507" s="16"/>
      <c r="K507" s="13"/>
      <c r="L507" s="15">
        <f t="shared" ref="L507:L523" si="259">ROUND((10^(K507/10))/(10^(I507/10)),3)</f>
        <v>1</v>
      </c>
      <c r="M507" s="15"/>
      <c r="N507" s="15">
        <f t="shared" si="258"/>
        <v>0</v>
      </c>
    </row>
    <row r="508" spans="1:14" x14ac:dyDescent="0.4">
      <c r="A508" s="11" t="s">
        <v>5</v>
      </c>
      <c r="B508" s="40"/>
      <c r="C508" s="40"/>
      <c r="D508" s="40"/>
      <c r="E508" s="40"/>
      <c r="F508" s="13"/>
      <c r="G508" s="11"/>
      <c r="H508" s="17"/>
      <c r="I508" s="13"/>
      <c r="J508" s="16"/>
      <c r="K508" s="13"/>
      <c r="L508" s="15">
        <f t="shared" si="259"/>
        <v>1</v>
      </c>
      <c r="M508" s="15"/>
      <c r="N508" s="15">
        <f t="shared" si="258"/>
        <v>0</v>
      </c>
    </row>
    <row r="509" spans="1:14" x14ac:dyDescent="0.4">
      <c r="A509" s="11" t="s">
        <v>6</v>
      </c>
      <c r="B509" s="41">
        <f t="shared" ref="B509:I511" ca="1" si="260">OFFSET(B509,-3,0)</f>
        <v>0</v>
      </c>
      <c r="C509" s="41"/>
      <c r="D509" s="41"/>
      <c r="E509" s="41"/>
      <c r="F509" s="19">
        <f t="shared" ca="1" si="260"/>
        <v>0</v>
      </c>
      <c r="G509" s="20">
        <f t="shared" ca="1" si="260"/>
        <v>0</v>
      </c>
      <c r="H509" s="20">
        <f t="shared" ca="1" si="260"/>
        <v>0</v>
      </c>
      <c r="I509" s="13">
        <f t="shared" ca="1" si="260"/>
        <v>0</v>
      </c>
      <c r="J509" s="16"/>
      <c r="K509" s="19">
        <f t="shared" ref="K509:K511" ca="1" si="261">OFFSET(K509,-3,0)</f>
        <v>0</v>
      </c>
      <c r="L509" s="15">
        <f t="shared" ca="1" si="259"/>
        <v>1</v>
      </c>
      <c r="M509" s="15"/>
      <c r="N509" s="15">
        <f t="shared" ca="1" si="258"/>
        <v>0</v>
      </c>
    </row>
    <row r="510" spans="1:14" x14ac:dyDescent="0.4">
      <c r="A510" s="11" t="s">
        <v>6</v>
      </c>
      <c r="B510" s="41">
        <f t="shared" ca="1" si="260"/>
        <v>0</v>
      </c>
      <c r="C510" s="41"/>
      <c r="D510" s="41"/>
      <c r="E510" s="41"/>
      <c r="F510" s="19">
        <f t="shared" ca="1" si="260"/>
        <v>0</v>
      </c>
      <c r="G510" s="20">
        <f t="shared" ca="1" si="260"/>
        <v>0</v>
      </c>
      <c r="H510" s="20">
        <f t="shared" ca="1" si="260"/>
        <v>0</v>
      </c>
      <c r="I510" s="13">
        <f t="shared" ca="1" si="260"/>
        <v>0</v>
      </c>
      <c r="J510" s="16"/>
      <c r="K510" s="19">
        <f t="shared" ca="1" si="261"/>
        <v>0</v>
      </c>
      <c r="L510" s="15">
        <f t="shared" ca="1" si="259"/>
        <v>1</v>
      </c>
      <c r="M510" s="15"/>
      <c r="N510" s="15">
        <f t="shared" ca="1" si="258"/>
        <v>0</v>
      </c>
    </row>
    <row r="511" spans="1:14" x14ac:dyDescent="0.4">
      <c r="A511" s="11" t="s">
        <v>6</v>
      </c>
      <c r="B511" s="41">
        <f t="shared" ca="1" si="260"/>
        <v>0</v>
      </c>
      <c r="C511" s="41"/>
      <c r="D511" s="41"/>
      <c r="E511" s="41"/>
      <c r="F511" s="19">
        <f t="shared" ca="1" si="260"/>
        <v>0</v>
      </c>
      <c r="G511" s="20">
        <f t="shared" ca="1" si="260"/>
        <v>0</v>
      </c>
      <c r="H511" s="20">
        <f t="shared" ca="1" si="260"/>
        <v>0</v>
      </c>
      <c r="I511" s="13">
        <f t="shared" ca="1" si="260"/>
        <v>0</v>
      </c>
      <c r="J511" s="16"/>
      <c r="K511" s="19">
        <f t="shared" ca="1" si="261"/>
        <v>0</v>
      </c>
      <c r="L511" s="15">
        <f t="shared" ca="1" si="259"/>
        <v>1</v>
      </c>
      <c r="M511" s="15"/>
      <c r="N511" s="15">
        <f t="shared" ca="1" si="258"/>
        <v>0</v>
      </c>
    </row>
    <row r="512" spans="1:14" x14ac:dyDescent="0.4">
      <c r="A512" s="11" t="s">
        <v>10</v>
      </c>
      <c r="B512" s="40">
        <f t="shared" ref="B512:I514" ca="1" si="262">OFFSET(B512,-6,0)</f>
        <v>0</v>
      </c>
      <c r="C512" s="40"/>
      <c r="D512" s="40"/>
      <c r="E512" s="40"/>
      <c r="F512" s="13">
        <f t="shared" ca="1" si="262"/>
        <v>0</v>
      </c>
      <c r="G512" s="17">
        <f t="shared" ca="1" si="262"/>
        <v>0</v>
      </c>
      <c r="H512" s="17">
        <f t="shared" ca="1" si="262"/>
        <v>0</v>
      </c>
      <c r="I512" s="13">
        <f t="shared" ca="1" si="262"/>
        <v>0</v>
      </c>
      <c r="J512" s="16"/>
      <c r="K512" s="13">
        <f t="shared" ref="K512:K514" ca="1" si="263">OFFSET(K512,-6,0)</f>
        <v>0</v>
      </c>
      <c r="L512" s="15">
        <f t="shared" ca="1" si="259"/>
        <v>1</v>
      </c>
      <c r="M512" s="15"/>
      <c r="N512" s="15">
        <f t="shared" ca="1" si="258"/>
        <v>0</v>
      </c>
    </row>
    <row r="513" spans="1:14" x14ac:dyDescent="0.4">
      <c r="A513" s="11" t="s">
        <v>10</v>
      </c>
      <c r="B513" s="40">
        <f t="shared" ca="1" si="262"/>
        <v>0</v>
      </c>
      <c r="C513" s="40"/>
      <c r="D513" s="40"/>
      <c r="E513" s="40"/>
      <c r="F513" s="13">
        <f t="shared" ca="1" si="262"/>
        <v>0</v>
      </c>
      <c r="G513" s="17">
        <f t="shared" ca="1" si="262"/>
        <v>0</v>
      </c>
      <c r="H513" s="17">
        <f t="shared" ca="1" si="262"/>
        <v>0</v>
      </c>
      <c r="I513" s="13">
        <f t="shared" ca="1" si="262"/>
        <v>0</v>
      </c>
      <c r="J513" s="16"/>
      <c r="K513" s="13">
        <f t="shared" ca="1" si="263"/>
        <v>0</v>
      </c>
      <c r="L513" s="15">
        <f t="shared" ca="1" si="259"/>
        <v>1</v>
      </c>
      <c r="M513" s="15"/>
      <c r="N513" s="15">
        <f t="shared" ca="1" si="258"/>
        <v>0</v>
      </c>
    </row>
    <row r="514" spans="1:14" x14ac:dyDescent="0.4">
      <c r="A514" s="11" t="s">
        <v>10</v>
      </c>
      <c r="B514" s="40">
        <f t="shared" ca="1" si="262"/>
        <v>0</v>
      </c>
      <c r="C514" s="40"/>
      <c r="D514" s="40"/>
      <c r="E514" s="40"/>
      <c r="F514" s="13">
        <f t="shared" ca="1" si="262"/>
        <v>0</v>
      </c>
      <c r="G514" s="17">
        <f t="shared" ca="1" si="262"/>
        <v>0</v>
      </c>
      <c r="H514" s="17">
        <f t="shared" ca="1" si="262"/>
        <v>0</v>
      </c>
      <c r="I514" s="13">
        <f t="shared" ca="1" si="262"/>
        <v>0</v>
      </c>
      <c r="J514" s="16"/>
      <c r="K514" s="13">
        <f t="shared" ca="1" si="263"/>
        <v>0</v>
      </c>
      <c r="L514" s="15">
        <f t="shared" ca="1" si="259"/>
        <v>1</v>
      </c>
      <c r="M514" s="15"/>
      <c r="N514" s="15">
        <f t="shared" ca="1" si="258"/>
        <v>0</v>
      </c>
    </row>
    <row r="515" spans="1:14" x14ac:dyDescent="0.4">
      <c r="A515" s="11" t="s">
        <v>7</v>
      </c>
      <c r="B515" s="40">
        <f t="shared" ref="B515:I517" ca="1" si="264">OFFSET(B515,-9,0)</f>
        <v>0</v>
      </c>
      <c r="C515" s="40"/>
      <c r="D515" s="40"/>
      <c r="E515" s="40"/>
      <c r="F515" s="13">
        <f t="shared" ca="1" si="264"/>
        <v>0</v>
      </c>
      <c r="G515" s="17">
        <f t="shared" ca="1" si="264"/>
        <v>0</v>
      </c>
      <c r="H515" s="17">
        <f t="shared" ca="1" si="264"/>
        <v>0</v>
      </c>
      <c r="I515" s="13">
        <f t="shared" ca="1" si="264"/>
        <v>0</v>
      </c>
      <c r="J515" s="16"/>
      <c r="K515" s="13">
        <f t="shared" ref="K515:K517" ca="1" si="265">OFFSET(K515,-9,0)</f>
        <v>0</v>
      </c>
      <c r="L515" s="15">
        <f t="shared" ca="1" si="259"/>
        <v>1</v>
      </c>
      <c r="M515" s="15"/>
      <c r="N515" s="15">
        <f t="shared" ca="1" si="258"/>
        <v>0</v>
      </c>
    </row>
    <row r="516" spans="1:14" x14ac:dyDescent="0.4">
      <c r="A516" s="11" t="s">
        <v>7</v>
      </c>
      <c r="B516" s="40">
        <f t="shared" ca="1" si="264"/>
        <v>0</v>
      </c>
      <c r="C516" s="40"/>
      <c r="D516" s="40"/>
      <c r="E516" s="40"/>
      <c r="F516" s="13">
        <f t="shared" ca="1" si="264"/>
        <v>0</v>
      </c>
      <c r="G516" s="17">
        <f t="shared" ca="1" si="264"/>
        <v>0</v>
      </c>
      <c r="H516" s="17">
        <f t="shared" ca="1" si="264"/>
        <v>0</v>
      </c>
      <c r="I516" s="13">
        <f t="shared" ca="1" si="264"/>
        <v>0</v>
      </c>
      <c r="J516" s="16"/>
      <c r="K516" s="13">
        <f t="shared" ca="1" si="265"/>
        <v>0</v>
      </c>
      <c r="L516" s="15">
        <f t="shared" ca="1" si="259"/>
        <v>1</v>
      </c>
      <c r="M516" s="15"/>
      <c r="N516" s="15">
        <f t="shared" ca="1" si="258"/>
        <v>0</v>
      </c>
    </row>
    <row r="517" spans="1:14" x14ac:dyDescent="0.4">
      <c r="A517" s="11" t="s">
        <v>7</v>
      </c>
      <c r="B517" s="40">
        <f t="shared" ca="1" si="264"/>
        <v>0</v>
      </c>
      <c r="C517" s="40"/>
      <c r="D517" s="40"/>
      <c r="E517" s="40"/>
      <c r="F517" s="13">
        <f t="shared" ca="1" si="264"/>
        <v>0</v>
      </c>
      <c r="G517" s="17">
        <f t="shared" ca="1" si="264"/>
        <v>0</v>
      </c>
      <c r="H517" s="17">
        <f t="shared" ca="1" si="264"/>
        <v>0</v>
      </c>
      <c r="I517" s="13">
        <f t="shared" ca="1" si="264"/>
        <v>0</v>
      </c>
      <c r="J517" s="16"/>
      <c r="K517" s="13">
        <f t="shared" ca="1" si="265"/>
        <v>0</v>
      </c>
      <c r="L517" s="15">
        <f t="shared" ca="1" si="259"/>
        <v>1</v>
      </c>
      <c r="M517" s="15"/>
      <c r="N517" s="15">
        <f t="shared" ca="1" si="258"/>
        <v>0</v>
      </c>
    </row>
    <row r="518" spans="1:14" x14ac:dyDescent="0.4">
      <c r="A518" s="11" t="s">
        <v>8</v>
      </c>
      <c r="B518" s="40">
        <f t="shared" ref="B518:I520" ca="1" si="266">OFFSET(B518,-12,0)</f>
        <v>0</v>
      </c>
      <c r="C518" s="40"/>
      <c r="D518" s="40"/>
      <c r="E518" s="40"/>
      <c r="F518" s="13">
        <f t="shared" ca="1" si="266"/>
        <v>0</v>
      </c>
      <c r="G518" s="17">
        <f t="shared" ca="1" si="266"/>
        <v>0</v>
      </c>
      <c r="H518" s="17">
        <f t="shared" ca="1" si="266"/>
        <v>0</v>
      </c>
      <c r="I518" s="13">
        <f t="shared" ca="1" si="266"/>
        <v>0</v>
      </c>
      <c r="J518" s="16"/>
      <c r="K518" s="13">
        <f t="shared" ref="K518:K520" ca="1" si="267">OFFSET(K518,-12,0)</f>
        <v>0</v>
      </c>
      <c r="L518" s="15">
        <f t="shared" ca="1" si="259"/>
        <v>1</v>
      </c>
      <c r="M518" s="15"/>
      <c r="N518" s="15">
        <f t="shared" ca="1" si="258"/>
        <v>0</v>
      </c>
    </row>
    <row r="519" spans="1:14" x14ac:dyDescent="0.4">
      <c r="A519" s="11" t="s">
        <v>8</v>
      </c>
      <c r="B519" s="40">
        <f t="shared" ca="1" si="266"/>
        <v>0</v>
      </c>
      <c r="C519" s="40"/>
      <c r="D519" s="40"/>
      <c r="E519" s="40"/>
      <c r="F519" s="13">
        <f t="shared" ca="1" si="266"/>
        <v>0</v>
      </c>
      <c r="G519" s="17">
        <f t="shared" ca="1" si="266"/>
        <v>0</v>
      </c>
      <c r="H519" s="17">
        <f t="shared" ca="1" si="266"/>
        <v>0</v>
      </c>
      <c r="I519" s="13">
        <f t="shared" ca="1" si="266"/>
        <v>0</v>
      </c>
      <c r="J519" s="16"/>
      <c r="K519" s="13">
        <f t="shared" ca="1" si="267"/>
        <v>0</v>
      </c>
      <c r="L519" s="15">
        <f t="shared" ca="1" si="259"/>
        <v>1</v>
      </c>
      <c r="M519" s="15"/>
      <c r="N519" s="15">
        <f t="shared" ca="1" si="258"/>
        <v>0</v>
      </c>
    </row>
    <row r="520" spans="1:14" x14ac:dyDescent="0.4">
      <c r="A520" s="11" t="s">
        <v>8</v>
      </c>
      <c r="B520" s="40">
        <f t="shared" ca="1" si="266"/>
        <v>0</v>
      </c>
      <c r="C520" s="40"/>
      <c r="D520" s="40"/>
      <c r="E520" s="40"/>
      <c r="F520" s="13">
        <f t="shared" ca="1" si="266"/>
        <v>0</v>
      </c>
      <c r="G520" s="17">
        <f t="shared" ca="1" si="266"/>
        <v>0</v>
      </c>
      <c r="H520" s="17">
        <f t="shared" ca="1" si="266"/>
        <v>0</v>
      </c>
      <c r="I520" s="13">
        <f t="shared" ca="1" si="266"/>
        <v>0</v>
      </c>
      <c r="J520" s="16"/>
      <c r="K520" s="13">
        <f t="shared" ca="1" si="267"/>
        <v>0</v>
      </c>
      <c r="L520" s="15">
        <f t="shared" ca="1" si="259"/>
        <v>1</v>
      </c>
      <c r="M520" s="15"/>
      <c r="N520" s="15">
        <f t="shared" ca="1" si="258"/>
        <v>0</v>
      </c>
    </row>
    <row r="521" spans="1:14" x14ac:dyDescent="0.4">
      <c r="A521" s="11" t="s">
        <v>9</v>
      </c>
      <c r="B521" s="41">
        <f t="shared" ref="B521:I523" ca="1" si="268">OFFSET(B521,-15,0)</f>
        <v>0</v>
      </c>
      <c r="C521" s="41"/>
      <c r="D521" s="41"/>
      <c r="E521" s="41"/>
      <c r="F521" s="19">
        <f t="shared" ca="1" si="268"/>
        <v>0</v>
      </c>
      <c r="G521" s="20">
        <f t="shared" ca="1" si="268"/>
        <v>0</v>
      </c>
      <c r="H521" s="20">
        <f t="shared" ca="1" si="268"/>
        <v>0</v>
      </c>
      <c r="I521" s="13">
        <f t="shared" ca="1" si="268"/>
        <v>0</v>
      </c>
      <c r="J521" s="16"/>
      <c r="K521" s="19">
        <f t="shared" ref="K521:K523" ca="1" si="269">OFFSET(K521,-15,0)</f>
        <v>0</v>
      </c>
      <c r="L521" s="15">
        <f t="shared" ca="1" si="259"/>
        <v>1</v>
      </c>
      <c r="M521" s="15"/>
      <c r="N521" s="15">
        <f t="shared" ca="1" si="258"/>
        <v>0</v>
      </c>
    </row>
    <row r="522" spans="1:14" x14ac:dyDescent="0.4">
      <c r="A522" s="11" t="s">
        <v>9</v>
      </c>
      <c r="B522" s="41">
        <f t="shared" ca="1" si="268"/>
        <v>0</v>
      </c>
      <c r="C522" s="41"/>
      <c r="D522" s="41"/>
      <c r="E522" s="41"/>
      <c r="F522" s="19">
        <f t="shared" ca="1" si="268"/>
        <v>0</v>
      </c>
      <c r="G522" s="20">
        <f t="shared" ca="1" si="268"/>
        <v>0</v>
      </c>
      <c r="H522" s="20">
        <f t="shared" ca="1" si="268"/>
        <v>0</v>
      </c>
      <c r="I522" s="13">
        <f t="shared" ca="1" si="268"/>
        <v>0</v>
      </c>
      <c r="J522" s="16"/>
      <c r="K522" s="19">
        <f t="shared" ca="1" si="269"/>
        <v>0</v>
      </c>
      <c r="L522" s="15">
        <f t="shared" ca="1" si="259"/>
        <v>1</v>
      </c>
      <c r="M522" s="15"/>
      <c r="N522" s="15">
        <f t="shared" ca="1" si="258"/>
        <v>0</v>
      </c>
    </row>
    <row r="523" spans="1:14" x14ac:dyDescent="0.4">
      <c r="A523" s="11" t="s">
        <v>9</v>
      </c>
      <c r="B523" s="41">
        <f t="shared" ca="1" si="268"/>
        <v>0</v>
      </c>
      <c r="C523" s="41"/>
      <c r="D523" s="41"/>
      <c r="E523" s="41"/>
      <c r="F523" s="19">
        <f t="shared" ca="1" si="268"/>
        <v>0</v>
      </c>
      <c r="G523" s="20">
        <f t="shared" ca="1" si="268"/>
        <v>0</v>
      </c>
      <c r="H523" s="20">
        <f t="shared" ca="1" si="268"/>
        <v>0</v>
      </c>
      <c r="I523" s="13">
        <f t="shared" ca="1" si="268"/>
        <v>0</v>
      </c>
      <c r="J523" s="16"/>
      <c r="K523" s="19">
        <f t="shared" ca="1" si="269"/>
        <v>0</v>
      </c>
      <c r="L523" s="15">
        <f t="shared" ca="1" si="259"/>
        <v>1</v>
      </c>
      <c r="M523" s="15"/>
      <c r="N523" s="15">
        <f t="shared" ca="1" si="258"/>
        <v>0</v>
      </c>
    </row>
    <row r="524" spans="1:14" ht="17.399999999999999" x14ac:dyDescent="0.4">
      <c r="A524" s="74" t="s">
        <v>29</v>
      </c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6"/>
    </row>
    <row r="525" spans="1:14" x14ac:dyDescent="0.4">
      <c r="A525" s="11" t="s">
        <v>5</v>
      </c>
      <c r="B525" s="40"/>
      <c r="C525" s="40"/>
      <c r="D525" s="40"/>
      <c r="E525" s="40"/>
      <c r="F525" s="13"/>
      <c r="G525" s="11"/>
      <c r="H525" s="17"/>
      <c r="I525" s="13"/>
      <c r="J525" s="16"/>
      <c r="K525" s="13"/>
      <c r="L525" s="15">
        <f>ROUND((10^(K525/10))/(10^(I525/10)),3)</f>
        <v>1</v>
      </c>
      <c r="M525" s="15"/>
      <c r="N525" s="15">
        <f t="shared" ref="N525:N542" si="270">J525*L525</f>
        <v>0</v>
      </c>
    </row>
    <row r="526" spans="1:14" x14ac:dyDescent="0.4">
      <c r="A526" s="11" t="s">
        <v>5</v>
      </c>
      <c r="B526" s="40"/>
      <c r="C526" s="40"/>
      <c r="D526" s="40"/>
      <c r="E526" s="40"/>
      <c r="F526" s="13"/>
      <c r="G526" s="11"/>
      <c r="H526" s="17"/>
      <c r="I526" s="13"/>
      <c r="J526" s="16"/>
      <c r="K526" s="13"/>
      <c r="L526" s="15">
        <f t="shared" ref="L526:L542" si="271">ROUND((10^(K526/10))/(10^(I526/10)),3)</f>
        <v>1</v>
      </c>
      <c r="M526" s="15"/>
      <c r="N526" s="15">
        <f t="shared" si="270"/>
        <v>0</v>
      </c>
    </row>
    <row r="527" spans="1:14" x14ac:dyDescent="0.4">
      <c r="A527" s="11" t="s">
        <v>5</v>
      </c>
      <c r="B527" s="40"/>
      <c r="C527" s="40"/>
      <c r="D527" s="40"/>
      <c r="E527" s="40"/>
      <c r="F527" s="13"/>
      <c r="G527" s="11"/>
      <c r="H527" s="17"/>
      <c r="I527" s="13"/>
      <c r="J527" s="16"/>
      <c r="K527" s="13"/>
      <c r="L527" s="15">
        <f t="shared" si="271"/>
        <v>1</v>
      </c>
      <c r="M527" s="15"/>
      <c r="N527" s="15">
        <f t="shared" si="270"/>
        <v>0</v>
      </c>
    </row>
    <row r="528" spans="1:14" x14ac:dyDescent="0.4">
      <c r="A528" s="11" t="s">
        <v>6</v>
      </c>
      <c r="B528" s="41">
        <f t="shared" ref="B528:I530" ca="1" si="272">OFFSET(B528,-3,0)</f>
        <v>0</v>
      </c>
      <c r="C528" s="41"/>
      <c r="D528" s="41"/>
      <c r="E528" s="41"/>
      <c r="F528" s="19">
        <f t="shared" ca="1" si="272"/>
        <v>0</v>
      </c>
      <c r="G528" s="20">
        <f t="shared" ca="1" si="272"/>
        <v>0</v>
      </c>
      <c r="H528" s="20">
        <f t="shared" ca="1" si="272"/>
        <v>0</v>
      </c>
      <c r="I528" s="13">
        <f t="shared" ca="1" si="272"/>
        <v>0</v>
      </c>
      <c r="J528" s="16"/>
      <c r="K528" s="19">
        <f t="shared" ref="K528:K530" ca="1" si="273">OFFSET(K528,-3,0)</f>
        <v>0</v>
      </c>
      <c r="L528" s="15">
        <f t="shared" ca="1" si="271"/>
        <v>1</v>
      </c>
      <c r="M528" s="15"/>
      <c r="N528" s="15">
        <f t="shared" ca="1" si="270"/>
        <v>0</v>
      </c>
    </row>
    <row r="529" spans="1:14" x14ac:dyDescent="0.4">
      <c r="A529" s="11" t="s">
        <v>6</v>
      </c>
      <c r="B529" s="41">
        <f t="shared" ca="1" si="272"/>
        <v>0</v>
      </c>
      <c r="C529" s="41"/>
      <c r="D529" s="41"/>
      <c r="E529" s="41"/>
      <c r="F529" s="19">
        <f t="shared" ca="1" si="272"/>
        <v>0</v>
      </c>
      <c r="G529" s="20">
        <f t="shared" ca="1" si="272"/>
        <v>0</v>
      </c>
      <c r="H529" s="20">
        <f t="shared" ca="1" si="272"/>
        <v>0</v>
      </c>
      <c r="I529" s="13">
        <f t="shared" ca="1" si="272"/>
        <v>0</v>
      </c>
      <c r="J529" s="16"/>
      <c r="K529" s="19">
        <f t="shared" ca="1" si="273"/>
        <v>0</v>
      </c>
      <c r="L529" s="15">
        <f t="shared" ca="1" si="271"/>
        <v>1</v>
      </c>
      <c r="M529" s="15"/>
      <c r="N529" s="15">
        <f t="shared" ca="1" si="270"/>
        <v>0</v>
      </c>
    </row>
    <row r="530" spans="1:14" x14ac:dyDescent="0.4">
      <c r="A530" s="11" t="s">
        <v>6</v>
      </c>
      <c r="B530" s="41">
        <f t="shared" ca="1" si="272"/>
        <v>0</v>
      </c>
      <c r="C530" s="41"/>
      <c r="D530" s="41"/>
      <c r="E530" s="41"/>
      <c r="F530" s="19">
        <f t="shared" ca="1" si="272"/>
        <v>0</v>
      </c>
      <c r="G530" s="20">
        <f t="shared" ca="1" si="272"/>
        <v>0</v>
      </c>
      <c r="H530" s="20">
        <f t="shared" ca="1" si="272"/>
        <v>0</v>
      </c>
      <c r="I530" s="13">
        <f t="shared" ca="1" si="272"/>
        <v>0</v>
      </c>
      <c r="J530" s="16"/>
      <c r="K530" s="19">
        <f t="shared" ca="1" si="273"/>
        <v>0</v>
      </c>
      <c r="L530" s="15">
        <f t="shared" ca="1" si="271"/>
        <v>1</v>
      </c>
      <c r="M530" s="15"/>
      <c r="N530" s="15">
        <f t="shared" ca="1" si="270"/>
        <v>0</v>
      </c>
    </row>
    <row r="531" spans="1:14" x14ac:dyDescent="0.4">
      <c r="A531" s="11" t="s">
        <v>10</v>
      </c>
      <c r="B531" s="40">
        <f t="shared" ref="B531:I533" ca="1" si="274">OFFSET(B531,-6,0)</f>
        <v>0</v>
      </c>
      <c r="C531" s="40"/>
      <c r="D531" s="40"/>
      <c r="E531" s="40"/>
      <c r="F531" s="13">
        <f t="shared" ca="1" si="274"/>
        <v>0</v>
      </c>
      <c r="G531" s="17">
        <f t="shared" ca="1" si="274"/>
        <v>0</v>
      </c>
      <c r="H531" s="17">
        <f t="shared" ca="1" si="274"/>
        <v>0</v>
      </c>
      <c r="I531" s="13">
        <f t="shared" ca="1" si="274"/>
        <v>0</v>
      </c>
      <c r="J531" s="16"/>
      <c r="K531" s="13">
        <f t="shared" ref="K531:K533" ca="1" si="275">OFFSET(K531,-6,0)</f>
        <v>0</v>
      </c>
      <c r="L531" s="15">
        <f t="shared" ca="1" si="271"/>
        <v>1</v>
      </c>
      <c r="M531" s="15"/>
      <c r="N531" s="15">
        <f t="shared" ca="1" si="270"/>
        <v>0</v>
      </c>
    </row>
    <row r="532" spans="1:14" x14ac:dyDescent="0.4">
      <c r="A532" s="11" t="s">
        <v>10</v>
      </c>
      <c r="B532" s="40">
        <f t="shared" ca="1" si="274"/>
        <v>0</v>
      </c>
      <c r="C532" s="40"/>
      <c r="D532" s="40"/>
      <c r="E532" s="40"/>
      <c r="F532" s="13">
        <f t="shared" ca="1" si="274"/>
        <v>0</v>
      </c>
      <c r="G532" s="17">
        <f t="shared" ca="1" si="274"/>
        <v>0</v>
      </c>
      <c r="H532" s="17">
        <f t="shared" ca="1" si="274"/>
        <v>0</v>
      </c>
      <c r="I532" s="13">
        <f t="shared" ca="1" si="274"/>
        <v>0</v>
      </c>
      <c r="J532" s="16"/>
      <c r="K532" s="13">
        <f t="shared" ca="1" si="275"/>
        <v>0</v>
      </c>
      <c r="L532" s="15">
        <f t="shared" ca="1" si="271"/>
        <v>1</v>
      </c>
      <c r="M532" s="15"/>
      <c r="N532" s="15">
        <f t="shared" ca="1" si="270"/>
        <v>0</v>
      </c>
    </row>
    <row r="533" spans="1:14" x14ac:dyDescent="0.4">
      <c r="A533" s="11" t="s">
        <v>10</v>
      </c>
      <c r="B533" s="40">
        <f t="shared" ca="1" si="274"/>
        <v>0</v>
      </c>
      <c r="C533" s="40"/>
      <c r="D533" s="40"/>
      <c r="E533" s="40"/>
      <c r="F533" s="13">
        <f t="shared" ca="1" si="274"/>
        <v>0</v>
      </c>
      <c r="G533" s="17">
        <f t="shared" ca="1" si="274"/>
        <v>0</v>
      </c>
      <c r="H533" s="17">
        <f t="shared" ca="1" si="274"/>
        <v>0</v>
      </c>
      <c r="I533" s="13">
        <f t="shared" ca="1" si="274"/>
        <v>0</v>
      </c>
      <c r="J533" s="16"/>
      <c r="K533" s="13">
        <f t="shared" ca="1" si="275"/>
        <v>0</v>
      </c>
      <c r="L533" s="15">
        <f t="shared" ca="1" si="271"/>
        <v>1</v>
      </c>
      <c r="M533" s="15"/>
      <c r="N533" s="15">
        <f t="shared" ca="1" si="270"/>
        <v>0</v>
      </c>
    </row>
    <row r="534" spans="1:14" x14ac:dyDescent="0.4">
      <c r="A534" s="11" t="s">
        <v>7</v>
      </c>
      <c r="B534" s="40">
        <f t="shared" ref="B534:I536" ca="1" si="276">OFFSET(B534,-9,0)</f>
        <v>0</v>
      </c>
      <c r="C534" s="40"/>
      <c r="D534" s="40"/>
      <c r="E534" s="40"/>
      <c r="F534" s="13">
        <f t="shared" ca="1" si="276"/>
        <v>0</v>
      </c>
      <c r="G534" s="17">
        <f t="shared" ca="1" si="276"/>
        <v>0</v>
      </c>
      <c r="H534" s="17">
        <f t="shared" ca="1" si="276"/>
        <v>0</v>
      </c>
      <c r="I534" s="13">
        <f t="shared" ca="1" si="276"/>
        <v>0</v>
      </c>
      <c r="J534" s="16"/>
      <c r="K534" s="13">
        <f t="shared" ref="K534:K536" ca="1" si="277">OFFSET(K534,-9,0)</f>
        <v>0</v>
      </c>
      <c r="L534" s="15">
        <f t="shared" ca="1" si="271"/>
        <v>1</v>
      </c>
      <c r="M534" s="15"/>
      <c r="N534" s="15">
        <f t="shared" ca="1" si="270"/>
        <v>0</v>
      </c>
    </row>
    <row r="535" spans="1:14" x14ac:dyDescent="0.4">
      <c r="A535" s="11" t="s">
        <v>7</v>
      </c>
      <c r="B535" s="40">
        <f t="shared" ca="1" si="276"/>
        <v>0</v>
      </c>
      <c r="C535" s="40"/>
      <c r="D535" s="40"/>
      <c r="E535" s="40"/>
      <c r="F535" s="13">
        <f t="shared" ca="1" si="276"/>
        <v>0</v>
      </c>
      <c r="G535" s="17">
        <f t="shared" ca="1" si="276"/>
        <v>0</v>
      </c>
      <c r="H535" s="17">
        <f t="shared" ca="1" si="276"/>
        <v>0</v>
      </c>
      <c r="I535" s="13">
        <f t="shared" ca="1" si="276"/>
        <v>0</v>
      </c>
      <c r="J535" s="16"/>
      <c r="K535" s="13">
        <f t="shared" ca="1" si="277"/>
        <v>0</v>
      </c>
      <c r="L535" s="15">
        <f t="shared" ca="1" si="271"/>
        <v>1</v>
      </c>
      <c r="M535" s="15"/>
      <c r="N535" s="15">
        <f t="shared" ca="1" si="270"/>
        <v>0</v>
      </c>
    </row>
    <row r="536" spans="1:14" x14ac:dyDescent="0.4">
      <c r="A536" s="11" t="s">
        <v>7</v>
      </c>
      <c r="B536" s="40">
        <f t="shared" ca="1" si="276"/>
        <v>0</v>
      </c>
      <c r="C536" s="40"/>
      <c r="D536" s="40"/>
      <c r="E536" s="40"/>
      <c r="F536" s="13">
        <f t="shared" ca="1" si="276"/>
        <v>0</v>
      </c>
      <c r="G536" s="17">
        <f t="shared" ca="1" si="276"/>
        <v>0</v>
      </c>
      <c r="H536" s="17">
        <f t="shared" ca="1" si="276"/>
        <v>0</v>
      </c>
      <c r="I536" s="13">
        <f t="shared" ca="1" si="276"/>
        <v>0</v>
      </c>
      <c r="J536" s="16"/>
      <c r="K536" s="13">
        <f t="shared" ca="1" si="277"/>
        <v>0</v>
      </c>
      <c r="L536" s="15">
        <f t="shared" ca="1" si="271"/>
        <v>1</v>
      </c>
      <c r="M536" s="15"/>
      <c r="N536" s="15">
        <f t="shared" ca="1" si="270"/>
        <v>0</v>
      </c>
    </row>
    <row r="537" spans="1:14" x14ac:dyDescent="0.4">
      <c r="A537" s="11" t="s">
        <v>8</v>
      </c>
      <c r="B537" s="40">
        <f t="shared" ref="B537:I539" ca="1" si="278">OFFSET(B537,-12,0)</f>
        <v>0</v>
      </c>
      <c r="C537" s="40"/>
      <c r="D537" s="40"/>
      <c r="E537" s="40"/>
      <c r="F537" s="13">
        <f t="shared" ca="1" si="278"/>
        <v>0</v>
      </c>
      <c r="G537" s="17">
        <f t="shared" ca="1" si="278"/>
        <v>0</v>
      </c>
      <c r="H537" s="17">
        <f t="shared" ca="1" si="278"/>
        <v>0</v>
      </c>
      <c r="I537" s="13">
        <f t="shared" ca="1" si="278"/>
        <v>0</v>
      </c>
      <c r="J537" s="16"/>
      <c r="K537" s="13">
        <f t="shared" ref="K537:K539" ca="1" si="279">OFFSET(K537,-12,0)</f>
        <v>0</v>
      </c>
      <c r="L537" s="15">
        <f t="shared" ca="1" si="271"/>
        <v>1</v>
      </c>
      <c r="M537" s="15"/>
      <c r="N537" s="15">
        <f t="shared" ca="1" si="270"/>
        <v>0</v>
      </c>
    </row>
    <row r="538" spans="1:14" x14ac:dyDescent="0.4">
      <c r="A538" s="11" t="s">
        <v>8</v>
      </c>
      <c r="B538" s="40">
        <f t="shared" ca="1" si="278"/>
        <v>0</v>
      </c>
      <c r="C538" s="40"/>
      <c r="D538" s="40"/>
      <c r="E538" s="40"/>
      <c r="F538" s="13">
        <f t="shared" ca="1" si="278"/>
        <v>0</v>
      </c>
      <c r="G538" s="17">
        <f t="shared" ca="1" si="278"/>
        <v>0</v>
      </c>
      <c r="H538" s="17">
        <f t="shared" ca="1" si="278"/>
        <v>0</v>
      </c>
      <c r="I538" s="13">
        <f t="shared" ca="1" si="278"/>
        <v>0</v>
      </c>
      <c r="J538" s="16"/>
      <c r="K538" s="13">
        <f t="shared" ca="1" si="279"/>
        <v>0</v>
      </c>
      <c r="L538" s="15">
        <f t="shared" ca="1" si="271"/>
        <v>1</v>
      </c>
      <c r="M538" s="15"/>
      <c r="N538" s="15">
        <f t="shared" ca="1" si="270"/>
        <v>0</v>
      </c>
    </row>
    <row r="539" spans="1:14" x14ac:dyDescent="0.4">
      <c r="A539" s="11" t="s">
        <v>8</v>
      </c>
      <c r="B539" s="40">
        <f t="shared" ca="1" si="278"/>
        <v>0</v>
      </c>
      <c r="C539" s="40"/>
      <c r="D539" s="40"/>
      <c r="E539" s="40"/>
      <c r="F539" s="13">
        <f t="shared" ca="1" si="278"/>
        <v>0</v>
      </c>
      <c r="G539" s="17">
        <f t="shared" ca="1" si="278"/>
        <v>0</v>
      </c>
      <c r="H539" s="17">
        <f t="shared" ca="1" si="278"/>
        <v>0</v>
      </c>
      <c r="I539" s="13">
        <f t="shared" ca="1" si="278"/>
        <v>0</v>
      </c>
      <c r="J539" s="16"/>
      <c r="K539" s="13">
        <f t="shared" ca="1" si="279"/>
        <v>0</v>
      </c>
      <c r="L539" s="15">
        <f t="shared" ca="1" si="271"/>
        <v>1</v>
      </c>
      <c r="M539" s="15"/>
      <c r="N539" s="15">
        <f t="shared" ca="1" si="270"/>
        <v>0</v>
      </c>
    </row>
    <row r="540" spans="1:14" x14ac:dyDescent="0.4">
      <c r="A540" s="11" t="s">
        <v>9</v>
      </c>
      <c r="B540" s="41">
        <f t="shared" ref="B540:I542" ca="1" si="280">OFFSET(B540,-15,0)</f>
        <v>0</v>
      </c>
      <c r="C540" s="41"/>
      <c r="D540" s="41"/>
      <c r="E540" s="41"/>
      <c r="F540" s="19">
        <f t="shared" ca="1" si="280"/>
        <v>0</v>
      </c>
      <c r="G540" s="20">
        <f t="shared" ca="1" si="280"/>
        <v>0</v>
      </c>
      <c r="H540" s="20">
        <f t="shared" ca="1" si="280"/>
        <v>0</v>
      </c>
      <c r="I540" s="13">
        <f t="shared" ca="1" si="280"/>
        <v>0</v>
      </c>
      <c r="J540" s="16"/>
      <c r="K540" s="19">
        <f t="shared" ref="K540:K542" ca="1" si="281">OFFSET(K540,-15,0)</f>
        <v>0</v>
      </c>
      <c r="L540" s="15">
        <f t="shared" ca="1" si="271"/>
        <v>1</v>
      </c>
      <c r="M540" s="15"/>
      <c r="N540" s="15">
        <f t="shared" ca="1" si="270"/>
        <v>0</v>
      </c>
    </row>
    <row r="541" spans="1:14" x14ac:dyDescent="0.4">
      <c r="A541" s="11" t="s">
        <v>9</v>
      </c>
      <c r="B541" s="41">
        <f t="shared" ca="1" si="280"/>
        <v>0</v>
      </c>
      <c r="C541" s="41"/>
      <c r="D541" s="41"/>
      <c r="E541" s="41"/>
      <c r="F541" s="19">
        <f t="shared" ca="1" si="280"/>
        <v>0</v>
      </c>
      <c r="G541" s="20">
        <f t="shared" ca="1" si="280"/>
        <v>0</v>
      </c>
      <c r="H541" s="20">
        <f t="shared" ca="1" si="280"/>
        <v>0</v>
      </c>
      <c r="I541" s="13">
        <f t="shared" ca="1" si="280"/>
        <v>0</v>
      </c>
      <c r="J541" s="16"/>
      <c r="K541" s="19">
        <f t="shared" ca="1" si="281"/>
        <v>0</v>
      </c>
      <c r="L541" s="15">
        <f t="shared" ca="1" si="271"/>
        <v>1</v>
      </c>
      <c r="M541" s="15"/>
      <c r="N541" s="15">
        <f t="shared" ca="1" si="270"/>
        <v>0</v>
      </c>
    </row>
    <row r="542" spans="1:14" x14ac:dyDescent="0.4">
      <c r="A542" s="11" t="s">
        <v>9</v>
      </c>
      <c r="B542" s="41">
        <f t="shared" ca="1" si="280"/>
        <v>0</v>
      </c>
      <c r="C542" s="41"/>
      <c r="D542" s="41"/>
      <c r="E542" s="41"/>
      <c r="F542" s="19">
        <f t="shared" ca="1" si="280"/>
        <v>0</v>
      </c>
      <c r="G542" s="20">
        <f t="shared" ca="1" si="280"/>
        <v>0</v>
      </c>
      <c r="H542" s="20">
        <f t="shared" ca="1" si="280"/>
        <v>0</v>
      </c>
      <c r="I542" s="13">
        <f t="shared" ca="1" si="280"/>
        <v>0</v>
      </c>
      <c r="J542" s="16"/>
      <c r="K542" s="19">
        <f t="shared" ca="1" si="281"/>
        <v>0</v>
      </c>
      <c r="L542" s="15">
        <f t="shared" ca="1" si="271"/>
        <v>1</v>
      </c>
      <c r="M542" s="15"/>
      <c r="N542" s="15">
        <f t="shared" ca="1" si="270"/>
        <v>0</v>
      </c>
    </row>
    <row r="543" spans="1:14" ht="17.399999999999999" x14ac:dyDescent="0.4">
      <c r="A543" s="74" t="s">
        <v>32</v>
      </c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6"/>
    </row>
    <row r="544" spans="1:14" x14ac:dyDescent="0.4">
      <c r="A544" s="11" t="s">
        <v>5</v>
      </c>
      <c r="B544" s="40"/>
      <c r="C544" s="40"/>
      <c r="D544" s="40"/>
      <c r="E544" s="40"/>
      <c r="F544" s="13"/>
      <c r="G544" s="11"/>
      <c r="H544" s="17"/>
      <c r="I544" s="13"/>
      <c r="J544" s="16"/>
      <c r="K544" s="13"/>
      <c r="L544" s="15">
        <f>ROUND((10^(K544/10))/(10^(I544/10)),3)</f>
        <v>1</v>
      </c>
      <c r="M544" s="15"/>
      <c r="N544" s="15">
        <f t="shared" ref="N544:N561" si="282">J544*L544</f>
        <v>0</v>
      </c>
    </row>
    <row r="545" spans="1:14" x14ac:dyDescent="0.4">
      <c r="A545" s="11" t="s">
        <v>5</v>
      </c>
      <c r="B545" s="40"/>
      <c r="C545" s="40"/>
      <c r="D545" s="40"/>
      <c r="E545" s="40"/>
      <c r="F545" s="13"/>
      <c r="G545" s="11"/>
      <c r="H545" s="17"/>
      <c r="I545" s="13"/>
      <c r="J545" s="16"/>
      <c r="K545" s="13"/>
      <c r="L545" s="15">
        <f t="shared" ref="L545:L561" si="283">ROUND((10^(K545/10))/(10^(I545/10)),3)</f>
        <v>1</v>
      </c>
      <c r="M545" s="15"/>
      <c r="N545" s="15">
        <f t="shared" si="282"/>
        <v>0</v>
      </c>
    </row>
    <row r="546" spans="1:14" x14ac:dyDescent="0.4">
      <c r="A546" s="11" t="s">
        <v>5</v>
      </c>
      <c r="B546" s="40"/>
      <c r="C546" s="40"/>
      <c r="D546" s="40"/>
      <c r="E546" s="40"/>
      <c r="F546" s="13"/>
      <c r="G546" s="11"/>
      <c r="H546" s="17"/>
      <c r="I546" s="13"/>
      <c r="J546" s="16"/>
      <c r="K546" s="13"/>
      <c r="L546" s="15">
        <f t="shared" si="283"/>
        <v>1</v>
      </c>
      <c r="M546" s="15"/>
      <c r="N546" s="15">
        <f t="shared" si="282"/>
        <v>0</v>
      </c>
    </row>
    <row r="547" spans="1:14" x14ac:dyDescent="0.4">
      <c r="A547" s="11" t="s">
        <v>6</v>
      </c>
      <c r="B547" s="41">
        <f t="shared" ref="B547:I549" ca="1" si="284">OFFSET(B547,-3,0)</f>
        <v>0</v>
      </c>
      <c r="C547" s="41"/>
      <c r="D547" s="41"/>
      <c r="E547" s="41"/>
      <c r="F547" s="19">
        <f t="shared" ca="1" si="284"/>
        <v>0</v>
      </c>
      <c r="G547" s="20">
        <f t="shared" ca="1" si="284"/>
        <v>0</v>
      </c>
      <c r="H547" s="20">
        <f t="shared" ca="1" si="284"/>
        <v>0</v>
      </c>
      <c r="I547" s="13">
        <f t="shared" ca="1" si="284"/>
        <v>0</v>
      </c>
      <c r="J547" s="16"/>
      <c r="K547" s="19">
        <f t="shared" ref="K547:K549" ca="1" si="285">OFFSET(K547,-3,0)</f>
        <v>0</v>
      </c>
      <c r="L547" s="15">
        <f t="shared" ca="1" si="283"/>
        <v>1</v>
      </c>
      <c r="M547" s="15"/>
      <c r="N547" s="15">
        <f t="shared" ca="1" si="282"/>
        <v>0</v>
      </c>
    </row>
    <row r="548" spans="1:14" x14ac:dyDescent="0.4">
      <c r="A548" s="11" t="s">
        <v>6</v>
      </c>
      <c r="B548" s="41">
        <f t="shared" ca="1" si="284"/>
        <v>0</v>
      </c>
      <c r="C548" s="41"/>
      <c r="D548" s="41"/>
      <c r="E548" s="41"/>
      <c r="F548" s="19">
        <f t="shared" ca="1" si="284"/>
        <v>0</v>
      </c>
      <c r="G548" s="20">
        <f t="shared" ca="1" si="284"/>
        <v>0</v>
      </c>
      <c r="H548" s="20">
        <f t="shared" ca="1" si="284"/>
        <v>0</v>
      </c>
      <c r="I548" s="13">
        <f t="shared" ca="1" si="284"/>
        <v>0</v>
      </c>
      <c r="J548" s="16"/>
      <c r="K548" s="19">
        <f t="shared" ca="1" si="285"/>
        <v>0</v>
      </c>
      <c r="L548" s="15">
        <f t="shared" ca="1" si="283"/>
        <v>1</v>
      </c>
      <c r="M548" s="15"/>
      <c r="N548" s="15">
        <f t="shared" ca="1" si="282"/>
        <v>0</v>
      </c>
    </row>
    <row r="549" spans="1:14" x14ac:dyDescent="0.4">
      <c r="A549" s="11" t="s">
        <v>6</v>
      </c>
      <c r="B549" s="41">
        <f t="shared" ca="1" si="284"/>
        <v>0</v>
      </c>
      <c r="C549" s="41"/>
      <c r="D549" s="41"/>
      <c r="E549" s="41"/>
      <c r="F549" s="19">
        <f t="shared" ca="1" si="284"/>
        <v>0</v>
      </c>
      <c r="G549" s="20">
        <f t="shared" ca="1" si="284"/>
        <v>0</v>
      </c>
      <c r="H549" s="20">
        <f t="shared" ca="1" si="284"/>
        <v>0</v>
      </c>
      <c r="I549" s="13">
        <f t="shared" ca="1" si="284"/>
        <v>0</v>
      </c>
      <c r="J549" s="16"/>
      <c r="K549" s="19">
        <f t="shared" ca="1" si="285"/>
        <v>0</v>
      </c>
      <c r="L549" s="15">
        <f t="shared" ca="1" si="283"/>
        <v>1</v>
      </c>
      <c r="M549" s="15"/>
      <c r="N549" s="15">
        <f t="shared" ca="1" si="282"/>
        <v>0</v>
      </c>
    </row>
    <row r="550" spans="1:14" x14ac:dyDescent="0.4">
      <c r="A550" s="11" t="s">
        <v>10</v>
      </c>
      <c r="B550" s="40">
        <f t="shared" ref="B550:I552" ca="1" si="286">OFFSET(B550,-6,0)</f>
        <v>0</v>
      </c>
      <c r="C550" s="40"/>
      <c r="D550" s="40"/>
      <c r="E550" s="40"/>
      <c r="F550" s="13">
        <f t="shared" ca="1" si="286"/>
        <v>0</v>
      </c>
      <c r="G550" s="17">
        <f t="shared" ca="1" si="286"/>
        <v>0</v>
      </c>
      <c r="H550" s="17">
        <f t="shared" ca="1" si="286"/>
        <v>0</v>
      </c>
      <c r="I550" s="13">
        <f t="shared" ca="1" si="286"/>
        <v>0</v>
      </c>
      <c r="J550" s="16"/>
      <c r="K550" s="13">
        <f t="shared" ref="K550:K552" ca="1" si="287">OFFSET(K550,-6,0)</f>
        <v>0</v>
      </c>
      <c r="L550" s="15">
        <f t="shared" ca="1" si="283"/>
        <v>1</v>
      </c>
      <c r="M550" s="15"/>
      <c r="N550" s="15">
        <f t="shared" ca="1" si="282"/>
        <v>0</v>
      </c>
    </row>
    <row r="551" spans="1:14" x14ac:dyDescent="0.4">
      <c r="A551" s="11" t="s">
        <v>10</v>
      </c>
      <c r="B551" s="40">
        <f t="shared" ca="1" si="286"/>
        <v>0</v>
      </c>
      <c r="C551" s="40"/>
      <c r="D551" s="40"/>
      <c r="E551" s="40"/>
      <c r="F551" s="13">
        <f t="shared" ca="1" si="286"/>
        <v>0</v>
      </c>
      <c r="G551" s="17">
        <f t="shared" ca="1" si="286"/>
        <v>0</v>
      </c>
      <c r="H551" s="17">
        <f t="shared" ca="1" si="286"/>
        <v>0</v>
      </c>
      <c r="I551" s="13">
        <f t="shared" ca="1" si="286"/>
        <v>0</v>
      </c>
      <c r="J551" s="16"/>
      <c r="K551" s="13">
        <f t="shared" ca="1" si="287"/>
        <v>0</v>
      </c>
      <c r="L551" s="15">
        <f t="shared" ca="1" si="283"/>
        <v>1</v>
      </c>
      <c r="M551" s="15"/>
      <c r="N551" s="15">
        <f t="shared" ca="1" si="282"/>
        <v>0</v>
      </c>
    </row>
    <row r="552" spans="1:14" x14ac:dyDescent="0.4">
      <c r="A552" s="11" t="s">
        <v>10</v>
      </c>
      <c r="B552" s="40">
        <f t="shared" ca="1" si="286"/>
        <v>0</v>
      </c>
      <c r="C552" s="40"/>
      <c r="D552" s="40"/>
      <c r="E552" s="40"/>
      <c r="F552" s="13">
        <f t="shared" ca="1" si="286"/>
        <v>0</v>
      </c>
      <c r="G552" s="17">
        <f t="shared" ca="1" si="286"/>
        <v>0</v>
      </c>
      <c r="H552" s="17">
        <f t="shared" ca="1" si="286"/>
        <v>0</v>
      </c>
      <c r="I552" s="13">
        <f t="shared" ca="1" si="286"/>
        <v>0</v>
      </c>
      <c r="J552" s="16"/>
      <c r="K552" s="13">
        <f t="shared" ca="1" si="287"/>
        <v>0</v>
      </c>
      <c r="L552" s="15">
        <f t="shared" ca="1" si="283"/>
        <v>1</v>
      </c>
      <c r="M552" s="15"/>
      <c r="N552" s="15">
        <f t="shared" ca="1" si="282"/>
        <v>0</v>
      </c>
    </row>
    <row r="553" spans="1:14" x14ac:dyDescent="0.4">
      <c r="A553" s="11" t="s">
        <v>7</v>
      </c>
      <c r="B553" s="40">
        <f t="shared" ref="B553:I555" ca="1" si="288">OFFSET(B553,-9,0)</f>
        <v>0</v>
      </c>
      <c r="C553" s="40"/>
      <c r="D553" s="40"/>
      <c r="E553" s="40"/>
      <c r="F553" s="13">
        <f t="shared" ca="1" si="288"/>
        <v>0</v>
      </c>
      <c r="G553" s="17">
        <f t="shared" ca="1" si="288"/>
        <v>0</v>
      </c>
      <c r="H553" s="17">
        <f t="shared" ca="1" si="288"/>
        <v>0</v>
      </c>
      <c r="I553" s="13">
        <f t="shared" ca="1" si="288"/>
        <v>0</v>
      </c>
      <c r="J553" s="16"/>
      <c r="K553" s="13">
        <f t="shared" ref="K553:K555" ca="1" si="289">OFFSET(K553,-9,0)</f>
        <v>0</v>
      </c>
      <c r="L553" s="15">
        <f t="shared" ca="1" si="283"/>
        <v>1</v>
      </c>
      <c r="M553" s="15"/>
      <c r="N553" s="15">
        <f t="shared" ca="1" si="282"/>
        <v>0</v>
      </c>
    </row>
    <row r="554" spans="1:14" x14ac:dyDescent="0.4">
      <c r="A554" s="11" t="s">
        <v>7</v>
      </c>
      <c r="B554" s="40">
        <f t="shared" ca="1" si="288"/>
        <v>0</v>
      </c>
      <c r="C554" s="40"/>
      <c r="D554" s="40"/>
      <c r="E554" s="40"/>
      <c r="F554" s="13">
        <f t="shared" ca="1" si="288"/>
        <v>0</v>
      </c>
      <c r="G554" s="17">
        <f t="shared" ca="1" si="288"/>
        <v>0</v>
      </c>
      <c r="H554" s="17">
        <f t="shared" ca="1" si="288"/>
        <v>0</v>
      </c>
      <c r="I554" s="13">
        <f t="shared" ca="1" si="288"/>
        <v>0</v>
      </c>
      <c r="J554" s="16"/>
      <c r="K554" s="13">
        <f t="shared" ca="1" si="289"/>
        <v>0</v>
      </c>
      <c r="L554" s="15">
        <f t="shared" ca="1" si="283"/>
        <v>1</v>
      </c>
      <c r="M554" s="15"/>
      <c r="N554" s="15">
        <f t="shared" ca="1" si="282"/>
        <v>0</v>
      </c>
    </row>
    <row r="555" spans="1:14" x14ac:dyDescent="0.4">
      <c r="A555" s="11" t="s">
        <v>7</v>
      </c>
      <c r="B555" s="40">
        <f t="shared" ca="1" si="288"/>
        <v>0</v>
      </c>
      <c r="C555" s="40"/>
      <c r="D555" s="40"/>
      <c r="E555" s="40"/>
      <c r="F555" s="13">
        <f t="shared" ca="1" si="288"/>
        <v>0</v>
      </c>
      <c r="G555" s="17">
        <f t="shared" ca="1" si="288"/>
        <v>0</v>
      </c>
      <c r="H555" s="17">
        <f t="shared" ca="1" si="288"/>
        <v>0</v>
      </c>
      <c r="I555" s="13">
        <f t="shared" ca="1" si="288"/>
        <v>0</v>
      </c>
      <c r="J555" s="16"/>
      <c r="K555" s="13">
        <f t="shared" ca="1" si="289"/>
        <v>0</v>
      </c>
      <c r="L555" s="15">
        <f t="shared" ca="1" si="283"/>
        <v>1</v>
      </c>
      <c r="M555" s="15"/>
      <c r="N555" s="15">
        <f t="shared" ca="1" si="282"/>
        <v>0</v>
      </c>
    </row>
    <row r="556" spans="1:14" x14ac:dyDescent="0.4">
      <c r="A556" s="11" t="s">
        <v>8</v>
      </c>
      <c r="B556" s="40">
        <f t="shared" ref="B556:I558" ca="1" si="290">OFFSET(B556,-12,0)</f>
        <v>0</v>
      </c>
      <c r="C556" s="40"/>
      <c r="D556" s="40"/>
      <c r="E556" s="40"/>
      <c r="F556" s="13">
        <f t="shared" ca="1" si="290"/>
        <v>0</v>
      </c>
      <c r="G556" s="17">
        <f t="shared" ca="1" si="290"/>
        <v>0</v>
      </c>
      <c r="H556" s="17">
        <f t="shared" ca="1" si="290"/>
        <v>0</v>
      </c>
      <c r="I556" s="13">
        <f t="shared" ca="1" si="290"/>
        <v>0</v>
      </c>
      <c r="J556" s="16"/>
      <c r="K556" s="13">
        <f t="shared" ref="K556:K558" ca="1" si="291">OFFSET(K556,-12,0)</f>
        <v>0</v>
      </c>
      <c r="L556" s="15">
        <f t="shared" ca="1" si="283"/>
        <v>1</v>
      </c>
      <c r="M556" s="15"/>
      <c r="N556" s="15">
        <f t="shared" ca="1" si="282"/>
        <v>0</v>
      </c>
    </row>
    <row r="557" spans="1:14" x14ac:dyDescent="0.4">
      <c r="A557" s="11" t="s">
        <v>8</v>
      </c>
      <c r="B557" s="40">
        <f t="shared" ca="1" si="290"/>
        <v>0</v>
      </c>
      <c r="C557" s="40"/>
      <c r="D557" s="40"/>
      <c r="E557" s="40"/>
      <c r="F557" s="13">
        <f t="shared" ca="1" si="290"/>
        <v>0</v>
      </c>
      <c r="G557" s="17">
        <f t="shared" ca="1" si="290"/>
        <v>0</v>
      </c>
      <c r="H557" s="17">
        <f t="shared" ca="1" si="290"/>
        <v>0</v>
      </c>
      <c r="I557" s="13">
        <f t="shared" ca="1" si="290"/>
        <v>0</v>
      </c>
      <c r="J557" s="16"/>
      <c r="K557" s="13">
        <f t="shared" ca="1" si="291"/>
        <v>0</v>
      </c>
      <c r="L557" s="15">
        <f t="shared" ca="1" si="283"/>
        <v>1</v>
      </c>
      <c r="M557" s="15"/>
      <c r="N557" s="15">
        <f t="shared" ca="1" si="282"/>
        <v>0</v>
      </c>
    </row>
    <row r="558" spans="1:14" x14ac:dyDescent="0.4">
      <c r="A558" s="11" t="s">
        <v>8</v>
      </c>
      <c r="B558" s="40">
        <f t="shared" ca="1" si="290"/>
        <v>0</v>
      </c>
      <c r="C558" s="40"/>
      <c r="D558" s="40"/>
      <c r="E558" s="40"/>
      <c r="F558" s="13">
        <f t="shared" ca="1" si="290"/>
        <v>0</v>
      </c>
      <c r="G558" s="17">
        <f t="shared" ca="1" si="290"/>
        <v>0</v>
      </c>
      <c r="H558" s="17">
        <f t="shared" ca="1" si="290"/>
        <v>0</v>
      </c>
      <c r="I558" s="13">
        <f t="shared" ca="1" si="290"/>
        <v>0</v>
      </c>
      <c r="J558" s="16"/>
      <c r="K558" s="13">
        <f t="shared" ca="1" si="291"/>
        <v>0</v>
      </c>
      <c r="L558" s="15">
        <f t="shared" ca="1" si="283"/>
        <v>1</v>
      </c>
      <c r="M558" s="15"/>
      <c r="N558" s="15">
        <f t="shared" ca="1" si="282"/>
        <v>0</v>
      </c>
    </row>
    <row r="559" spans="1:14" x14ac:dyDescent="0.4">
      <c r="A559" s="11" t="s">
        <v>9</v>
      </c>
      <c r="B559" s="41">
        <f t="shared" ref="B559:H561" ca="1" si="292">OFFSET(B559,-15,0)</f>
        <v>0</v>
      </c>
      <c r="C559" s="41"/>
      <c r="D559" s="41"/>
      <c r="E559" s="41"/>
      <c r="F559" s="19">
        <f t="shared" ca="1" si="292"/>
        <v>0</v>
      </c>
      <c r="G559" s="20">
        <f t="shared" ca="1" si="292"/>
        <v>0</v>
      </c>
      <c r="H559" s="20">
        <f ca="1">OFFSET(H559,-15,0)</f>
        <v>0</v>
      </c>
      <c r="I559" s="13">
        <f t="shared" ref="I559:I561" ca="1" si="293">OFFSET(I559,-15,0)</f>
        <v>0</v>
      </c>
      <c r="J559" s="16"/>
      <c r="K559" s="19">
        <f t="shared" ref="K559:K561" ca="1" si="294">OFFSET(K559,-15,0)</f>
        <v>0</v>
      </c>
      <c r="L559" s="15">
        <f t="shared" ca="1" si="283"/>
        <v>1</v>
      </c>
      <c r="M559" s="15"/>
      <c r="N559" s="15">
        <f t="shared" ca="1" si="282"/>
        <v>0</v>
      </c>
    </row>
    <row r="560" spans="1:14" x14ac:dyDescent="0.4">
      <c r="A560" s="11" t="s">
        <v>9</v>
      </c>
      <c r="B560" s="41">
        <f t="shared" ca="1" si="292"/>
        <v>0</v>
      </c>
      <c r="C560" s="41"/>
      <c r="D560" s="41"/>
      <c r="E560" s="41"/>
      <c r="F560" s="19">
        <f t="shared" ca="1" si="292"/>
        <v>0</v>
      </c>
      <c r="G560" s="20">
        <f t="shared" ca="1" si="292"/>
        <v>0</v>
      </c>
      <c r="H560" s="20">
        <f t="shared" ca="1" si="292"/>
        <v>0</v>
      </c>
      <c r="I560" s="13">
        <f t="shared" ca="1" si="293"/>
        <v>0</v>
      </c>
      <c r="J560" s="16"/>
      <c r="K560" s="19">
        <f t="shared" ca="1" si="294"/>
        <v>0</v>
      </c>
      <c r="L560" s="15">
        <f t="shared" ca="1" si="283"/>
        <v>1</v>
      </c>
      <c r="M560" s="15"/>
      <c r="N560" s="15">
        <f t="shared" ca="1" si="282"/>
        <v>0</v>
      </c>
    </row>
    <row r="561" spans="1:14" x14ac:dyDescent="0.4">
      <c r="A561" s="11" t="s">
        <v>9</v>
      </c>
      <c r="B561" s="41">
        <f t="shared" ca="1" si="292"/>
        <v>0</v>
      </c>
      <c r="C561" s="41"/>
      <c r="D561" s="41"/>
      <c r="E561" s="41"/>
      <c r="F561" s="19">
        <f t="shared" ca="1" si="292"/>
        <v>0</v>
      </c>
      <c r="G561" s="20">
        <f t="shared" ca="1" si="292"/>
        <v>0</v>
      </c>
      <c r="H561" s="20">
        <f t="shared" ca="1" si="292"/>
        <v>0</v>
      </c>
      <c r="I561" s="13">
        <f t="shared" ca="1" si="293"/>
        <v>0</v>
      </c>
      <c r="J561" s="16"/>
      <c r="K561" s="19">
        <f t="shared" ca="1" si="294"/>
        <v>0</v>
      </c>
      <c r="L561" s="15">
        <f t="shared" ca="1" si="283"/>
        <v>1</v>
      </c>
      <c r="M561" s="15"/>
      <c r="N561" s="15">
        <f t="shared" ca="1" si="282"/>
        <v>0</v>
      </c>
    </row>
    <row r="562" spans="1:14" ht="17.399999999999999" x14ac:dyDescent="0.4">
      <c r="A562" s="74" t="s">
        <v>30</v>
      </c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6"/>
    </row>
    <row r="563" spans="1:14" x14ac:dyDescent="0.4">
      <c r="A563" s="11" t="s">
        <v>5</v>
      </c>
      <c r="B563" s="40"/>
      <c r="C563" s="40"/>
      <c r="D563" s="40"/>
      <c r="E563" s="40"/>
      <c r="F563" s="13"/>
      <c r="G563" s="11"/>
      <c r="H563" s="17"/>
      <c r="I563" s="13"/>
      <c r="J563" s="16"/>
      <c r="K563" s="13"/>
      <c r="L563" s="15">
        <f>ROUND((10^(K563/10))/(10^(I563/10)),3)</f>
        <v>1</v>
      </c>
      <c r="M563" s="15"/>
      <c r="N563" s="15">
        <f t="shared" ref="N563:N580" si="295">J563*L563</f>
        <v>0</v>
      </c>
    </row>
    <row r="564" spans="1:14" x14ac:dyDescent="0.4">
      <c r="A564" s="11" t="s">
        <v>5</v>
      </c>
      <c r="B564" s="40"/>
      <c r="C564" s="40"/>
      <c r="D564" s="40"/>
      <c r="E564" s="40"/>
      <c r="F564" s="13"/>
      <c r="G564" s="11"/>
      <c r="H564" s="17"/>
      <c r="I564" s="13"/>
      <c r="J564" s="16"/>
      <c r="K564" s="13"/>
      <c r="L564" s="15">
        <f t="shared" ref="L564:L580" si="296">ROUND((10^(K564/10))/(10^(I564/10)),3)</f>
        <v>1</v>
      </c>
      <c r="M564" s="15"/>
      <c r="N564" s="15">
        <f t="shared" si="295"/>
        <v>0</v>
      </c>
    </row>
    <row r="565" spans="1:14" x14ac:dyDescent="0.4">
      <c r="A565" s="11" t="s">
        <v>5</v>
      </c>
      <c r="B565" s="40"/>
      <c r="C565" s="40"/>
      <c r="D565" s="40"/>
      <c r="E565" s="40"/>
      <c r="F565" s="13"/>
      <c r="G565" s="11"/>
      <c r="H565" s="17"/>
      <c r="I565" s="13"/>
      <c r="J565" s="16"/>
      <c r="K565" s="13"/>
      <c r="L565" s="15">
        <f t="shared" si="296"/>
        <v>1</v>
      </c>
      <c r="M565" s="15"/>
      <c r="N565" s="15">
        <f t="shared" si="295"/>
        <v>0</v>
      </c>
    </row>
    <row r="566" spans="1:14" x14ac:dyDescent="0.4">
      <c r="A566" s="11" t="s">
        <v>6</v>
      </c>
      <c r="B566" s="41">
        <f t="shared" ref="B566:I568" ca="1" si="297">OFFSET(B566,-3,0)</f>
        <v>0</v>
      </c>
      <c r="C566" s="41"/>
      <c r="D566" s="41"/>
      <c r="E566" s="41"/>
      <c r="F566" s="19">
        <f t="shared" ca="1" si="297"/>
        <v>0</v>
      </c>
      <c r="G566" s="20">
        <f t="shared" ca="1" si="297"/>
        <v>0</v>
      </c>
      <c r="H566" s="20">
        <f t="shared" ca="1" si="297"/>
        <v>0</v>
      </c>
      <c r="I566" s="13">
        <f t="shared" ca="1" si="297"/>
        <v>0</v>
      </c>
      <c r="J566" s="16"/>
      <c r="K566" s="19">
        <f t="shared" ref="K566:K568" ca="1" si="298">OFFSET(K566,-3,0)</f>
        <v>0</v>
      </c>
      <c r="L566" s="15">
        <f t="shared" ca="1" si="296"/>
        <v>1</v>
      </c>
      <c r="M566" s="15"/>
      <c r="N566" s="15">
        <f t="shared" ca="1" si="295"/>
        <v>0</v>
      </c>
    </row>
    <row r="567" spans="1:14" x14ac:dyDescent="0.4">
      <c r="A567" s="11" t="s">
        <v>6</v>
      </c>
      <c r="B567" s="41">
        <f t="shared" ca="1" si="297"/>
        <v>0</v>
      </c>
      <c r="C567" s="41"/>
      <c r="D567" s="41"/>
      <c r="E567" s="41"/>
      <c r="F567" s="19">
        <f t="shared" ca="1" si="297"/>
        <v>0</v>
      </c>
      <c r="G567" s="20">
        <f t="shared" ca="1" si="297"/>
        <v>0</v>
      </c>
      <c r="H567" s="20">
        <f t="shared" ca="1" si="297"/>
        <v>0</v>
      </c>
      <c r="I567" s="13">
        <f t="shared" ca="1" si="297"/>
        <v>0</v>
      </c>
      <c r="J567" s="16"/>
      <c r="K567" s="19">
        <f t="shared" ca="1" si="298"/>
        <v>0</v>
      </c>
      <c r="L567" s="15">
        <f t="shared" ca="1" si="296"/>
        <v>1</v>
      </c>
      <c r="M567" s="15"/>
      <c r="N567" s="15">
        <f t="shared" ca="1" si="295"/>
        <v>0</v>
      </c>
    </row>
    <row r="568" spans="1:14" x14ac:dyDescent="0.4">
      <c r="A568" s="11" t="s">
        <v>6</v>
      </c>
      <c r="B568" s="41">
        <f t="shared" ca="1" si="297"/>
        <v>0</v>
      </c>
      <c r="C568" s="41"/>
      <c r="D568" s="41"/>
      <c r="E568" s="41"/>
      <c r="F568" s="19">
        <f t="shared" ca="1" si="297"/>
        <v>0</v>
      </c>
      <c r="G568" s="20">
        <f t="shared" ca="1" si="297"/>
        <v>0</v>
      </c>
      <c r="H568" s="20">
        <f t="shared" ca="1" si="297"/>
        <v>0</v>
      </c>
      <c r="I568" s="13">
        <f t="shared" ca="1" si="297"/>
        <v>0</v>
      </c>
      <c r="J568" s="16"/>
      <c r="K568" s="19">
        <f t="shared" ca="1" si="298"/>
        <v>0</v>
      </c>
      <c r="L568" s="15">
        <f t="shared" ca="1" si="296"/>
        <v>1</v>
      </c>
      <c r="M568" s="15"/>
      <c r="N568" s="15">
        <f t="shared" ca="1" si="295"/>
        <v>0</v>
      </c>
    </row>
    <row r="569" spans="1:14" x14ac:dyDescent="0.4">
      <c r="A569" s="11" t="s">
        <v>57</v>
      </c>
      <c r="B569" s="40">
        <f t="shared" ref="B569:I571" ca="1" si="299">OFFSET(B569,-6,0)</f>
        <v>0</v>
      </c>
      <c r="C569" s="40"/>
      <c r="D569" s="40"/>
      <c r="E569" s="40"/>
      <c r="F569" s="13">
        <f t="shared" ca="1" si="299"/>
        <v>0</v>
      </c>
      <c r="G569" s="17">
        <f t="shared" ca="1" si="299"/>
        <v>0</v>
      </c>
      <c r="H569" s="17">
        <f t="shared" ca="1" si="299"/>
        <v>0</v>
      </c>
      <c r="I569" s="13">
        <f t="shared" ca="1" si="299"/>
        <v>0</v>
      </c>
      <c r="J569" s="16"/>
      <c r="K569" s="13">
        <f t="shared" ref="K569:K571" ca="1" si="300">OFFSET(K569,-6,0)</f>
        <v>0</v>
      </c>
      <c r="L569" s="15">
        <f t="shared" ca="1" si="296"/>
        <v>1</v>
      </c>
      <c r="M569" s="15"/>
      <c r="N569" s="15">
        <f t="shared" ca="1" si="295"/>
        <v>0</v>
      </c>
    </row>
    <row r="570" spans="1:14" x14ac:dyDescent="0.4">
      <c r="A570" s="11" t="s">
        <v>57</v>
      </c>
      <c r="B570" s="40">
        <f t="shared" ca="1" si="299"/>
        <v>0</v>
      </c>
      <c r="C570" s="40"/>
      <c r="D570" s="40"/>
      <c r="E570" s="40"/>
      <c r="F570" s="13">
        <f t="shared" ca="1" si="299"/>
        <v>0</v>
      </c>
      <c r="G570" s="17">
        <f t="shared" ca="1" si="299"/>
        <v>0</v>
      </c>
      <c r="H570" s="17">
        <f t="shared" ca="1" si="299"/>
        <v>0</v>
      </c>
      <c r="I570" s="13">
        <f t="shared" ca="1" si="299"/>
        <v>0</v>
      </c>
      <c r="J570" s="16"/>
      <c r="K570" s="13">
        <f t="shared" ca="1" si="300"/>
        <v>0</v>
      </c>
      <c r="L570" s="15">
        <f t="shared" ca="1" si="296"/>
        <v>1</v>
      </c>
      <c r="M570" s="15"/>
      <c r="N570" s="15">
        <f t="shared" ca="1" si="295"/>
        <v>0</v>
      </c>
    </row>
    <row r="571" spans="1:14" x14ac:dyDescent="0.4">
      <c r="A571" s="11" t="s">
        <v>57</v>
      </c>
      <c r="B571" s="40">
        <f t="shared" ca="1" si="299"/>
        <v>0</v>
      </c>
      <c r="C571" s="40"/>
      <c r="D571" s="40"/>
      <c r="E571" s="40"/>
      <c r="F571" s="13">
        <f t="shared" ca="1" si="299"/>
        <v>0</v>
      </c>
      <c r="G571" s="17">
        <f t="shared" ca="1" si="299"/>
        <v>0</v>
      </c>
      <c r="H571" s="17">
        <f t="shared" ca="1" si="299"/>
        <v>0</v>
      </c>
      <c r="I571" s="13">
        <f t="shared" ca="1" si="299"/>
        <v>0</v>
      </c>
      <c r="J571" s="16"/>
      <c r="K571" s="13">
        <f t="shared" ca="1" si="300"/>
        <v>0</v>
      </c>
      <c r="L571" s="15">
        <f t="shared" ca="1" si="296"/>
        <v>1</v>
      </c>
      <c r="M571" s="15"/>
      <c r="N571" s="15">
        <f t="shared" ca="1" si="295"/>
        <v>0</v>
      </c>
    </row>
    <row r="572" spans="1:14" x14ac:dyDescent="0.4">
      <c r="A572" s="11" t="s">
        <v>7</v>
      </c>
      <c r="B572" s="40">
        <f t="shared" ref="B572:I574" ca="1" si="301">OFFSET(B572,-9,0)</f>
        <v>0</v>
      </c>
      <c r="C572" s="40"/>
      <c r="D572" s="40"/>
      <c r="E572" s="40"/>
      <c r="F572" s="13">
        <f t="shared" ca="1" si="301"/>
        <v>0</v>
      </c>
      <c r="G572" s="17">
        <f t="shared" ca="1" si="301"/>
        <v>0</v>
      </c>
      <c r="H572" s="17">
        <f t="shared" ca="1" si="301"/>
        <v>0</v>
      </c>
      <c r="I572" s="13">
        <f t="shared" ca="1" si="301"/>
        <v>0</v>
      </c>
      <c r="J572" s="16"/>
      <c r="K572" s="13">
        <f t="shared" ref="K572:K574" ca="1" si="302">OFFSET(K572,-9,0)</f>
        <v>0</v>
      </c>
      <c r="L572" s="15">
        <f t="shared" ca="1" si="296"/>
        <v>1</v>
      </c>
      <c r="M572" s="15"/>
      <c r="N572" s="15">
        <f t="shared" ca="1" si="295"/>
        <v>0</v>
      </c>
    </row>
    <row r="573" spans="1:14" x14ac:dyDescent="0.4">
      <c r="A573" s="11" t="s">
        <v>7</v>
      </c>
      <c r="B573" s="40">
        <f t="shared" ca="1" si="301"/>
        <v>0</v>
      </c>
      <c r="C573" s="40"/>
      <c r="D573" s="40"/>
      <c r="E573" s="40"/>
      <c r="F573" s="13">
        <f t="shared" ca="1" si="301"/>
        <v>0</v>
      </c>
      <c r="G573" s="17">
        <f t="shared" ca="1" si="301"/>
        <v>0</v>
      </c>
      <c r="H573" s="17">
        <f t="shared" ca="1" si="301"/>
        <v>0</v>
      </c>
      <c r="I573" s="13">
        <f t="shared" ca="1" si="301"/>
        <v>0</v>
      </c>
      <c r="J573" s="16"/>
      <c r="K573" s="13">
        <f t="shared" ca="1" si="302"/>
        <v>0</v>
      </c>
      <c r="L573" s="15">
        <f t="shared" ca="1" si="296"/>
        <v>1</v>
      </c>
      <c r="M573" s="15"/>
      <c r="N573" s="15">
        <f t="shared" ca="1" si="295"/>
        <v>0</v>
      </c>
    </row>
    <row r="574" spans="1:14" x14ac:dyDescent="0.4">
      <c r="A574" s="11" t="s">
        <v>7</v>
      </c>
      <c r="B574" s="40">
        <f t="shared" ca="1" si="301"/>
        <v>0</v>
      </c>
      <c r="C574" s="40"/>
      <c r="D574" s="40"/>
      <c r="E574" s="40"/>
      <c r="F574" s="13">
        <f t="shared" ca="1" si="301"/>
        <v>0</v>
      </c>
      <c r="G574" s="17">
        <f t="shared" ca="1" si="301"/>
        <v>0</v>
      </c>
      <c r="H574" s="17">
        <f t="shared" ca="1" si="301"/>
        <v>0</v>
      </c>
      <c r="I574" s="13">
        <f t="shared" ca="1" si="301"/>
        <v>0</v>
      </c>
      <c r="J574" s="16"/>
      <c r="K574" s="13">
        <f t="shared" ca="1" si="302"/>
        <v>0</v>
      </c>
      <c r="L574" s="15">
        <f t="shared" ca="1" si="296"/>
        <v>1</v>
      </c>
      <c r="M574" s="15"/>
      <c r="N574" s="15">
        <f t="shared" ca="1" si="295"/>
        <v>0</v>
      </c>
    </row>
    <row r="575" spans="1:14" x14ac:dyDescent="0.4">
      <c r="A575" s="11" t="s">
        <v>8</v>
      </c>
      <c r="B575" s="40">
        <f t="shared" ref="B575:I577" ca="1" si="303">OFFSET(B575,-12,0)</f>
        <v>0</v>
      </c>
      <c r="C575" s="40"/>
      <c r="D575" s="40"/>
      <c r="E575" s="40"/>
      <c r="F575" s="13">
        <f t="shared" ca="1" si="303"/>
        <v>0</v>
      </c>
      <c r="G575" s="17">
        <f t="shared" ca="1" si="303"/>
        <v>0</v>
      </c>
      <c r="H575" s="17">
        <f t="shared" ca="1" si="303"/>
        <v>0</v>
      </c>
      <c r="I575" s="13">
        <f t="shared" ca="1" si="303"/>
        <v>0</v>
      </c>
      <c r="J575" s="16"/>
      <c r="K575" s="13">
        <f t="shared" ref="K575:K577" ca="1" si="304">OFFSET(K575,-12,0)</f>
        <v>0</v>
      </c>
      <c r="L575" s="15">
        <f t="shared" ca="1" si="296"/>
        <v>1</v>
      </c>
      <c r="M575" s="15"/>
      <c r="N575" s="15">
        <f t="shared" ca="1" si="295"/>
        <v>0</v>
      </c>
    </row>
    <row r="576" spans="1:14" x14ac:dyDescent="0.4">
      <c r="A576" s="11" t="s">
        <v>8</v>
      </c>
      <c r="B576" s="40">
        <f t="shared" ca="1" si="303"/>
        <v>0</v>
      </c>
      <c r="C576" s="40"/>
      <c r="D576" s="40"/>
      <c r="E576" s="40"/>
      <c r="F576" s="13">
        <f t="shared" ca="1" si="303"/>
        <v>0</v>
      </c>
      <c r="G576" s="17">
        <f t="shared" ca="1" si="303"/>
        <v>0</v>
      </c>
      <c r="H576" s="17">
        <f t="shared" ca="1" si="303"/>
        <v>0</v>
      </c>
      <c r="I576" s="13">
        <f t="shared" ca="1" si="303"/>
        <v>0</v>
      </c>
      <c r="J576" s="16"/>
      <c r="K576" s="13">
        <f t="shared" ca="1" si="304"/>
        <v>0</v>
      </c>
      <c r="L576" s="15">
        <f t="shared" ca="1" si="296"/>
        <v>1</v>
      </c>
      <c r="M576" s="15"/>
      <c r="N576" s="15">
        <f t="shared" ca="1" si="295"/>
        <v>0</v>
      </c>
    </row>
    <row r="577" spans="1:14" x14ac:dyDescent="0.4">
      <c r="A577" s="11" t="s">
        <v>8</v>
      </c>
      <c r="B577" s="40">
        <f t="shared" ca="1" si="303"/>
        <v>0</v>
      </c>
      <c r="C577" s="40"/>
      <c r="D577" s="40"/>
      <c r="E577" s="40"/>
      <c r="F577" s="13">
        <f t="shared" ca="1" si="303"/>
        <v>0</v>
      </c>
      <c r="G577" s="17">
        <f t="shared" ca="1" si="303"/>
        <v>0</v>
      </c>
      <c r="H577" s="17">
        <f t="shared" ca="1" si="303"/>
        <v>0</v>
      </c>
      <c r="I577" s="13">
        <f t="shared" ca="1" si="303"/>
        <v>0</v>
      </c>
      <c r="J577" s="16"/>
      <c r="K577" s="13">
        <f t="shared" ca="1" si="304"/>
        <v>0</v>
      </c>
      <c r="L577" s="15">
        <f t="shared" ca="1" si="296"/>
        <v>1</v>
      </c>
      <c r="M577" s="15"/>
      <c r="N577" s="15">
        <f t="shared" ca="1" si="295"/>
        <v>0</v>
      </c>
    </row>
    <row r="578" spans="1:14" x14ac:dyDescent="0.4">
      <c r="A578" s="11" t="s">
        <v>9</v>
      </c>
      <c r="B578" s="41">
        <f t="shared" ref="B578:I580" ca="1" si="305">OFFSET(B578,-15,0)</f>
        <v>0</v>
      </c>
      <c r="C578" s="41"/>
      <c r="D578" s="41"/>
      <c r="E578" s="41"/>
      <c r="F578" s="19">
        <f t="shared" ca="1" si="305"/>
        <v>0</v>
      </c>
      <c r="G578" s="20">
        <f t="shared" ca="1" si="305"/>
        <v>0</v>
      </c>
      <c r="H578" s="20">
        <f t="shared" ca="1" si="305"/>
        <v>0</v>
      </c>
      <c r="I578" s="13">
        <f t="shared" ca="1" si="305"/>
        <v>0</v>
      </c>
      <c r="J578" s="16"/>
      <c r="K578" s="19">
        <f t="shared" ref="K578:K580" ca="1" si="306">OFFSET(K578,-15,0)</f>
        <v>0</v>
      </c>
      <c r="L578" s="15">
        <f t="shared" ca="1" si="296"/>
        <v>1</v>
      </c>
      <c r="M578" s="15"/>
      <c r="N578" s="15">
        <f t="shared" ca="1" si="295"/>
        <v>0</v>
      </c>
    </row>
    <row r="579" spans="1:14" x14ac:dyDescent="0.4">
      <c r="A579" s="11" t="s">
        <v>9</v>
      </c>
      <c r="B579" s="41">
        <f t="shared" ca="1" si="305"/>
        <v>0</v>
      </c>
      <c r="C579" s="41"/>
      <c r="D579" s="41"/>
      <c r="E579" s="41"/>
      <c r="F579" s="19">
        <f t="shared" ca="1" si="305"/>
        <v>0</v>
      </c>
      <c r="G579" s="20">
        <f t="shared" ca="1" si="305"/>
        <v>0</v>
      </c>
      <c r="H579" s="20">
        <f t="shared" ca="1" si="305"/>
        <v>0</v>
      </c>
      <c r="I579" s="13">
        <f t="shared" ca="1" si="305"/>
        <v>0</v>
      </c>
      <c r="J579" s="16"/>
      <c r="K579" s="19">
        <f t="shared" ca="1" si="306"/>
        <v>0</v>
      </c>
      <c r="L579" s="15">
        <f t="shared" ca="1" si="296"/>
        <v>1</v>
      </c>
      <c r="M579" s="15"/>
      <c r="N579" s="15">
        <f t="shared" ca="1" si="295"/>
        <v>0</v>
      </c>
    </row>
    <row r="580" spans="1:14" x14ac:dyDescent="0.4">
      <c r="A580" s="11" t="s">
        <v>9</v>
      </c>
      <c r="B580" s="41">
        <f t="shared" ca="1" si="305"/>
        <v>0</v>
      </c>
      <c r="C580" s="41"/>
      <c r="D580" s="41"/>
      <c r="E580" s="41"/>
      <c r="F580" s="19">
        <f t="shared" ca="1" si="305"/>
        <v>0</v>
      </c>
      <c r="G580" s="20">
        <f t="shared" ca="1" si="305"/>
        <v>0</v>
      </c>
      <c r="H580" s="20">
        <f t="shared" ca="1" si="305"/>
        <v>0</v>
      </c>
      <c r="I580" s="13">
        <f t="shared" ca="1" si="305"/>
        <v>0</v>
      </c>
      <c r="J580" s="16"/>
      <c r="K580" s="19">
        <f t="shared" ca="1" si="306"/>
        <v>0</v>
      </c>
      <c r="L580" s="15">
        <f t="shared" ca="1" si="296"/>
        <v>1</v>
      </c>
      <c r="M580" s="15"/>
      <c r="N580" s="15">
        <f t="shared" ca="1" si="295"/>
        <v>0</v>
      </c>
    </row>
    <row r="581" spans="1:14" ht="17.399999999999999" x14ac:dyDescent="0.4">
      <c r="A581" s="77" t="s">
        <v>27</v>
      </c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6"/>
    </row>
    <row r="582" spans="1:14" x14ac:dyDescent="0.4">
      <c r="A582" s="11" t="s">
        <v>5</v>
      </c>
      <c r="B582" s="40"/>
      <c r="C582" s="40"/>
      <c r="D582" s="40"/>
      <c r="E582" s="40"/>
      <c r="F582" s="13"/>
      <c r="G582" s="11"/>
      <c r="H582" s="17"/>
      <c r="I582" s="13"/>
      <c r="J582" s="16"/>
      <c r="K582" s="13"/>
      <c r="L582" s="15">
        <f>ROUND((10^(K582/10))/(10^(I582/10)),3)</f>
        <v>1</v>
      </c>
      <c r="M582" s="15"/>
      <c r="N582" s="15">
        <f t="shared" ref="N582:N599" si="307">J582*L582</f>
        <v>0</v>
      </c>
    </row>
    <row r="583" spans="1:14" x14ac:dyDescent="0.4">
      <c r="A583" s="11" t="s">
        <v>5</v>
      </c>
      <c r="B583" s="40"/>
      <c r="C583" s="40"/>
      <c r="D583" s="40"/>
      <c r="E583" s="40"/>
      <c r="F583" s="13"/>
      <c r="G583" s="11"/>
      <c r="H583" s="17"/>
      <c r="I583" s="13"/>
      <c r="J583" s="16"/>
      <c r="K583" s="13"/>
      <c r="L583" s="15">
        <f t="shared" ref="L583:L599" si="308">ROUND((10^(K583/10))/(10^(I583/10)),3)</f>
        <v>1</v>
      </c>
      <c r="M583" s="15"/>
      <c r="N583" s="15">
        <f t="shared" si="307"/>
        <v>0</v>
      </c>
    </row>
    <row r="584" spans="1:14" x14ac:dyDescent="0.4">
      <c r="A584" s="11" t="s">
        <v>5</v>
      </c>
      <c r="B584" s="40"/>
      <c r="C584" s="40"/>
      <c r="D584" s="40"/>
      <c r="E584" s="40"/>
      <c r="F584" s="13"/>
      <c r="G584" s="11"/>
      <c r="H584" s="17"/>
      <c r="I584" s="13"/>
      <c r="J584" s="16"/>
      <c r="K584" s="13"/>
      <c r="L584" s="15">
        <f t="shared" si="308"/>
        <v>1</v>
      </c>
      <c r="M584" s="15"/>
      <c r="N584" s="15">
        <f t="shared" si="307"/>
        <v>0</v>
      </c>
    </row>
    <row r="585" spans="1:14" x14ac:dyDescent="0.4">
      <c r="A585" s="11" t="s">
        <v>6</v>
      </c>
      <c r="B585" s="41">
        <f t="shared" ref="B585:I587" ca="1" si="309">OFFSET(B585,-3,0)</f>
        <v>0</v>
      </c>
      <c r="C585" s="41"/>
      <c r="D585" s="41"/>
      <c r="E585" s="41"/>
      <c r="F585" s="19">
        <f t="shared" ca="1" si="309"/>
        <v>0</v>
      </c>
      <c r="G585" s="20">
        <f t="shared" ca="1" si="309"/>
        <v>0</v>
      </c>
      <c r="H585" s="20">
        <f t="shared" ca="1" si="309"/>
        <v>0</v>
      </c>
      <c r="I585" s="13">
        <f t="shared" ca="1" si="309"/>
        <v>0</v>
      </c>
      <c r="J585" s="16"/>
      <c r="K585" s="19">
        <f t="shared" ref="K585:K587" ca="1" si="310">OFFSET(K585,-3,0)</f>
        <v>0</v>
      </c>
      <c r="L585" s="15">
        <f t="shared" ca="1" si="308"/>
        <v>1</v>
      </c>
      <c r="M585" s="15"/>
      <c r="N585" s="15">
        <f t="shared" ca="1" si="307"/>
        <v>0</v>
      </c>
    </row>
    <row r="586" spans="1:14" x14ac:dyDescent="0.4">
      <c r="A586" s="11" t="s">
        <v>6</v>
      </c>
      <c r="B586" s="41">
        <f t="shared" ca="1" si="309"/>
        <v>0</v>
      </c>
      <c r="C586" s="41"/>
      <c r="D586" s="41"/>
      <c r="E586" s="41"/>
      <c r="F586" s="19">
        <f t="shared" ca="1" si="309"/>
        <v>0</v>
      </c>
      <c r="G586" s="20">
        <f t="shared" ca="1" si="309"/>
        <v>0</v>
      </c>
      <c r="H586" s="20">
        <f t="shared" ca="1" si="309"/>
        <v>0</v>
      </c>
      <c r="I586" s="13">
        <f t="shared" ca="1" si="309"/>
        <v>0</v>
      </c>
      <c r="J586" s="16"/>
      <c r="K586" s="19">
        <f t="shared" ca="1" si="310"/>
        <v>0</v>
      </c>
      <c r="L586" s="15">
        <f t="shared" ca="1" si="308"/>
        <v>1</v>
      </c>
      <c r="M586" s="15"/>
      <c r="N586" s="15">
        <f t="shared" ca="1" si="307"/>
        <v>0</v>
      </c>
    </row>
    <row r="587" spans="1:14" x14ac:dyDescent="0.4">
      <c r="A587" s="11" t="s">
        <v>6</v>
      </c>
      <c r="B587" s="41">
        <f t="shared" ca="1" si="309"/>
        <v>0</v>
      </c>
      <c r="C587" s="41"/>
      <c r="D587" s="41"/>
      <c r="E587" s="41"/>
      <c r="F587" s="19">
        <f t="shared" ca="1" si="309"/>
        <v>0</v>
      </c>
      <c r="G587" s="20">
        <f t="shared" ca="1" si="309"/>
        <v>0</v>
      </c>
      <c r="H587" s="20">
        <f t="shared" ca="1" si="309"/>
        <v>0</v>
      </c>
      <c r="I587" s="13">
        <f t="shared" ca="1" si="309"/>
        <v>0</v>
      </c>
      <c r="J587" s="16"/>
      <c r="K587" s="19">
        <f t="shared" ca="1" si="310"/>
        <v>0</v>
      </c>
      <c r="L587" s="15">
        <f t="shared" ca="1" si="308"/>
        <v>1</v>
      </c>
      <c r="M587" s="15"/>
      <c r="N587" s="15">
        <f t="shared" ca="1" si="307"/>
        <v>0</v>
      </c>
    </row>
    <row r="588" spans="1:14" x14ac:dyDescent="0.4">
      <c r="A588" s="11" t="s">
        <v>57</v>
      </c>
      <c r="B588" s="40">
        <f t="shared" ref="B588:I590" ca="1" si="311">OFFSET(B588,-6,0)</f>
        <v>0</v>
      </c>
      <c r="C588" s="40"/>
      <c r="D588" s="40"/>
      <c r="E588" s="40"/>
      <c r="F588" s="13">
        <f t="shared" ca="1" si="311"/>
        <v>0</v>
      </c>
      <c r="G588" s="17">
        <f t="shared" ca="1" si="311"/>
        <v>0</v>
      </c>
      <c r="H588" s="17">
        <f t="shared" ca="1" si="311"/>
        <v>0</v>
      </c>
      <c r="I588" s="13">
        <f t="shared" ca="1" si="311"/>
        <v>0</v>
      </c>
      <c r="J588" s="16"/>
      <c r="K588" s="13">
        <f t="shared" ref="K588:K590" ca="1" si="312">OFFSET(K588,-6,0)</f>
        <v>0</v>
      </c>
      <c r="L588" s="15">
        <f t="shared" ca="1" si="308"/>
        <v>1</v>
      </c>
      <c r="M588" s="15"/>
      <c r="N588" s="15">
        <f t="shared" ca="1" si="307"/>
        <v>0</v>
      </c>
    </row>
    <row r="589" spans="1:14" x14ac:dyDescent="0.4">
      <c r="A589" s="11" t="s">
        <v>57</v>
      </c>
      <c r="B589" s="40">
        <f t="shared" ca="1" si="311"/>
        <v>0</v>
      </c>
      <c r="C589" s="40"/>
      <c r="D589" s="40"/>
      <c r="E589" s="40"/>
      <c r="F589" s="13">
        <f t="shared" ca="1" si="311"/>
        <v>0</v>
      </c>
      <c r="G589" s="17">
        <f t="shared" ca="1" si="311"/>
        <v>0</v>
      </c>
      <c r="H589" s="17">
        <f t="shared" ca="1" si="311"/>
        <v>0</v>
      </c>
      <c r="I589" s="13">
        <f t="shared" ca="1" si="311"/>
        <v>0</v>
      </c>
      <c r="J589" s="16"/>
      <c r="K589" s="13">
        <f t="shared" ca="1" si="312"/>
        <v>0</v>
      </c>
      <c r="L589" s="15">
        <f t="shared" ca="1" si="308"/>
        <v>1</v>
      </c>
      <c r="M589" s="15"/>
      <c r="N589" s="15">
        <f t="shared" ca="1" si="307"/>
        <v>0</v>
      </c>
    </row>
    <row r="590" spans="1:14" x14ac:dyDescent="0.4">
      <c r="A590" s="11" t="s">
        <v>57</v>
      </c>
      <c r="B590" s="40">
        <f t="shared" ca="1" si="311"/>
        <v>0</v>
      </c>
      <c r="C590" s="40"/>
      <c r="D590" s="40"/>
      <c r="E590" s="40"/>
      <c r="F590" s="13">
        <f t="shared" ca="1" si="311"/>
        <v>0</v>
      </c>
      <c r="G590" s="17">
        <f t="shared" ca="1" si="311"/>
        <v>0</v>
      </c>
      <c r="H590" s="17">
        <f t="shared" ca="1" si="311"/>
        <v>0</v>
      </c>
      <c r="I590" s="13">
        <f t="shared" ca="1" si="311"/>
        <v>0</v>
      </c>
      <c r="J590" s="16"/>
      <c r="K590" s="13">
        <f t="shared" ca="1" si="312"/>
        <v>0</v>
      </c>
      <c r="L590" s="15">
        <f t="shared" ca="1" si="308"/>
        <v>1</v>
      </c>
      <c r="M590" s="15"/>
      <c r="N590" s="15">
        <f t="shared" ca="1" si="307"/>
        <v>0</v>
      </c>
    </row>
    <row r="591" spans="1:14" x14ac:dyDescent="0.4">
      <c r="A591" s="11" t="s">
        <v>7</v>
      </c>
      <c r="B591" s="40">
        <f t="shared" ref="B591:I593" ca="1" si="313">OFFSET(B591,-9,0)</f>
        <v>0</v>
      </c>
      <c r="C591" s="40"/>
      <c r="D591" s="40"/>
      <c r="E591" s="40"/>
      <c r="F591" s="13">
        <f t="shared" ca="1" si="313"/>
        <v>0</v>
      </c>
      <c r="G591" s="17">
        <f t="shared" ca="1" si="313"/>
        <v>0</v>
      </c>
      <c r="H591" s="17">
        <f t="shared" ca="1" si="313"/>
        <v>0</v>
      </c>
      <c r="I591" s="13">
        <f t="shared" ca="1" si="313"/>
        <v>0</v>
      </c>
      <c r="J591" s="16"/>
      <c r="K591" s="13">
        <f t="shared" ref="K591:K593" ca="1" si="314">OFFSET(K591,-9,0)</f>
        <v>0</v>
      </c>
      <c r="L591" s="15">
        <f t="shared" ca="1" si="308"/>
        <v>1</v>
      </c>
      <c r="M591" s="15"/>
      <c r="N591" s="15">
        <f t="shared" ca="1" si="307"/>
        <v>0</v>
      </c>
    </row>
    <row r="592" spans="1:14" x14ac:dyDescent="0.4">
      <c r="A592" s="11" t="s">
        <v>7</v>
      </c>
      <c r="B592" s="40">
        <f t="shared" ca="1" si="313"/>
        <v>0</v>
      </c>
      <c r="C592" s="40"/>
      <c r="D592" s="40"/>
      <c r="E592" s="40"/>
      <c r="F592" s="13">
        <f t="shared" ca="1" si="313"/>
        <v>0</v>
      </c>
      <c r="G592" s="17">
        <f t="shared" ca="1" si="313"/>
        <v>0</v>
      </c>
      <c r="H592" s="17">
        <f t="shared" ca="1" si="313"/>
        <v>0</v>
      </c>
      <c r="I592" s="13">
        <f t="shared" ca="1" si="313"/>
        <v>0</v>
      </c>
      <c r="J592" s="16"/>
      <c r="K592" s="13">
        <f t="shared" ca="1" si="314"/>
        <v>0</v>
      </c>
      <c r="L592" s="15">
        <f t="shared" ca="1" si="308"/>
        <v>1</v>
      </c>
      <c r="M592" s="15"/>
      <c r="N592" s="15">
        <f t="shared" ca="1" si="307"/>
        <v>0</v>
      </c>
    </row>
    <row r="593" spans="1:14" x14ac:dyDescent="0.4">
      <c r="A593" s="11" t="s">
        <v>7</v>
      </c>
      <c r="B593" s="40">
        <f t="shared" ca="1" si="313"/>
        <v>0</v>
      </c>
      <c r="C593" s="40"/>
      <c r="D593" s="40"/>
      <c r="E593" s="40"/>
      <c r="F593" s="13">
        <f t="shared" ca="1" si="313"/>
        <v>0</v>
      </c>
      <c r="G593" s="17">
        <f t="shared" ca="1" si="313"/>
        <v>0</v>
      </c>
      <c r="H593" s="17">
        <f t="shared" ca="1" si="313"/>
        <v>0</v>
      </c>
      <c r="I593" s="13">
        <f t="shared" ca="1" si="313"/>
        <v>0</v>
      </c>
      <c r="J593" s="16"/>
      <c r="K593" s="13">
        <f t="shared" ca="1" si="314"/>
        <v>0</v>
      </c>
      <c r="L593" s="15">
        <f t="shared" ca="1" si="308"/>
        <v>1</v>
      </c>
      <c r="M593" s="15"/>
      <c r="N593" s="15">
        <f t="shared" ca="1" si="307"/>
        <v>0</v>
      </c>
    </row>
    <row r="594" spans="1:14" x14ac:dyDescent="0.4">
      <c r="A594" s="11" t="s">
        <v>8</v>
      </c>
      <c r="B594" s="40">
        <f t="shared" ref="B594:I596" ca="1" si="315">OFFSET(B594,-12,0)</f>
        <v>0</v>
      </c>
      <c r="C594" s="40"/>
      <c r="D594" s="40"/>
      <c r="E594" s="40"/>
      <c r="F594" s="13">
        <f t="shared" ca="1" si="315"/>
        <v>0</v>
      </c>
      <c r="G594" s="17">
        <f t="shared" ca="1" si="315"/>
        <v>0</v>
      </c>
      <c r="H594" s="17">
        <f t="shared" ca="1" si="315"/>
        <v>0</v>
      </c>
      <c r="I594" s="13">
        <f t="shared" ca="1" si="315"/>
        <v>0</v>
      </c>
      <c r="J594" s="16"/>
      <c r="K594" s="13">
        <f t="shared" ref="K594:K596" ca="1" si="316">OFFSET(K594,-12,0)</f>
        <v>0</v>
      </c>
      <c r="L594" s="15">
        <f t="shared" ca="1" si="308"/>
        <v>1</v>
      </c>
      <c r="M594" s="15"/>
      <c r="N594" s="15">
        <f t="shared" ca="1" si="307"/>
        <v>0</v>
      </c>
    </row>
    <row r="595" spans="1:14" x14ac:dyDescent="0.4">
      <c r="A595" s="11" t="s">
        <v>8</v>
      </c>
      <c r="B595" s="40">
        <f t="shared" ca="1" si="315"/>
        <v>0</v>
      </c>
      <c r="C595" s="40"/>
      <c r="D595" s="40"/>
      <c r="E595" s="40"/>
      <c r="F595" s="13">
        <f t="shared" ca="1" si="315"/>
        <v>0</v>
      </c>
      <c r="G595" s="17">
        <f t="shared" ca="1" si="315"/>
        <v>0</v>
      </c>
      <c r="H595" s="17">
        <f t="shared" ca="1" si="315"/>
        <v>0</v>
      </c>
      <c r="I595" s="13">
        <f t="shared" ca="1" si="315"/>
        <v>0</v>
      </c>
      <c r="J595" s="16"/>
      <c r="K595" s="13">
        <f t="shared" ca="1" si="316"/>
        <v>0</v>
      </c>
      <c r="L595" s="15">
        <f t="shared" ca="1" si="308"/>
        <v>1</v>
      </c>
      <c r="M595" s="15"/>
      <c r="N595" s="15">
        <f t="shared" ca="1" si="307"/>
        <v>0</v>
      </c>
    </row>
    <row r="596" spans="1:14" x14ac:dyDescent="0.4">
      <c r="A596" s="11" t="s">
        <v>8</v>
      </c>
      <c r="B596" s="40">
        <f t="shared" ca="1" si="315"/>
        <v>0</v>
      </c>
      <c r="C596" s="40"/>
      <c r="D596" s="40"/>
      <c r="E596" s="40"/>
      <c r="F596" s="13">
        <f t="shared" ca="1" si="315"/>
        <v>0</v>
      </c>
      <c r="G596" s="17">
        <f t="shared" ca="1" si="315"/>
        <v>0</v>
      </c>
      <c r="H596" s="17">
        <f t="shared" ca="1" si="315"/>
        <v>0</v>
      </c>
      <c r="I596" s="13">
        <f t="shared" ca="1" si="315"/>
        <v>0</v>
      </c>
      <c r="J596" s="16"/>
      <c r="K596" s="13">
        <f t="shared" ca="1" si="316"/>
        <v>0</v>
      </c>
      <c r="L596" s="15">
        <f t="shared" ca="1" si="308"/>
        <v>1</v>
      </c>
      <c r="M596" s="15"/>
      <c r="N596" s="15">
        <f t="shared" ca="1" si="307"/>
        <v>0</v>
      </c>
    </row>
    <row r="597" spans="1:14" x14ac:dyDescent="0.4">
      <c r="A597" s="11" t="s">
        <v>9</v>
      </c>
      <c r="B597" s="41">
        <f t="shared" ref="B597:I599" ca="1" si="317">OFFSET(B597,-15,0)</f>
        <v>0</v>
      </c>
      <c r="C597" s="41"/>
      <c r="D597" s="41"/>
      <c r="E597" s="41"/>
      <c r="F597" s="19">
        <f t="shared" ca="1" si="317"/>
        <v>0</v>
      </c>
      <c r="G597" s="20">
        <f t="shared" ca="1" si="317"/>
        <v>0</v>
      </c>
      <c r="H597" s="20">
        <f t="shared" ca="1" si="317"/>
        <v>0</v>
      </c>
      <c r="I597" s="13">
        <f t="shared" ca="1" si="317"/>
        <v>0</v>
      </c>
      <c r="J597" s="16"/>
      <c r="K597" s="19">
        <f t="shared" ref="K597:K599" ca="1" si="318">OFFSET(K597,-15,0)</f>
        <v>0</v>
      </c>
      <c r="L597" s="15">
        <f t="shared" ca="1" si="308"/>
        <v>1</v>
      </c>
      <c r="M597" s="15"/>
      <c r="N597" s="15">
        <f t="shared" ca="1" si="307"/>
        <v>0</v>
      </c>
    </row>
    <row r="598" spans="1:14" x14ac:dyDescent="0.4">
      <c r="A598" s="11" t="s">
        <v>9</v>
      </c>
      <c r="B598" s="41">
        <f t="shared" ca="1" si="317"/>
        <v>0</v>
      </c>
      <c r="C598" s="41"/>
      <c r="D598" s="41"/>
      <c r="E598" s="41"/>
      <c r="F598" s="19">
        <f t="shared" ca="1" si="317"/>
        <v>0</v>
      </c>
      <c r="G598" s="20">
        <f t="shared" ca="1" si="317"/>
        <v>0</v>
      </c>
      <c r="H598" s="20">
        <f t="shared" ca="1" si="317"/>
        <v>0</v>
      </c>
      <c r="I598" s="13">
        <f t="shared" ca="1" si="317"/>
        <v>0</v>
      </c>
      <c r="J598" s="16"/>
      <c r="K598" s="19">
        <f t="shared" ca="1" si="318"/>
        <v>0</v>
      </c>
      <c r="L598" s="15">
        <f t="shared" ca="1" si="308"/>
        <v>1</v>
      </c>
      <c r="M598" s="15"/>
      <c r="N598" s="15">
        <f t="shared" ca="1" si="307"/>
        <v>0</v>
      </c>
    </row>
    <row r="599" spans="1:14" x14ac:dyDescent="0.4">
      <c r="A599" s="11" t="s">
        <v>9</v>
      </c>
      <c r="B599" s="41">
        <f t="shared" ca="1" si="317"/>
        <v>0</v>
      </c>
      <c r="C599" s="41"/>
      <c r="D599" s="41"/>
      <c r="E599" s="41"/>
      <c r="F599" s="19">
        <f t="shared" ca="1" si="317"/>
        <v>0</v>
      </c>
      <c r="G599" s="20">
        <f t="shared" ca="1" si="317"/>
        <v>0</v>
      </c>
      <c r="H599" s="20">
        <f t="shared" ca="1" si="317"/>
        <v>0</v>
      </c>
      <c r="I599" s="13">
        <f t="shared" ca="1" si="317"/>
        <v>0</v>
      </c>
      <c r="J599" s="16"/>
      <c r="K599" s="19">
        <f t="shared" ca="1" si="318"/>
        <v>0</v>
      </c>
      <c r="L599" s="15">
        <f t="shared" ca="1" si="308"/>
        <v>1</v>
      </c>
      <c r="M599" s="15"/>
      <c r="N599" s="15">
        <f t="shared" ca="1" si="307"/>
        <v>0</v>
      </c>
    </row>
    <row r="600" spans="1:14" ht="17.399999999999999" x14ac:dyDescent="0.4">
      <c r="A600" s="77" t="s">
        <v>31</v>
      </c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6"/>
    </row>
    <row r="601" spans="1:14" x14ac:dyDescent="0.4">
      <c r="A601" s="11" t="s">
        <v>5</v>
      </c>
      <c r="B601" s="40"/>
      <c r="C601" s="40"/>
      <c r="D601" s="40"/>
      <c r="E601" s="40"/>
      <c r="F601" s="13"/>
      <c r="G601" s="11"/>
      <c r="H601" s="17"/>
      <c r="I601" s="13"/>
      <c r="J601" s="16"/>
      <c r="K601" s="13"/>
      <c r="L601" s="15">
        <f>ROUND((10^(K601/10))/(10^(I601/10)),3)</f>
        <v>1</v>
      </c>
      <c r="M601" s="15"/>
      <c r="N601" s="15">
        <f t="shared" ref="N601:N618" si="319">J601*L601</f>
        <v>0</v>
      </c>
    </row>
    <row r="602" spans="1:14" x14ac:dyDescent="0.4">
      <c r="A602" s="11" t="s">
        <v>5</v>
      </c>
      <c r="B602" s="40"/>
      <c r="C602" s="40"/>
      <c r="D602" s="40"/>
      <c r="E602" s="40"/>
      <c r="F602" s="13"/>
      <c r="G602" s="11"/>
      <c r="H602" s="17"/>
      <c r="I602" s="13"/>
      <c r="J602" s="16"/>
      <c r="K602" s="13"/>
      <c r="L602" s="15">
        <f t="shared" ref="L602:L618" si="320">ROUND((10^(K602/10))/(10^(I602/10)),3)</f>
        <v>1</v>
      </c>
      <c r="M602" s="15"/>
      <c r="N602" s="15">
        <f t="shared" si="319"/>
        <v>0</v>
      </c>
    </row>
    <row r="603" spans="1:14" x14ac:dyDescent="0.4">
      <c r="A603" s="11" t="s">
        <v>5</v>
      </c>
      <c r="B603" s="40"/>
      <c r="C603" s="40"/>
      <c r="D603" s="40"/>
      <c r="E603" s="40"/>
      <c r="F603" s="13"/>
      <c r="G603" s="11"/>
      <c r="H603" s="17"/>
      <c r="I603" s="13"/>
      <c r="J603" s="16"/>
      <c r="K603" s="13"/>
      <c r="L603" s="15">
        <f t="shared" si="320"/>
        <v>1</v>
      </c>
      <c r="M603" s="15"/>
      <c r="N603" s="15">
        <f t="shared" si="319"/>
        <v>0</v>
      </c>
    </row>
    <row r="604" spans="1:14" x14ac:dyDescent="0.4">
      <c r="A604" s="11" t="s">
        <v>6</v>
      </c>
      <c r="B604" s="41">
        <f t="shared" ref="B604:I606" ca="1" si="321">OFFSET(B604,-3,0)</f>
        <v>0</v>
      </c>
      <c r="C604" s="41"/>
      <c r="D604" s="41"/>
      <c r="E604" s="41"/>
      <c r="F604" s="19">
        <f t="shared" ca="1" si="321"/>
        <v>0</v>
      </c>
      <c r="G604" s="20">
        <f t="shared" ca="1" si="321"/>
        <v>0</v>
      </c>
      <c r="H604" s="20">
        <f t="shared" ca="1" si="321"/>
        <v>0</v>
      </c>
      <c r="I604" s="13">
        <f t="shared" ca="1" si="321"/>
        <v>0</v>
      </c>
      <c r="J604" s="16"/>
      <c r="K604" s="19">
        <f t="shared" ref="K604:K606" ca="1" si="322">OFFSET(K604,-3,0)</f>
        <v>0</v>
      </c>
      <c r="L604" s="15">
        <f t="shared" ca="1" si="320"/>
        <v>1</v>
      </c>
      <c r="M604" s="15"/>
      <c r="N604" s="15">
        <f t="shared" ca="1" si="319"/>
        <v>0</v>
      </c>
    </row>
    <row r="605" spans="1:14" x14ac:dyDescent="0.4">
      <c r="A605" s="11" t="s">
        <v>6</v>
      </c>
      <c r="B605" s="41">
        <f t="shared" ca="1" si="321"/>
        <v>0</v>
      </c>
      <c r="C605" s="41"/>
      <c r="D605" s="41"/>
      <c r="E605" s="41"/>
      <c r="F605" s="19">
        <f t="shared" ca="1" si="321"/>
        <v>0</v>
      </c>
      <c r="G605" s="20">
        <f t="shared" ca="1" si="321"/>
        <v>0</v>
      </c>
      <c r="H605" s="20">
        <f t="shared" ca="1" si="321"/>
        <v>0</v>
      </c>
      <c r="I605" s="13">
        <f t="shared" ca="1" si="321"/>
        <v>0</v>
      </c>
      <c r="J605" s="16"/>
      <c r="K605" s="19">
        <f t="shared" ca="1" si="322"/>
        <v>0</v>
      </c>
      <c r="L605" s="15">
        <f t="shared" ca="1" si="320"/>
        <v>1</v>
      </c>
      <c r="M605" s="15"/>
      <c r="N605" s="15">
        <f t="shared" ca="1" si="319"/>
        <v>0</v>
      </c>
    </row>
    <row r="606" spans="1:14" x14ac:dyDescent="0.4">
      <c r="A606" s="11" t="s">
        <v>6</v>
      </c>
      <c r="B606" s="41">
        <f t="shared" ca="1" si="321"/>
        <v>0</v>
      </c>
      <c r="C606" s="41"/>
      <c r="D606" s="41"/>
      <c r="E606" s="41"/>
      <c r="F606" s="19">
        <f t="shared" ca="1" si="321"/>
        <v>0</v>
      </c>
      <c r="G606" s="20">
        <f t="shared" ca="1" si="321"/>
        <v>0</v>
      </c>
      <c r="H606" s="20">
        <f t="shared" ca="1" si="321"/>
        <v>0</v>
      </c>
      <c r="I606" s="13">
        <f t="shared" ca="1" si="321"/>
        <v>0</v>
      </c>
      <c r="J606" s="16"/>
      <c r="K606" s="19">
        <f t="shared" ca="1" si="322"/>
        <v>0</v>
      </c>
      <c r="L606" s="15">
        <f t="shared" ca="1" si="320"/>
        <v>1</v>
      </c>
      <c r="M606" s="15"/>
      <c r="N606" s="15">
        <f t="shared" ca="1" si="319"/>
        <v>0</v>
      </c>
    </row>
    <row r="607" spans="1:14" x14ac:dyDescent="0.4">
      <c r="A607" s="11" t="s">
        <v>10</v>
      </c>
      <c r="B607" s="40">
        <f t="shared" ref="B607:I609" ca="1" si="323">OFFSET(B607,-6,0)</f>
        <v>0</v>
      </c>
      <c r="C607" s="40"/>
      <c r="D607" s="40"/>
      <c r="E607" s="40"/>
      <c r="F607" s="13">
        <f t="shared" ca="1" si="323"/>
        <v>0</v>
      </c>
      <c r="G607" s="17">
        <f t="shared" ca="1" si="323"/>
        <v>0</v>
      </c>
      <c r="H607" s="17">
        <f t="shared" ca="1" si="323"/>
        <v>0</v>
      </c>
      <c r="I607" s="13">
        <f t="shared" ca="1" si="323"/>
        <v>0</v>
      </c>
      <c r="J607" s="16"/>
      <c r="K607" s="13">
        <f t="shared" ref="K607:K609" ca="1" si="324">OFFSET(K607,-6,0)</f>
        <v>0</v>
      </c>
      <c r="L607" s="15">
        <f t="shared" ca="1" si="320"/>
        <v>1</v>
      </c>
      <c r="M607" s="15"/>
      <c r="N607" s="15">
        <f t="shared" ca="1" si="319"/>
        <v>0</v>
      </c>
    </row>
    <row r="608" spans="1:14" x14ac:dyDescent="0.4">
      <c r="A608" s="11" t="s">
        <v>10</v>
      </c>
      <c r="B608" s="40">
        <f t="shared" ca="1" si="323"/>
        <v>0</v>
      </c>
      <c r="C608" s="40"/>
      <c r="D608" s="40"/>
      <c r="E608" s="40"/>
      <c r="F608" s="13">
        <f t="shared" ca="1" si="323"/>
        <v>0</v>
      </c>
      <c r="G608" s="17">
        <f t="shared" ca="1" si="323"/>
        <v>0</v>
      </c>
      <c r="H608" s="17">
        <f t="shared" ca="1" si="323"/>
        <v>0</v>
      </c>
      <c r="I608" s="13">
        <f t="shared" ca="1" si="323"/>
        <v>0</v>
      </c>
      <c r="J608" s="16"/>
      <c r="K608" s="13">
        <f t="shared" ca="1" si="324"/>
        <v>0</v>
      </c>
      <c r="L608" s="15">
        <f t="shared" ca="1" si="320"/>
        <v>1</v>
      </c>
      <c r="M608" s="15"/>
      <c r="N608" s="15">
        <f t="shared" ca="1" si="319"/>
        <v>0</v>
      </c>
    </row>
    <row r="609" spans="1:14" x14ac:dyDescent="0.4">
      <c r="A609" s="11" t="s">
        <v>10</v>
      </c>
      <c r="B609" s="40">
        <f t="shared" ca="1" si="323"/>
        <v>0</v>
      </c>
      <c r="C609" s="40"/>
      <c r="D609" s="40"/>
      <c r="E609" s="40"/>
      <c r="F609" s="13">
        <f t="shared" ca="1" si="323"/>
        <v>0</v>
      </c>
      <c r="G609" s="17">
        <f t="shared" ca="1" si="323"/>
        <v>0</v>
      </c>
      <c r="H609" s="17">
        <f t="shared" ca="1" si="323"/>
        <v>0</v>
      </c>
      <c r="I609" s="13">
        <f t="shared" ca="1" si="323"/>
        <v>0</v>
      </c>
      <c r="J609" s="16"/>
      <c r="K609" s="13">
        <f t="shared" ca="1" si="324"/>
        <v>0</v>
      </c>
      <c r="L609" s="15">
        <f t="shared" ca="1" si="320"/>
        <v>1</v>
      </c>
      <c r="M609" s="15"/>
      <c r="N609" s="15">
        <f t="shared" ca="1" si="319"/>
        <v>0</v>
      </c>
    </row>
    <row r="610" spans="1:14" x14ac:dyDescent="0.4">
      <c r="A610" s="11" t="s">
        <v>7</v>
      </c>
      <c r="B610" s="40">
        <f t="shared" ref="B610:I612" ca="1" si="325">OFFSET(B610,-9,0)</f>
        <v>0</v>
      </c>
      <c r="C610" s="40"/>
      <c r="D610" s="40"/>
      <c r="E610" s="40"/>
      <c r="F610" s="13">
        <f t="shared" ca="1" si="325"/>
        <v>0</v>
      </c>
      <c r="G610" s="17">
        <f t="shared" ca="1" si="325"/>
        <v>0</v>
      </c>
      <c r="H610" s="17">
        <f t="shared" ca="1" si="325"/>
        <v>0</v>
      </c>
      <c r="I610" s="13">
        <f t="shared" ca="1" si="325"/>
        <v>0</v>
      </c>
      <c r="J610" s="16"/>
      <c r="K610" s="13">
        <f t="shared" ref="K610:K612" ca="1" si="326">OFFSET(K610,-9,0)</f>
        <v>0</v>
      </c>
      <c r="L610" s="15">
        <f t="shared" ca="1" si="320"/>
        <v>1</v>
      </c>
      <c r="M610" s="15"/>
      <c r="N610" s="15">
        <f t="shared" ca="1" si="319"/>
        <v>0</v>
      </c>
    </row>
    <row r="611" spans="1:14" x14ac:dyDescent="0.4">
      <c r="A611" s="11" t="s">
        <v>7</v>
      </c>
      <c r="B611" s="40">
        <f t="shared" ca="1" si="325"/>
        <v>0</v>
      </c>
      <c r="C611" s="40"/>
      <c r="D611" s="40"/>
      <c r="E611" s="40"/>
      <c r="F611" s="13">
        <f t="shared" ca="1" si="325"/>
        <v>0</v>
      </c>
      <c r="G611" s="17">
        <f t="shared" ca="1" si="325"/>
        <v>0</v>
      </c>
      <c r="H611" s="17">
        <f t="shared" ca="1" si="325"/>
        <v>0</v>
      </c>
      <c r="I611" s="13">
        <f t="shared" ca="1" si="325"/>
        <v>0</v>
      </c>
      <c r="J611" s="16"/>
      <c r="K611" s="13">
        <f t="shared" ca="1" si="326"/>
        <v>0</v>
      </c>
      <c r="L611" s="15">
        <f t="shared" ca="1" si="320"/>
        <v>1</v>
      </c>
      <c r="M611" s="15"/>
      <c r="N611" s="15">
        <f t="shared" ca="1" si="319"/>
        <v>0</v>
      </c>
    </row>
    <row r="612" spans="1:14" x14ac:dyDescent="0.4">
      <c r="A612" s="11" t="s">
        <v>7</v>
      </c>
      <c r="B612" s="40">
        <f t="shared" ca="1" si="325"/>
        <v>0</v>
      </c>
      <c r="C612" s="40"/>
      <c r="D612" s="40"/>
      <c r="E612" s="40"/>
      <c r="F612" s="13">
        <f t="shared" ca="1" si="325"/>
        <v>0</v>
      </c>
      <c r="G612" s="17">
        <f t="shared" ca="1" si="325"/>
        <v>0</v>
      </c>
      <c r="H612" s="17">
        <f t="shared" ca="1" si="325"/>
        <v>0</v>
      </c>
      <c r="I612" s="13">
        <f t="shared" ca="1" si="325"/>
        <v>0</v>
      </c>
      <c r="J612" s="16"/>
      <c r="K612" s="13">
        <f t="shared" ca="1" si="326"/>
        <v>0</v>
      </c>
      <c r="L612" s="15">
        <f t="shared" ca="1" si="320"/>
        <v>1</v>
      </c>
      <c r="M612" s="15"/>
      <c r="N612" s="15">
        <f t="shared" ca="1" si="319"/>
        <v>0</v>
      </c>
    </row>
    <row r="613" spans="1:14" x14ac:dyDescent="0.4">
      <c r="A613" s="11" t="s">
        <v>8</v>
      </c>
      <c r="B613" s="40">
        <f t="shared" ref="B613:I615" ca="1" si="327">OFFSET(B613,-12,0)</f>
        <v>0</v>
      </c>
      <c r="C613" s="40"/>
      <c r="D613" s="40"/>
      <c r="E613" s="40"/>
      <c r="F613" s="13">
        <f t="shared" ca="1" si="327"/>
        <v>0</v>
      </c>
      <c r="G613" s="17">
        <f t="shared" ca="1" si="327"/>
        <v>0</v>
      </c>
      <c r="H613" s="17">
        <f t="shared" ca="1" si="327"/>
        <v>0</v>
      </c>
      <c r="I613" s="13">
        <f t="shared" ca="1" si="327"/>
        <v>0</v>
      </c>
      <c r="J613" s="16"/>
      <c r="K613" s="13">
        <f t="shared" ref="K613:K615" ca="1" si="328">OFFSET(K613,-12,0)</f>
        <v>0</v>
      </c>
      <c r="L613" s="15">
        <f t="shared" ca="1" si="320"/>
        <v>1</v>
      </c>
      <c r="M613" s="15"/>
      <c r="N613" s="15">
        <f t="shared" ca="1" si="319"/>
        <v>0</v>
      </c>
    </row>
    <row r="614" spans="1:14" x14ac:dyDescent="0.4">
      <c r="A614" s="11" t="s">
        <v>8</v>
      </c>
      <c r="B614" s="40">
        <f t="shared" ca="1" si="327"/>
        <v>0</v>
      </c>
      <c r="C614" s="40"/>
      <c r="D614" s="40"/>
      <c r="E614" s="40"/>
      <c r="F614" s="13">
        <f t="shared" ca="1" si="327"/>
        <v>0</v>
      </c>
      <c r="G614" s="17">
        <f t="shared" ca="1" si="327"/>
        <v>0</v>
      </c>
      <c r="H614" s="17">
        <f t="shared" ca="1" si="327"/>
        <v>0</v>
      </c>
      <c r="I614" s="13">
        <f t="shared" ca="1" si="327"/>
        <v>0</v>
      </c>
      <c r="J614" s="16"/>
      <c r="K614" s="13">
        <f t="shared" ca="1" si="328"/>
        <v>0</v>
      </c>
      <c r="L614" s="15">
        <f t="shared" ca="1" si="320"/>
        <v>1</v>
      </c>
      <c r="M614" s="15"/>
      <c r="N614" s="15">
        <f t="shared" ca="1" si="319"/>
        <v>0</v>
      </c>
    </row>
    <row r="615" spans="1:14" x14ac:dyDescent="0.4">
      <c r="A615" s="11" t="s">
        <v>8</v>
      </c>
      <c r="B615" s="40">
        <f t="shared" ca="1" si="327"/>
        <v>0</v>
      </c>
      <c r="C615" s="40"/>
      <c r="D615" s="40"/>
      <c r="E615" s="40"/>
      <c r="F615" s="13">
        <f t="shared" ca="1" si="327"/>
        <v>0</v>
      </c>
      <c r="G615" s="17">
        <f t="shared" ca="1" si="327"/>
        <v>0</v>
      </c>
      <c r="H615" s="17">
        <f t="shared" ca="1" si="327"/>
        <v>0</v>
      </c>
      <c r="I615" s="13">
        <f t="shared" ca="1" si="327"/>
        <v>0</v>
      </c>
      <c r="J615" s="16"/>
      <c r="K615" s="13">
        <f t="shared" ca="1" si="328"/>
        <v>0</v>
      </c>
      <c r="L615" s="15">
        <f t="shared" ca="1" si="320"/>
        <v>1</v>
      </c>
      <c r="M615" s="15"/>
      <c r="N615" s="15">
        <f t="shared" ca="1" si="319"/>
        <v>0</v>
      </c>
    </row>
    <row r="616" spans="1:14" x14ac:dyDescent="0.4">
      <c r="A616" s="11" t="s">
        <v>9</v>
      </c>
      <c r="B616" s="41">
        <f t="shared" ref="B616:I618" ca="1" si="329">OFFSET(B616,-15,0)</f>
        <v>0</v>
      </c>
      <c r="C616" s="41"/>
      <c r="D616" s="41"/>
      <c r="E616" s="41"/>
      <c r="F616" s="19">
        <f t="shared" ca="1" si="329"/>
        <v>0</v>
      </c>
      <c r="G616" s="20">
        <f t="shared" ca="1" si="329"/>
        <v>0</v>
      </c>
      <c r="H616" s="20">
        <f t="shared" ca="1" si="329"/>
        <v>0</v>
      </c>
      <c r="I616" s="13">
        <f t="shared" ca="1" si="329"/>
        <v>0</v>
      </c>
      <c r="J616" s="16"/>
      <c r="K616" s="19">
        <f t="shared" ref="K616:K618" ca="1" si="330">OFFSET(K616,-15,0)</f>
        <v>0</v>
      </c>
      <c r="L616" s="15">
        <f t="shared" ca="1" si="320"/>
        <v>1</v>
      </c>
      <c r="M616" s="15"/>
      <c r="N616" s="15">
        <f t="shared" ca="1" si="319"/>
        <v>0</v>
      </c>
    </row>
    <row r="617" spans="1:14" x14ac:dyDescent="0.4">
      <c r="A617" s="11" t="s">
        <v>9</v>
      </c>
      <c r="B617" s="41">
        <f t="shared" ca="1" si="329"/>
        <v>0</v>
      </c>
      <c r="C617" s="41"/>
      <c r="D617" s="41"/>
      <c r="E617" s="41"/>
      <c r="F617" s="19">
        <f t="shared" ca="1" si="329"/>
        <v>0</v>
      </c>
      <c r="G617" s="20">
        <f t="shared" ca="1" si="329"/>
        <v>0</v>
      </c>
      <c r="H617" s="20">
        <f t="shared" ca="1" si="329"/>
        <v>0</v>
      </c>
      <c r="I617" s="13">
        <f t="shared" ca="1" si="329"/>
        <v>0</v>
      </c>
      <c r="J617" s="16"/>
      <c r="K617" s="19">
        <f t="shared" ca="1" si="330"/>
        <v>0</v>
      </c>
      <c r="L617" s="15">
        <f t="shared" ca="1" si="320"/>
        <v>1</v>
      </c>
      <c r="M617" s="15"/>
      <c r="N617" s="15">
        <f t="shared" ca="1" si="319"/>
        <v>0</v>
      </c>
    </row>
    <row r="618" spans="1:14" x14ac:dyDescent="0.4">
      <c r="A618" s="11" t="s">
        <v>9</v>
      </c>
      <c r="B618" s="41">
        <f t="shared" ca="1" si="329"/>
        <v>0</v>
      </c>
      <c r="C618" s="41"/>
      <c r="D618" s="41"/>
      <c r="E618" s="41"/>
      <c r="F618" s="19">
        <f t="shared" ca="1" si="329"/>
        <v>0</v>
      </c>
      <c r="G618" s="20">
        <f t="shared" ca="1" si="329"/>
        <v>0</v>
      </c>
      <c r="H618" s="20">
        <f t="shared" ca="1" si="329"/>
        <v>0</v>
      </c>
      <c r="I618" s="13">
        <f t="shared" ca="1" si="329"/>
        <v>0</v>
      </c>
      <c r="J618" s="16"/>
      <c r="K618" s="19">
        <f t="shared" ca="1" si="330"/>
        <v>0</v>
      </c>
      <c r="L618" s="15">
        <f t="shared" ca="1" si="320"/>
        <v>1</v>
      </c>
      <c r="M618" s="15"/>
      <c r="N618" s="15">
        <f t="shared" ca="1" si="319"/>
        <v>0</v>
      </c>
    </row>
    <row r="619" spans="1:14" ht="17.399999999999999" x14ac:dyDescent="0.4">
      <c r="A619" s="77" t="s">
        <v>23</v>
      </c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6"/>
    </row>
    <row r="620" spans="1:14" x14ac:dyDescent="0.4">
      <c r="A620" s="11" t="str">
        <f ca="1">INDEX(A468:A618, MATCH(MAX(N468:N618), N468:N618, 0), 0)</f>
        <v>Front</v>
      </c>
      <c r="B620" s="40">
        <f ca="1">INDEX(B468:B618, MATCH(MAX(N468:N618), N468:N618, 0), 0)</f>
        <v>0</v>
      </c>
      <c r="C620" s="40"/>
      <c r="D620" s="40"/>
      <c r="E620" s="40"/>
      <c r="F620" s="13">
        <f ca="1">INDEX(F468:F618, MATCH(MAX(N468:N618), N468:N618, 0), 0)</f>
        <v>0</v>
      </c>
      <c r="G620" s="11">
        <f ca="1">INDEX(G468:G618, MATCH(MAX(N468:N618), N468:N618, 0), 0)</f>
        <v>0</v>
      </c>
      <c r="H620" s="17">
        <f ca="1">INDEX(H468:H618, MATCH(MAX(N468:N618), N468:N618, 0), 0)</f>
        <v>0</v>
      </c>
      <c r="I620" s="13">
        <f ca="1">INDEX(I468:I618, MATCH(MAX(N468:N618), N468:N618, 0), 0)</f>
        <v>0</v>
      </c>
      <c r="J620" s="16"/>
      <c r="K620" s="13">
        <f ca="1">INDEX(K468:K618, MATCH(MAX(N468:N618), N468:N618, 0), 0)</f>
        <v>0</v>
      </c>
      <c r="L620" s="15">
        <f ca="1">ROUND((10^(K620/10))/(10^(I620/10)),3)</f>
        <v>1</v>
      </c>
      <c r="M620" s="15"/>
      <c r="N620" s="15">
        <f t="shared" ref="N620" ca="1" si="331">J620*L620</f>
        <v>0</v>
      </c>
    </row>
    <row r="621" spans="1:14" x14ac:dyDescent="0.4">
      <c r="A621" s="11"/>
      <c r="B621" s="40"/>
      <c r="C621" s="40"/>
      <c r="D621" s="40"/>
      <c r="E621" s="40"/>
      <c r="F621" s="13"/>
      <c r="G621" s="11"/>
      <c r="H621" s="17"/>
      <c r="I621" s="13"/>
      <c r="J621" s="16"/>
      <c r="K621" s="13"/>
      <c r="L621" s="15"/>
      <c r="M621" s="15"/>
      <c r="N621" s="15"/>
    </row>
    <row r="622" spans="1:14" x14ac:dyDescent="0.4">
      <c r="A622" s="11"/>
      <c r="B622" s="40"/>
      <c r="C622" s="40"/>
      <c r="D622" s="40"/>
      <c r="E622" s="40"/>
      <c r="F622" s="13"/>
      <c r="G622" s="11"/>
      <c r="H622" s="17"/>
      <c r="I622" s="13"/>
      <c r="J622" s="16"/>
      <c r="K622" s="13"/>
      <c r="L622" s="15"/>
      <c r="M622" s="15"/>
      <c r="N622" s="15"/>
    </row>
    <row r="623" spans="1:14" x14ac:dyDescent="0.4">
      <c r="A623" s="11"/>
      <c r="B623" s="41"/>
      <c r="C623" s="41"/>
      <c r="D623" s="41"/>
      <c r="E623" s="41"/>
      <c r="F623" s="19"/>
      <c r="G623" s="11"/>
      <c r="H623" s="20"/>
      <c r="I623" s="19"/>
      <c r="J623" s="16"/>
      <c r="K623" s="19"/>
      <c r="L623" s="15"/>
      <c r="M623" s="15"/>
      <c r="N623" s="15"/>
    </row>
    <row r="624" spans="1:14" x14ac:dyDescent="0.4">
      <c r="A624" s="11"/>
      <c r="B624" s="41"/>
      <c r="C624" s="41"/>
      <c r="D624" s="41"/>
      <c r="E624" s="41"/>
      <c r="F624" s="19"/>
      <c r="G624" s="11"/>
      <c r="H624" s="20"/>
      <c r="I624" s="19"/>
      <c r="J624" s="16"/>
      <c r="K624" s="19"/>
      <c r="L624" s="15"/>
      <c r="M624" s="15"/>
      <c r="N624" s="15"/>
    </row>
    <row r="625" spans="1:14" x14ac:dyDescent="0.4">
      <c r="A625" s="11"/>
      <c r="B625" s="41"/>
      <c r="C625" s="41"/>
      <c r="D625" s="41"/>
      <c r="E625" s="41"/>
      <c r="F625" s="19"/>
      <c r="G625" s="11"/>
      <c r="H625" s="20"/>
      <c r="I625" s="19"/>
      <c r="J625" s="16"/>
      <c r="K625" s="19"/>
      <c r="L625" s="15"/>
      <c r="M625" s="15"/>
      <c r="N625" s="15"/>
    </row>
    <row r="626" spans="1:14" x14ac:dyDescent="0.4">
      <c r="A626" s="11"/>
      <c r="B626" s="40"/>
      <c r="C626" s="40"/>
      <c r="D626" s="40"/>
      <c r="E626" s="40"/>
      <c r="F626" s="13"/>
      <c r="G626" s="11"/>
      <c r="H626" s="17"/>
      <c r="I626" s="13"/>
      <c r="J626" s="16"/>
      <c r="K626" s="13"/>
      <c r="L626" s="15"/>
      <c r="M626" s="15"/>
      <c r="N626" s="15"/>
    </row>
    <row r="627" spans="1:14" x14ac:dyDescent="0.4">
      <c r="A627" s="11"/>
      <c r="B627" s="40"/>
      <c r="C627" s="40"/>
      <c r="D627" s="40"/>
      <c r="E627" s="40"/>
      <c r="F627" s="13"/>
      <c r="G627" s="11"/>
      <c r="H627" s="17"/>
      <c r="I627" s="13"/>
      <c r="J627" s="16"/>
      <c r="K627" s="13"/>
      <c r="L627" s="15"/>
      <c r="M627" s="15"/>
      <c r="N627" s="15"/>
    </row>
    <row r="628" spans="1:14" x14ac:dyDescent="0.4">
      <c r="A628" s="11"/>
      <c r="B628" s="40"/>
      <c r="C628" s="40"/>
      <c r="D628" s="40"/>
      <c r="E628" s="40"/>
      <c r="F628" s="13"/>
      <c r="G628" s="11"/>
      <c r="H628" s="17"/>
      <c r="I628" s="13"/>
      <c r="J628" s="16"/>
      <c r="K628" s="13"/>
      <c r="L628" s="15"/>
      <c r="M628" s="15"/>
      <c r="N628" s="15"/>
    </row>
    <row r="629" spans="1:14" x14ac:dyDescent="0.4">
      <c r="A629" s="11"/>
      <c r="B629" s="40"/>
      <c r="C629" s="40"/>
      <c r="D629" s="40"/>
      <c r="E629" s="40"/>
      <c r="F629" s="13"/>
      <c r="G629" s="11"/>
      <c r="H629" s="17"/>
      <c r="I629" s="13"/>
      <c r="J629" s="16"/>
      <c r="K629" s="13"/>
      <c r="L629" s="15"/>
      <c r="M629" s="15"/>
      <c r="N629" s="15"/>
    </row>
    <row r="630" spans="1:14" x14ac:dyDescent="0.4">
      <c r="A630" s="11"/>
      <c r="B630" s="40"/>
      <c r="C630" s="40"/>
      <c r="D630" s="40"/>
      <c r="E630" s="40"/>
      <c r="F630" s="13"/>
      <c r="G630" s="11"/>
      <c r="H630" s="17"/>
      <c r="I630" s="13"/>
      <c r="J630" s="16"/>
      <c r="K630" s="13"/>
      <c r="L630" s="15"/>
      <c r="M630" s="15"/>
      <c r="N630" s="15"/>
    </row>
    <row r="631" spans="1:14" x14ac:dyDescent="0.4">
      <c r="A631" s="11"/>
      <c r="B631" s="40"/>
      <c r="C631" s="40"/>
      <c r="D631" s="40"/>
      <c r="E631" s="40"/>
      <c r="F631" s="13"/>
      <c r="G631" s="11"/>
      <c r="H631" s="17"/>
      <c r="I631" s="13"/>
      <c r="J631" s="16"/>
      <c r="K631" s="13"/>
      <c r="L631" s="15"/>
      <c r="M631" s="15"/>
      <c r="N631" s="15"/>
    </row>
    <row r="632" spans="1:14" x14ac:dyDescent="0.4">
      <c r="A632" s="11"/>
      <c r="B632" s="40"/>
      <c r="C632" s="40"/>
      <c r="D632" s="40"/>
      <c r="E632" s="40"/>
      <c r="F632" s="13"/>
      <c r="G632" s="11"/>
      <c r="H632" s="17"/>
      <c r="I632" s="13"/>
      <c r="J632" s="16"/>
      <c r="K632" s="13"/>
      <c r="L632" s="15"/>
      <c r="M632" s="15"/>
      <c r="N632" s="15"/>
    </row>
    <row r="633" spans="1:14" x14ac:dyDescent="0.4">
      <c r="A633" s="11"/>
      <c r="B633" s="40"/>
      <c r="C633" s="40"/>
      <c r="D633" s="40"/>
      <c r="E633" s="40"/>
      <c r="F633" s="13"/>
      <c r="G633" s="11"/>
      <c r="H633" s="17"/>
      <c r="I633" s="13"/>
      <c r="J633" s="16"/>
      <c r="K633" s="13"/>
      <c r="L633" s="15"/>
      <c r="M633" s="15"/>
      <c r="N633" s="15"/>
    </row>
    <row r="634" spans="1:14" x14ac:dyDescent="0.4">
      <c r="A634" s="11"/>
      <c r="B634" s="40"/>
      <c r="C634" s="40"/>
      <c r="D634" s="40"/>
      <c r="E634" s="40"/>
      <c r="F634" s="13"/>
      <c r="G634" s="11"/>
      <c r="H634" s="17"/>
      <c r="I634" s="13"/>
      <c r="J634" s="16"/>
      <c r="K634" s="13"/>
      <c r="L634" s="15"/>
      <c r="M634" s="15"/>
      <c r="N634" s="15"/>
    </row>
    <row r="635" spans="1:14" x14ac:dyDescent="0.4">
      <c r="A635" s="11"/>
      <c r="B635" s="41"/>
      <c r="C635" s="41"/>
      <c r="D635" s="41"/>
      <c r="E635" s="41"/>
      <c r="F635" s="19"/>
      <c r="G635" s="11"/>
      <c r="H635" s="20"/>
      <c r="I635" s="19"/>
      <c r="J635" s="16"/>
      <c r="K635" s="19"/>
      <c r="L635" s="15"/>
      <c r="M635" s="15"/>
      <c r="N635" s="15"/>
    </row>
    <row r="636" spans="1:14" x14ac:dyDescent="0.4">
      <c r="A636" s="11"/>
      <c r="B636" s="41"/>
      <c r="C636" s="41"/>
      <c r="D636" s="41"/>
      <c r="E636" s="41"/>
      <c r="F636" s="19"/>
      <c r="G636" s="11"/>
      <c r="H636" s="20"/>
      <c r="I636" s="19"/>
      <c r="J636" s="16"/>
      <c r="K636" s="19"/>
      <c r="L636" s="15"/>
      <c r="M636" s="15"/>
      <c r="N636" s="15"/>
    </row>
    <row r="637" spans="1:14" x14ac:dyDescent="0.4">
      <c r="A637" s="11"/>
      <c r="B637" s="41"/>
      <c r="C637" s="41"/>
      <c r="D637" s="41"/>
      <c r="E637" s="41"/>
      <c r="F637" s="19"/>
      <c r="G637" s="11"/>
      <c r="H637" s="20"/>
      <c r="I637" s="19"/>
      <c r="J637" s="16"/>
      <c r="K637" s="19"/>
      <c r="L637" s="15"/>
      <c r="M637" s="15"/>
      <c r="N637" s="15"/>
    </row>
    <row r="638" spans="1:14" ht="17.399999999999999" x14ac:dyDescent="0.4">
      <c r="A638" s="77" t="s">
        <v>24</v>
      </c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6"/>
    </row>
    <row r="639" spans="1:14" x14ac:dyDescent="0.4">
      <c r="A639" s="11" t="str">
        <f ca="1">INDEX(A468:A618, MATCH(MAX(N468:N618), N468:N618, 0), 0)</f>
        <v>Front</v>
      </c>
      <c r="B639" s="40">
        <f ca="1">INDEX(B468:B618, MATCH(MAX(N468:N618), N468:N618, 0), 0)</f>
        <v>0</v>
      </c>
      <c r="C639" s="40"/>
      <c r="D639" s="40"/>
      <c r="E639" s="40"/>
      <c r="F639" s="13">
        <f ca="1">INDEX(F468:F618, MATCH(MAX(N468:N618), N468:N618, 0), 0)</f>
        <v>0</v>
      </c>
      <c r="G639" s="11">
        <f ca="1">INDEX(G468:G618, MATCH(MAX(N468:N618), N468:N618, 0), 0)</f>
        <v>0</v>
      </c>
      <c r="H639" s="17">
        <f ca="1">INDEX(H468:H618, MATCH(MAX(N468:N618), N468:N618, 0), 0)</f>
        <v>0</v>
      </c>
      <c r="I639" s="13">
        <f ca="1">INDEX(I468:I618, MATCH(MAX(N468:N618), N468:N618, 0), 0)</f>
        <v>0</v>
      </c>
      <c r="J639" s="16"/>
      <c r="K639" s="13">
        <f ca="1">INDEX(K468:K618, MATCH(MAX(N468:N618), N468:N618, 0), 0)</f>
        <v>0</v>
      </c>
      <c r="L639" s="15">
        <f ca="1">ROUND((10^(K639/10))/(10^(I639/10)),3)</f>
        <v>1</v>
      </c>
      <c r="M639" s="15"/>
      <c r="N639" s="15">
        <f t="shared" ref="N639" ca="1" si="332">J639*L639</f>
        <v>0</v>
      </c>
    </row>
    <row r="640" spans="1:14" x14ac:dyDescent="0.4">
      <c r="A640" s="11"/>
      <c r="B640" s="40"/>
      <c r="C640" s="40"/>
      <c r="D640" s="40"/>
      <c r="E640" s="40"/>
      <c r="F640" s="13"/>
      <c r="G640" s="11"/>
      <c r="H640" s="17"/>
      <c r="I640" s="13"/>
      <c r="J640" s="16"/>
      <c r="K640" s="13"/>
      <c r="L640" s="15"/>
      <c r="M640" s="15"/>
      <c r="N640" s="52"/>
    </row>
    <row r="641" spans="1:14" x14ac:dyDescent="0.4">
      <c r="A641" s="11"/>
      <c r="B641" s="40"/>
      <c r="C641" s="40"/>
      <c r="D641" s="40"/>
      <c r="E641" s="40"/>
      <c r="F641" s="13"/>
      <c r="G641" s="11"/>
      <c r="H641" s="17"/>
      <c r="I641" s="13"/>
      <c r="J641" s="16"/>
      <c r="K641" s="13"/>
      <c r="L641" s="15"/>
      <c r="M641" s="15"/>
      <c r="N641" s="52"/>
    </row>
    <row r="642" spans="1:14" x14ac:dyDescent="0.4">
      <c r="A642" s="11"/>
      <c r="B642" s="41"/>
      <c r="C642" s="41"/>
      <c r="D642" s="41"/>
      <c r="E642" s="41"/>
      <c r="F642" s="19"/>
      <c r="G642" s="11"/>
      <c r="H642" s="20"/>
      <c r="I642" s="19"/>
      <c r="J642" s="16"/>
      <c r="K642" s="19"/>
      <c r="L642" s="15"/>
      <c r="M642" s="15"/>
      <c r="N642" s="52"/>
    </row>
    <row r="643" spans="1:14" x14ac:dyDescent="0.4">
      <c r="A643" s="11"/>
      <c r="B643" s="41"/>
      <c r="C643" s="41"/>
      <c r="D643" s="41"/>
      <c r="E643" s="41"/>
      <c r="F643" s="19"/>
      <c r="G643" s="11"/>
      <c r="H643" s="20"/>
      <c r="I643" s="19"/>
      <c r="J643" s="16"/>
      <c r="K643" s="19"/>
      <c r="L643" s="15"/>
      <c r="M643" s="15"/>
      <c r="N643" s="52"/>
    </row>
    <row r="644" spans="1:14" x14ac:dyDescent="0.4">
      <c r="A644" s="11"/>
      <c r="B644" s="41"/>
      <c r="C644" s="41"/>
      <c r="D644" s="41"/>
      <c r="E644" s="41"/>
      <c r="F644" s="19"/>
      <c r="G644" s="11"/>
      <c r="H644" s="20"/>
      <c r="I644" s="19"/>
      <c r="J644" s="16"/>
      <c r="K644" s="19"/>
      <c r="L644" s="15"/>
      <c r="M644" s="15"/>
      <c r="N644" s="52"/>
    </row>
    <row r="645" spans="1:14" x14ac:dyDescent="0.4">
      <c r="A645" s="11"/>
      <c r="B645" s="40"/>
      <c r="C645" s="40"/>
      <c r="D645" s="40"/>
      <c r="E645" s="40"/>
      <c r="F645" s="13"/>
      <c r="G645" s="11"/>
      <c r="H645" s="17"/>
      <c r="I645" s="13"/>
      <c r="J645" s="16"/>
      <c r="K645" s="13"/>
      <c r="L645" s="15"/>
      <c r="M645" s="15"/>
      <c r="N645" s="52"/>
    </row>
    <row r="646" spans="1:14" x14ac:dyDescent="0.4">
      <c r="A646" s="11"/>
      <c r="B646" s="40"/>
      <c r="C646" s="40"/>
      <c r="D646" s="40"/>
      <c r="E646" s="40"/>
      <c r="F646" s="13"/>
      <c r="G646" s="11"/>
      <c r="H646" s="17"/>
      <c r="I646" s="13"/>
      <c r="J646" s="16"/>
      <c r="K646" s="13"/>
      <c r="L646" s="15"/>
      <c r="M646" s="15"/>
      <c r="N646" s="52"/>
    </row>
    <row r="647" spans="1:14" x14ac:dyDescent="0.4">
      <c r="A647" s="11"/>
      <c r="B647" s="40"/>
      <c r="C647" s="40"/>
      <c r="D647" s="40"/>
      <c r="E647" s="40"/>
      <c r="F647" s="13"/>
      <c r="G647" s="11"/>
      <c r="H647" s="17"/>
      <c r="I647" s="13"/>
      <c r="J647" s="16"/>
      <c r="K647" s="13"/>
      <c r="L647" s="15"/>
      <c r="M647" s="15"/>
      <c r="N647" s="52"/>
    </row>
    <row r="648" spans="1:14" x14ac:dyDescent="0.4">
      <c r="A648" s="11"/>
      <c r="B648" s="40"/>
      <c r="C648" s="40"/>
      <c r="D648" s="40"/>
      <c r="E648" s="40"/>
      <c r="F648" s="13"/>
      <c r="G648" s="11"/>
      <c r="H648" s="17"/>
      <c r="I648" s="13"/>
      <c r="J648" s="16"/>
      <c r="K648" s="13"/>
      <c r="L648" s="15"/>
      <c r="M648" s="15"/>
      <c r="N648" s="52"/>
    </row>
    <row r="649" spans="1:14" x14ac:dyDescent="0.4">
      <c r="A649" s="11"/>
      <c r="B649" s="40"/>
      <c r="C649" s="40"/>
      <c r="D649" s="40"/>
      <c r="E649" s="40"/>
      <c r="F649" s="13"/>
      <c r="G649" s="11"/>
      <c r="H649" s="17"/>
      <c r="I649" s="13"/>
      <c r="J649" s="16"/>
      <c r="K649" s="13"/>
      <c r="L649" s="15"/>
      <c r="M649" s="15"/>
      <c r="N649" s="52"/>
    </row>
    <row r="650" spans="1:14" x14ac:dyDescent="0.4">
      <c r="A650" s="11"/>
      <c r="B650" s="40"/>
      <c r="C650" s="40"/>
      <c r="D650" s="40"/>
      <c r="E650" s="40"/>
      <c r="F650" s="13"/>
      <c r="G650" s="11"/>
      <c r="H650" s="17"/>
      <c r="I650" s="13"/>
      <c r="J650" s="16"/>
      <c r="K650" s="13"/>
      <c r="L650" s="15"/>
      <c r="M650" s="15"/>
      <c r="N650" s="52"/>
    </row>
    <row r="651" spans="1:14" x14ac:dyDescent="0.4">
      <c r="A651" s="11"/>
      <c r="B651" s="40"/>
      <c r="C651" s="40"/>
      <c r="D651" s="40"/>
      <c r="E651" s="40"/>
      <c r="F651" s="13"/>
      <c r="G651" s="11"/>
      <c r="H651" s="17"/>
      <c r="I651" s="13"/>
      <c r="J651" s="16"/>
      <c r="K651" s="13"/>
      <c r="L651" s="15"/>
      <c r="M651" s="15"/>
      <c r="N651" s="52"/>
    </row>
    <row r="652" spans="1:14" x14ac:dyDescent="0.4">
      <c r="A652" s="11"/>
      <c r="B652" s="40"/>
      <c r="C652" s="40"/>
      <c r="D652" s="40"/>
      <c r="E652" s="40"/>
      <c r="F652" s="13"/>
      <c r="G652" s="11"/>
      <c r="H652" s="17"/>
      <c r="I652" s="13"/>
      <c r="J652" s="16"/>
      <c r="K652" s="13"/>
      <c r="L652" s="15"/>
      <c r="M652" s="15"/>
      <c r="N652" s="52"/>
    </row>
    <row r="653" spans="1:14" x14ac:dyDescent="0.4">
      <c r="A653" s="11"/>
      <c r="B653" s="40"/>
      <c r="C653" s="40"/>
      <c r="D653" s="40"/>
      <c r="E653" s="40"/>
      <c r="F653" s="13"/>
      <c r="G653" s="11"/>
      <c r="H653" s="17"/>
      <c r="I653" s="13"/>
      <c r="J653" s="16"/>
      <c r="K653" s="13"/>
      <c r="L653" s="15"/>
      <c r="M653" s="15"/>
      <c r="N653" s="52"/>
    </row>
    <row r="654" spans="1:14" x14ac:dyDescent="0.4">
      <c r="A654" s="11"/>
      <c r="B654" s="41"/>
      <c r="C654" s="41"/>
      <c r="D654" s="41"/>
      <c r="E654" s="41"/>
      <c r="F654" s="19"/>
      <c r="G654" s="11"/>
      <c r="H654" s="20"/>
      <c r="I654" s="19"/>
      <c r="J654" s="16"/>
      <c r="K654" s="19"/>
      <c r="L654" s="15"/>
      <c r="M654" s="15"/>
      <c r="N654" s="52"/>
    </row>
    <row r="655" spans="1:14" x14ac:dyDescent="0.4">
      <c r="A655" s="11"/>
      <c r="B655" s="41"/>
      <c r="C655" s="41"/>
      <c r="D655" s="41"/>
      <c r="E655" s="41"/>
      <c r="F655" s="19"/>
      <c r="G655" s="11"/>
      <c r="H655" s="20"/>
      <c r="I655" s="19"/>
      <c r="J655" s="16"/>
      <c r="K655" s="19"/>
      <c r="L655" s="15"/>
      <c r="M655" s="15"/>
      <c r="N655" s="52"/>
    </row>
    <row r="656" spans="1:14" x14ac:dyDescent="0.4">
      <c r="A656" s="11"/>
      <c r="B656" s="41"/>
      <c r="C656" s="41"/>
      <c r="D656" s="41"/>
      <c r="E656" s="41"/>
      <c r="F656" s="19"/>
      <c r="G656" s="11"/>
      <c r="H656" s="20"/>
      <c r="I656" s="19"/>
      <c r="J656" s="16"/>
      <c r="K656" s="19"/>
      <c r="L656" s="15"/>
      <c r="M656" s="15"/>
      <c r="N656" s="52"/>
    </row>
    <row r="659" spans="1:14" x14ac:dyDescent="0.4">
      <c r="A659" s="58" t="s">
        <v>161</v>
      </c>
      <c r="B659" s="59"/>
      <c r="C659" s="59"/>
      <c r="D659" s="59"/>
      <c r="E659" s="59"/>
      <c r="F659" s="59"/>
      <c r="G659" s="59"/>
      <c r="H659" s="60"/>
      <c r="I659" s="54" t="s">
        <v>3</v>
      </c>
      <c r="J659" s="54"/>
      <c r="K659" s="54"/>
      <c r="L659" s="7"/>
      <c r="M659" s="7"/>
      <c r="N659" s="8"/>
    </row>
    <row r="660" spans="1:14" x14ac:dyDescent="0.4">
      <c r="A660" s="61"/>
      <c r="B660" s="62"/>
      <c r="C660" s="62"/>
      <c r="D660" s="62"/>
      <c r="E660" s="62"/>
      <c r="F660" s="62"/>
      <c r="G660" s="62"/>
      <c r="H660" s="63"/>
      <c r="I660" s="54" t="s">
        <v>4</v>
      </c>
      <c r="J660" s="54"/>
      <c r="K660" s="54"/>
      <c r="L660" s="7"/>
      <c r="M660" s="7"/>
      <c r="N660" s="8"/>
    </row>
    <row r="661" spans="1:14" x14ac:dyDescent="0.4">
      <c r="A661" s="64"/>
      <c r="B661" s="65"/>
      <c r="C661" s="65"/>
      <c r="D661" s="65"/>
      <c r="E661" s="65"/>
      <c r="F661" s="65"/>
      <c r="G661" s="65"/>
      <c r="H661" s="66"/>
      <c r="I661" s="54" t="s">
        <v>0</v>
      </c>
      <c r="J661" s="54"/>
      <c r="K661" s="54"/>
      <c r="L661" s="9"/>
      <c r="M661" s="9"/>
      <c r="N661" s="8"/>
    </row>
    <row r="662" spans="1:14" x14ac:dyDescent="0.4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</row>
    <row r="663" spans="1:14" x14ac:dyDescent="0.4">
      <c r="A663" s="53" t="s">
        <v>14</v>
      </c>
      <c r="B663" s="55" t="s">
        <v>34</v>
      </c>
      <c r="C663" s="71" t="s">
        <v>152</v>
      </c>
      <c r="D663" s="71" t="s">
        <v>153</v>
      </c>
      <c r="E663" s="71" t="s">
        <v>145</v>
      </c>
      <c r="F663" s="53" t="s">
        <v>1</v>
      </c>
      <c r="G663" s="53"/>
      <c r="H663" s="57" t="s">
        <v>15</v>
      </c>
      <c r="I663" s="57" t="s">
        <v>16</v>
      </c>
      <c r="J663" s="53" t="s">
        <v>17</v>
      </c>
      <c r="K663" s="67" t="s">
        <v>84</v>
      </c>
      <c r="L663" s="68"/>
      <c r="M663" s="53" t="s">
        <v>20</v>
      </c>
      <c r="N663" s="8"/>
    </row>
    <row r="664" spans="1:14" x14ac:dyDescent="0.4">
      <c r="A664" s="53"/>
      <c r="B664" s="55"/>
      <c r="C664" s="72"/>
      <c r="D664" s="72"/>
      <c r="E664" s="72"/>
      <c r="F664" s="53" t="s">
        <v>18</v>
      </c>
      <c r="G664" s="53" t="s">
        <v>2</v>
      </c>
      <c r="H664" s="57"/>
      <c r="I664" s="57"/>
      <c r="J664" s="53"/>
      <c r="K664" s="69"/>
      <c r="L664" s="70"/>
      <c r="M664" s="53"/>
      <c r="N664" s="8"/>
    </row>
    <row r="665" spans="1:14" x14ac:dyDescent="0.4">
      <c r="A665" s="53"/>
      <c r="B665" s="56"/>
      <c r="C665" s="73"/>
      <c r="D665" s="73"/>
      <c r="E665" s="73"/>
      <c r="F665" s="53"/>
      <c r="G665" s="53"/>
      <c r="H665" s="57"/>
      <c r="I665" s="57"/>
      <c r="J665" s="53"/>
      <c r="K665" s="42" t="s">
        <v>85</v>
      </c>
      <c r="L665" s="42" t="s">
        <v>86</v>
      </c>
      <c r="M665" s="53"/>
      <c r="N665" s="8"/>
    </row>
    <row r="666" spans="1:14" x14ac:dyDescent="0.4">
      <c r="A666" s="11" t="s">
        <v>11</v>
      </c>
      <c r="B666" s="40"/>
      <c r="C666" s="40"/>
      <c r="D666" s="40"/>
      <c r="E666" s="40"/>
      <c r="F666" s="13"/>
      <c r="G666" s="11"/>
      <c r="H666" s="13"/>
      <c r="I666" s="14"/>
      <c r="J666" s="13"/>
      <c r="K666" s="15">
        <f>ROUND((10^(J666/10))/(10^(H666/10)),3)</f>
        <v>1</v>
      </c>
      <c r="L666" s="15"/>
      <c r="M666" s="15">
        <f t="shared" ref="M666:M677" si="333">I666*K666</f>
        <v>0</v>
      </c>
      <c r="N666" s="8"/>
    </row>
    <row r="667" spans="1:14" x14ac:dyDescent="0.4">
      <c r="A667" s="11" t="s">
        <v>11</v>
      </c>
      <c r="B667" s="40"/>
      <c r="C667" s="40"/>
      <c r="D667" s="40"/>
      <c r="E667" s="40"/>
      <c r="F667" s="13"/>
      <c r="G667" s="11"/>
      <c r="H667" s="13"/>
      <c r="I667" s="14"/>
      <c r="J667" s="13"/>
      <c r="K667" s="15">
        <f t="shared" ref="K667:K677" si="334">ROUND((10^(J667/10))/(10^(H667/10)),3)</f>
        <v>1</v>
      </c>
      <c r="L667" s="15"/>
      <c r="M667" s="15">
        <f t="shared" si="333"/>
        <v>0</v>
      </c>
      <c r="N667" s="8"/>
    </row>
    <row r="668" spans="1:14" x14ac:dyDescent="0.4">
      <c r="A668" s="11" t="s">
        <v>11</v>
      </c>
      <c r="B668" s="40"/>
      <c r="C668" s="40"/>
      <c r="D668" s="40"/>
      <c r="E668" s="40"/>
      <c r="F668" s="13"/>
      <c r="G668" s="11"/>
      <c r="H668" s="13"/>
      <c r="I668" s="14"/>
      <c r="J668" s="13"/>
      <c r="K668" s="15">
        <f t="shared" si="334"/>
        <v>1</v>
      </c>
      <c r="L668" s="15"/>
      <c r="M668" s="15">
        <f t="shared" si="333"/>
        <v>0</v>
      </c>
      <c r="N668" s="8"/>
    </row>
    <row r="669" spans="1:14" x14ac:dyDescent="0.4">
      <c r="A669" s="11" t="s">
        <v>13</v>
      </c>
      <c r="B669" s="40">
        <f t="shared" ref="B669" si="335">B666</f>
        <v>0</v>
      </c>
      <c r="C669" s="40"/>
      <c r="D669" s="40"/>
      <c r="E669" s="40">
        <f t="shared" ref="E669:G669" si="336">E666</f>
        <v>0</v>
      </c>
      <c r="F669" s="13">
        <f t="shared" si="336"/>
        <v>0</v>
      </c>
      <c r="G669" s="40">
        <f t="shared" si="336"/>
        <v>0</v>
      </c>
      <c r="H669" s="13">
        <f>H666</f>
        <v>0</v>
      </c>
      <c r="I669" s="16"/>
      <c r="J669" s="13">
        <f t="shared" ref="J669:J671" si="337">J666</f>
        <v>0</v>
      </c>
      <c r="K669" s="15">
        <f t="shared" si="334"/>
        <v>1</v>
      </c>
      <c r="L669" s="15"/>
      <c r="M669" s="15">
        <f t="shared" si="333"/>
        <v>0</v>
      </c>
      <c r="N669" s="8"/>
    </row>
    <row r="670" spans="1:14" x14ac:dyDescent="0.4">
      <c r="A670" s="11" t="s">
        <v>13</v>
      </c>
      <c r="B670" s="40">
        <f t="shared" ref="B670" si="338">B667</f>
        <v>0</v>
      </c>
      <c r="C670" s="40"/>
      <c r="D670" s="40"/>
      <c r="E670" s="40">
        <f t="shared" ref="E670:H670" si="339">E667</f>
        <v>0</v>
      </c>
      <c r="F670" s="13">
        <f t="shared" si="339"/>
        <v>0</v>
      </c>
      <c r="G670" s="40">
        <f t="shared" si="339"/>
        <v>0</v>
      </c>
      <c r="H670" s="13">
        <f t="shared" si="339"/>
        <v>0</v>
      </c>
      <c r="I670" s="16"/>
      <c r="J670" s="13">
        <f t="shared" si="337"/>
        <v>0</v>
      </c>
      <c r="K670" s="15">
        <f t="shared" si="334"/>
        <v>1</v>
      </c>
      <c r="L670" s="15"/>
      <c r="M670" s="15">
        <f t="shared" si="333"/>
        <v>0</v>
      </c>
      <c r="N670" s="8"/>
    </row>
    <row r="671" spans="1:14" x14ac:dyDescent="0.4">
      <c r="A671" s="11" t="s">
        <v>13</v>
      </c>
      <c r="B671" s="40">
        <f t="shared" ref="B671" si="340">B668</f>
        <v>0</v>
      </c>
      <c r="C671" s="40"/>
      <c r="D671" s="40"/>
      <c r="E671" s="40">
        <f t="shared" ref="E671:H671" si="341">E668</f>
        <v>0</v>
      </c>
      <c r="F671" s="13">
        <f t="shared" si="341"/>
        <v>0</v>
      </c>
      <c r="G671" s="40">
        <f t="shared" si="341"/>
        <v>0</v>
      </c>
      <c r="H671" s="13">
        <f t="shared" si="341"/>
        <v>0</v>
      </c>
      <c r="I671" s="16"/>
      <c r="J671" s="13">
        <f t="shared" si="337"/>
        <v>0</v>
      </c>
      <c r="K671" s="15">
        <f t="shared" si="334"/>
        <v>1</v>
      </c>
      <c r="L671" s="15"/>
      <c r="M671" s="15">
        <f t="shared" si="333"/>
        <v>0</v>
      </c>
      <c r="N671" s="8"/>
    </row>
    <row r="672" spans="1:14" x14ac:dyDescent="0.4">
      <c r="A672" s="11" t="s">
        <v>12</v>
      </c>
      <c r="B672" s="40">
        <f t="shared" ref="B672:J677" ca="1" si="342">OFFSET(B672,-6,0)</f>
        <v>0</v>
      </c>
      <c r="C672" s="40"/>
      <c r="D672" s="40"/>
      <c r="E672" s="40">
        <f t="shared" ca="1" si="342"/>
        <v>0</v>
      </c>
      <c r="F672" s="13">
        <f t="shared" ca="1" si="342"/>
        <v>0</v>
      </c>
      <c r="G672" s="17">
        <f t="shared" ca="1" si="342"/>
        <v>0</v>
      </c>
      <c r="H672" s="13">
        <f t="shared" ca="1" si="342"/>
        <v>0</v>
      </c>
      <c r="I672" s="16"/>
      <c r="J672" s="13">
        <f t="shared" ca="1" si="342"/>
        <v>0</v>
      </c>
      <c r="K672" s="15">
        <f t="shared" ca="1" si="334"/>
        <v>1</v>
      </c>
      <c r="L672" s="15"/>
      <c r="M672" s="15">
        <f t="shared" ca="1" si="333"/>
        <v>0</v>
      </c>
      <c r="N672" s="8"/>
    </row>
    <row r="673" spans="1:14" x14ac:dyDescent="0.4">
      <c r="A673" s="11" t="s">
        <v>12</v>
      </c>
      <c r="B673" s="40">
        <f t="shared" ca="1" si="342"/>
        <v>0</v>
      </c>
      <c r="C673" s="40"/>
      <c r="D673" s="40"/>
      <c r="E673" s="40">
        <f t="shared" ca="1" si="342"/>
        <v>0</v>
      </c>
      <c r="F673" s="13">
        <f t="shared" ca="1" si="342"/>
        <v>0</v>
      </c>
      <c r="G673" s="17">
        <f t="shared" ca="1" si="342"/>
        <v>0</v>
      </c>
      <c r="H673" s="13">
        <f t="shared" ca="1" si="342"/>
        <v>0</v>
      </c>
      <c r="I673" s="16"/>
      <c r="J673" s="13">
        <f t="shared" ca="1" si="342"/>
        <v>0</v>
      </c>
      <c r="K673" s="15">
        <f t="shared" ca="1" si="334"/>
        <v>1</v>
      </c>
      <c r="L673" s="15"/>
      <c r="M673" s="15">
        <f t="shared" ca="1" si="333"/>
        <v>0</v>
      </c>
      <c r="N673" s="8"/>
    </row>
    <row r="674" spans="1:14" x14ac:dyDescent="0.4">
      <c r="A674" s="11" t="s">
        <v>12</v>
      </c>
      <c r="B674" s="40">
        <f t="shared" ca="1" si="342"/>
        <v>0</v>
      </c>
      <c r="C674" s="40"/>
      <c r="D674" s="40"/>
      <c r="E674" s="40">
        <f t="shared" ca="1" si="342"/>
        <v>0</v>
      </c>
      <c r="F674" s="13">
        <f t="shared" ca="1" si="342"/>
        <v>0</v>
      </c>
      <c r="G674" s="17">
        <f t="shared" ca="1" si="342"/>
        <v>0</v>
      </c>
      <c r="H674" s="13">
        <f t="shared" ca="1" si="342"/>
        <v>0</v>
      </c>
      <c r="I674" s="16"/>
      <c r="J674" s="13">
        <f t="shared" ca="1" si="342"/>
        <v>0</v>
      </c>
      <c r="K674" s="15">
        <f t="shared" ca="1" si="334"/>
        <v>1</v>
      </c>
      <c r="L674" s="15"/>
      <c r="M674" s="15">
        <f t="shared" ca="1" si="333"/>
        <v>0</v>
      </c>
      <c r="N674" s="8"/>
    </row>
    <row r="675" spans="1:14" x14ac:dyDescent="0.4">
      <c r="A675" s="11" t="s">
        <v>21</v>
      </c>
      <c r="B675" s="40">
        <f t="shared" ca="1" si="342"/>
        <v>0</v>
      </c>
      <c r="C675" s="40"/>
      <c r="D675" s="40"/>
      <c r="E675" s="40">
        <f t="shared" ca="1" si="342"/>
        <v>0</v>
      </c>
      <c r="F675" s="13">
        <f t="shared" ca="1" si="342"/>
        <v>0</v>
      </c>
      <c r="G675" s="17">
        <f t="shared" ca="1" si="342"/>
        <v>0</v>
      </c>
      <c r="H675" s="13">
        <f t="shared" ca="1" si="342"/>
        <v>0</v>
      </c>
      <c r="I675" s="16"/>
      <c r="J675" s="13">
        <f t="shared" ca="1" si="342"/>
        <v>0</v>
      </c>
      <c r="K675" s="15">
        <f t="shared" ca="1" si="334"/>
        <v>1</v>
      </c>
      <c r="L675" s="15"/>
      <c r="M675" s="15">
        <f t="shared" ca="1" si="333"/>
        <v>0</v>
      </c>
      <c r="N675" s="8"/>
    </row>
    <row r="676" spans="1:14" x14ac:dyDescent="0.4">
      <c r="A676" s="11" t="s">
        <v>21</v>
      </c>
      <c r="B676" s="40">
        <f t="shared" ca="1" si="342"/>
        <v>0</v>
      </c>
      <c r="C676" s="40"/>
      <c r="D676" s="40"/>
      <c r="E676" s="40">
        <f t="shared" ca="1" si="342"/>
        <v>0</v>
      </c>
      <c r="F676" s="13">
        <f t="shared" ca="1" si="342"/>
        <v>0</v>
      </c>
      <c r="G676" s="17">
        <f t="shared" ca="1" si="342"/>
        <v>0</v>
      </c>
      <c r="H676" s="13">
        <f t="shared" ca="1" si="342"/>
        <v>0</v>
      </c>
      <c r="I676" s="16"/>
      <c r="J676" s="13">
        <f t="shared" ca="1" si="342"/>
        <v>0</v>
      </c>
      <c r="K676" s="15">
        <f t="shared" ca="1" si="334"/>
        <v>1</v>
      </c>
      <c r="L676" s="15"/>
      <c r="M676" s="15">
        <f t="shared" ca="1" si="333"/>
        <v>0</v>
      </c>
      <c r="N676" s="8"/>
    </row>
    <row r="677" spans="1:14" x14ac:dyDescent="0.4">
      <c r="A677" s="11" t="s">
        <v>21</v>
      </c>
      <c r="B677" s="40">
        <f t="shared" ca="1" si="342"/>
        <v>0</v>
      </c>
      <c r="C677" s="40"/>
      <c r="D677" s="40"/>
      <c r="E677" s="40">
        <f t="shared" ca="1" si="342"/>
        <v>0</v>
      </c>
      <c r="F677" s="13">
        <f t="shared" ca="1" si="342"/>
        <v>0</v>
      </c>
      <c r="G677" s="17">
        <f t="shared" ca="1" si="342"/>
        <v>0</v>
      </c>
      <c r="H677" s="13">
        <f t="shared" ca="1" si="342"/>
        <v>0</v>
      </c>
      <c r="I677" s="16"/>
      <c r="J677" s="13">
        <f t="shared" ca="1" si="342"/>
        <v>0</v>
      </c>
      <c r="K677" s="15">
        <f t="shared" ca="1" si="334"/>
        <v>1</v>
      </c>
      <c r="L677" s="15"/>
      <c r="M677" s="15">
        <f t="shared" ca="1" si="333"/>
        <v>0</v>
      </c>
      <c r="N677" s="8"/>
    </row>
    <row r="678" spans="1:14" x14ac:dyDescent="0.4">
      <c r="A678" s="36"/>
      <c r="B678" s="36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7"/>
    </row>
    <row r="679" spans="1:14" x14ac:dyDescent="0.4">
      <c r="A679" s="58" t="s">
        <v>162</v>
      </c>
      <c r="B679" s="59"/>
      <c r="C679" s="59"/>
      <c r="D679" s="59"/>
      <c r="E679" s="59"/>
      <c r="F679" s="59"/>
      <c r="G679" s="59"/>
      <c r="H679" s="59"/>
      <c r="I679" s="60"/>
      <c r="J679" s="54" t="s">
        <v>3</v>
      </c>
      <c r="K679" s="54"/>
      <c r="L679" s="54"/>
      <c r="M679" s="7"/>
      <c r="N679" s="7"/>
    </row>
    <row r="680" spans="1:14" x14ac:dyDescent="0.4">
      <c r="A680" s="61"/>
      <c r="B680" s="62"/>
      <c r="C680" s="62"/>
      <c r="D680" s="62"/>
      <c r="E680" s="62"/>
      <c r="F680" s="62"/>
      <c r="G680" s="62"/>
      <c r="H680" s="62"/>
      <c r="I680" s="63"/>
      <c r="J680" s="54" t="s">
        <v>4</v>
      </c>
      <c r="K680" s="54"/>
      <c r="L680" s="54"/>
      <c r="M680" s="7"/>
      <c r="N680" s="7"/>
    </row>
    <row r="681" spans="1:14" x14ac:dyDescent="0.4">
      <c r="A681" s="64"/>
      <c r="B681" s="65"/>
      <c r="C681" s="65"/>
      <c r="D681" s="65"/>
      <c r="E681" s="65"/>
      <c r="F681" s="65"/>
      <c r="G681" s="65"/>
      <c r="H681" s="65"/>
      <c r="I681" s="66"/>
      <c r="J681" s="54" t="s">
        <v>0</v>
      </c>
      <c r="K681" s="54"/>
      <c r="L681" s="54"/>
      <c r="M681" s="9"/>
      <c r="N681" s="9"/>
    </row>
    <row r="682" spans="1:14" x14ac:dyDescent="0.4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</row>
    <row r="683" spans="1:14" x14ac:dyDescent="0.4">
      <c r="A683" s="53" t="s">
        <v>14</v>
      </c>
      <c r="B683" s="55" t="s">
        <v>33</v>
      </c>
      <c r="C683" s="71" t="s">
        <v>152</v>
      </c>
      <c r="D683" s="71" t="s">
        <v>153</v>
      </c>
      <c r="E683" s="55" t="s">
        <v>145</v>
      </c>
      <c r="F683" s="53" t="s">
        <v>1</v>
      </c>
      <c r="G683" s="53"/>
      <c r="H683" s="53" t="s">
        <v>19</v>
      </c>
      <c r="I683" s="57" t="s">
        <v>15</v>
      </c>
      <c r="J683" s="57" t="s">
        <v>16</v>
      </c>
      <c r="K683" s="53" t="s">
        <v>17</v>
      </c>
      <c r="L683" s="53" t="s">
        <v>84</v>
      </c>
      <c r="M683" s="53"/>
      <c r="N683" s="53" t="s">
        <v>20</v>
      </c>
    </row>
    <row r="684" spans="1:14" x14ac:dyDescent="0.4">
      <c r="A684" s="53"/>
      <c r="B684" s="55"/>
      <c r="C684" s="72"/>
      <c r="D684" s="72"/>
      <c r="E684" s="55"/>
      <c r="F684" s="53" t="s">
        <v>18</v>
      </c>
      <c r="G684" s="53" t="s">
        <v>2</v>
      </c>
      <c r="H684" s="53"/>
      <c r="I684" s="57"/>
      <c r="J684" s="57"/>
      <c r="K684" s="53"/>
      <c r="L684" s="53"/>
      <c r="M684" s="53"/>
      <c r="N684" s="53"/>
    </row>
    <row r="685" spans="1:14" x14ac:dyDescent="0.4">
      <c r="A685" s="53"/>
      <c r="B685" s="56"/>
      <c r="C685" s="73"/>
      <c r="D685" s="73"/>
      <c r="E685" s="55"/>
      <c r="F685" s="53"/>
      <c r="G685" s="53"/>
      <c r="H685" s="53"/>
      <c r="I685" s="57"/>
      <c r="J685" s="57"/>
      <c r="K685" s="53"/>
      <c r="L685" s="42" t="s">
        <v>85</v>
      </c>
      <c r="M685" s="42" t="s">
        <v>86</v>
      </c>
      <c r="N685" s="53"/>
    </row>
    <row r="686" spans="1:14" x14ac:dyDescent="0.4">
      <c r="A686" s="74" t="s">
        <v>26</v>
      </c>
      <c r="B686" s="78"/>
      <c r="C686" s="78"/>
      <c r="D686" s="78"/>
      <c r="E686" s="78"/>
      <c r="F686" s="78"/>
      <c r="G686" s="78"/>
      <c r="H686" s="78"/>
      <c r="I686" s="78"/>
      <c r="J686" s="78"/>
      <c r="K686" s="78"/>
      <c r="L686" s="78"/>
      <c r="M686" s="78"/>
      <c r="N686" s="79"/>
    </row>
    <row r="687" spans="1:14" x14ac:dyDescent="0.4">
      <c r="A687" s="11" t="s">
        <v>5</v>
      </c>
      <c r="B687" s="40"/>
      <c r="C687" s="40"/>
      <c r="D687" s="40"/>
      <c r="E687" s="40"/>
      <c r="F687" s="13"/>
      <c r="G687" s="11"/>
      <c r="H687" s="17"/>
      <c r="I687" s="13"/>
      <c r="J687" s="16"/>
      <c r="K687" s="13"/>
      <c r="L687" s="15">
        <f>ROUND((10^(K687/10))/(10^(I687/10)),3)</f>
        <v>1</v>
      </c>
      <c r="M687" s="15"/>
      <c r="N687" s="15">
        <f t="shared" ref="N687:N704" si="343">J687*L687</f>
        <v>0</v>
      </c>
    </row>
    <row r="688" spans="1:14" x14ac:dyDescent="0.4">
      <c r="A688" s="11" t="s">
        <v>5</v>
      </c>
      <c r="B688" s="40"/>
      <c r="C688" s="40"/>
      <c r="D688" s="40"/>
      <c r="E688" s="40"/>
      <c r="F688" s="13"/>
      <c r="G688" s="11"/>
      <c r="H688" s="17"/>
      <c r="I688" s="13"/>
      <c r="J688" s="16"/>
      <c r="K688" s="13"/>
      <c r="L688" s="15">
        <f t="shared" ref="L688:L704" si="344">ROUND((10^(K688/10))/(10^(I688/10)),3)</f>
        <v>1</v>
      </c>
      <c r="M688" s="15"/>
      <c r="N688" s="15">
        <f t="shared" si="343"/>
        <v>0</v>
      </c>
    </row>
    <row r="689" spans="1:14" x14ac:dyDescent="0.4">
      <c r="A689" s="11" t="s">
        <v>5</v>
      </c>
      <c r="B689" s="40"/>
      <c r="C689" s="40"/>
      <c r="D689" s="40"/>
      <c r="E689" s="40"/>
      <c r="F689" s="13"/>
      <c r="G689" s="11"/>
      <c r="H689" s="17"/>
      <c r="I689" s="13"/>
      <c r="J689" s="16"/>
      <c r="K689" s="13"/>
      <c r="L689" s="15">
        <f t="shared" si="344"/>
        <v>1</v>
      </c>
      <c r="M689" s="15"/>
      <c r="N689" s="15">
        <f t="shared" si="343"/>
        <v>0</v>
      </c>
    </row>
    <row r="690" spans="1:14" x14ac:dyDescent="0.4">
      <c r="A690" s="11" t="s">
        <v>6</v>
      </c>
      <c r="B690" s="41">
        <f t="shared" ref="B690:I692" ca="1" si="345">OFFSET(B690,-3,0)</f>
        <v>0</v>
      </c>
      <c r="C690" s="41"/>
      <c r="D690" s="41"/>
      <c r="E690" s="41"/>
      <c r="F690" s="19">
        <f t="shared" ca="1" si="345"/>
        <v>0</v>
      </c>
      <c r="G690" s="20">
        <f t="shared" ca="1" si="345"/>
        <v>0</v>
      </c>
      <c r="H690" s="20">
        <f t="shared" ca="1" si="345"/>
        <v>0</v>
      </c>
      <c r="I690" s="13">
        <f t="shared" ca="1" si="345"/>
        <v>0</v>
      </c>
      <c r="J690" s="16"/>
      <c r="K690" s="19">
        <f t="shared" ref="K690:K692" ca="1" si="346">OFFSET(K690,-3,0)</f>
        <v>0</v>
      </c>
      <c r="L690" s="15">
        <f t="shared" ca="1" si="344"/>
        <v>1</v>
      </c>
      <c r="M690" s="15"/>
      <c r="N690" s="15">
        <f t="shared" ca="1" si="343"/>
        <v>0</v>
      </c>
    </row>
    <row r="691" spans="1:14" x14ac:dyDescent="0.4">
      <c r="A691" s="11" t="s">
        <v>6</v>
      </c>
      <c r="B691" s="41">
        <f t="shared" ca="1" si="345"/>
        <v>0</v>
      </c>
      <c r="C691" s="41"/>
      <c r="D691" s="41"/>
      <c r="E691" s="41"/>
      <c r="F691" s="19">
        <f t="shared" ca="1" si="345"/>
        <v>0</v>
      </c>
      <c r="G691" s="20">
        <f t="shared" ca="1" si="345"/>
        <v>0</v>
      </c>
      <c r="H691" s="20">
        <f t="shared" ca="1" si="345"/>
        <v>0</v>
      </c>
      <c r="I691" s="13">
        <f t="shared" ca="1" si="345"/>
        <v>0</v>
      </c>
      <c r="J691" s="16"/>
      <c r="K691" s="19">
        <f t="shared" ca="1" si="346"/>
        <v>0</v>
      </c>
      <c r="L691" s="15">
        <f t="shared" ca="1" si="344"/>
        <v>1</v>
      </c>
      <c r="M691" s="15"/>
      <c r="N691" s="15">
        <f t="shared" ca="1" si="343"/>
        <v>0</v>
      </c>
    </row>
    <row r="692" spans="1:14" x14ac:dyDescent="0.4">
      <c r="A692" s="11" t="s">
        <v>6</v>
      </c>
      <c r="B692" s="41">
        <f t="shared" ca="1" si="345"/>
        <v>0</v>
      </c>
      <c r="C692" s="41"/>
      <c r="D692" s="41"/>
      <c r="E692" s="41"/>
      <c r="F692" s="19">
        <f t="shared" ca="1" si="345"/>
        <v>0</v>
      </c>
      <c r="G692" s="20">
        <f t="shared" ca="1" si="345"/>
        <v>0</v>
      </c>
      <c r="H692" s="20">
        <f t="shared" ca="1" si="345"/>
        <v>0</v>
      </c>
      <c r="I692" s="13">
        <f t="shared" ca="1" si="345"/>
        <v>0</v>
      </c>
      <c r="J692" s="16"/>
      <c r="K692" s="19">
        <f t="shared" ca="1" si="346"/>
        <v>0</v>
      </c>
      <c r="L692" s="15">
        <f t="shared" ca="1" si="344"/>
        <v>1</v>
      </c>
      <c r="M692" s="15"/>
      <c r="N692" s="15">
        <f t="shared" ca="1" si="343"/>
        <v>0</v>
      </c>
    </row>
    <row r="693" spans="1:14" x14ac:dyDescent="0.4">
      <c r="A693" s="11" t="s">
        <v>10</v>
      </c>
      <c r="B693" s="40">
        <f t="shared" ref="B693:I695" ca="1" si="347">OFFSET(B693,-6,0)</f>
        <v>0</v>
      </c>
      <c r="C693" s="40"/>
      <c r="D693" s="40"/>
      <c r="E693" s="40"/>
      <c r="F693" s="13">
        <f t="shared" ca="1" si="347"/>
        <v>0</v>
      </c>
      <c r="G693" s="17">
        <f t="shared" ca="1" si="347"/>
        <v>0</v>
      </c>
      <c r="H693" s="17">
        <f t="shared" ca="1" si="347"/>
        <v>0</v>
      </c>
      <c r="I693" s="13">
        <f t="shared" ca="1" si="347"/>
        <v>0</v>
      </c>
      <c r="J693" s="16"/>
      <c r="K693" s="13">
        <f t="shared" ref="K693:K695" ca="1" si="348">OFFSET(K693,-6,0)</f>
        <v>0</v>
      </c>
      <c r="L693" s="15">
        <f t="shared" ca="1" si="344"/>
        <v>1</v>
      </c>
      <c r="M693" s="15"/>
      <c r="N693" s="15">
        <f t="shared" ca="1" si="343"/>
        <v>0</v>
      </c>
    </row>
    <row r="694" spans="1:14" x14ac:dyDescent="0.4">
      <c r="A694" s="11" t="s">
        <v>10</v>
      </c>
      <c r="B694" s="40">
        <f t="shared" ca="1" si="347"/>
        <v>0</v>
      </c>
      <c r="C694" s="40"/>
      <c r="D694" s="40"/>
      <c r="E694" s="40"/>
      <c r="F694" s="13">
        <f t="shared" ca="1" si="347"/>
        <v>0</v>
      </c>
      <c r="G694" s="17">
        <f t="shared" ca="1" si="347"/>
        <v>0</v>
      </c>
      <c r="H694" s="17">
        <f t="shared" ca="1" si="347"/>
        <v>0</v>
      </c>
      <c r="I694" s="13">
        <f t="shared" ca="1" si="347"/>
        <v>0</v>
      </c>
      <c r="J694" s="16"/>
      <c r="K694" s="13">
        <f t="shared" ca="1" si="348"/>
        <v>0</v>
      </c>
      <c r="L694" s="15">
        <f t="shared" ca="1" si="344"/>
        <v>1</v>
      </c>
      <c r="M694" s="15"/>
      <c r="N694" s="15">
        <f t="shared" ca="1" si="343"/>
        <v>0</v>
      </c>
    </row>
    <row r="695" spans="1:14" x14ac:dyDescent="0.4">
      <c r="A695" s="11" t="s">
        <v>10</v>
      </c>
      <c r="B695" s="40">
        <f t="shared" ca="1" si="347"/>
        <v>0</v>
      </c>
      <c r="C695" s="40"/>
      <c r="D695" s="40"/>
      <c r="E695" s="40"/>
      <c r="F695" s="13">
        <f t="shared" ca="1" si="347"/>
        <v>0</v>
      </c>
      <c r="G695" s="17">
        <f t="shared" ca="1" si="347"/>
        <v>0</v>
      </c>
      <c r="H695" s="17">
        <f t="shared" ca="1" si="347"/>
        <v>0</v>
      </c>
      <c r="I695" s="13">
        <f t="shared" ca="1" si="347"/>
        <v>0</v>
      </c>
      <c r="J695" s="16"/>
      <c r="K695" s="13">
        <f t="shared" ca="1" si="348"/>
        <v>0</v>
      </c>
      <c r="L695" s="15">
        <f t="shared" ca="1" si="344"/>
        <v>1</v>
      </c>
      <c r="M695" s="15"/>
      <c r="N695" s="15">
        <f t="shared" ca="1" si="343"/>
        <v>0</v>
      </c>
    </row>
    <row r="696" spans="1:14" x14ac:dyDescent="0.4">
      <c r="A696" s="11" t="s">
        <v>7</v>
      </c>
      <c r="B696" s="40">
        <f t="shared" ref="B696:I698" ca="1" si="349">OFFSET(B696,-9,0)</f>
        <v>0</v>
      </c>
      <c r="C696" s="40"/>
      <c r="D696" s="40"/>
      <c r="E696" s="40"/>
      <c r="F696" s="13">
        <f t="shared" ca="1" si="349"/>
        <v>0</v>
      </c>
      <c r="G696" s="17">
        <f t="shared" ca="1" si="349"/>
        <v>0</v>
      </c>
      <c r="H696" s="17">
        <f t="shared" ca="1" si="349"/>
        <v>0</v>
      </c>
      <c r="I696" s="13">
        <f t="shared" ca="1" si="349"/>
        <v>0</v>
      </c>
      <c r="J696" s="16"/>
      <c r="K696" s="13">
        <f t="shared" ref="K696:K698" ca="1" si="350">OFFSET(K696,-9,0)</f>
        <v>0</v>
      </c>
      <c r="L696" s="15">
        <f t="shared" ca="1" si="344"/>
        <v>1</v>
      </c>
      <c r="M696" s="15"/>
      <c r="N696" s="15">
        <f t="shared" ca="1" si="343"/>
        <v>0</v>
      </c>
    </row>
    <row r="697" spans="1:14" x14ac:dyDescent="0.4">
      <c r="A697" s="11" t="s">
        <v>7</v>
      </c>
      <c r="B697" s="40">
        <f t="shared" ca="1" si="349"/>
        <v>0</v>
      </c>
      <c r="C697" s="40"/>
      <c r="D697" s="40"/>
      <c r="E697" s="40"/>
      <c r="F697" s="13">
        <f t="shared" ca="1" si="349"/>
        <v>0</v>
      </c>
      <c r="G697" s="17">
        <f t="shared" ca="1" si="349"/>
        <v>0</v>
      </c>
      <c r="H697" s="17">
        <f t="shared" ca="1" si="349"/>
        <v>0</v>
      </c>
      <c r="I697" s="13">
        <f t="shared" ca="1" si="349"/>
        <v>0</v>
      </c>
      <c r="J697" s="16"/>
      <c r="K697" s="13">
        <f t="shared" ca="1" si="350"/>
        <v>0</v>
      </c>
      <c r="L697" s="15">
        <f t="shared" ca="1" si="344"/>
        <v>1</v>
      </c>
      <c r="M697" s="15"/>
      <c r="N697" s="15">
        <f t="shared" ca="1" si="343"/>
        <v>0</v>
      </c>
    </row>
    <row r="698" spans="1:14" x14ac:dyDescent="0.4">
      <c r="A698" s="11" t="s">
        <v>7</v>
      </c>
      <c r="B698" s="40">
        <f t="shared" ca="1" si="349"/>
        <v>0</v>
      </c>
      <c r="C698" s="40"/>
      <c r="D698" s="40"/>
      <c r="E698" s="40"/>
      <c r="F698" s="13">
        <f t="shared" ca="1" si="349"/>
        <v>0</v>
      </c>
      <c r="G698" s="17">
        <f t="shared" ca="1" si="349"/>
        <v>0</v>
      </c>
      <c r="H698" s="17">
        <f t="shared" ca="1" si="349"/>
        <v>0</v>
      </c>
      <c r="I698" s="13">
        <f t="shared" ca="1" si="349"/>
        <v>0</v>
      </c>
      <c r="J698" s="16"/>
      <c r="K698" s="13">
        <f t="shared" ca="1" si="350"/>
        <v>0</v>
      </c>
      <c r="L698" s="15">
        <f t="shared" ca="1" si="344"/>
        <v>1</v>
      </c>
      <c r="M698" s="15"/>
      <c r="N698" s="15">
        <f t="shared" ca="1" si="343"/>
        <v>0</v>
      </c>
    </row>
    <row r="699" spans="1:14" x14ac:dyDescent="0.4">
      <c r="A699" s="11" t="s">
        <v>8</v>
      </c>
      <c r="B699" s="40">
        <f t="shared" ref="B699:I701" ca="1" si="351">OFFSET(B699,-12,0)</f>
        <v>0</v>
      </c>
      <c r="C699" s="40"/>
      <c r="D699" s="40"/>
      <c r="E699" s="40"/>
      <c r="F699" s="13">
        <f t="shared" ca="1" si="351"/>
        <v>0</v>
      </c>
      <c r="G699" s="17">
        <f t="shared" ca="1" si="351"/>
        <v>0</v>
      </c>
      <c r="H699" s="17">
        <f t="shared" ca="1" si="351"/>
        <v>0</v>
      </c>
      <c r="I699" s="13">
        <f t="shared" ca="1" si="351"/>
        <v>0</v>
      </c>
      <c r="J699" s="16"/>
      <c r="K699" s="13">
        <f t="shared" ref="K699:K701" ca="1" si="352">OFFSET(K699,-12,0)</f>
        <v>0</v>
      </c>
      <c r="L699" s="15">
        <f t="shared" ca="1" si="344"/>
        <v>1</v>
      </c>
      <c r="M699" s="15"/>
      <c r="N699" s="15">
        <f t="shared" ca="1" si="343"/>
        <v>0</v>
      </c>
    </row>
    <row r="700" spans="1:14" x14ac:dyDescent="0.4">
      <c r="A700" s="11" t="s">
        <v>8</v>
      </c>
      <c r="B700" s="40">
        <f t="shared" ca="1" si="351"/>
        <v>0</v>
      </c>
      <c r="C700" s="40"/>
      <c r="D700" s="40"/>
      <c r="E700" s="40"/>
      <c r="F700" s="13">
        <f t="shared" ca="1" si="351"/>
        <v>0</v>
      </c>
      <c r="G700" s="17">
        <f t="shared" ca="1" si="351"/>
        <v>0</v>
      </c>
      <c r="H700" s="17">
        <f t="shared" ca="1" si="351"/>
        <v>0</v>
      </c>
      <c r="I700" s="13">
        <f t="shared" ca="1" si="351"/>
        <v>0</v>
      </c>
      <c r="J700" s="16"/>
      <c r="K700" s="13">
        <f t="shared" ca="1" si="352"/>
        <v>0</v>
      </c>
      <c r="L700" s="15">
        <f t="shared" ca="1" si="344"/>
        <v>1</v>
      </c>
      <c r="M700" s="15"/>
      <c r="N700" s="15">
        <f t="shared" ca="1" si="343"/>
        <v>0</v>
      </c>
    </row>
    <row r="701" spans="1:14" x14ac:dyDescent="0.4">
      <c r="A701" s="11" t="s">
        <v>8</v>
      </c>
      <c r="B701" s="40">
        <f t="shared" ca="1" si="351"/>
        <v>0</v>
      </c>
      <c r="C701" s="40"/>
      <c r="D701" s="40"/>
      <c r="E701" s="40"/>
      <c r="F701" s="13">
        <f t="shared" ca="1" si="351"/>
        <v>0</v>
      </c>
      <c r="G701" s="17">
        <f t="shared" ca="1" si="351"/>
        <v>0</v>
      </c>
      <c r="H701" s="17">
        <f t="shared" ca="1" si="351"/>
        <v>0</v>
      </c>
      <c r="I701" s="13">
        <f t="shared" ca="1" si="351"/>
        <v>0</v>
      </c>
      <c r="J701" s="16"/>
      <c r="K701" s="13">
        <f t="shared" ca="1" si="352"/>
        <v>0</v>
      </c>
      <c r="L701" s="15">
        <f t="shared" ca="1" si="344"/>
        <v>1</v>
      </c>
      <c r="M701" s="15"/>
      <c r="N701" s="15">
        <f t="shared" ca="1" si="343"/>
        <v>0</v>
      </c>
    </row>
    <row r="702" spans="1:14" x14ac:dyDescent="0.4">
      <c r="A702" s="11" t="s">
        <v>9</v>
      </c>
      <c r="B702" s="41">
        <f t="shared" ref="B702:G704" ca="1" si="353">OFFSET(B702,-15,0)</f>
        <v>0</v>
      </c>
      <c r="C702" s="41"/>
      <c r="D702" s="41"/>
      <c r="E702" s="41"/>
      <c r="F702" s="19">
        <f t="shared" ca="1" si="353"/>
        <v>0</v>
      </c>
      <c r="G702" s="20">
        <f t="shared" ca="1" si="353"/>
        <v>0</v>
      </c>
      <c r="H702" s="20">
        <f ca="1">OFFSET(H702,-15,0)</f>
        <v>0</v>
      </c>
      <c r="I702" s="13">
        <f t="shared" ref="H702:I704" ca="1" si="354">OFFSET(I702,-15,0)</f>
        <v>0</v>
      </c>
      <c r="J702" s="16"/>
      <c r="K702" s="19">
        <f t="shared" ref="K702:K704" ca="1" si="355">OFFSET(K702,-15,0)</f>
        <v>0</v>
      </c>
      <c r="L702" s="15">
        <f t="shared" ca="1" si="344"/>
        <v>1</v>
      </c>
      <c r="M702" s="15"/>
      <c r="N702" s="15">
        <f t="shared" ca="1" si="343"/>
        <v>0</v>
      </c>
    </row>
    <row r="703" spans="1:14" x14ac:dyDescent="0.4">
      <c r="A703" s="11" t="s">
        <v>9</v>
      </c>
      <c r="B703" s="41">
        <f t="shared" ca="1" si="353"/>
        <v>0</v>
      </c>
      <c r="C703" s="41"/>
      <c r="D703" s="41"/>
      <c r="E703" s="41"/>
      <c r="F703" s="19">
        <f t="shared" ca="1" si="353"/>
        <v>0</v>
      </c>
      <c r="G703" s="20">
        <f t="shared" ca="1" si="353"/>
        <v>0</v>
      </c>
      <c r="H703" s="20">
        <f t="shared" ca="1" si="354"/>
        <v>0</v>
      </c>
      <c r="I703" s="13">
        <f t="shared" ca="1" si="354"/>
        <v>0</v>
      </c>
      <c r="J703" s="16"/>
      <c r="K703" s="19">
        <f t="shared" ca="1" si="355"/>
        <v>0</v>
      </c>
      <c r="L703" s="15">
        <f t="shared" ca="1" si="344"/>
        <v>1</v>
      </c>
      <c r="M703" s="15"/>
      <c r="N703" s="15">
        <f t="shared" ca="1" si="343"/>
        <v>0</v>
      </c>
    </row>
    <row r="704" spans="1:14" x14ac:dyDescent="0.4">
      <c r="A704" s="11" t="s">
        <v>9</v>
      </c>
      <c r="B704" s="41">
        <f t="shared" ca="1" si="353"/>
        <v>0</v>
      </c>
      <c r="C704" s="41"/>
      <c r="D704" s="41"/>
      <c r="E704" s="41"/>
      <c r="F704" s="19">
        <f t="shared" ca="1" si="353"/>
        <v>0</v>
      </c>
      <c r="G704" s="20">
        <f t="shared" ca="1" si="353"/>
        <v>0</v>
      </c>
      <c r="H704" s="20">
        <f t="shared" ca="1" si="354"/>
        <v>0</v>
      </c>
      <c r="I704" s="13">
        <f t="shared" ca="1" si="354"/>
        <v>0</v>
      </c>
      <c r="J704" s="16"/>
      <c r="K704" s="19">
        <f t="shared" ca="1" si="355"/>
        <v>0</v>
      </c>
      <c r="L704" s="15">
        <f t="shared" ca="1" si="344"/>
        <v>1</v>
      </c>
      <c r="M704" s="15"/>
      <c r="N704" s="15">
        <f t="shared" ca="1" si="343"/>
        <v>0</v>
      </c>
    </row>
    <row r="705" spans="1:14" ht="17.399999999999999" x14ac:dyDescent="0.4">
      <c r="A705" s="74" t="s">
        <v>28</v>
      </c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6"/>
    </row>
    <row r="706" spans="1:14" x14ac:dyDescent="0.4">
      <c r="A706" s="11" t="s">
        <v>5</v>
      </c>
      <c r="B706" s="40"/>
      <c r="C706" s="40"/>
      <c r="D706" s="40"/>
      <c r="E706" s="40"/>
      <c r="F706" s="13"/>
      <c r="G706" s="11"/>
      <c r="H706" s="17"/>
      <c r="I706" s="13"/>
      <c r="J706" s="16"/>
      <c r="K706" s="13"/>
      <c r="L706" s="15">
        <f>ROUND((10^(K706/10))/(10^(I706/10)),3)</f>
        <v>1</v>
      </c>
      <c r="M706" s="15"/>
      <c r="N706" s="15">
        <f t="shared" ref="N706:N723" si="356">J706*L706</f>
        <v>0</v>
      </c>
    </row>
    <row r="707" spans="1:14" x14ac:dyDescent="0.4">
      <c r="A707" s="11" t="s">
        <v>5</v>
      </c>
      <c r="B707" s="40"/>
      <c r="C707" s="40"/>
      <c r="D707" s="40"/>
      <c r="E707" s="40"/>
      <c r="F707" s="13"/>
      <c r="G707" s="11"/>
      <c r="H707" s="17"/>
      <c r="I707" s="13"/>
      <c r="J707" s="16"/>
      <c r="K707" s="13"/>
      <c r="L707" s="15">
        <f t="shared" ref="L707:L723" si="357">ROUND((10^(K707/10))/(10^(I707/10)),3)</f>
        <v>1</v>
      </c>
      <c r="M707" s="15"/>
      <c r="N707" s="15">
        <f t="shared" si="356"/>
        <v>0</v>
      </c>
    </row>
    <row r="708" spans="1:14" x14ac:dyDescent="0.4">
      <c r="A708" s="11" t="s">
        <v>5</v>
      </c>
      <c r="B708" s="40"/>
      <c r="C708" s="40"/>
      <c r="D708" s="40"/>
      <c r="E708" s="40"/>
      <c r="F708" s="13"/>
      <c r="G708" s="11"/>
      <c r="H708" s="17"/>
      <c r="I708" s="13"/>
      <c r="J708" s="16"/>
      <c r="K708" s="13"/>
      <c r="L708" s="15">
        <f t="shared" si="357"/>
        <v>1</v>
      </c>
      <c r="M708" s="15"/>
      <c r="N708" s="15">
        <f t="shared" si="356"/>
        <v>0</v>
      </c>
    </row>
    <row r="709" spans="1:14" x14ac:dyDescent="0.4">
      <c r="A709" s="11" t="s">
        <v>6</v>
      </c>
      <c r="B709" s="41">
        <f t="shared" ref="B709:I711" ca="1" si="358">OFFSET(B709,-3,0)</f>
        <v>0</v>
      </c>
      <c r="C709" s="41"/>
      <c r="D709" s="41"/>
      <c r="E709" s="41"/>
      <c r="F709" s="19">
        <f t="shared" ca="1" si="358"/>
        <v>0</v>
      </c>
      <c r="G709" s="20">
        <f t="shared" ca="1" si="358"/>
        <v>0</v>
      </c>
      <c r="H709" s="20">
        <f t="shared" ca="1" si="358"/>
        <v>0</v>
      </c>
      <c r="I709" s="13">
        <f t="shared" ca="1" si="358"/>
        <v>0</v>
      </c>
      <c r="J709" s="16"/>
      <c r="K709" s="19">
        <f t="shared" ref="K709:K711" ca="1" si="359">OFFSET(K709,-3,0)</f>
        <v>0</v>
      </c>
      <c r="L709" s="15">
        <f t="shared" ca="1" si="357"/>
        <v>1</v>
      </c>
      <c r="M709" s="15"/>
      <c r="N709" s="15">
        <f t="shared" ca="1" si="356"/>
        <v>0</v>
      </c>
    </row>
    <row r="710" spans="1:14" x14ac:dyDescent="0.4">
      <c r="A710" s="11" t="s">
        <v>6</v>
      </c>
      <c r="B710" s="41">
        <f t="shared" ca="1" si="358"/>
        <v>0</v>
      </c>
      <c r="C710" s="41"/>
      <c r="D710" s="41"/>
      <c r="E710" s="41"/>
      <c r="F710" s="19">
        <f t="shared" ca="1" si="358"/>
        <v>0</v>
      </c>
      <c r="G710" s="20">
        <f t="shared" ca="1" si="358"/>
        <v>0</v>
      </c>
      <c r="H710" s="20">
        <f t="shared" ca="1" si="358"/>
        <v>0</v>
      </c>
      <c r="I710" s="13">
        <f t="shared" ca="1" si="358"/>
        <v>0</v>
      </c>
      <c r="J710" s="16"/>
      <c r="K710" s="19">
        <f t="shared" ca="1" si="359"/>
        <v>0</v>
      </c>
      <c r="L710" s="15">
        <f t="shared" ca="1" si="357"/>
        <v>1</v>
      </c>
      <c r="M710" s="15"/>
      <c r="N710" s="15">
        <f t="shared" ca="1" si="356"/>
        <v>0</v>
      </c>
    </row>
    <row r="711" spans="1:14" x14ac:dyDescent="0.4">
      <c r="A711" s="11" t="s">
        <v>6</v>
      </c>
      <c r="B711" s="41">
        <f t="shared" ca="1" si="358"/>
        <v>0</v>
      </c>
      <c r="C711" s="41"/>
      <c r="D711" s="41"/>
      <c r="E711" s="41"/>
      <c r="F711" s="19">
        <f t="shared" ca="1" si="358"/>
        <v>0</v>
      </c>
      <c r="G711" s="20">
        <f t="shared" ca="1" si="358"/>
        <v>0</v>
      </c>
      <c r="H711" s="20">
        <f t="shared" ca="1" si="358"/>
        <v>0</v>
      </c>
      <c r="I711" s="13">
        <f t="shared" ca="1" si="358"/>
        <v>0</v>
      </c>
      <c r="J711" s="16"/>
      <c r="K711" s="19">
        <f t="shared" ca="1" si="359"/>
        <v>0</v>
      </c>
      <c r="L711" s="15">
        <f t="shared" ca="1" si="357"/>
        <v>1</v>
      </c>
      <c r="M711" s="15"/>
      <c r="N711" s="15">
        <f t="shared" ca="1" si="356"/>
        <v>0</v>
      </c>
    </row>
    <row r="712" spans="1:14" x14ac:dyDescent="0.4">
      <c r="A712" s="11" t="s">
        <v>10</v>
      </c>
      <c r="B712" s="40">
        <f t="shared" ref="B712:I714" ca="1" si="360">OFFSET(B712,-6,0)</f>
        <v>0</v>
      </c>
      <c r="C712" s="40"/>
      <c r="D712" s="40"/>
      <c r="E712" s="40"/>
      <c r="F712" s="13">
        <f t="shared" ca="1" si="360"/>
        <v>0</v>
      </c>
      <c r="G712" s="17">
        <f t="shared" ca="1" si="360"/>
        <v>0</v>
      </c>
      <c r="H712" s="17">
        <f t="shared" ca="1" si="360"/>
        <v>0</v>
      </c>
      <c r="I712" s="13">
        <f t="shared" ca="1" si="360"/>
        <v>0</v>
      </c>
      <c r="J712" s="16"/>
      <c r="K712" s="13">
        <f t="shared" ref="K712:K714" ca="1" si="361">OFFSET(K712,-6,0)</f>
        <v>0</v>
      </c>
      <c r="L712" s="15">
        <f t="shared" ca="1" si="357"/>
        <v>1</v>
      </c>
      <c r="M712" s="15"/>
      <c r="N712" s="15">
        <f t="shared" ca="1" si="356"/>
        <v>0</v>
      </c>
    </row>
    <row r="713" spans="1:14" x14ac:dyDescent="0.4">
      <c r="A713" s="11" t="s">
        <v>10</v>
      </c>
      <c r="B713" s="40">
        <f t="shared" ca="1" si="360"/>
        <v>0</v>
      </c>
      <c r="C713" s="40"/>
      <c r="D713" s="40"/>
      <c r="E713" s="40"/>
      <c r="F713" s="13">
        <f t="shared" ca="1" si="360"/>
        <v>0</v>
      </c>
      <c r="G713" s="17">
        <f t="shared" ca="1" si="360"/>
        <v>0</v>
      </c>
      <c r="H713" s="17">
        <f t="shared" ca="1" si="360"/>
        <v>0</v>
      </c>
      <c r="I713" s="13">
        <f t="shared" ca="1" si="360"/>
        <v>0</v>
      </c>
      <c r="J713" s="16"/>
      <c r="K713" s="13">
        <f t="shared" ca="1" si="361"/>
        <v>0</v>
      </c>
      <c r="L713" s="15">
        <f t="shared" ca="1" si="357"/>
        <v>1</v>
      </c>
      <c r="M713" s="15"/>
      <c r="N713" s="15">
        <f t="shared" ca="1" si="356"/>
        <v>0</v>
      </c>
    </row>
    <row r="714" spans="1:14" x14ac:dyDescent="0.4">
      <c r="A714" s="11" t="s">
        <v>10</v>
      </c>
      <c r="B714" s="40">
        <f t="shared" ca="1" si="360"/>
        <v>0</v>
      </c>
      <c r="C714" s="40"/>
      <c r="D714" s="40"/>
      <c r="E714" s="40"/>
      <c r="F714" s="13">
        <f t="shared" ca="1" si="360"/>
        <v>0</v>
      </c>
      <c r="G714" s="17">
        <f t="shared" ca="1" si="360"/>
        <v>0</v>
      </c>
      <c r="H714" s="17">
        <f t="shared" ca="1" si="360"/>
        <v>0</v>
      </c>
      <c r="I714" s="13">
        <f t="shared" ca="1" si="360"/>
        <v>0</v>
      </c>
      <c r="J714" s="16"/>
      <c r="K714" s="13">
        <f t="shared" ca="1" si="361"/>
        <v>0</v>
      </c>
      <c r="L714" s="15">
        <f t="shared" ca="1" si="357"/>
        <v>1</v>
      </c>
      <c r="M714" s="15"/>
      <c r="N714" s="15">
        <f t="shared" ca="1" si="356"/>
        <v>0</v>
      </c>
    </row>
    <row r="715" spans="1:14" x14ac:dyDescent="0.4">
      <c r="A715" s="11" t="s">
        <v>7</v>
      </c>
      <c r="B715" s="40">
        <f t="shared" ref="B715:I717" ca="1" si="362">OFFSET(B715,-9,0)</f>
        <v>0</v>
      </c>
      <c r="C715" s="40"/>
      <c r="D715" s="40"/>
      <c r="E715" s="40"/>
      <c r="F715" s="13">
        <f t="shared" ca="1" si="362"/>
        <v>0</v>
      </c>
      <c r="G715" s="17">
        <f t="shared" ca="1" si="362"/>
        <v>0</v>
      </c>
      <c r="H715" s="17">
        <f t="shared" ca="1" si="362"/>
        <v>0</v>
      </c>
      <c r="I715" s="13">
        <f t="shared" ca="1" si="362"/>
        <v>0</v>
      </c>
      <c r="J715" s="16"/>
      <c r="K715" s="13">
        <f t="shared" ref="K715:K717" ca="1" si="363">OFFSET(K715,-9,0)</f>
        <v>0</v>
      </c>
      <c r="L715" s="15">
        <f t="shared" ca="1" si="357"/>
        <v>1</v>
      </c>
      <c r="M715" s="15"/>
      <c r="N715" s="15">
        <f t="shared" ca="1" si="356"/>
        <v>0</v>
      </c>
    </row>
    <row r="716" spans="1:14" x14ac:dyDescent="0.4">
      <c r="A716" s="11" t="s">
        <v>7</v>
      </c>
      <c r="B716" s="40">
        <f t="shared" ca="1" si="362"/>
        <v>0</v>
      </c>
      <c r="C716" s="40"/>
      <c r="D716" s="40"/>
      <c r="E716" s="40"/>
      <c r="F716" s="13">
        <f t="shared" ca="1" si="362"/>
        <v>0</v>
      </c>
      <c r="G716" s="17">
        <f t="shared" ca="1" si="362"/>
        <v>0</v>
      </c>
      <c r="H716" s="17">
        <f t="shared" ca="1" si="362"/>
        <v>0</v>
      </c>
      <c r="I716" s="13">
        <f t="shared" ca="1" si="362"/>
        <v>0</v>
      </c>
      <c r="J716" s="16"/>
      <c r="K716" s="13">
        <f t="shared" ca="1" si="363"/>
        <v>0</v>
      </c>
      <c r="L716" s="15">
        <f t="shared" ca="1" si="357"/>
        <v>1</v>
      </c>
      <c r="M716" s="15"/>
      <c r="N716" s="15">
        <f t="shared" ca="1" si="356"/>
        <v>0</v>
      </c>
    </row>
    <row r="717" spans="1:14" x14ac:dyDescent="0.4">
      <c r="A717" s="11" t="s">
        <v>7</v>
      </c>
      <c r="B717" s="40">
        <f t="shared" ca="1" si="362"/>
        <v>0</v>
      </c>
      <c r="C717" s="40"/>
      <c r="D717" s="40"/>
      <c r="E717" s="40"/>
      <c r="F717" s="13">
        <f t="shared" ca="1" si="362"/>
        <v>0</v>
      </c>
      <c r="G717" s="17">
        <f t="shared" ca="1" si="362"/>
        <v>0</v>
      </c>
      <c r="H717" s="17">
        <f t="shared" ca="1" si="362"/>
        <v>0</v>
      </c>
      <c r="I717" s="13">
        <f t="shared" ca="1" si="362"/>
        <v>0</v>
      </c>
      <c r="J717" s="16"/>
      <c r="K717" s="13">
        <f t="shared" ca="1" si="363"/>
        <v>0</v>
      </c>
      <c r="L717" s="15">
        <f t="shared" ca="1" si="357"/>
        <v>1</v>
      </c>
      <c r="M717" s="15"/>
      <c r="N717" s="15">
        <f t="shared" ca="1" si="356"/>
        <v>0</v>
      </c>
    </row>
    <row r="718" spans="1:14" x14ac:dyDescent="0.4">
      <c r="A718" s="11" t="s">
        <v>8</v>
      </c>
      <c r="B718" s="40">
        <f t="shared" ref="B718:I720" ca="1" si="364">OFFSET(B718,-12,0)</f>
        <v>0</v>
      </c>
      <c r="C718" s="40"/>
      <c r="D718" s="40"/>
      <c r="E718" s="40"/>
      <c r="F718" s="13">
        <f t="shared" ca="1" si="364"/>
        <v>0</v>
      </c>
      <c r="G718" s="17">
        <f t="shared" ca="1" si="364"/>
        <v>0</v>
      </c>
      <c r="H718" s="17">
        <f t="shared" ca="1" si="364"/>
        <v>0</v>
      </c>
      <c r="I718" s="13">
        <f t="shared" ca="1" si="364"/>
        <v>0</v>
      </c>
      <c r="J718" s="16"/>
      <c r="K718" s="13">
        <f t="shared" ref="K718:K720" ca="1" si="365">OFFSET(K718,-12,0)</f>
        <v>0</v>
      </c>
      <c r="L718" s="15">
        <f t="shared" ca="1" si="357"/>
        <v>1</v>
      </c>
      <c r="M718" s="15"/>
      <c r="N718" s="15">
        <f t="shared" ca="1" si="356"/>
        <v>0</v>
      </c>
    </row>
    <row r="719" spans="1:14" x14ac:dyDescent="0.4">
      <c r="A719" s="11" t="s">
        <v>8</v>
      </c>
      <c r="B719" s="40">
        <f t="shared" ca="1" si="364"/>
        <v>0</v>
      </c>
      <c r="C719" s="40"/>
      <c r="D719" s="40"/>
      <c r="E719" s="40"/>
      <c r="F719" s="13">
        <f t="shared" ca="1" si="364"/>
        <v>0</v>
      </c>
      <c r="G719" s="17">
        <f t="shared" ca="1" si="364"/>
        <v>0</v>
      </c>
      <c r="H719" s="17">
        <f t="shared" ca="1" si="364"/>
        <v>0</v>
      </c>
      <c r="I719" s="13">
        <f t="shared" ca="1" si="364"/>
        <v>0</v>
      </c>
      <c r="J719" s="16"/>
      <c r="K719" s="13">
        <f t="shared" ca="1" si="365"/>
        <v>0</v>
      </c>
      <c r="L719" s="15">
        <f t="shared" ca="1" si="357"/>
        <v>1</v>
      </c>
      <c r="M719" s="15"/>
      <c r="N719" s="15">
        <f t="shared" ca="1" si="356"/>
        <v>0</v>
      </c>
    </row>
    <row r="720" spans="1:14" x14ac:dyDescent="0.4">
      <c r="A720" s="11" t="s">
        <v>8</v>
      </c>
      <c r="B720" s="40">
        <f t="shared" ca="1" si="364"/>
        <v>0</v>
      </c>
      <c r="C720" s="40"/>
      <c r="D720" s="40"/>
      <c r="E720" s="40"/>
      <c r="F720" s="13">
        <f t="shared" ca="1" si="364"/>
        <v>0</v>
      </c>
      <c r="G720" s="17">
        <f t="shared" ca="1" si="364"/>
        <v>0</v>
      </c>
      <c r="H720" s="17">
        <f t="shared" ca="1" si="364"/>
        <v>0</v>
      </c>
      <c r="I720" s="13">
        <f t="shared" ca="1" si="364"/>
        <v>0</v>
      </c>
      <c r="J720" s="16"/>
      <c r="K720" s="13">
        <f t="shared" ca="1" si="365"/>
        <v>0</v>
      </c>
      <c r="L720" s="15">
        <f t="shared" ca="1" si="357"/>
        <v>1</v>
      </c>
      <c r="M720" s="15"/>
      <c r="N720" s="15">
        <f t="shared" ca="1" si="356"/>
        <v>0</v>
      </c>
    </row>
    <row r="721" spans="1:14" x14ac:dyDescent="0.4">
      <c r="A721" s="11" t="s">
        <v>9</v>
      </c>
      <c r="B721" s="41">
        <f t="shared" ref="B721:H723" ca="1" si="366">OFFSET(B721,-15,0)</f>
        <v>0</v>
      </c>
      <c r="C721" s="41"/>
      <c r="D721" s="41"/>
      <c r="E721" s="41"/>
      <c r="F721" s="19">
        <f t="shared" ca="1" si="366"/>
        <v>0</v>
      </c>
      <c r="G721" s="20">
        <f t="shared" ca="1" si="366"/>
        <v>0</v>
      </c>
      <c r="H721" s="20">
        <f ca="1">OFFSET(H721,-15,0)</f>
        <v>0</v>
      </c>
      <c r="I721" s="13">
        <f t="shared" ref="I721:I723" ca="1" si="367">OFFSET(I721,-15,0)</f>
        <v>0</v>
      </c>
      <c r="J721" s="16"/>
      <c r="K721" s="19">
        <f t="shared" ref="K721:K723" ca="1" si="368">OFFSET(K721,-15,0)</f>
        <v>0</v>
      </c>
      <c r="L721" s="15">
        <f t="shared" ca="1" si="357"/>
        <v>1</v>
      </c>
      <c r="M721" s="15"/>
      <c r="N721" s="15">
        <f t="shared" ca="1" si="356"/>
        <v>0</v>
      </c>
    </row>
    <row r="722" spans="1:14" x14ac:dyDescent="0.4">
      <c r="A722" s="11" t="s">
        <v>9</v>
      </c>
      <c r="B722" s="41">
        <f t="shared" ca="1" si="366"/>
        <v>0</v>
      </c>
      <c r="C722" s="41"/>
      <c r="D722" s="41"/>
      <c r="E722" s="41"/>
      <c r="F722" s="19">
        <f t="shared" ca="1" si="366"/>
        <v>0</v>
      </c>
      <c r="G722" s="20">
        <f t="shared" ca="1" si="366"/>
        <v>0</v>
      </c>
      <c r="H722" s="20">
        <f t="shared" ca="1" si="366"/>
        <v>0</v>
      </c>
      <c r="I722" s="13">
        <f t="shared" ca="1" si="367"/>
        <v>0</v>
      </c>
      <c r="J722" s="16"/>
      <c r="K722" s="19">
        <f t="shared" ca="1" si="368"/>
        <v>0</v>
      </c>
      <c r="L722" s="15">
        <f t="shared" ca="1" si="357"/>
        <v>1</v>
      </c>
      <c r="M722" s="15"/>
      <c r="N722" s="15">
        <f t="shared" ca="1" si="356"/>
        <v>0</v>
      </c>
    </row>
    <row r="723" spans="1:14" x14ac:dyDescent="0.4">
      <c r="A723" s="11" t="s">
        <v>9</v>
      </c>
      <c r="B723" s="41">
        <f t="shared" ca="1" si="366"/>
        <v>0</v>
      </c>
      <c r="C723" s="41"/>
      <c r="D723" s="41"/>
      <c r="E723" s="41"/>
      <c r="F723" s="19">
        <f t="shared" ca="1" si="366"/>
        <v>0</v>
      </c>
      <c r="G723" s="20">
        <f t="shared" ca="1" si="366"/>
        <v>0</v>
      </c>
      <c r="H723" s="20">
        <f t="shared" ca="1" si="366"/>
        <v>0</v>
      </c>
      <c r="I723" s="13">
        <f t="shared" ca="1" si="367"/>
        <v>0</v>
      </c>
      <c r="J723" s="16"/>
      <c r="K723" s="19">
        <f t="shared" ca="1" si="368"/>
        <v>0</v>
      </c>
      <c r="L723" s="15">
        <f t="shared" ca="1" si="357"/>
        <v>1</v>
      </c>
      <c r="M723" s="15"/>
      <c r="N723" s="15">
        <f t="shared" ca="1" si="356"/>
        <v>0</v>
      </c>
    </row>
    <row r="724" spans="1:14" ht="17.399999999999999" x14ac:dyDescent="0.4">
      <c r="A724" s="74" t="s">
        <v>25</v>
      </c>
      <c r="B724" s="75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6"/>
    </row>
    <row r="725" spans="1:14" x14ac:dyDescent="0.4">
      <c r="A725" s="11" t="s">
        <v>5</v>
      </c>
      <c r="B725" s="40"/>
      <c r="C725" s="40"/>
      <c r="D725" s="40"/>
      <c r="E725" s="40"/>
      <c r="F725" s="13"/>
      <c r="G725" s="11"/>
      <c r="H725" s="17"/>
      <c r="I725" s="13"/>
      <c r="J725" s="16"/>
      <c r="K725" s="13"/>
      <c r="L725" s="15">
        <f>ROUND((10^(K725/10))/(10^(I725/10)),3)</f>
        <v>1</v>
      </c>
      <c r="M725" s="15"/>
      <c r="N725" s="15">
        <f t="shared" ref="N725:N742" si="369">J725*L725</f>
        <v>0</v>
      </c>
    </row>
    <row r="726" spans="1:14" x14ac:dyDescent="0.4">
      <c r="A726" s="11" t="s">
        <v>5</v>
      </c>
      <c r="B726" s="40"/>
      <c r="C726" s="40"/>
      <c r="D726" s="40"/>
      <c r="E726" s="40"/>
      <c r="F726" s="13"/>
      <c r="G726" s="11"/>
      <c r="H726" s="17"/>
      <c r="I726" s="13"/>
      <c r="J726" s="16"/>
      <c r="K726" s="13"/>
      <c r="L726" s="15">
        <f t="shared" ref="L726:L742" si="370">ROUND((10^(K726/10))/(10^(I726/10)),3)</f>
        <v>1</v>
      </c>
      <c r="M726" s="15"/>
      <c r="N726" s="15">
        <f t="shared" si="369"/>
        <v>0</v>
      </c>
    </row>
    <row r="727" spans="1:14" x14ac:dyDescent="0.4">
      <c r="A727" s="11" t="s">
        <v>5</v>
      </c>
      <c r="B727" s="40"/>
      <c r="C727" s="40"/>
      <c r="D727" s="40"/>
      <c r="E727" s="40"/>
      <c r="F727" s="13"/>
      <c r="G727" s="11"/>
      <c r="H727" s="17"/>
      <c r="I727" s="13"/>
      <c r="J727" s="16"/>
      <c r="K727" s="13"/>
      <c r="L727" s="15">
        <f t="shared" si="370"/>
        <v>1</v>
      </c>
      <c r="M727" s="15"/>
      <c r="N727" s="15">
        <f t="shared" si="369"/>
        <v>0</v>
      </c>
    </row>
    <row r="728" spans="1:14" x14ac:dyDescent="0.4">
      <c r="A728" s="11" t="s">
        <v>6</v>
      </c>
      <c r="B728" s="41">
        <f t="shared" ref="B728:I730" ca="1" si="371">OFFSET(B728,-3,0)</f>
        <v>0</v>
      </c>
      <c r="C728" s="41"/>
      <c r="D728" s="41"/>
      <c r="E728" s="41"/>
      <c r="F728" s="19">
        <f t="shared" ca="1" si="371"/>
        <v>0</v>
      </c>
      <c r="G728" s="20">
        <f t="shared" ca="1" si="371"/>
        <v>0</v>
      </c>
      <c r="H728" s="20">
        <f t="shared" ca="1" si="371"/>
        <v>0</v>
      </c>
      <c r="I728" s="13">
        <f t="shared" ca="1" si="371"/>
        <v>0</v>
      </c>
      <c r="J728" s="16"/>
      <c r="K728" s="19">
        <f t="shared" ref="K728:K730" ca="1" si="372">OFFSET(K728,-3,0)</f>
        <v>0</v>
      </c>
      <c r="L728" s="15">
        <f t="shared" ca="1" si="370"/>
        <v>1</v>
      </c>
      <c r="M728" s="15"/>
      <c r="N728" s="15">
        <f t="shared" ca="1" si="369"/>
        <v>0</v>
      </c>
    </row>
    <row r="729" spans="1:14" x14ac:dyDescent="0.4">
      <c r="A729" s="11" t="s">
        <v>6</v>
      </c>
      <c r="B729" s="41">
        <f t="shared" ca="1" si="371"/>
        <v>0</v>
      </c>
      <c r="C729" s="41"/>
      <c r="D729" s="41"/>
      <c r="E729" s="41"/>
      <c r="F729" s="19">
        <f t="shared" ca="1" si="371"/>
        <v>0</v>
      </c>
      <c r="G729" s="20">
        <f t="shared" ca="1" si="371"/>
        <v>0</v>
      </c>
      <c r="H729" s="20">
        <f t="shared" ca="1" si="371"/>
        <v>0</v>
      </c>
      <c r="I729" s="13">
        <f t="shared" ca="1" si="371"/>
        <v>0</v>
      </c>
      <c r="J729" s="16"/>
      <c r="K729" s="19">
        <f t="shared" ca="1" si="372"/>
        <v>0</v>
      </c>
      <c r="L729" s="15">
        <f t="shared" ca="1" si="370"/>
        <v>1</v>
      </c>
      <c r="M729" s="15"/>
      <c r="N729" s="15">
        <f t="shared" ca="1" si="369"/>
        <v>0</v>
      </c>
    </row>
    <row r="730" spans="1:14" x14ac:dyDescent="0.4">
      <c r="A730" s="11" t="s">
        <v>6</v>
      </c>
      <c r="B730" s="41">
        <f t="shared" ca="1" si="371"/>
        <v>0</v>
      </c>
      <c r="C730" s="41"/>
      <c r="D730" s="41"/>
      <c r="E730" s="41"/>
      <c r="F730" s="19">
        <f t="shared" ca="1" si="371"/>
        <v>0</v>
      </c>
      <c r="G730" s="20">
        <f t="shared" ca="1" si="371"/>
        <v>0</v>
      </c>
      <c r="H730" s="20">
        <f t="shared" ca="1" si="371"/>
        <v>0</v>
      </c>
      <c r="I730" s="13">
        <f t="shared" ca="1" si="371"/>
        <v>0</v>
      </c>
      <c r="J730" s="16"/>
      <c r="K730" s="19">
        <f t="shared" ca="1" si="372"/>
        <v>0</v>
      </c>
      <c r="L730" s="15">
        <f t="shared" ca="1" si="370"/>
        <v>1</v>
      </c>
      <c r="M730" s="15"/>
      <c r="N730" s="15">
        <f t="shared" ca="1" si="369"/>
        <v>0</v>
      </c>
    </row>
    <row r="731" spans="1:14" x14ac:dyDescent="0.4">
      <c r="A731" s="11" t="s">
        <v>10</v>
      </c>
      <c r="B731" s="40">
        <f t="shared" ref="B731:I733" ca="1" si="373">OFFSET(B731,-6,0)</f>
        <v>0</v>
      </c>
      <c r="C731" s="40"/>
      <c r="D731" s="40"/>
      <c r="E731" s="40"/>
      <c r="F731" s="13">
        <f t="shared" ca="1" si="373"/>
        <v>0</v>
      </c>
      <c r="G731" s="17">
        <f t="shared" ca="1" si="373"/>
        <v>0</v>
      </c>
      <c r="H731" s="17">
        <f t="shared" ca="1" si="373"/>
        <v>0</v>
      </c>
      <c r="I731" s="13">
        <f t="shared" ca="1" si="373"/>
        <v>0</v>
      </c>
      <c r="J731" s="16"/>
      <c r="K731" s="13">
        <f t="shared" ref="K731:K733" ca="1" si="374">OFFSET(K731,-6,0)</f>
        <v>0</v>
      </c>
      <c r="L731" s="15">
        <f t="shared" ca="1" si="370"/>
        <v>1</v>
      </c>
      <c r="M731" s="15"/>
      <c r="N731" s="15">
        <f t="shared" ca="1" si="369"/>
        <v>0</v>
      </c>
    </row>
    <row r="732" spans="1:14" x14ac:dyDescent="0.4">
      <c r="A732" s="11" t="s">
        <v>10</v>
      </c>
      <c r="B732" s="40">
        <f t="shared" ca="1" si="373"/>
        <v>0</v>
      </c>
      <c r="C732" s="40"/>
      <c r="D732" s="40"/>
      <c r="E732" s="40"/>
      <c r="F732" s="13">
        <f t="shared" ca="1" si="373"/>
        <v>0</v>
      </c>
      <c r="G732" s="17">
        <f t="shared" ca="1" si="373"/>
        <v>0</v>
      </c>
      <c r="H732" s="17">
        <f t="shared" ca="1" si="373"/>
        <v>0</v>
      </c>
      <c r="I732" s="13">
        <f t="shared" ca="1" si="373"/>
        <v>0</v>
      </c>
      <c r="J732" s="16"/>
      <c r="K732" s="13">
        <f t="shared" ca="1" si="374"/>
        <v>0</v>
      </c>
      <c r="L732" s="15">
        <f t="shared" ca="1" si="370"/>
        <v>1</v>
      </c>
      <c r="M732" s="15"/>
      <c r="N732" s="15">
        <f t="shared" ca="1" si="369"/>
        <v>0</v>
      </c>
    </row>
    <row r="733" spans="1:14" x14ac:dyDescent="0.4">
      <c r="A733" s="11" t="s">
        <v>10</v>
      </c>
      <c r="B733" s="40">
        <f t="shared" ca="1" si="373"/>
        <v>0</v>
      </c>
      <c r="C733" s="40"/>
      <c r="D733" s="40"/>
      <c r="E733" s="40"/>
      <c r="F733" s="13">
        <f t="shared" ca="1" si="373"/>
        <v>0</v>
      </c>
      <c r="G733" s="17">
        <f t="shared" ca="1" si="373"/>
        <v>0</v>
      </c>
      <c r="H733" s="17">
        <f t="shared" ca="1" si="373"/>
        <v>0</v>
      </c>
      <c r="I733" s="13">
        <f t="shared" ca="1" si="373"/>
        <v>0</v>
      </c>
      <c r="J733" s="16"/>
      <c r="K733" s="13">
        <f t="shared" ca="1" si="374"/>
        <v>0</v>
      </c>
      <c r="L733" s="15">
        <f t="shared" ca="1" si="370"/>
        <v>1</v>
      </c>
      <c r="M733" s="15"/>
      <c r="N733" s="15">
        <f t="shared" ca="1" si="369"/>
        <v>0</v>
      </c>
    </row>
    <row r="734" spans="1:14" x14ac:dyDescent="0.4">
      <c r="A734" s="11" t="s">
        <v>7</v>
      </c>
      <c r="B734" s="40">
        <f t="shared" ref="B734:I736" ca="1" si="375">OFFSET(B734,-9,0)</f>
        <v>0</v>
      </c>
      <c r="C734" s="40"/>
      <c r="D734" s="40"/>
      <c r="E734" s="40"/>
      <c r="F734" s="13">
        <f t="shared" ca="1" si="375"/>
        <v>0</v>
      </c>
      <c r="G734" s="17">
        <f t="shared" ca="1" si="375"/>
        <v>0</v>
      </c>
      <c r="H734" s="17">
        <f t="shared" ca="1" si="375"/>
        <v>0</v>
      </c>
      <c r="I734" s="13">
        <f t="shared" ca="1" si="375"/>
        <v>0</v>
      </c>
      <c r="J734" s="16"/>
      <c r="K734" s="13">
        <f t="shared" ref="K734:K736" ca="1" si="376">OFFSET(K734,-9,0)</f>
        <v>0</v>
      </c>
      <c r="L734" s="15">
        <f t="shared" ca="1" si="370"/>
        <v>1</v>
      </c>
      <c r="M734" s="15"/>
      <c r="N734" s="15">
        <f t="shared" ca="1" si="369"/>
        <v>0</v>
      </c>
    </row>
    <row r="735" spans="1:14" x14ac:dyDescent="0.4">
      <c r="A735" s="11" t="s">
        <v>7</v>
      </c>
      <c r="B735" s="40">
        <f t="shared" ca="1" si="375"/>
        <v>0</v>
      </c>
      <c r="C735" s="40"/>
      <c r="D735" s="40"/>
      <c r="E735" s="40"/>
      <c r="F735" s="13">
        <f t="shared" ca="1" si="375"/>
        <v>0</v>
      </c>
      <c r="G735" s="17">
        <f t="shared" ca="1" si="375"/>
        <v>0</v>
      </c>
      <c r="H735" s="17">
        <f t="shared" ca="1" si="375"/>
        <v>0</v>
      </c>
      <c r="I735" s="13">
        <f t="shared" ca="1" si="375"/>
        <v>0</v>
      </c>
      <c r="J735" s="16"/>
      <c r="K735" s="13">
        <f t="shared" ca="1" si="376"/>
        <v>0</v>
      </c>
      <c r="L735" s="15">
        <f t="shared" ca="1" si="370"/>
        <v>1</v>
      </c>
      <c r="M735" s="15"/>
      <c r="N735" s="15">
        <f t="shared" ca="1" si="369"/>
        <v>0</v>
      </c>
    </row>
    <row r="736" spans="1:14" x14ac:dyDescent="0.4">
      <c r="A736" s="11" t="s">
        <v>7</v>
      </c>
      <c r="B736" s="40">
        <f t="shared" ca="1" si="375"/>
        <v>0</v>
      </c>
      <c r="C736" s="40"/>
      <c r="D736" s="40"/>
      <c r="E736" s="40"/>
      <c r="F736" s="13">
        <f t="shared" ca="1" si="375"/>
        <v>0</v>
      </c>
      <c r="G736" s="17">
        <f t="shared" ca="1" si="375"/>
        <v>0</v>
      </c>
      <c r="H736" s="17">
        <f t="shared" ca="1" si="375"/>
        <v>0</v>
      </c>
      <c r="I736" s="13">
        <f t="shared" ca="1" si="375"/>
        <v>0</v>
      </c>
      <c r="J736" s="16"/>
      <c r="K736" s="13">
        <f t="shared" ca="1" si="376"/>
        <v>0</v>
      </c>
      <c r="L736" s="15">
        <f t="shared" ca="1" si="370"/>
        <v>1</v>
      </c>
      <c r="M736" s="15"/>
      <c r="N736" s="15">
        <f t="shared" ca="1" si="369"/>
        <v>0</v>
      </c>
    </row>
    <row r="737" spans="1:14" x14ac:dyDescent="0.4">
      <c r="A737" s="11" t="s">
        <v>8</v>
      </c>
      <c r="B737" s="40">
        <f t="shared" ref="B737:I739" ca="1" si="377">OFFSET(B737,-12,0)</f>
        <v>0</v>
      </c>
      <c r="C737" s="40"/>
      <c r="D737" s="40"/>
      <c r="E737" s="40"/>
      <c r="F737" s="13">
        <f t="shared" ca="1" si="377"/>
        <v>0</v>
      </c>
      <c r="G737" s="17">
        <f t="shared" ca="1" si="377"/>
        <v>0</v>
      </c>
      <c r="H737" s="17">
        <f t="shared" ca="1" si="377"/>
        <v>0</v>
      </c>
      <c r="I737" s="13">
        <f t="shared" ca="1" si="377"/>
        <v>0</v>
      </c>
      <c r="J737" s="16"/>
      <c r="K737" s="13">
        <f t="shared" ref="K737:K739" ca="1" si="378">OFFSET(K737,-12,0)</f>
        <v>0</v>
      </c>
      <c r="L737" s="15">
        <f t="shared" ca="1" si="370"/>
        <v>1</v>
      </c>
      <c r="M737" s="15"/>
      <c r="N737" s="15">
        <f t="shared" ca="1" si="369"/>
        <v>0</v>
      </c>
    </row>
    <row r="738" spans="1:14" x14ac:dyDescent="0.4">
      <c r="A738" s="11" t="s">
        <v>8</v>
      </c>
      <c r="B738" s="40">
        <f t="shared" ca="1" si="377"/>
        <v>0</v>
      </c>
      <c r="C738" s="40"/>
      <c r="D738" s="40"/>
      <c r="E738" s="40"/>
      <c r="F738" s="13">
        <f t="shared" ca="1" si="377"/>
        <v>0</v>
      </c>
      <c r="G738" s="17">
        <f t="shared" ca="1" si="377"/>
        <v>0</v>
      </c>
      <c r="H738" s="17">
        <f t="shared" ca="1" si="377"/>
        <v>0</v>
      </c>
      <c r="I738" s="13">
        <f t="shared" ca="1" si="377"/>
        <v>0</v>
      </c>
      <c r="J738" s="16"/>
      <c r="K738" s="13">
        <f t="shared" ca="1" si="378"/>
        <v>0</v>
      </c>
      <c r="L738" s="15">
        <f t="shared" ca="1" si="370"/>
        <v>1</v>
      </c>
      <c r="M738" s="15"/>
      <c r="N738" s="15">
        <f t="shared" ca="1" si="369"/>
        <v>0</v>
      </c>
    </row>
    <row r="739" spans="1:14" x14ac:dyDescent="0.4">
      <c r="A739" s="11" t="s">
        <v>8</v>
      </c>
      <c r="B739" s="40">
        <f t="shared" ca="1" si="377"/>
        <v>0</v>
      </c>
      <c r="C739" s="40"/>
      <c r="D739" s="40"/>
      <c r="E739" s="40"/>
      <c r="F739" s="13">
        <f t="shared" ca="1" si="377"/>
        <v>0</v>
      </c>
      <c r="G739" s="17">
        <f t="shared" ca="1" si="377"/>
        <v>0</v>
      </c>
      <c r="H739" s="17">
        <f t="shared" ca="1" si="377"/>
        <v>0</v>
      </c>
      <c r="I739" s="13">
        <f t="shared" ca="1" si="377"/>
        <v>0</v>
      </c>
      <c r="J739" s="16"/>
      <c r="K739" s="13">
        <f t="shared" ca="1" si="378"/>
        <v>0</v>
      </c>
      <c r="L739" s="15">
        <f t="shared" ca="1" si="370"/>
        <v>1</v>
      </c>
      <c r="M739" s="15"/>
      <c r="N739" s="15">
        <f t="shared" ca="1" si="369"/>
        <v>0</v>
      </c>
    </row>
    <row r="740" spans="1:14" x14ac:dyDescent="0.4">
      <c r="A740" s="11" t="s">
        <v>9</v>
      </c>
      <c r="B740" s="41">
        <f t="shared" ref="B740:I742" ca="1" si="379">OFFSET(B740,-15,0)</f>
        <v>0</v>
      </c>
      <c r="C740" s="41"/>
      <c r="D740" s="41"/>
      <c r="E740" s="41"/>
      <c r="F740" s="19">
        <f t="shared" ca="1" si="379"/>
        <v>0</v>
      </c>
      <c r="G740" s="20">
        <f t="shared" ca="1" si="379"/>
        <v>0</v>
      </c>
      <c r="H740" s="20">
        <f t="shared" ca="1" si="379"/>
        <v>0</v>
      </c>
      <c r="I740" s="13">
        <f t="shared" ca="1" si="379"/>
        <v>0</v>
      </c>
      <c r="J740" s="16"/>
      <c r="K740" s="19">
        <f t="shared" ref="K740:K742" ca="1" si="380">OFFSET(K740,-15,0)</f>
        <v>0</v>
      </c>
      <c r="L740" s="15">
        <f t="shared" ca="1" si="370"/>
        <v>1</v>
      </c>
      <c r="M740" s="15"/>
      <c r="N740" s="15">
        <f t="shared" ca="1" si="369"/>
        <v>0</v>
      </c>
    </row>
    <row r="741" spans="1:14" x14ac:dyDescent="0.4">
      <c r="A741" s="11" t="s">
        <v>9</v>
      </c>
      <c r="B741" s="41">
        <f t="shared" ca="1" si="379"/>
        <v>0</v>
      </c>
      <c r="C741" s="41"/>
      <c r="D741" s="41"/>
      <c r="E741" s="41"/>
      <c r="F741" s="19">
        <f t="shared" ca="1" si="379"/>
        <v>0</v>
      </c>
      <c r="G741" s="20">
        <f t="shared" ca="1" si="379"/>
        <v>0</v>
      </c>
      <c r="H741" s="20">
        <f t="shared" ca="1" si="379"/>
        <v>0</v>
      </c>
      <c r="I741" s="13">
        <f t="shared" ca="1" si="379"/>
        <v>0</v>
      </c>
      <c r="J741" s="16"/>
      <c r="K741" s="19">
        <f t="shared" ca="1" si="380"/>
        <v>0</v>
      </c>
      <c r="L741" s="15">
        <f t="shared" ca="1" si="370"/>
        <v>1</v>
      </c>
      <c r="M741" s="15"/>
      <c r="N741" s="15">
        <f t="shared" ca="1" si="369"/>
        <v>0</v>
      </c>
    </row>
    <row r="742" spans="1:14" x14ac:dyDescent="0.4">
      <c r="A742" s="11" t="s">
        <v>9</v>
      </c>
      <c r="B742" s="41">
        <f t="shared" ca="1" si="379"/>
        <v>0</v>
      </c>
      <c r="C742" s="41"/>
      <c r="D742" s="41"/>
      <c r="E742" s="41"/>
      <c r="F742" s="19">
        <f t="shared" ca="1" si="379"/>
        <v>0</v>
      </c>
      <c r="G742" s="20">
        <f t="shared" ca="1" si="379"/>
        <v>0</v>
      </c>
      <c r="H742" s="20">
        <f t="shared" ca="1" si="379"/>
        <v>0</v>
      </c>
      <c r="I742" s="13">
        <f t="shared" ca="1" si="379"/>
        <v>0</v>
      </c>
      <c r="J742" s="16"/>
      <c r="K742" s="19">
        <f t="shared" ca="1" si="380"/>
        <v>0</v>
      </c>
      <c r="L742" s="15">
        <f t="shared" ca="1" si="370"/>
        <v>1</v>
      </c>
      <c r="M742" s="15"/>
      <c r="N742" s="15">
        <f t="shared" ca="1" si="369"/>
        <v>0</v>
      </c>
    </row>
    <row r="743" spans="1:14" ht="17.399999999999999" x14ac:dyDescent="0.4">
      <c r="A743" s="74" t="s">
        <v>29</v>
      </c>
      <c r="B743" s="75"/>
      <c r="C743" s="75"/>
      <c r="D743" s="75"/>
      <c r="E743" s="75"/>
      <c r="F743" s="75"/>
      <c r="G743" s="75"/>
      <c r="H743" s="75"/>
      <c r="I743" s="75"/>
      <c r="J743" s="75"/>
      <c r="K743" s="75"/>
      <c r="L743" s="75"/>
      <c r="M743" s="75"/>
      <c r="N743" s="76"/>
    </row>
    <row r="744" spans="1:14" x14ac:dyDescent="0.4">
      <c r="A744" s="11" t="s">
        <v>5</v>
      </c>
      <c r="B744" s="40"/>
      <c r="C744" s="40"/>
      <c r="D744" s="40"/>
      <c r="E744" s="40"/>
      <c r="F744" s="13"/>
      <c r="G744" s="11"/>
      <c r="H744" s="17"/>
      <c r="I744" s="13"/>
      <c r="J744" s="16"/>
      <c r="K744" s="13"/>
      <c r="L744" s="15">
        <f>ROUND((10^(K744/10))/(10^(I744/10)),3)</f>
        <v>1</v>
      </c>
      <c r="M744" s="15"/>
      <c r="N744" s="15">
        <f t="shared" ref="N744:N761" si="381">J744*L744</f>
        <v>0</v>
      </c>
    </row>
    <row r="745" spans="1:14" x14ac:dyDescent="0.4">
      <c r="A745" s="11" t="s">
        <v>5</v>
      </c>
      <c r="B745" s="40"/>
      <c r="C745" s="40"/>
      <c r="D745" s="40"/>
      <c r="E745" s="40"/>
      <c r="F745" s="13"/>
      <c r="G745" s="11"/>
      <c r="H745" s="17"/>
      <c r="I745" s="13"/>
      <c r="J745" s="16"/>
      <c r="K745" s="13"/>
      <c r="L745" s="15">
        <f t="shared" ref="L745:L761" si="382">ROUND((10^(K745/10))/(10^(I745/10)),3)</f>
        <v>1</v>
      </c>
      <c r="M745" s="15"/>
      <c r="N745" s="15">
        <f t="shared" si="381"/>
        <v>0</v>
      </c>
    </row>
    <row r="746" spans="1:14" x14ac:dyDescent="0.4">
      <c r="A746" s="11" t="s">
        <v>5</v>
      </c>
      <c r="B746" s="40"/>
      <c r="C746" s="40"/>
      <c r="D746" s="40"/>
      <c r="E746" s="40"/>
      <c r="F746" s="13"/>
      <c r="G746" s="11"/>
      <c r="H746" s="17"/>
      <c r="I746" s="13"/>
      <c r="J746" s="16"/>
      <c r="K746" s="13"/>
      <c r="L746" s="15">
        <f t="shared" si="382"/>
        <v>1</v>
      </c>
      <c r="M746" s="15"/>
      <c r="N746" s="15">
        <f t="shared" si="381"/>
        <v>0</v>
      </c>
    </row>
    <row r="747" spans="1:14" x14ac:dyDescent="0.4">
      <c r="A747" s="11" t="s">
        <v>6</v>
      </c>
      <c r="B747" s="41">
        <f t="shared" ref="B747:I749" ca="1" si="383">OFFSET(B747,-3,0)</f>
        <v>0</v>
      </c>
      <c r="C747" s="41"/>
      <c r="D747" s="41"/>
      <c r="E747" s="41"/>
      <c r="F747" s="19">
        <f t="shared" ca="1" si="383"/>
        <v>0</v>
      </c>
      <c r="G747" s="20">
        <f t="shared" ca="1" si="383"/>
        <v>0</v>
      </c>
      <c r="H747" s="20">
        <f t="shared" ca="1" si="383"/>
        <v>0</v>
      </c>
      <c r="I747" s="13">
        <f t="shared" ca="1" si="383"/>
        <v>0</v>
      </c>
      <c r="J747" s="16"/>
      <c r="K747" s="19">
        <f t="shared" ref="K747:K749" ca="1" si="384">OFFSET(K747,-3,0)</f>
        <v>0</v>
      </c>
      <c r="L747" s="15">
        <f t="shared" ca="1" si="382"/>
        <v>1</v>
      </c>
      <c r="M747" s="15"/>
      <c r="N747" s="15">
        <f t="shared" ca="1" si="381"/>
        <v>0</v>
      </c>
    </row>
    <row r="748" spans="1:14" x14ac:dyDescent="0.4">
      <c r="A748" s="11" t="s">
        <v>6</v>
      </c>
      <c r="B748" s="41">
        <f t="shared" ca="1" si="383"/>
        <v>0</v>
      </c>
      <c r="C748" s="41"/>
      <c r="D748" s="41"/>
      <c r="E748" s="41"/>
      <c r="F748" s="19">
        <f t="shared" ca="1" si="383"/>
        <v>0</v>
      </c>
      <c r="G748" s="20">
        <f t="shared" ca="1" si="383"/>
        <v>0</v>
      </c>
      <c r="H748" s="20">
        <f t="shared" ca="1" si="383"/>
        <v>0</v>
      </c>
      <c r="I748" s="13">
        <f t="shared" ca="1" si="383"/>
        <v>0</v>
      </c>
      <c r="J748" s="16"/>
      <c r="K748" s="19">
        <f t="shared" ca="1" si="384"/>
        <v>0</v>
      </c>
      <c r="L748" s="15">
        <f t="shared" ca="1" si="382"/>
        <v>1</v>
      </c>
      <c r="M748" s="15"/>
      <c r="N748" s="15">
        <f t="shared" ca="1" si="381"/>
        <v>0</v>
      </c>
    </row>
    <row r="749" spans="1:14" x14ac:dyDescent="0.4">
      <c r="A749" s="11" t="s">
        <v>6</v>
      </c>
      <c r="B749" s="41">
        <f t="shared" ca="1" si="383"/>
        <v>0</v>
      </c>
      <c r="C749" s="41"/>
      <c r="D749" s="41"/>
      <c r="E749" s="41"/>
      <c r="F749" s="19">
        <f t="shared" ca="1" si="383"/>
        <v>0</v>
      </c>
      <c r="G749" s="20">
        <f t="shared" ca="1" si="383"/>
        <v>0</v>
      </c>
      <c r="H749" s="20">
        <f t="shared" ca="1" si="383"/>
        <v>0</v>
      </c>
      <c r="I749" s="13">
        <f t="shared" ca="1" si="383"/>
        <v>0</v>
      </c>
      <c r="J749" s="16"/>
      <c r="K749" s="19">
        <f t="shared" ca="1" si="384"/>
        <v>0</v>
      </c>
      <c r="L749" s="15">
        <f t="shared" ca="1" si="382"/>
        <v>1</v>
      </c>
      <c r="M749" s="15"/>
      <c r="N749" s="15">
        <f t="shared" ca="1" si="381"/>
        <v>0</v>
      </c>
    </row>
    <row r="750" spans="1:14" x14ac:dyDescent="0.4">
      <c r="A750" s="11" t="s">
        <v>10</v>
      </c>
      <c r="B750" s="40">
        <f t="shared" ref="B750:I752" ca="1" si="385">OFFSET(B750,-6,0)</f>
        <v>0</v>
      </c>
      <c r="C750" s="40"/>
      <c r="D750" s="40"/>
      <c r="E750" s="40"/>
      <c r="F750" s="13">
        <f t="shared" ca="1" si="385"/>
        <v>0</v>
      </c>
      <c r="G750" s="17">
        <f t="shared" ca="1" si="385"/>
        <v>0</v>
      </c>
      <c r="H750" s="17">
        <f t="shared" ca="1" si="385"/>
        <v>0</v>
      </c>
      <c r="I750" s="13">
        <f t="shared" ca="1" si="385"/>
        <v>0</v>
      </c>
      <c r="J750" s="16"/>
      <c r="K750" s="13">
        <f t="shared" ref="K750:K752" ca="1" si="386">OFFSET(K750,-6,0)</f>
        <v>0</v>
      </c>
      <c r="L750" s="15">
        <f t="shared" ca="1" si="382"/>
        <v>1</v>
      </c>
      <c r="M750" s="15"/>
      <c r="N750" s="15">
        <f t="shared" ca="1" si="381"/>
        <v>0</v>
      </c>
    </row>
    <row r="751" spans="1:14" x14ac:dyDescent="0.4">
      <c r="A751" s="11" t="s">
        <v>10</v>
      </c>
      <c r="B751" s="40">
        <f t="shared" ca="1" si="385"/>
        <v>0</v>
      </c>
      <c r="C751" s="40"/>
      <c r="D751" s="40"/>
      <c r="E751" s="40"/>
      <c r="F751" s="13">
        <f t="shared" ca="1" si="385"/>
        <v>0</v>
      </c>
      <c r="G751" s="17">
        <f t="shared" ca="1" si="385"/>
        <v>0</v>
      </c>
      <c r="H751" s="17">
        <f t="shared" ca="1" si="385"/>
        <v>0</v>
      </c>
      <c r="I751" s="13">
        <f t="shared" ca="1" si="385"/>
        <v>0</v>
      </c>
      <c r="J751" s="16"/>
      <c r="K751" s="13">
        <f t="shared" ca="1" si="386"/>
        <v>0</v>
      </c>
      <c r="L751" s="15">
        <f t="shared" ca="1" si="382"/>
        <v>1</v>
      </c>
      <c r="M751" s="15"/>
      <c r="N751" s="15">
        <f t="shared" ca="1" si="381"/>
        <v>0</v>
      </c>
    </row>
    <row r="752" spans="1:14" x14ac:dyDescent="0.4">
      <c r="A752" s="11" t="s">
        <v>10</v>
      </c>
      <c r="B752" s="40">
        <f t="shared" ca="1" si="385"/>
        <v>0</v>
      </c>
      <c r="C752" s="40"/>
      <c r="D752" s="40"/>
      <c r="E752" s="40"/>
      <c r="F752" s="13">
        <f t="shared" ca="1" si="385"/>
        <v>0</v>
      </c>
      <c r="G752" s="17">
        <f t="shared" ca="1" si="385"/>
        <v>0</v>
      </c>
      <c r="H752" s="17">
        <f t="shared" ca="1" si="385"/>
        <v>0</v>
      </c>
      <c r="I752" s="13">
        <f t="shared" ca="1" si="385"/>
        <v>0</v>
      </c>
      <c r="J752" s="16"/>
      <c r="K752" s="13">
        <f t="shared" ca="1" si="386"/>
        <v>0</v>
      </c>
      <c r="L752" s="15">
        <f t="shared" ca="1" si="382"/>
        <v>1</v>
      </c>
      <c r="M752" s="15"/>
      <c r="N752" s="15">
        <f t="shared" ca="1" si="381"/>
        <v>0</v>
      </c>
    </row>
    <row r="753" spans="1:14" x14ac:dyDescent="0.4">
      <c r="A753" s="11" t="s">
        <v>7</v>
      </c>
      <c r="B753" s="40">
        <f t="shared" ref="B753:I755" ca="1" si="387">OFFSET(B753,-9,0)</f>
        <v>0</v>
      </c>
      <c r="C753" s="40"/>
      <c r="D753" s="40"/>
      <c r="E753" s="40"/>
      <c r="F753" s="13">
        <f t="shared" ca="1" si="387"/>
        <v>0</v>
      </c>
      <c r="G753" s="17">
        <f t="shared" ca="1" si="387"/>
        <v>0</v>
      </c>
      <c r="H753" s="17">
        <f t="shared" ca="1" si="387"/>
        <v>0</v>
      </c>
      <c r="I753" s="13">
        <f t="shared" ca="1" si="387"/>
        <v>0</v>
      </c>
      <c r="J753" s="16"/>
      <c r="K753" s="13">
        <f t="shared" ref="K753:K755" ca="1" si="388">OFFSET(K753,-9,0)</f>
        <v>0</v>
      </c>
      <c r="L753" s="15">
        <f t="shared" ca="1" si="382"/>
        <v>1</v>
      </c>
      <c r="M753" s="15"/>
      <c r="N753" s="15">
        <f t="shared" ca="1" si="381"/>
        <v>0</v>
      </c>
    </row>
    <row r="754" spans="1:14" x14ac:dyDescent="0.4">
      <c r="A754" s="11" t="s">
        <v>7</v>
      </c>
      <c r="B754" s="40">
        <f t="shared" ca="1" si="387"/>
        <v>0</v>
      </c>
      <c r="C754" s="40"/>
      <c r="D754" s="40"/>
      <c r="E754" s="40"/>
      <c r="F754" s="13">
        <f t="shared" ca="1" si="387"/>
        <v>0</v>
      </c>
      <c r="G754" s="17">
        <f t="shared" ca="1" si="387"/>
        <v>0</v>
      </c>
      <c r="H754" s="17">
        <f t="shared" ca="1" si="387"/>
        <v>0</v>
      </c>
      <c r="I754" s="13">
        <f t="shared" ca="1" si="387"/>
        <v>0</v>
      </c>
      <c r="J754" s="16"/>
      <c r="K754" s="13">
        <f t="shared" ca="1" si="388"/>
        <v>0</v>
      </c>
      <c r="L754" s="15">
        <f t="shared" ca="1" si="382"/>
        <v>1</v>
      </c>
      <c r="M754" s="15"/>
      <c r="N754" s="15">
        <f t="shared" ca="1" si="381"/>
        <v>0</v>
      </c>
    </row>
    <row r="755" spans="1:14" x14ac:dyDescent="0.4">
      <c r="A755" s="11" t="s">
        <v>7</v>
      </c>
      <c r="B755" s="40">
        <f t="shared" ca="1" si="387"/>
        <v>0</v>
      </c>
      <c r="C755" s="40"/>
      <c r="D755" s="40"/>
      <c r="E755" s="40"/>
      <c r="F755" s="13">
        <f t="shared" ca="1" si="387"/>
        <v>0</v>
      </c>
      <c r="G755" s="17">
        <f t="shared" ca="1" si="387"/>
        <v>0</v>
      </c>
      <c r="H755" s="17">
        <f t="shared" ca="1" si="387"/>
        <v>0</v>
      </c>
      <c r="I755" s="13">
        <f t="shared" ca="1" si="387"/>
        <v>0</v>
      </c>
      <c r="J755" s="16"/>
      <c r="K755" s="13">
        <f t="shared" ca="1" si="388"/>
        <v>0</v>
      </c>
      <c r="L755" s="15">
        <f t="shared" ca="1" si="382"/>
        <v>1</v>
      </c>
      <c r="M755" s="15"/>
      <c r="N755" s="15">
        <f t="shared" ca="1" si="381"/>
        <v>0</v>
      </c>
    </row>
    <row r="756" spans="1:14" x14ac:dyDescent="0.4">
      <c r="A756" s="11" t="s">
        <v>8</v>
      </c>
      <c r="B756" s="40">
        <f t="shared" ref="B756:I758" ca="1" si="389">OFFSET(B756,-12,0)</f>
        <v>0</v>
      </c>
      <c r="C756" s="40"/>
      <c r="D756" s="40"/>
      <c r="E756" s="40"/>
      <c r="F756" s="13">
        <f t="shared" ca="1" si="389"/>
        <v>0</v>
      </c>
      <c r="G756" s="17">
        <f t="shared" ca="1" si="389"/>
        <v>0</v>
      </c>
      <c r="H756" s="17">
        <f t="shared" ca="1" si="389"/>
        <v>0</v>
      </c>
      <c r="I756" s="13">
        <f t="shared" ca="1" si="389"/>
        <v>0</v>
      </c>
      <c r="J756" s="16"/>
      <c r="K756" s="13">
        <f t="shared" ref="K756:K758" ca="1" si="390">OFFSET(K756,-12,0)</f>
        <v>0</v>
      </c>
      <c r="L756" s="15">
        <f t="shared" ca="1" si="382"/>
        <v>1</v>
      </c>
      <c r="M756" s="15"/>
      <c r="N756" s="15">
        <f t="shared" ca="1" si="381"/>
        <v>0</v>
      </c>
    </row>
    <row r="757" spans="1:14" x14ac:dyDescent="0.4">
      <c r="A757" s="11" t="s">
        <v>8</v>
      </c>
      <c r="B757" s="40">
        <f t="shared" ca="1" si="389"/>
        <v>0</v>
      </c>
      <c r="C757" s="40"/>
      <c r="D757" s="40"/>
      <c r="E757" s="40"/>
      <c r="F757" s="13">
        <f t="shared" ca="1" si="389"/>
        <v>0</v>
      </c>
      <c r="G757" s="17">
        <f t="shared" ca="1" si="389"/>
        <v>0</v>
      </c>
      <c r="H757" s="17">
        <f t="shared" ca="1" si="389"/>
        <v>0</v>
      </c>
      <c r="I757" s="13">
        <f t="shared" ca="1" si="389"/>
        <v>0</v>
      </c>
      <c r="J757" s="16"/>
      <c r="K757" s="13">
        <f t="shared" ca="1" si="390"/>
        <v>0</v>
      </c>
      <c r="L757" s="15">
        <f t="shared" ca="1" si="382"/>
        <v>1</v>
      </c>
      <c r="M757" s="15"/>
      <c r="N757" s="15">
        <f t="shared" ca="1" si="381"/>
        <v>0</v>
      </c>
    </row>
    <row r="758" spans="1:14" x14ac:dyDescent="0.4">
      <c r="A758" s="11" t="s">
        <v>8</v>
      </c>
      <c r="B758" s="40">
        <f t="shared" ca="1" si="389"/>
        <v>0</v>
      </c>
      <c r="C758" s="40"/>
      <c r="D758" s="40"/>
      <c r="E758" s="40"/>
      <c r="F758" s="13">
        <f t="shared" ca="1" si="389"/>
        <v>0</v>
      </c>
      <c r="G758" s="17">
        <f t="shared" ca="1" si="389"/>
        <v>0</v>
      </c>
      <c r="H758" s="17">
        <f t="shared" ca="1" si="389"/>
        <v>0</v>
      </c>
      <c r="I758" s="13">
        <f t="shared" ca="1" si="389"/>
        <v>0</v>
      </c>
      <c r="J758" s="16"/>
      <c r="K758" s="13">
        <f t="shared" ca="1" si="390"/>
        <v>0</v>
      </c>
      <c r="L758" s="15">
        <f t="shared" ca="1" si="382"/>
        <v>1</v>
      </c>
      <c r="M758" s="15"/>
      <c r="N758" s="15">
        <f t="shared" ca="1" si="381"/>
        <v>0</v>
      </c>
    </row>
    <row r="759" spans="1:14" x14ac:dyDescent="0.4">
      <c r="A759" s="11" t="s">
        <v>9</v>
      </c>
      <c r="B759" s="41">
        <f t="shared" ref="B759:I761" ca="1" si="391">OFFSET(B759,-15,0)</f>
        <v>0</v>
      </c>
      <c r="C759" s="41"/>
      <c r="D759" s="41"/>
      <c r="E759" s="41"/>
      <c r="F759" s="19">
        <f t="shared" ca="1" si="391"/>
        <v>0</v>
      </c>
      <c r="G759" s="20">
        <f t="shared" ca="1" si="391"/>
        <v>0</v>
      </c>
      <c r="H759" s="20">
        <f t="shared" ca="1" si="391"/>
        <v>0</v>
      </c>
      <c r="I759" s="13">
        <f t="shared" ca="1" si="391"/>
        <v>0</v>
      </c>
      <c r="J759" s="16"/>
      <c r="K759" s="19">
        <f t="shared" ref="K759:K761" ca="1" si="392">OFFSET(K759,-15,0)</f>
        <v>0</v>
      </c>
      <c r="L759" s="15">
        <f t="shared" ca="1" si="382"/>
        <v>1</v>
      </c>
      <c r="M759" s="15"/>
      <c r="N759" s="15">
        <f t="shared" ca="1" si="381"/>
        <v>0</v>
      </c>
    </row>
    <row r="760" spans="1:14" x14ac:dyDescent="0.4">
      <c r="A760" s="11" t="s">
        <v>9</v>
      </c>
      <c r="B760" s="41">
        <f t="shared" ca="1" si="391"/>
        <v>0</v>
      </c>
      <c r="C760" s="41"/>
      <c r="D760" s="41"/>
      <c r="E760" s="41"/>
      <c r="F760" s="19">
        <f t="shared" ca="1" si="391"/>
        <v>0</v>
      </c>
      <c r="G760" s="20">
        <f t="shared" ca="1" si="391"/>
        <v>0</v>
      </c>
      <c r="H760" s="20">
        <f t="shared" ca="1" si="391"/>
        <v>0</v>
      </c>
      <c r="I760" s="13">
        <f t="shared" ca="1" si="391"/>
        <v>0</v>
      </c>
      <c r="J760" s="16"/>
      <c r="K760" s="19">
        <f t="shared" ca="1" si="392"/>
        <v>0</v>
      </c>
      <c r="L760" s="15">
        <f t="shared" ca="1" si="382"/>
        <v>1</v>
      </c>
      <c r="M760" s="15"/>
      <c r="N760" s="15">
        <f t="shared" ca="1" si="381"/>
        <v>0</v>
      </c>
    </row>
    <row r="761" spans="1:14" x14ac:dyDescent="0.4">
      <c r="A761" s="11" t="s">
        <v>9</v>
      </c>
      <c r="B761" s="41">
        <f t="shared" ca="1" si="391"/>
        <v>0</v>
      </c>
      <c r="C761" s="41"/>
      <c r="D761" s="41"/>
      <c r="E761" s="41"/>
      <c r="F761" s="19">
        <f t="shared" ca="1" si="391"/>
        <v>0</v>
      </c>
      <c r="G761" s="20">
        <f t="shared" ca="1" si="391"/>
        <v>0</v>
      </c>
      <c r="H761" s="20">
        <f t="shared" ca="1" si="391"/>
        <v>0</v>
      </c>
      <c r="I761" s="13">
        <f t="shared" ca="1" si="391"/>
        <v>0</v>
      </c>
      <c r="J761" s="16"/>
      <c r="K761" s="19">
        <f t="shared" ca="1" si="392"/>
        <v>0</v>
      </c>
      <c r="L761" s="15">
        <f t="shared" ca="1" si="382"/>
        <v>1</v>
      </c>
      <c r="M761" s="15"/>
      <c r="N761" s="15">
        <f t="shared" ca="1" si="381"/>
        <v>0</v>
      </c>
    </row>
    <row r="762" spans="1:14" ht="17.399999999999999" x14ac:dyDescent="0.4">
      <c r="A762" s="74" t="s">
        <v>32</v>
      </c>
      <c r="B762" s="75"/>
      <c r="C762" s="75"/>
      <c r="D762" s="75"/>
      <c r="E762" s="75"/>
      <c r="F762" s="75"/>
      <c r="G762" s="75"/>
      <c r="H762" s="75"/>
      <c r="I762" s="75"/>
      <c r="J762" s="75"/>
      <c r="K762" s="75"/>
      <c r="L762" s="75"/>
      <c r="M762" s="75"/>
      <c r="N762" s="76"/>
    </row>
    <row r="763" spans="1:14" x14ac:dyDescent="0.4">
      <c r="A763" s="11" t="s">
        <v>5</v>
      </c>
      <c r="B763" s="40"/>
      <c r="C763" s="40"/>
      <c r="D763" s="40"/>
      <c r="E763" s="40"/>
      <c r="F763" s="13"/>
      <c r="G763" s="11"/>
      <c r="H763" s="17"/>
      <c r="I763" s="13"/>
      <c r="J763" s="16"/>
      <c r="K763" s="13"/>
      <c r="L763" s="15">
        <f>ROUND((10^(K763/10))/(10^(I763/10)),3)</f>
        <v>1</v>
      </c>
      <c r="M763" s="15"/>
      <c r="N763" s="15">
        <f t="shared" ref="N763:N780" si="393">J763*L763</f>
        <v>0</v>
      </c>
    </row>
    <row r="764" spans="1:14" x14ac:dyDescent="0.4">
      <c r="A764" s="11" t="s">
        <v>5</v>
      </c>
      <c r="B764" s="40"/>
      <c r="C764" s="40"/>
      <c r="D764" s="40"/>
      <c r="E764" s="40"/>
      <c r="F764" s="13"/>
      <c r="G764" s="11"/>
      <c r="H764" s="17"/>
      <c r="I764" s="13"/>
      <c r="J764" s="16"/>
      <c r="K764" s="13"/>
      <c r="L764" s="15">
        <f t="shared" ref="L764:L780" si="394">ROUND((10^(K764/10))/(10^(I764/10)),3)</f>
        <v>1</v>
      </c>
      <c r="M764" s="15"/>
      <c r="N764" s="15">
        <f t="shared" si="393"/>
        <v>0</v>
      </c>
    </row>
    <row r="765" spans="1:14" x14ac:dyDescent="0.4">
      <c r="A765" s="11" t="s">
        <v>5</v>
      </c>
      <c r="B765" s="40"/>
      <c r="C765" s="40"/>
      <c r="D765" s="40"/>
      <c r="E765" s="40"/>
      <c r="F765" s="13"/>
      <c r="G765" s="11"/>
      <c r="H765" s="17"/>
      <c r="I765" s="13"/>
      <c r="J765" s="16"/>
      <c r="K765" s="13"/>
      <c r="L765" s="15">
        <f t="shared" si="394"/>
        <v>1</v>
      </c>
      <c r="M765" s="15"/>
      <c r="N765" s="15">
        <f t="shared" si="393"/>
        <v>0</v>
      </c>
    </row>
    <row r="766" spans="1:14" x14ac:dyDescent="0.4">
      <c r="A766" s="11" t="s">
        <v>6</v>
      </c>
      <c r="B766" s="41">
        <f t="shared" ref="B766:I768" ca="1" si="395">OFFSET(B766,-3,0)</f>
        <v>0</v>
      </c>
      <c r="C766" s="41"/>
      <c r="D766" s="41"/>
      <c r="E766" s="41"/>
      <c r="F766" s="19">
        <f t="shared" ca="1" si="395"/>
        <v>0</v>
      </c>
      <c r="G766" s="20">
        <f t="shared" ca="1" si="395"/>
        <v>0</v>
      </c>
      <c r="H766" s="20">
        <f t="shared" ca="1" si="395"/>
        <v>0</v>
      </c>
      <c r="I766" s="13">
        <f t="shared" ca="1" si="395"/>
        <v>0</v>
      </c>
      <c r="J766" s="16"/>
      <c r="K766" s="19">
        <f t="shared" ref="K766:K768" ca="1" si="396">OFFSET(K766,-3,0)</f>
        <v>0</v>
      </c>
      <c r="L766" s="15">
        <f t="shared" ca="1" si="394"/>
        <v>1</v>
      </c>
      <c r="M766" s="15"/>
      <c r="N766" s="15">
        <f t="shared" ca="1" si="393"/>
        <v>0</v>
      </c>
    </row>
    <row r="767" spans="1:14" x14ac:dyDescent="0.4">
      <c r="A767" s="11" t="s">
        <v>6</v>
      </c>
      <c r="B767" s="41">
        <f t="shared" ca="1" si="395"/>
        <v>0</v>
      </c>
      <c r="C767" s="41"/>
      <c r="D767" s="41"/>
      <c r="E767" s="41"/>
      <c r="F767" s="19">
        <f t="shared" ca="1" si="395"/>
        <v>0</v>
      </c>
      <c r="G767" s="20">
        <f t="shared" ca="1" si="395"/>
        <v>0</v>
      </c>
      <c r="H767" s="20">
        <f t="shared" ca="1" si="395"/>
        <v>0</v>
      </c>
      <c r="I767" s="13">
        <f t="shared" ca="1" si="395"/>
        <v>0</v>
      </c>
      <c r="J767" s="16"/>
      <c r="K767" s="19">
        <f t="shared" ca="1" si="396"/>
        <v>0</v>
      </c>
      <c r="L767" s="15">
        <f t="shared" ca="1" si="394"/>
        <v>1</v>
      </c>
      <c r="M767" s="15"/>
      <c r="N767" s="15">
        <f t="shared" ca="1" si="393"/>
        <v>0</v>
      </c>
    </row>
    <row r="768" spans="1:14" x14ac:dyDescent="0.4">
      <c r="A768" s="11" t="s">
        <v>6</v>
      </c>
      <c r="B768" s="41">
        <f t="shared" ca="1" si="395"/>
        <v>0</v>
      </c>
      <c r="C768" s="41"/>
      <c r="D768" s="41"/>
      <c r="E768" s="41"/>
      <c r="F768" s="19">
        <f t="shared" ca="1" si="395"/>
        <v>0</v>
      </c>
      <c r="G768" s="20">
        <f t="shared" ca="1" si="395"/>
        <v>0</v>
      </c>
      <c r="H768" s="20">
        <f t="shared" ca="1" si="395"/>
        <v>0</v>
      </c>
      <c r="I768" s="13">
        <f t="shared" ca="1" si="395"/>
        <v>0</v>
      </c>
      <c r="J768" s="16"/>
      <c r="K768" s="19">
        <f t="shared" ca="1" si="396"/>
        <v>0</v>
      </c>
      <c r="L768" s="15">
        <f t="shared" ca="1" si="394"/>
        <v>1</v>
      </c>
      <c r="M768" s="15"/>
      <c r="N768" s="15">
        <f t="shared" ca="1" si="393"/>
        <v>0</v>
      </c>
    </row>
    <row r="769" spans="1:14" x14ac:dyDescent="0.4">
      <c r="A769" s="11" t="s">
        <v>10</v>
      </c>
      <c r="B769" s="40">
        <f t="shared" ref="B769:I771" ca="1" si="397">OFFSET(B769,-6,0)</f>
        <v>0</v>
      </c>
      <c r="C769" s="40"/>
      <c r="D769" s="40"/>
      <c r="E769" s="40"/>
      <c r="F769" s="13">
        <f t="shared" ca="1" si="397"/>
        <v>0</v>
      </c>
      <c r="G769" s="17">
        <f t="shared" ca="1" si="397"/>
        <v>0</v>
      </c>
      <c r="H769" s="17">
        <f t="shared" ca="1" si="397"/>
        <v>0</v>
      </c>
      <c r="I769" s="13">
        <f t="shared" ca="1" si="397"/>
        <v>0</v>
      </c>
      <c r="J769" s="16"/>
      <c r="K769" s="13">
        <f t="shared" ref="K769:K771" ca="1" si="398">OFFSET(K769,-6,0)</f>
        <v>0</v>
      </c>
      <c r="L769" s="15">
        <f t="shared" ca="1" si="394"/>
        <v>1</v>
      </c>
      <c r="M769" s="15"/>
      <c r="N769" s="15">
        <f t="shared" ca="1" si="393"/>
        <v>0</v>
      </c>
    </row>
    <row r="770" spans="1:14" x14ac:dyDescent="0.4">
      <c r="A770" s="11" t="s">
        <v>10</v>
      </c>
      <c r="B770" s="40">
        <f t="shared" ca="1" si="397"/>
        <v>0</v>
      </c>
      <c r="C770" s="40"/>
      <c r="D770" s="40"/>
      <c r="E770" s="40"/>
      <c r="F770" s="13">
        <f t="shared" ca="1" si="397"/>
        <v>0</v>
      </c>
      <c r="G770" s="17">
        <f t="shared" ca="1" si="397"/>
        <v>0</v>
      </c>
      <c r="H770" s="17">
        <f t="shared" ca="1" si="397"/>
        <v>0</v>
      </c>
      <c r="I770" s="13">
        <f t="shared" ca="1" si="397"/>
        <v>0</v>
      </c>
      <c r="J770" s="16"/>
      <c r="K770" s="13">
        <f t="shared" ca="1" si="398"/>
        <v>0</v>
      </c>
      <c r="L770" s="15">
        <f t="shared" ca="1" si="394"/>
        <v>1</v>
      </c>
      <c r="M770" s="15"/>
      <c r="N770" s="15">
        <f t="shared" ca="1" si="393"/>
        <v>0</v>
      </c>
    </row>
    <row r="771" spans="1:14" x14ac:dyDescent="0.4">
      <c r="A771" s="11" t="s">
        <v>10</v>
      </c>
      <c r="B771" s="40">
        <f t="shared" ca="1" si="397"/>
        <v>0</v>
      </c>
      <c r="C771" s="40"/>
      <c r="D771" s="40"/>
      <c r="E771" s="40"/>
      <c r="F771" s="13">
        <f t="shared" ca="1" si="397"/>
        <v>0</v>
      </c>
      <c r="G771" s="17">
        <f t="shared" ca="1" si="397"/>
        <v>0</v>
      </c>
      <c r="H771" s="17">
        <f t="shared" ca="1" si="397"/>
        <v>0</v>
      </c>
      <c r="I771" s="13">
        <f t="shared" ca="1" si="397"/>
        <v>0</v>
      </c>
      <c r="J771" s="16"/>
      <c r="K771" s="13">
        <f t="shared" ca="1" si="398"/>
        <v>0</v>
      </c>
      <c r="L771" s="15">
        <f t="shared" ca="1" si="394"/>
        <v>1</v>
      </c>
      <c r="M771" s="15"/>
      <c r="N771" s="15">
        <f t="shared" ca="1" si="393"/>
        <v>0</v>
      </c>
    </row>
    <row r="772" spans="1:14" x14ac:dyDescent="0.4">
      <c r="A772" s="11" t="s">
        <v>7</v>
      </c>
      <c r="B772" s="40">
        <f t="shared" ref="B772:I774" ca="1" si="399">OFFSET(B772,-9,0)</f>
        <v>0</v>
      </c>
      <c r="C772" s="40"/>
      <c r="D772" s="40"/>
      <c r="E772" s="40"/>
      <c r="F772" s="13">
        <f t="shared" ca="1" si="399"/>
        <v>0</v>
      </c>
      <c r="G772" s="17">
        <f t="shared" ca="1" si="399"/>
        <v>0</v>
      </c>
      <c r="H772" s="17">
        <f t="shared" ca="1" si="399"/>
        <v>0</v>
      </c>
      <c r="I772" s="13">
        <f t="shared" ca="1" si="399"/>
        <v>0</v>
      </c>
      <c r="J772" s="16"/>
      <c r="K772" s="13">
        <f t="shared" ref="K772:K774" ca="1" si="400">OFFSET(K772,-9,0)</f>
        <v>0</v>
      </c>
      <c r="L772" s="15">
        <f t="shared" ca="1" si="394"/>
        <v>1</v>
      </c>
      <c r="M772" s="15"/>
      <c r="N772" s="15">
        <f t="shared" ca="1" si="393"/>
        <v>0</v>
      </c>
    </row>
    <row r="773" spans="1:14" x14ac:dyDescent="0.4">
      <c r="A773" s="11" t="s">
        <v>7</v>
      </c>
      <c r="B773" s="40">
        <f t="shared" ca="1" si="399"/>
        <v>0</v>
      </c>
      <c r="C773" s="40"/>
      <c r="D773" s="40"/>
      <c r="E773" s="40"/>
      <c r="F773" s="13">
        <f t="shared" ca="1" si="399"/>
        <v>0</v>
      </c>
      <c r="G773" s="17">
        <f t="shared" ca="1" si="399"/>
        <v>0</v>
      </c>
      <c r="H773" s="17">
        <f t="shared" ca="1" si="399"/>
        <v>0</v>
      </c>
      <c r="I773" s="13">
        <f t="shared" ca="1" si="399"/>
        <v>0</v>
      </c>
      <c r="J773" s="16"/>
      <c r="K773" s="13">
        <f t="shared" ca="1" si="400"/>
        <v>0</v>
      </c>
      <c r="L773" s="15">
        <f t="shared" ca="1" si="394"/>
        <v>1</v>
      </c>
      <c r="M773" s="15"/>
      <c r="N773" s="15">
        <f t="shared" ca="1" si="393"/>
        <v>0</v>
      </c>
    </row>
    <row r="774" spans="1:14" x14ac:dyDescent="0.4">
      <c r="A774" s="11" t="s">
        <v>7</v>
      </c>
      <c r="B774" s="40">
        <f t="shared" ca="1" si="399"/>
        <v>0</v>
      </c>
      <c r="C774" s="40"/>
      <c r="D774" s="40"/>
      <c r="E774" s="40"/>
      <c r="F774" s="13">
        <f t="shared" ca="1" si="399"/>
        <v>0</v>
      </c>
      <c r="G774" s="17">
        <f t="shared" ca="1" si="399"/>
        <v>0</v>
      </c>
      <c r="H774" s="17">
        <f t="shared" ca="1" si="399"/>
        <v>0</v>
      </c>
      <c r="I774" s="13">
        <f t="shared" ca="1" si="399"/>
        <v>0</v>
      </c>
      <c r="J774" s="16"/>
      <c r="K774" s="13">
        <f t="shared" ca="1" si="400"/>
        <v>0</v>
      </c>
      <c r="L774" s="15">
        <f t="shared" ca="1" si="394"/>
        <v>1</v>
      </c>
      <c r="M774" s="15"/>
      <c r="N774" s="15">
        <f t="shared" ca="1" si="393"/>
        <v>0</v>
      </c>
    </row>
    <row r="775" spans="1:14" x14ac:dyDescent="0.4">
      <c r="A775" s="11" t="s">
        <v>8</v>
      </c>
      <c r="B775" s="40">
        <f t="shared" ref="B775:I777" ca="1" si="401">OFFSET(B775,-12,0)</f>
        <v>0</v>
      </c>
      <c r="C775" s="40"/>
      <c r="D775" s="40"/>
      <c r="E775" s="40"/>
      <c r="F775" s="13">
        <f t="shared" ca="1" si="401"/>
        <v>0</v>
      </c>
      <c r="G775" s="17">
        <f t="shared" ca="1" si="401"/>
        <v>0</v>
      </c>
      <c r="H775" s="17">
        <f t="shared" ca="1" si="401"/>
        <v>0</v>
      </c>
      <c r="I775" s="13">
        <f t="shared" ca="1" si="401"/>
        <v>0</v>
      </c>
      <c r="J775" s="16"/>
      <c r="K775" s="13">
        <f t="shared" ref="K775:K777" ca="1" si="402">OFFSET(K775,-12,0)</f>
        <v>0</v>
      </c>
      <c r="L775" s="15">
        <f t="shared" ca="1" si="394"/>
        <v>1</v>
      </c>
      <c r="M775" s="15"/>
      <c r="N775" s="15">
        <f t="shared" ca="1" si="393"/>
        <v>0</v>
      </c>
    </row>
    <row r="776" spans="1:14" x14ac:dyDescent="0.4">
      <c r="A776" s="11" t="s">
        <v>8</v>
      </c>
      <c r="B776" s="40">
        <f t="shared" ca="1" si="401"/>
        <v>0</v>
      </c>
      <c r="C776" s="40"/>
      <c r="D776" s="40"/>
      <c r="E776" s="40"/>
      <c r="F776" s="13">
        <f t="shared" ca="1" si="401"/>
        <v>0</v>
      </c>
      <c r="G776" s="17">
        <f t="shared" ca="1" si="401"/>
        <v>0</v>
      </c>
      <c r="H776" s="17">
        <f t="shared" ca="1" si="401"/>
        <v>0</v>
      </c>
      <c r="I776" s="13">
        <f t="shared" ca="1" si="401"/>
        <v>0</v>
      </c>
      <c r="J776" s="16"/>
      <c r="K776" s="13">
        <f t="shared" ca="1" si="402"/>
        <v>0</v>
      </c>
      <c r="L776" s="15">
        <f t="shared" ca="1" si="394"/>
        <v>1</v>
      </c>
      <c r="M776" s="15"/>
      <c r="N776" s="15">
        <f t="shared" ca="1" si="393"/>
        <v>0</v>
      </c>
    </row>
    <row r="777" spans="1:14" x14ac:dyDescent="0.4">
      <c r="A777" s="11" t="s">
        <v>8</v>
      </c>
      <c r="B777" s="40">
        <f t="shared" ca="1" si="401"/>
        <v>0</v>
      </c>
      <c r="C777" s="40"/>
      <c r="D777" s="40"/>
      <c r="E777" s="40"/>
      <c r="F777" s="13">
        <f t="shared" ca="1" si="401"/>
        <v>0</v>
      </c>
      <c r="G777" s="17">
        <f t="shared" ca="1" si="401"/>
        <v>0</v>
      </c>
      <c r="H777" s="17">
        <f t="shared" ca="1" si="401"/>
        <v>0</v>
      </c>
      <c r="I777" s="13">
        <f t="shared" ca="1" si="401"/>
        <v>0</v>
      </c>
      <c r="J777" s="16"/>
      <c r="K777" s="13">
        <f t="shared" ca="1" si="402"/>
        <v>0</v>
      </c>
      <c r="L777" s="15">
        <f t="shared" ca="1" si="394"/>
        <v>1</v>
      </c>
      <c r="M777" s="15"/>
      <c r="N777" s="15">
        <f t="shared" ca="1" si="393"/>
        <v>0</v>
      </c>
    </row>
    <row r="778" spans="1:14" x14ac:dyDescent="0.4">
      <c r="A778" s="11" t="s">
        <v>9</v>
      </c>
      <c r="B778" s="41">
        <f t="shared" ref="B778:H780" ca="1" si="403">OFFSET(B778,-15,0)</f>
        <v>0</v>
      </c>
      <c r="C778" s="41"/>
      <c r="D778" s="41"/>
      <c r="E778" s="41"/>
      <c r="F778" s="19">
        <f t="shared" ca="1" si="403"/>
        <v>0</v>
      </c>
      <c r="G778" s="20">
        <f t="shared" ca="1" si="403"/>
        <v>0</v>
      </c>
      <c r="H778" s="20">
        <f ca="1">OFFSET(H778,-15,0)</f>
        <v>0</v>
      </c>
      <c r="I778" s="13">
        <f t="shared" ref="I778:I780" ca="1" si="404">OFFSET(I778,-15,0)</f>
        <v>0</v>
      </c>
      <c r="J778" s="16"/>
      <c r="K778" s="19">
        <f t="shared" ref="K778:K780" ca="1" si="405">OFFSET(K778,-15,0)</f>
        <v>0</v>
      </c>
      <c r="L778" s="15">
        <f t="shared" ca="1" si="394"/>
        <v>1</v>
      </c>
      <c r="M778" s="15"/>
      <c r="N778" s="15">
        <f t="shared" ca="1" si="393"/>
        <v>0</v>
      </c>
    </row>
    <row r="779" spans="1:14" x14ac:dyDescent="0.4">
      <c r="A779" s="11" t="s">
        <v>9</v>
      </c>
      <c r="B779" s="41">
        <f t="shared" ca="1" si="403"/>
        <v>0</v>
      </c>
      <c r="C779" s="41"/>
      <c r="D779" s="41"/>
      <c r="E779" s="41"/>
      <c r="F779" s="19">
        <f t="shared" ca="1" si="403"/>
        <v>0</v>
      </c>
      <c r="G779" s="20">
        <f t="shared" ca="1" si="403"/>
        <v>0</v>
      </c>
      <c r="H779" s="20">
        <f t="shared" ca="1" si="403"/>
        <v>0</v>
      </c>
      <c r="I779" s="13">
        <f t="shared" ca="1" si="404"/>
        <v>0</v>
      </c>
      <c r="J779" s="16"/>
      <c r="K779" s="19">
        <f t="shared" ca="1" si="405"/>
        <v>0</v>
      </c>
      <c r="L779" s="15">
        <f t="shared" ca="1" si="394"/>
        <v>1</v>
      </c>
      <c r="M779" s="15"/>
      <c r="N779" s="15">
        <f t="shared" ca="1" si="393"/>
        <v>0</v>
      </c>
    </row>
    <row r="780" spans="1:14" x14ac:dyDescent="0.4">
      <c r="A780" s="11" t="s">
        <v>9</v>
      </c>
      <c r="B780" s="41">
        <f t="shared" ca="1" si="403"/>
        <v>0</v>
      </c>
      <c r="C780" s="41"/>
      <c r="D780" s="41"/>
      <c r="E780" s="41"/>
      <c r="F780" s="19">
        <f t="shared" ca="1" si="403"/>
        <v>0</v>
      </c>
      <c r="G780" s="20">
        <f t="shared" ca="1" si="403"/>
        <v>0</v>
      </c>
      <c r="H780" s="20">
        <f t="shared" ca="1" si="403"/>
        <v>0</v>
      </c>
      <c r="I780" s="13">
        <f t="shared" ca="1" si="404"/>
        <v>0</v>
      </c>
      <c r="J780" s="16"/>
      <c r="K780" s="19">
        <f t="shared" ca="1" si="405"/>
        <v>0</v>
      </c>
      <c r="L780" s="15">
        <f t="shared" ca="1" si="394"/>
        <v>1</v>
      </c>
      <c r="M780" s="15"/>
      <c r="N780" s="15">
        <f t="shared" ca="1" si="393"/>
        <v>0</v>
      </c>
    </row>
    <row r="781" spans="1:14" ht="17.399999999999999" x14ac:dyDescent="0.4">
      <c r="A781" s="74" t="s">
        <v>30</v>
      </c>
      <c r="B781" s="75"/>
      <c r="C781" s="75"/>
      <c r="D781" s="75"/>
      <c r="E781" s="75"/>
      <c r="F781" s="75"/>
      <c r="G781" s="75"/>
      <c r="H781" s="75"/>
      <c r="I781" s="75"/>
      <c r="J781" s="75"/>
      <c r="K781" s="75"/>
      <c r="L781" s="75"/>
      <c r="M781" s="75"/>
      <c r="N781" s="76"/>
    </row>
    <row r="782" spans="1:14" x14ac:dyDescent="0.4">
      <c r="A782" s="11" t="s">
        <v>5</v>
      </c>
      <c r="B782" s="40"/>
      <c r="C782" s="40"/>
      <c r="D782" s="40"/>
      <c r="E782" s="40"/>
      <c r="F782" s="13"/>
      <c r="G782" s="11"/>
      <c r="H782" s="17"/>
      <c r="I782" s="13"/>
      <c r="J782" s="16"/>
      <c r="K782" s="13"/>
      <c r="L782" s="15">
        <f>ROUND((10^(K782/10))/(10^(I782/10)),3)</f>
        <v>1</v>
      </c>
      <c r="M782" s="15"/>
      <c r="N782" s="15">
        <f t="shared" ref="N782:N799" si="406">J782*L782</f>
        <v>0</v>
      </c>
    </row>
    <row r="783" spans="1:14" x14ac:dyDescent="0.4">
      <c r="A783" s="11" t="s">
        <v>5</v>
      </c>
      <c r="B783" s="40"/>
      <c r="C783" s="40"/>
      <c r="D783" s="40"/>
      <c r="E783" s="40"/>
      <c r="F783" s="13"/>
      <c r="G783" s="11"/>
      <c r="H783" s="17"/>
      <c r="I783" s="13"/>
      <c r="J783" s="16"/>
      <c r="K783" s="13"/>
      <c r="L783" s="15">
        <f t="shared" ref="L783:L799" si="407">ROUND((10^(K783/10))/(10^(I783/10)),3)</f>
        <v>1</v>
      </c>
      <c r="M783" s="15"/>
      <c r="N783" s="15">
        <f t="shared" si="406"/>
        <v>0</v>
      </c>
    </row>
    <row r="784" spans="1:14" x14ac:dyDescent="0.4">
      <c r="A784" s="11" t="s">
        <v>5</v>
      </c>
      <c r="B784" s="40"/>
      <c r="C784" s="40"/>
      <c r="D784" s="40"/>
      <c r="E784" s="40"/>
      <c r="F784" s="13"/>
      <c r="G784" s="11"/>
      <c r="H784" s="17"/>
      <c r="I784" s="13"/>
      <c r="J784" s="16"/>
      <c r="K784" s="13"/>
      <c r="L784" s="15">
        <f t="shared" si="407"/>
        <v>1</v>
      </c>
      <c r="M784" s="15"/>
      <c r="N784" s="15">
        <f t="shared" si="406"/>
        <v>0</v>
      </c>
    </row>
    <row r="785" spans="1:14" x14ac:dyDescent="0.4">
      <c r="A785" s="11" t="s">
        <v>6</v>
      </c>
      <c r="B785" s="41">
        <f t="shared" ref="B785:I787" ca="1" si="408">OFFSET(B785,-3,0)</f>
        <v>0</v>
      </c>
      <c r="C785" s="41"/>
      <c r="D785" s="41"/>
      <c r="E785" s="41"/>
      <c r="F785" s="19">
        <f t="shared" ca="1" si="408"/>
        <v>0</v>
      </c>
      <c r="G785" s="20">
        <f t="shared" ca="1" si="408"/>
        <v>0</v>
      </c>
      <c r="H785" s="20">
        <f t="shared" ca="1" si="408"/>
        <v>0</v>
      </c>
      <c r="I785" s="13">
        <f t="shared" ca="1" si="408"/>
        <v>0</v>
      </c>
      <c r="J785" s="16"/>
      <c r="K785" s="19">
        <f t="shared" ref="K785:K787" ca="1" si="409">OFFSET(K785,-3,0)</f>
        <v>0</v>
      </c>
      <c r="L785" s="15">
        <f t="shared" ca="1" si="407"/>
        <v>1</v>
      </c>
      <c r="M785" s="15"/>
      <c r="N785" s="15">
        <f t="shared" ca="1" si="406"/>
        <v>0</v>
      </c>
    </row>
    <row r="786" spans="1:14" x14ac:dyDescent="0.4">
      <c r="A786" s="11" t="s">
        <v>6</v>
      </c>
      <c r="B786" s="41">
        <f t="shared" ca="1" si="408"/>
        <v>0</v>
      </c>
      <c r="C786" s="41"/>
      <c r="D786" s="41"/>
      <c r="E786" s="41"/>
      <c r="F786" s="19">
        <f t="shared" ca="1" si="408"/>
        <v>0</v>
      </c>
      <c r="G786" s="20">
        <f t="shared" ca="1" si="408"/>
        <v>0</v>
      </c>
      <c r="H786" s="20">
        <f t="shared" ca="1" si="408"/>
        <v>0</v>
      </c>
      <c r="I786" s="13">
        <f t="shared" ca="1" si="408"/>
        <v>0</v>
      </c>
      <c r="J786" s="16"/>
      <c r="K786" s="19">
        <f t="shared" ca="1" si="409"/>
        <v>0</v>
      </c>
      <c r="L786" s="15">
        <f t="shared" ca="1" si="407"/>
        <v>1</v>
      </c>
      <c r="M786" s="15"/>
      <c r="N786" s="15">
        <f t="shared" ca="1" si="406"/>
        <v>0</v>
      </c>
    </row>
    <row r="787" spans="1:14" x14ac:dyDescent="0.4">
      <c r="A787" s="11" t="s">
        <v>6</v>
      </c>
      <c r="B787" s="41">
        <f t="shared" ca="1" si="408"/>
        <v>0</v>
      </c>
      <c r="C787" s="41"/>
      <c r="D787" s="41"/>
      <c r="E787" s="41"/>
      <c r="F787" s="19">
        <f t="shared" ca="1" si="408"/>
        <v>0</v>
      </c>
      <c r="G787" s="20">
        <f t="shared" ca="1" si="408"/>
        <v>0</v>
      </c>
      <c r="H787" s="20">
        <f t="shared" ca="1" si="408"/>
        <v>0</v>
      </c>
      <c r="I787" s="13">
        <f t="shared" ca="1" si="408"/>
        <v>0</v>
      </c>
      <c r="J787" s="16"/>
      <c r="K787" s="19">
        <f t="shared" ca="1" si="409"/>
        <v>0</v>
      </c>
      <c r="L787" s="15">
        <f t="shared" ca="1" si="407"/>
        <v>1</v>
      </c>
      <c r="M787" s="15"/>
      <c r="N787" s="15">
        <f t="shared" ca="1" si="406"/>
        <v>0</v>
      </c>
    </row>
    <row r="788" spans="1:14" x14ac:dyDescent="0.4">
      <c r="A788" s="11" t="s">
        <v>57</v>
      </c>
      <c r="B788" s="40">
        <f t="shared" ref="B788:I790" ca="1" si="410">OFFSET(B788,-6,0)</f>
        <v>0</v>
      </c>
      <c r="C788" s="40"/>
      <c r="D788" s="40"/>
      <c r="E788" s="40"/>
      <c r="F788" s="13">
        <f t="shared" ca="1" si="410"/>
        <v>0</v>
      </c>
      <c r="G788" s="17">
        <f t="shared" ca="1" si="410"/>
        <v>0</v>
      </c>
      <c r="H788" s="17">
        <f t="shared" ca="1" si="410"/>
        <v>0</v>
      </c>
      <c r="I788" s="13">
        <f t="shared" ca="1" si="410"/>
        <v>0</v>
      </c>
      <c r="J788" s="16"/>
      <c r="K788" s="13">
        <f t="shared" ref="K788:K790" ca="1" si="411">OFFSET(K788,-6,0)</f>
        <v>0</v>
      </c>
      <c r="L788" s="15">
        <f t="shared" ca="1" si="407"/>
        <v>1</v>
      </c>
      <c r="M788" s="15"/>
      <c r="N788" s="15">
        <f t="shared" ca="1" si="406"/>
        <v>0</v>
      </c>
    </row>
    <row r="789" spans="1:14" x14ac:dyDescent="0.4">
      <c r="A789" s="11" t="s">
        <v>57</v>
      </c>
      <c r="B789" s="40">
        <f t="shared" ca="1" si="410"/>
        <v>0</v>
      </c>
      <c r="C789" s="40"/>
      <c r="D789" s="40"/>
      <c r="E789" s="40"/>
      <c r="F789" s="13">
        <f t="shared" ca="1" si="410"/>
        <v>0</v>
      </c>
      <c r="G789" s="17">
        <f t="shared" ca="1" si="410"/>
        <v>0</v>
      </c>
      <c r="H789" s="17">
        <f t="shared" ca="1" si="410"/>
        <v>0</v>
      </c>
      <c r="I789" s="13">
        <f t="shared" ca="1" si="410"/>
        <v>0</v>
      </c>
      <c r="J789" s="16"/>
      <c r="K789" s="13">
        <f t="shared" ca="1" si="411"/>
        <v>0</v>
      </c>
      <c r="L789" s="15">
        <f t="shared" ca="1" si="407"/>
        <v>1</v>
      </c>
      <c r="M789" s="15"/>
      <c r="N789" s="15">
        <f t="shared" ca="1" si="406"/>
        <v>0</v>
      </c>
    </row>
    <row r="790" spans="1:14" x14ac:dyDescent="0.4">
      <c r="A790" s="11" t="s">
        <v>57</v>
      </c>
      <c r="B790" s="40">
        <f t="shared" ca="1" si="410"/>
        <v>0</v>
      </c>
      <c r="C790" s="40"/>
      <c r="D790" s="40"/>
      <c r="E790" s="40"/>
      <c r="F790" s="13">
        <f t="shared" ca="1" si="410"/>
        <v>0</v>
      </c>
      <c r="G790" s="17">
        <f t="shared" ca="1" si="410"/>
        <v>0</v>
      </c>
      <c r="H790" s="17">
        <f t="shared" ca="1" si="410"/>
        <v>0</v>
      </c>
      <c r="I790" s="13">
        <f t="shared" ca="1" si="410"/>
        <v>0</v>
      </c>
      <c r="J790" s="16"/>
      <c r="K790" s="13">
        <f t="shared" ca="1" si="411"/>
        <v>0</v>
      </c>
      <c r="L790" s="15">
        <f t="shared" ca="1" si="407"/>
        <v>1</v>
      </c>
      <c r="M790" s="15"/>
      <c r="N790" s="15">
        <f t="shared" ca="1" si="406"/>
        <v>0</v>
      </c>
    </row>
    <row r="791" spans="1:14" x14ac:dyDescent="0.4">
      <c r="A791" s="11" t="s">
        <v>7</v>
      </c>
      <c r="B791" s="40">
        <f t="shared" ref="B791:I793" ca="1" si="412">OFFSET(B791,-9,0)</f>
        <v>0</v>
      </c>
      <c r="C791" s="40"/>
      <c r="D791" s="40"/>
      <c r="E791" s="40"/>
      <c r="F791" s="13">
        <f t="shared" ca="1" si="412"/>
        <v>0</v>
      </c>
      <c r="G791" s="17">
        <f t="shared" ca="1" si="412"/>
        <v>0</v>
      </c>
      <c r="H791" s="17">
        <f t="shared" ca="1" si="412"/>
        <v>0</v>
      </c>
      <c r="I791" s="13">
        <f t="shared" ca="1" si="412"/>
        <v>0</v>
      </c>
      <c r="J791" s="16"/>
      <c r="K791" s="13">
        <f t="shared" ref="K791:K793" ca="1" si="413">OFFSET(K791,-9,0)</f>
        <v>0</v>
      </c>
      <c r="L791" s="15">
        <f t="shared" ca="1" si="407"/>
        <v>1</v>
      </c>
      <c r="M791" s="15"/>
      <c r="N791" s="15">
        <f t="shared" ca="1" si="406"/>
        <v>0</v>
      </c>
    </row>
    <row r="792" spans="1:14" x14ac:dyDescent="0.4">
      <c r="A792" s="11" t="s">
        <v>7</v>
      </c>
      <c r="B792" s="40">
        <f t="shared" ca="1" si="412"/>
        <v>0</v>
      </c>
      <c r="C792" s="40"/>
      <c r="D792" s="40"/>
      <c r="E792" s="40"/>
      <c r="F792" s="13">
        <f t="shared" ca="1" si="412"/>
        <v>0</v>
      </c>
      <c r="G792" s="17">
        <f t="shared" ca="1" si="412"/>
        <v>0</v>
      </c>
      <c r="H792" s="17">
        <f t="shared" ca="1" si="412"/>
        <v>0</v>
      </c>
      <c r="I792" s="13">
        <f t="shared" ca="1" si="412"/>
        <v>0</v>
      </c>
      <c r="J792" s="16"/>
      <c r="K792" s="13">
        <f t="shared" ca="1" si="413"/>
        <v>0</v>
      </c>
      <c r="L792" s="15">
        <f t="shared" ca="1" si="407"/>
        <v>1</v>
      </c>
      <c r="M792" s="15"/>
      <c r="N792" s="15">
        <f t="shared" ca="1" si="406"/>
        <v>0</v>
      </c>
    </row>
    <row r="793" spans="1:14" x14ac:dyDescent="0.4">
      <c r="A793" s="11" t="s">
        <v>7</v>
      </c>
      <c r="B793" s="40">
        <f t="shared" ca="1" si="412"/>
        <v>0</v>
      </c>
      <c r="C793" s="40"/>
      <c r="D793" s="40"/>
      <c r="E793" s="40"/>
      <c r="F793" s="13">
        <f t="shared" ca="1" si="412"/>
        <v>0</v>
      </c>
      <c r="G793" s="17">
        <f t="shared" ca="1" si="412"/>
        <v>0</v>
      </c>
      <c r="H793" s="17">
        <f t="shared" ca="1" si="412"/>
        <v>0</v>
      </c>
      <c r="I793" s="13">
        <f t="shared" ca="1" si="412"/>
        <v>0</v>
      </c>
      <c r="J793" s="16"/>
      <c r="K793" s="13">
        <f t="shared" ca="1" si="413"/>
        <v>0</v>
      </c>
      <c r="L793" s="15">
        <f t="shared" ca="1" si="407"/>
        <v>1</v>
      </c>
      <c r="M793" s="15"/>
      <c r="N793" s="15">
        <f t="shared" ca="1" si="406"/>
        <v>0</v>
      </c>
    </row>
    <row r="794" spans="1:14" x14ac:dyDescent="0.4">
      <c r="A794" s="11" t="s">
        <v>8</v>
      </c>
      <c r="B794" s="40">
        <f t="shared" ref="B794:I796" ca="1" si="414">OFFSET(B794,-12,0)</f>
        <v>0</v>
      </c>
      <c r="C794" s="40"/>
      <c r="D794" s="40"/>
      <c r="E794" s="40"/>
      <c r="F794" s="13">
        <f t="shared" ca="1" si="414"/>
        <v>0</v>
      </c>
      <c r="G794" s="17">
        <f t="shared" ca="1" si="414"/>
        <v>0</v>
      </c>
      <c r="H794" s="17">
        <f t="shared" ca="1" si="414"/>
        <v>0</v>
      </c>
      <c r="I794" s="13">
        <f t="shared" ca="1" si="414"/>
        <v>0</v>
      </c>
      <c r="J794" s="16"/>
      <c r="K794" s="13">
        <f t="shared" ref="K794:K796" ca="1" si="415">OFFSET(K794,-12,0)</f>
        <v>0</v>
      </c>
      <c r="L794" s="15">
        <f t="shared" ca="1" si="407"/>
        <v>1</v>
      </c>
      <c r="M794" s="15"/>
      <c r="N794" s="15">
        <f t="shared" ca="1" si="406"/>
        <v>0</v>
      </c>
    </row>
    <row r="795" spans="1:14" x14ac:dyDescent="0.4">
      <c r="A795" s="11" t="s">
        <v>8</v>
      </c>
      <c r="B795" s="40">
        <f t="shared" ca="1" si="414"/>
        <v>0</v>
      </c>
      <c r="C795" s="40"/>
      <c r="D795" s="40"/>
      <c r="E795" s="40"/>
      <c r="F795" s="13">
        <f t="shared" ca="1" si="414"/>
        <v>0</v>
      </c>
      <c r="G795" s="17">
        <f t="shared" ca="1" si="414"/>
        <v>0</v>
      </c>
      <c r="H795" s="17">
        <f t="shared" ca="1" si="414"/>
        <v>0</v>
      </c>
      <c r="I795" s="13">
        <f t="shared" ca="1" si="414"/>
        <v>0</v>
      </c>
      <c r="J795" s="16"/>
      <c r="K795" s="13">
        <f t="shared" ca="1" si="415"/>
        <v>0</v>
      </c>
      <c r="L795" s="15">
        <f t="shared" ca="1" si="407"/>
        <v>1</v>
      </c>
      <c r="M795" s="15"/>
      <c r="N795" s="15">
        <f t="shared" ca="1" si="406"/>
        <v>0</v>
      </c>
    </row>
    <row r="796" spans="1:14" x14ac:dyDescent="0.4">
      <c r="A796" s="11" t="s">
        <v>8</v>
      </c>
      <c r="B796" s="40">
        <f t="shared" ca="1" si="414"/>
        <v>0</v>
      </c>
      <c r="C796" s="40"/>
      <c r="D796" s="40"/>
      <c r="E796" s="40"/>
      <c r="F796" s="13">
        <f t="shared" ca="1" si="414"/>
        <v>0</v>
      </c>
      <c r="G796" s="17">
        <f t="shared" ca="1" si="414"/>
        <v>0</v>
      </c>
      <c r="H796" s="17">
        <f t="shared" ca="1" si="414"/>
        <v>0</v>
      </c>
      <c r="I796" s="13">
        <f t="shared" ca="1" si="414"/>
        <v>0</v>
      </c>
      <c r="J796" s="16"/>
      <c r="K796" s="13">
        <f t="shared" ca="1" si="415"/>
        <v>0</v>
      </c>
      <c r="L796" s="15">
        <f t="shared" ca="1" si="407"/>
        <v>1</v>
      </c>
      <c r="M796" s="15"/>
      <c r="N796" s="15">
        <f t="shared" ca="1" si="406"/>
        <v>0</v>
      </c>
    </row>
    <row r="797" spans="1:14" x14ac:dyDescent="0.4">
      <c r="A797" s="11" t="s">
        <v>9</v>
      </c>
      <c r="B797" s="41">
        <f t="shared" ref="B797:I799" ca="1" si="416">OFFSET(B797,-15,0)</f>
        <v>0</v>
      </c>
      <c r="C797" s="41"/>
      <c r="D797" s="41"/>
      <c r="E797" s="41"/>
      <c r="F797" s="19">
        <f t="shared" ca="1" si="416"/>
        <v>0</v>
      </c>
      <c r="G797" s="20">
        <f t="shared" ca="1" si="416"/>
        <v>0</v>
      </c>
      <c r="H797" s="20">
        <f t="shared" ca="1" si="416"/>
        <v>0</v>
      </c>
      <c r="I797" s="13">
        <f t="shared" ca="1" si="416"/>
        <v>0</v>
      </c>
      <c r="J797" s="16"/>
      <c r="K797" s="19">
        <f t="shared" ref="K797:K799" ca="1" si="417">OFFSET(K797,-15,0)</f>
        <v>0</v>
      </c>
      <c r="L797" s="15">
        <f t="shared" ca="1" si="407"/>
        <v>1</v>
      </c>
      <c r="M797" s="15"/>
      <c r="N797" s="15">
        <f t="shared" ca="1" si="406"/>
        <v>0</v>
      </c>
    </row>
    <row r="798" spans="1:14" x14ac:dyDescent="0.4">
      <c r="A798" s="11" t="s">
        <v>9</v>
      </c>
      <c r="B798" s="41">
        <f t="shared" ca="1" si="416"/>
        <v>0</v>
      </c>
      <c r="C798" s="41"/>
      <c r="D798" s="41"/>
      <c r="E798" s="41"/>
      <c r="F798" s="19">
        <f t="shared" ca="1" si="416"/>
        <v>0</v>
      </c>
      <c r="G798" s="20">
        <f t="shared" ca="1" si="416"/>
        <v>0</v>
      </c>
      <c r="H798" s="20">
        <f t="shared" ca="1" si="416"/>
        <v>0</v>
      </c>
      <c r="I798" s="13">
        <f t="shared" ca="1" si="416"/>
        <v>0</v>
      </c>
      <c r="J798" s="16"/>
      <c r="K798" s="19">
        <f t="shared" ca="1" si="417"/>
        <v>0</v>
      </c>
      <c r="L798" s="15">
        <f t="shared" ca="1" si="407"/>
        <v>1</v>
      </c>
      <c r="M798" s="15"/>
      <c r="N798" s="15">
        <f t="shared" ca="1" si="406"/>
        <v>0</v>
      </c>
    </row>
    <row r="799" spans="1:14" x14ac:dyDescent="0.4">
      <c r="A799" s="11" t="s">
        <v>9</v>
      </c>
      <c r="B799" s="41">
        <f t="shared" ca="1" si="416"/>
        <v>0</v>
      </c>
      <c r="C799" s="41"/>
      <c r="D799" s="41"/>
      <c r="E799" s="41"/>
      <c r="F799" s="19">
        <f t="shared" ca="1" si="416"/>
        <v>0</v>
      </c>
      <c r="G799" s="20">
        <f t="shared" ca="1" si="416"/>
        <v>0</v>
      </c>
      <c r="H799" s="20">
        <f t="shared" ca="1" si="416"/>
        <v>0</v>
      </c>
      <c r="I799" s="13">
        <f t="shared" ca="1" si="416"/>
        <v>0</v>
      </c>
      <c r="J799" s="16"/>
      <c r="K799" s="19">
        <f t="shared" ca="1" si="417"/>
        <v>0</v>
      </c>
      <c r="L799" s="15">
        <f t="shared" ca="1" si="407"/>
        <v>1</v>
      </c>
      <c r="M799" s="15"/>
      <c r="N799" s="15">
        <f t="shared" ca="1" si="406"/>
        <v>0</v>
      </c>
    </row>
    <row r="800" spans="1:14" ht="17.399999999999999" x14ac:dyDescent="0.4">
      <c r="A800" s="77" t="s">
        <v>27</v>
      </c>
      <c r="B800" s="75"/>
      <c r="C800" s="75"/>
      <c r="D800" s="75"/>
      <c r="E800" s="75"/>
      <c r="F800" s="75"/>
      <c r="G800" s="75"/>
      <c r="H800" s="75"/>
      <c r="I800" s="75"/>
      <c r="J800" s="75"/>
      <c r="K800" s="75"/>
      <c r="L800" s="75"/>
      <c r="M800" s="75"/>
      <c r="N800" s="76"/>
    </row>
    <row r="801" spans="1:14" x14ac:dyDescent="0.4">
      <c r="A801" s="11" t="s">
        <v>5</v>
      </c>
      <c r="B801" s="40"/>
      <c r="C801" s="40"/>
      <c r="D801" s="40"/>
      <c r="E801" s="40"/>
      <c r="F801" s="13"/>
      <c r="G801" s="11"/>
      <c r="H801" s="17"/>
      <c r="I801" s="13"/>
      <c r="J801" s="16"/>
      <c r="K801" s="13"/>
      <c r="L801" s="15">
        <f>ROUND((10^(K801/10))/(10^(I801/10)),3)</f>
        <v>1</v>
      </c>
      <c r="M801" s="15"/>
      <c r="N801" s="15">
        <f t="shared" ref="N801:N818" si="418">J801*L801</f>
        <v>0</v>
      </c>
    </row>
    <row r="802" spans="1:14" x14ac:dyDescent="0.4">
      <c r="A802" s="11" t="s">
        <v>5</v>
      </c>
      <c r="B802" s="40"/>
      <c r="C802" s="40"/>
      <c r="D802" s="40"/>
      <c r="E802" s="40"/>
      <c r="F802" s="13"/>
      <c r="G802" s="11"/>
      <c r="H802" s="17"/>
      <c r="I802" s="13"/>
      <c r="J802" s="16"/>
      <c r="K802" s="13"/>
      <c r="L802" s="15">
        <f t="shared" ref="L802:L818" si="419">ROUND((10^(K802/10))/(10^(I802/10)),3)</f>
        <v>1</v>
      </c>
      <c r="M802" s="15"/>
      <c r="N802" s="15">
        <f t="shared" si="418"/>
        <v>0</v>
      </c>
    </row>
    <row r="803" spans="1:14" x14ac:dyDescent="0.4">
      <c r="A803" s="11" t="s">
        <v>5</v>
      </c>
      <c r="B803" s="40"/>
      <c r="C803" s="40"/>
      <c r="D803" s="40"/>
      <c r="E803" s="40"/>
      <c r="F803" s="13"/>
      <c r="G803" s="11"/>
      <c r="H803" s="17"/>
      <c r="I803" s="13"/>
      <c r="J803" s="16"/>
      <c r="K803" s="13"/>
      <c r="L803" s="15">
        <f t="shared" si="419"/>
        <v>1</v>
      </c>
      <c r="M803" s="15"/>
      <c r="N803" s="15">
        <f t="shared" si="418"/>
        <v>0</v>
      </c>
    </row>
    <row r="804" spans="1:14" x14ac:dyDescent="0.4">
      <c r="A804" s="11" t="s">
        <v>6</v>
      </c>
      <c r="B804" s="41">
        <f t="shared" ref="B804:I806" ca="1" si="420">OFFSET(B804,-3,0)</f>
        <v>0</v>
      </c>
      <c r="C804" s="41"/>
      <c r="D804" s="41"/>
      <c r="E804" s="41"/>
      <c r="F804" s="19">
        <f t="shared" ca="1" si="420"/>
        <v>0</v>
      </c>
      <c r="G804" s="20">
        <f t="shared" ca="1" si="420"/>
        <v>0</v>
      </c>
      <c r="H804" s="20">
        <f t="shared" ca="1" si="420"/>
        <v>0</v>
      </c>
      <c r="I804" s="13">
        <f t="shared" ca="1" si="420"/>
        <v>0</v>
      </c>
      <c r="J804" s="16"/>
      <c r="K804" s="19">
        <f t="shared" ref="K804:K806" ca="1" si="421">OFFSET(K804,-3,0)</f>
        <v>0</v>
      </c>
      <c r="L804" s="15">
        <f t="shared" ca="1" si="419"/>
        <v>1</v>
      </c>
      <c r="M804" s="15"/>
      <c r="N804" s="15">
        <f t="shared" ca="1" si="418"/>
        <v>0</v>
      </c>
    </row>
    <row r="805" spans="1:14" x14ac:dyDescent="0.4">
      <c r="A805" s="11" t="s">
        <v>6</v>
      </c>
      <c r="B805" s="41">
        <f t="shared" ca="1" si="420"/>
        <v>0</v>
      </c>
      <c r="C805" s="41"/>
      <c r="D805" s="41"/>
      <c r="E805" s="41"/>
      <c r="F805" s="19">
        <f t="shared" ca="1" si="420"/>
        <v>0</v>
      </c>
      <c r="G805" s="20">
        <f t="shared" ca="1" si="420"/>
        <v>0</v>
      </c>
      <c r="H805" s="20">
        <f t="shared" ca="1" si="420"/>
        <v>0</v>
      </c>
      <c r="I805" s="13">
        <f t="shared" ca="1" si="420"/>
        <v>0</v>
      </c>
      <c r="J805" s="16"/>
      <c r="K805" s="19">
        <f t="shared" ca="1" si="421"/>
        <v>0</v>
      </c>
      <c r="L805" s="15">
        <f t="shared" ca="1" si="419"/>
        <v>1</v>
      </c>
      <c r="M805" s="15"/>
      <c r="N805" s="15">
        <f t="shared" ca="1" si="418"/>
        <v>0</v>
      </c>
    </row>
    <row r="806" spans="1:14" x14ac:dyDescent="0.4">
      <c r="A806" s="11" t="s">
        <v>6</v>
      </c>
      <c r="B806" s="41">
        <f t="shared" ca="1" si="420"/>
        <v>0</v>
      </c>
      <c r="C806" s="41"/>
      <c r="D806" s="41"/>
      <c r="E806" s="41"/>
      <c r="F806" s="19">
        <f t="shared" ca="1" si="420"/>
        <v>0</v>
      </c>
      <c r="G806" s="20">
        <f t="shared" ca="1" si="420"/>
        <v>0</v>
      </c>
      <c r="H806" s="20">
        <f t="shared" ca="1" si="420"/>
        <v>0</v>
      </c>
      <c r="I806" s="13">
        <f t="shared" ca="1" si="420"/>
        <v>0</v>
      </c>
      <c r="J806" s="16"/>
      <c r="K806" s="19">
        <f t="shared" ca="1" si="421"/>
        <v>0</v>
      </c>
      <c r="L806" s="15">
        <f t="shared" ca="1" si="419"/>
        <v>1</v>
      </c>
      <c r="M806" s="15"/>
      <c r="N806" s="15">
        <f t="shared" ca="1" si="418"/>
        <v>0</v>
      </c>
    </row>
    <row r="807" spans="1:14" x14ac:dyDescent="0.4">
      <c r="A807" s="11" t="s">
        <v>57</v>
      </c>
      <c r="B807" s="40">
        <f t="shared" ref="B807:I809" ca="1" si="422">OFFSET(B807,-6,0)</f>
        <v>0</v>
      </c>
      <c r="C807" s="40"/>
      <c r="D807" s="40"/>
      <c r="E807" s="40"/>
      <c r="F807" s="13">
        <f t="shared" ca="1" si="422"/>
        <v>0</v>
      </c>
      <c r="G807" s="17">
        <f t="shared" ca="1" si="422"/>
        <v>0</v>
      </c>
      <c r="H807" s="17">
        <f t="shared" ca="1" si="422"/>
        <v>0</v>
      </c>
      <c r="I807" s="13">
        <f t="shared" ca="1" si="422"/>
        <v>0</v>
      </c>
      <c r="J807" s="16"/>
      <c r="K807" s="13">
        <f t="shared" ref="K807:K809" ca="1" si="423">OFFSET(K807,-6,0)</f>
        <v>0</v>
      </c>
      <c r="L807" s="15">
        <f t="shared" ca="1" si="419"/>
        <v>1</v>
      </c>
      <c r="M807" s="15"/>
      <c r="N807" s="15">
        <f t="shared" ca="1" si="418"/>
        <v>0</v>
      </c>
    </row>
    <row r="808" spans="1:14" x14ac:dyDescent="0.4">
      <c r="A808" s="11" t="s">
        <v>57</v>
      </c>
      <c r="B808" s="40">
        <f t="shared" ca="1" si="422"/>
        <v>0</v>
      </c>
      <c r="C808" s="40"/>
      <c r="D808" s="40"/>
      <c r="E808" s="40"/>
      <c r="F808" s="13">
        <f t="shared" ca="1" si="422"/>
        <v>0</v>
      </c>
      <c r="G808" s="17">
        <f t="shared" ca="1" si="422"/>
        <v>0</v>
      </c>
      <c r="H808" s="17">
        <f t="shared" ca="1" si="422"/>
        <v>0</v>
      </c>
      <c r="I808" s="13">
        <f t="shared" ca="1" si="422"/>
        <v>0</v>
      </c>
      <c r="J808" s="16"/>
      <c r="K808" s="13">
        <f t="shared" ca="1" si="423"/>
        <v>0</v>
      </c>
      <c r="L808" s="15">
        <f t="shared" ca="1" si="419"/>
        <v>1</v>
      </c>
      <c r="M808" s="15"/>
      <c r="N808" s="15">
        <f t="shared" ca="1" si="418"/>
        <v>0</v>
      </c>
    </row>
    <row r="809" spans="1:14" x14ac:dyDescent="0.4">
      <c r="A809" s="11" t="s">
        <v>57</v>
      </c>
      <c r="B809" s="40">
        <f t="shared" ca="1" si="422"/>
        <v>0</v>
      </c>
      <c r="C809" s="40"/>
      <c r="D809" s="40"/>
      <c r="E809" s="40"/>
      <c r="F809" s="13">
        <f t="shared" ca="1" si="422"/>
        <v>0</v>
      </c>
      <c r="G809" s="17">
        <f t="shared" ca="1" si="422"/>
        <v>0</v>
      </c>
      <c r="H809" s="17">
        <f t="shared" ca="1" si="422"/>
        <v>0</v>
      </c>
      <c r="I809" s="13">
        <f t="shared" ca="1" si="422"/>
        <v>0</v>
      </c>
      <c r="J809" s="16"/>
      <c r="K809" s="13">
        <f t="shared" ca="1" si="423"/>
        <v>0</v>
      </c>
      <c r="L809" s="15">
        <f t="shared" ca="1" si="419"/>
        <v>1</v>
      </c>
      <c r="M809" s="15"/>
      <c r="N809" s="15">
        <f t="shared" ca="1" si="418"/>
        <v>0</v>
      </c>
    </row>
    <row r="810" spans="1:14" x14ac:dyDescent="0.4">
      <c r="A810" s="11" t="s">
        <v>7</v>
      </c>
      <c r="B810" s="40">
        <f t="shared" ref="B810:I812" ca="1" si="424">OFFSET(B810,-9,0)</f>
        <v>0</v>
      </c>
      <c r="C810" s="40"/>
      <c r="D810" s="40"/>
      <c r="E810" s="40"/>
      <c r="F810" s="13">
        <f t="shared" ca="1" si="424"/>
        <v>0</v>
      </c>
      <c r="G810" s="17">
        <f t="shared" ca="1" si="424"/>
        <v>0</v>
      </c>
      <c r="H810" s="17">
        <f t="shared" ca="1" si="424"/>
        <v>0</v>
      </c>
      <c r="I810" s="13">
        <f t="shared" ca="1" si="424"/>
        <v>0</v>
      </c>
      <c r="J810" s="16"/>
      <c r="K810" s="13">
        <f t="shared" ref="K810:K812" ca="1" si="425">OFFSET(K810,-9,0)</f>
        <v>0</v>
      </c>
      <c r="L810" s="15">
        <f t="shared" ca="1" si="419"/>
        <v>1</v>
      </c>
      <c r="M810" s="15"/>
      <c r="N810" s="15">
        <f t="shared" ca="1" si="418"/>
        <v>0</v>
      </c>
    </row>
    <row r="811" spans="1:14" x14ac:dyDescent="0.4">
      <c r="A811" s="11" t="s">
        <v>7</v>
      </c>
      <c r="B811" s="40">
        <f t="shared" ca="1" si="424"/>
        <v>0</v>
      </c>
      <c r="C811" s="40"/>
      <c r="D811" s="40"/>
      <c r="E811" s="40"/>
      <c r="F811" s="13">
        <f t="shared" ca="1" si="424"/>
        <v>0</v>
      </c>
      <c r="G811" s="17">
        <f t="shared" ca="1" si="424"/>
        <v>0</v>
      </c>
      <c r="H811" s="17">
        <f t="shared" ca="1" si="424"/>
        <v>0</v>
      </c>
      <c r="I811" s="13">
        <f t="shared" ca="1" si="424"/>
        <v>0</v>
      </c>
      <c r="J811" s="16"/>
      <c r="K811" s="13">
        <f t="shared" ca="1" si="425"/>
        <v>0</v>
      </c>
      <c r="L811" s="15">
        <f t="shared" ca="1" si="419"/>
        <v>1</v>
      </c>
      <c r="M811" s="15"/>
      <c r="N811" s="15">
        <f t="shared" ca="1" si="418"/>
        <v>0</v>
      </c>
    </row>
    <row r="812" spans="1:14" x14ac:dyDescent="0.4">
      <c r="A812" s="11" t="s">
        <v>7</v>
      </c>
      <c r="B812" s="40">
        <f t="shared" ca="1" si="424"/>
        <v>0</v>
      </c>
      <c r="C812" s="40"/>
      <c r="D812" s="40"/>
      <c r="E812" s="40"/>
      <c r="F812" s="13">
        <f t="shared" ca="1" si="424"/>
        <v>0</v>
      </c>
      <c r="G812" s="17">
        <f t="shared" ca="1" si="424"/>
        <v>0</v>
      </c>
      <c r="H812" s="17">
        <f t="shared" ca="1" si="424"/>
        <v>0</v>
      </c>
      <c r="I812" s="13">
        <f t="shared" ca="1" si="424"/>
        <v>0</v>
      </c>
      <c r="J812" s="16"/>
      <c r="K812" s="13">
        <f t="shared" ca="1" si="425"/>
        <v>0</v>
      </c>
      <c r="L812" s="15">
        <f t="shared" ca="1" si="419"/>
        <v>1</v>
      </c>
      <c r="M812" s="15"/>
      <c r="N812" s="15">
        <f t="shared" ca="1" si="418"/>
        <v>0</v>
      </c>
    </row>
    <row r="813" spans="1:14" x14ac:dyDescent="0.4">
      <c r="A813" s="11" t="s">
        <v>8</v>
      </c>
      <c r="B813" s="40">
        <f t="shared" ref="B813:I815" ca="1" si="426">OFFSET(B813,-12,0)</f>
        <v>0</v>
      </c>
      <c r="C813" s="40"/>
      <c r="D813" s="40"/>
      <c r="E813" s="40"/>
      <c r="F813" s="13">
        <f t="shared" ca="1" si="426"/>
        <v>0</v>
      </c>
      <c r="G813" s="17">
        <f t="shared" ca="1" si="426"/>
        <v>0</v>
      </c>
      <c r="H813" s="17">
        <f t="shared" ca="1" si="426"/>
        <v>0</v>
      </c>
      <c r="I813" s="13">
        <f t="shared" ca="1" si="426"/>
        <v>0</v>
      </c>
      <c r="J813" s="16"/>
      <c r="K813" s="13">
        <f t="shared" ref="K813:K815" ca="1" si="427">OFFSET(K813,-12,0)</f>
        <v>0</v>
      </c>
      <c r="L813" s="15">
        <f t="shared" ca="1" si="419"/>
        <v>1</v>
      </c>
      <c r="M813" s="15"/>
      <c r="N813" s="15">
        <f t="shared" ca="1" si="418"/>
        <v>0</v>
      </c>
    </row>
    <row r="814" spans="1:14" x14ac:dyDescent="0.4">
      <c r="A814" s="11" t="s">
        <v>8</v>
      </c>
      <c r="B814" s="40">
        <f t="shared" ca="1" si="426"/>
        <v>0</v>
      </c>
      <c r="C814" s="40"/>
      <c r="D814" s="40"/>
      <c r="E814" s="40"/>
      <c r="F814" s="13">
        <f t="shared" ca="1" si="426"/>
        <v>0</v>
      </c>
      <c r="G814" s="17">
        <f t="shared" ca="1" si="426"/>
        <v>0</v>
      </c>
      <c r="H814" s="17">
        <f t="shared" ca="1" si="426"/>
        <v>0</v>
      </c>
      <c r="I814" s="13">
        <f t="shared" ca="1" si="426"/>
        <v>0</v>
      </c>
      <c r="J814" s="16"/>
      <c r="K814" s="13">
        <f t="shared" ca="1" si="427"/>
        <v>0</v>
      </c>
      <c r="L814" s="15">
        <f t="shared" ca="1" si="419"/>
        <v>1</v>
      </c>
      <c r="M814" s="15"/>
      <c r="N814" s="15">
        <f t="shared" ca="1" si="418"/>
        <v>0</v>
      </c>
    </row>
    <row r="815" spans="1:14" x14ac:dyDescent="0.4">
      <c r="A815" s="11" t="s">
        <v>8</v>
      </c>
      <c r="B815" s="40">
        <f t="shared" ca="1" si="426"/>
        <v>0</v>
      </c>
      <c r="C815" s="40"/>
      <c r="D815" s="40"/>
      <c r="E815" s="40"/>
      <c r="F815" s="13">
        <f t="shared" ca="1" si="426"/>
        <v>0</v>
      </c>
      <c r="G815" s="17">
        <f t="shared" ca="1" si="426"/>
        <v>0</v>
      </c>
      <c r="H815" s="17">
        <f t="shared" ca="1" si="426"/>
        <v>0</v>
      </c>
      <c r="I815" s="13">
        <f t="shared" ca="1" si="426"/>
        <v>0</v>
      </c>
      <c r="J815" s="16"/>
      <c r="K815" s="13">
        <f t="shared" ca="1" si="427"/>
        <v>0</v>
      </c>
      <c r="L815" s="15">
        <f t="shared" ca="1" si="419"/>
        <v>1</v>
      </c>
      <c r="M815" s="15"/>
      <c r="N815" s="15">
        <f t="shared" ca="1" si="418"/>
        <v>0</v>
      </c>
    </row>
    <row r="816" spans="1:14" x14ac:dyDescent="0.4">
      <c r="A816" s="11" t="s">
        <v>9</v>
      </c>
      <c r="B816" s="41">
        <f t="shared" ref="B816:I818" ca="1" si="428">OFFSET(B816,-15,0)</f>
        <v>0</v>
      </c>
      <c r="C816" s="41"/>
      <c r="D816" s="41"/>
      <c r="E816" s="41"/>
      <c r="F816" s="19">
        <f t="shared" ca="1" si="428"/>
        <v>0</v>
      </c>
      <c r="G816" s="20">
        <f t="shared" ca="1" si="428"/>
        <v>0</v>
      </c>
      <c r="H816" s="20">
        <f t="shared" ca="1" si="428"/>
        <v>0</v>
      </c>
      <c r="I816" s="13">
        <f t="shared" ca="1" si="428"/>
        <v>0</v>
      </c>
      <c r="J816" s="16"/>
      <c r="K816" s="19">
        <f t="shared" ref="K816:K818" ca="1" si="429">OFFSET(K816,-15,0)</f>
        <v>0</v>
      </c>
      <c r="L816" s="15">
        <f t="shared" ca="1" si="419"/>
        <v>1</v>
      </c>
      <c r="M816" s="15"/>
      <c r="N816" s="15">
        <f t="shared" ca="1" si="418"/>
        <v>0</v>
      </c>
    </row>
    <row r="817" spans="1:14" x14ac:dyDescent="0.4">
      <c r="A817" s="11" t="s">
        <v>9</v>
      </c>
      <c r="B817" s="41">
        <f t="shared" ca="1" si="428"/>
        <v>0</v>
      </c>
      <c r="C817" s="41"/>
      <c r="D817" s="41"/>
      <c r="E817" s="41"/>
      <c r="F817" s="19">
        <f t="shared" ca="1" si="428"/>
        <v>0</v>
      </c>
      <c r="G817" s="20">
        <f t="shared" ca="1" si="428"/>
        <v>0</v>
      </c>
      <c r="H817" s="20">
        <f t="shared" ca="1" si="428"/>
        <v>0</v>
      </c>
      <c r="I817" s="13">
        <f t="shared" ca="1" si="428"/>
        <v>0</v>
      </c>
      <c r="J817" s="16"/>
      <c r="K817" s="19">
        <f t="shared" ca="1" si="429"/>
        <v>0</v>
      </c>
      <c r="L817" s="15">
        <f t="shared" ca="1" si="419"/>
        <v>1</v>
      </c>
      <c r="M817" s="15"/>
      <c r="N817" s="15">
        <f t="shared" ca="1" si="418"/>
        <v>0</v>
      </c>
    </row>
    <row r="818" spans="1:14" x14ac:dyDescent="0.4">
      <c r="A818" s="11" t="s">
        <v>9</v>
      </c>
      <c r="B818" s="41">
        <f t="shared" ca="1" si="428"/>
        <v>0</v>
      </c>
      <c r="C818" s="41"/>
      <c r="D818" s="41"/>
      <c r="E818" s="41"/>
      <c r="F818" s="19">
        <f t="shared" ca="1" si="428"/>
        <v>0</v>
      </c>
      <c r="G818" s="20">
        <f t="shared" ca="1" si="428"/>
        <v>0</v>
      </c>
      <c r="H818" s="20">
        <f t="shared" ca="1" si="428"/>
        <v>0</v>
      </c>
      <c r="I818" s="13">
        <f t="shared" ca="1" si="428"/>
        <v>0</v>
      </c>
      <c r="J818" s="16"/>
      <c r="K818" s="19">
        <f t="shared" ca="1" si="429"/>
        <v>0</v>
      </c>
      <c r="L818" s="15">
        <f t="shared" ca="1" si="419"/>
        <v>1</v>
      </c>
      <c r="M818" s="15"/>
      <c r="N818" s="15">
        <f t="shared" ca="1" si="418"/>
        <v>0</v>
      </c>
    </row>
    <row r="819" spans="1:14" ht="17.399999999999999" x14ac:dyDescent="0.4">
      <c r="A819" s="77" t="s">
        <v>31</v>
      </c>
      <c r="B819" s="75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6"/>
    </row>
    <row r="820" spans="1:14" x14ac:dyDescent="0.4">
      <c r="A820" s="11" t="s">
        <v>5</v>
      </c>
      <c r="B820" s="40"/>
      <c r="C820" s="40"/>
      <c r="D820" s="40"/>
      <c r="E820" s="40"/>
      <c r="F820" s="13"/>
      <c r="G820" s="11"/>
      <c r="H820" s="17"/>
      <c r="I820" s="13"/>
      <c r="J820" s="16"/>
      <c r="K820" s="13"/>
      <c r="L820" s="15">
        <f>ROUND((10^(K820/10))/(10^(I820/10)),3)</f>
        <v>1</v>
      </c>
      <c r="M820" s="15"/>
      <c r="N820" s="15">
        <f t="shared" ref="N820:N837" si="430">J820*L820</f>
        <v>0</v>
      </c>
    </row>
    <row r="821" spans="1:14" x14ac:dyDescent="0.4">
      <c r="A821" s="11" t="s">
        <v>5</v>
      </c>
      <c r="B821" s="40"/>
      <c r="C821" s="40"/>
      <c r="D821" s="40"/>
      <c r="E821" s="40"/>
      <c r="F821" s="13"/>
      <c r="G821" s="11"/>
      <c r="H821" s="17"/>
      <c r="I821" s="13"/>
      <c r="J821" s="16"/>
      <c r="K821" s="13"/>
      <c r="L821" s="15">
        <f t="shared" ref="L821:L837" si="431">ROUND((10^(K821/10))/(10^(I821/10)),3)</f>
        <v>1</v>
      </c>
      <c r="M821" s="15"/>
      <c r="N821" s="15">
        <f t="shared" si="430"/>
        <v>0</v>
      </c>
    </row>
    <row r="822" spans="1:14" x14ac:dyDescent="0.4">
      <c r="A822" s="11" t="s">
        <v>5</v>
      </c>
      <c r="B822" s="40"/>
      <c r="C822" s="40"/>
      <c r="D822" s="40"/>
      <c r="E822" s="40"/>
      <c r="F822" s="13"/>
      <c r="G822" s="11"/>
      <c r="H822" s="17"/>
      <c r="I822" s="13"/>
      <c r="J822" s="16"/>
      <c r="K822" s="13"/>
      <c r="L822" s="15">
        <f t="shared" si="431"/>
        <v>1</v>
      </c>
      <c r="M822" s="15"/>
      <c r="N822" s="15">
        <f t="shared" si="430"/>
        <v>0</v>
      </c>
    </row>
    <row r="823" spans="1:14" x14ac:dyDescent="0.4">
      <c r="A823" s="11" t="s">
        <v>6</v>
      </c>
      <c r="B823" s="41">
        <f t="shared" ref="B823:I825" ca="1" si="432">OFFSET(B823,-3,0)</f>
        <v>0</v>
      </c>
      <c r="C823" s="41"/>
      <c r="D823" s="41"/>
      <c r="E823" s="41"/>
      <c r="F823" s="19">
        <f t="shared" ca="1" si="432"/>
        <v>0</v>
      </c>
      <c r="G823" s="20">
        <f t="shared" ca="1" si="432"/>
        <v>0</v>
      </c>
      <c r="H823" s="20">
        <f t="shared" ca="1" si="432"/>
        <v>0</v>
      </c>
      <c r="I823" s="13">
        <f t="shared" ca="1" si="432"/>
        <v>0</v>
      </c>
      <c r="J823" s="16"/>
      <c r="K823" s="19">
        <f t="shared" ref="K823:K825" ca="1" si="433">OFFSET(K823,-3,0)</f>
        <v>0</v>
      </c>
      <c r="L823" s="15">
        <f t="shared" ca="1" si="431"/>
        <v>1</v>
      </c>
      <c r="M823" s="15"/>
      <c r="N823" s="15">
        <f t="shared" ca="1" si="430"/>
        <v>0</v>
      </c>
    </row>
    <row r="824" spans="1:14" x14ac:dyDescent="0.4">
      <c r="A824" s="11" t="s">
        <v>6</v>
      </c>
      <c r="B824" s="41">
        <f t="shared" ca="1" si="432"/>
        <v>0</v>
      </c>
      <c r="C824" s="41"/>
      <c r="D824" s="41"/>
      <c r="E824" s="41"/>
      <c r="F824" s="19">
        <f t="shared" ca="1" si="432"/>
        <v>0</v>
      </c>
      <c r="G824" s="20">
        <f t="shared" ca="1" si="432"/>
        <v>0</v>
      </c>
      <c r="H824" s="20">
        <f t="shared" ca="1" si="432"/>
        <v>0</v>
      </c>
      <c r="I824" s="13">
        <f t="shared" ca="1" si="432"/>
        <v>0</v>
      </c>
      <c r="J824" s="16"/>
      <c r="K824" s="19">
        <f t="shared" ca="1" si="433"/>
        <v>0</v>
      </c>
      <c r="L824" s="15">
        <f t="shared" ca="1" si="431"/>
        <v>1</v>
      </c>
      <c r="M824" s="15"/>
      <c r="N824" s="15">
        <f t="shared" ca="1" si="430"/>
        <v>0</v>
      </c>
    </row>
    <row r="825" spans="1:14" x14ac:dyDescent="0.4">
      <c r="A825" s="11" t="s">
        <v>6</v>
      </c>
      <c r="B825" s="41">
        <f t="shared" ca="1" si="432"/>
        <v>0</v>
      </c>
      <c r="C825" s="41"/>
      <c r="D825" s="41"/>
      <c r="E825" s="41"/>
      <c r="F825" s="19">
        <f t="shared" ca="1" si="432"/>
        <v>0</v>
      </c>
      <c r="G825" s="20">
        <f t="shared" ca="1" si="432"/>
        <v>0</v>
      </c>
      <c r="H825" s="20">
        <f t="shared" ca="1" si="432"/>
        <v>0</v>
      </c>
      <c r="I825" s="13">
        <f t="shared" ca="1" si="432"/>
        <v>0</v>
      </c>
      <c r="J825" s="16"/>
      <c r="K825" s="19">
        <f t="shared" ca="1" si="433"/>
        <v>0</v>
      </c>
      <c r="L825" s="15">
        <f t="shared" ca="1" si="431"/>
        <v>1</v>
      </c>
      <c r="M825" s="15"/>
      <c r="N825" s="15">
        <f t="shared" ca="1" si="430"/>
        <v>0</v>
      </c>
    </row>
    <row r="826" spans="1:14" x14ac:dyDescent="0.4">
      <c r="A826" s="11" t="s">
        <v>10</v>
      </c>
      <c r="B826" s="40">
        <f t="shared" ref="B826:I828" ca="1" si="434">OFFSET(B826,-6,0)</f>
        <v>0</v>
      </c>
      <c r="C826" s="40"/>
      <c r="D826" s="40"/>
      <c r="E826" s="40"/>
      <c r="F826" s="13">
        <f t="shared" ca="1" si="434"/>
        <v>0</v>
      </c>
      <c r="G826" s="17">
        <f t="shared" ca="1" si="434"/>
        <v>0</v>
      </c>
      <c r="H826" s="17">
        <f t="shared" ca="1" si="434"/>
        <v>0</v>
      </c>
      <c r="I826" s="13">
        <f t="shared" ca="1" si="434"/>
        <v>0</v>
      </c>
      <c r="J826" s="16"/>
      <c r="K826" s="13">
        <f t="shared" ref="K826:K828" ca="1" si="435">OFFSET(K826,-6,0)</f>
        <v>0</v>
      </c>
      <c r="L826" s="15">
        <f t="shared" ca="1" si="431"/>
        <v>1</v>
      </c>
      <c r="M826" s="15"/>
      <c r="N826" s="15">
        <f t="shared" ca="1" si="430"/>
        <v>0</v>
      </c>
    </row>
    <row r="827" spans="1:14" x14ac:dyDescent="0.4">
      <c r="A827" s="11" t="s">
        <v>10</v>
      </c>
      <c r="B827" s="40">
        <f t="shared" ca="1" si="434"/>
        <v>0</v>
      </c>
      <c r="C827" s="40"/>
      <c r="D827" s="40"/>
      <c r="E827" s="40"/>
      <c r="F827" s="13">
        <f t="shared" ca="1" si="434"/>
        <v>0</v>
      </c>
      <c r="G827" s="17">
        <f t="shared" ca="1" si="434"/>
        <v>0</v>
      </c>
      <c r="H827" s="17">
        <f t="shared" ca="1" si="434"/>
        <v>0</v>
      </c>
      <c r="I827" s="13">
        <f t="shared" ca="1" si="434"/>
        <v>0</v>
      </c>
      <c r="J827" s="16"/>
      <c r="K827" s="13">
        <f t="shared" ca="1" si="435"/>
        <v>0</v>
      </c>
      <c r="L827" s="15">
        <f t="shared" ca="1" si="431"/>
        <v>1</v>
      </c>
      <c r="M827" s="15"/>
      <c r="N827" s="15">
        <f t="shared" ca="1" si="430"/>
        <v>0</v>
      </c>
    </row>
    <row r="828" spans="1:14" x14ac:dyDescent="0.4">
      <c r="A828" s="11" t="s">
        <v>10</v>
      </c>
      <c r="B828" s="40">
        <f t="shared" ca="1" si="434"/>
        <v>0</v>
      </c>
      <c r="C828" s="40"/>
      <c r="D828" s="40"/>
      <c r="E828" s="40"/>
      <c r="F828" s="13">
        <f t="shared" ca="1" si="434"/>
        <v>0</v>
      </c>
      <c r="G828" s="17">
        <f t="shared" ca="1" si="434"/>
        <v>0</v>
      </c>
      <c r="H828" s="17">
        <f t="shared" ca="1" si="434"/>
        <v>0</v>
      </c>
      <c r="I828" s="13">
        <f t="shared" ca="1" si="434"/>
        <v>0</v>
      </c>
      <c r="J828" s="16"/>
      <c r="K828" s="13">
        <f t="shared" ca="1" si="435"/>
        <v>0</v>
      </c>
      <c r="L828" s="15">
        <f t="shared" ca="1" si="431"/>
        <v>1</v>
      </c>
      <c r="M828" s="15"/>
      <c r="N828" s="15">
        <f t="shared" ca="1" si="430"/>
        <v>0</v>
      </c>
    </row>
    <row r="829" spans="1:14" x14ac:dyDescent="0.4">
      <c r="A829" s="11" t="s">
        <v>7</v>
      </c>
      <c r="B829" s="40">
        <f t="shared" ref="B829:I831" ca="1" si="436">OFFSET(B829,-9,0)</f>
        <v>0</v>
      </c>
      <c r="C829" s="40"/>
      <c r="D829" s="40"/>
      <c r="E829" s="40"/>
      <c r="F829" s="13">
        <f t="shared" ca="1" si="436"/>
        <v>0</v>
      </c>
      <c r="G829" s="17">
        <f t="shared" ca="1" si="436"/>
        <v>0</v>
      </c>
      <c r="H829" s="17">
        <f t="shared" ca="1" si="436"/>
        <v>0</v>
      </c>
      <c r="I829" s="13">
        <f t="shared" ca="1" si="436"/>
        <v>0</v>
      </c>
      <c r="J829" s="16"/>
      <c r="K829" s="13">
        <f t="shared" ref="K829:K831" ca="1" si="437">OFFSET(K829,-9,0)</f>
        <v>0</v>
      </c>
      <c r="L829" s="15">
        <f t="shared" ca="1" si="431"/>
        <v>1</v>
      </c>
      <c r="M829" s="15"/>
      <c r="N829" s="15">
        <f t="shared" ca="1" si="430"/>
        <v>0</v>
      </c>
    </row>
    <row r="830" spans="1:14" x14ac:dyDescent="0.4">
      <c r="A830" s="11" t="s">
        <v>7</v>
      </c>
      <c r="B830" s="40">
        <f t="shared" ca="1" si="436"/>
        <v>0</v>
      </c>
      <c r="C830" s="40"/>
      <c r="D830" s="40"/>
      <c r="E830" s="40"/>
      <c r="F830" s="13">
        <f t="shared" ca="1" si="436"/>
        <v>0</v>
      </c>
      <c r="G830" s="17">
        <f t="shared" ca="1" si="436"/>
        <v>0</v>
      </c>
      <c r="H830" s="17">
        <f t="shared" ca="1" si="436"/>
        <v>0</v>
      </c>
      <c r="I830" s="13">
        <f t="shared" ca="1" si="436"/>
        <v>0</v>
      </c>
      <c r="J830" s="16"/>
      <c r="K830" s="13">
        <f t="shared" ca="1" si="437"/>
        <v>0</v>
      </c>
      <c r="L830" s="15">
        <f t="shared" ca="1" si="431"/>
        <v>1</v>
      </c>
      <c r="M830" s="15"/>
      <c r="N830" s="15">
        <f t="shared" ca="1" si="430"/>
        <v>0</v>
      </c>
    </row>
    <row r="831" spans="1:14" x14ac:dyDescent="0.4">
      <c r="A831" s="11" t="s">
        <v>7</v>
      </c>
      <c r="B831" s="40">
        <f t="shared" ca="1" si="436"/>
        <v>0</v>
      </c>
      <c r="C831" s="40"/>
      <c r="D831" s="40"/>
      <c r="E831" s="40"/>
      <c r="F831" s="13">
        <f t="shared" ca="1" si="436"/>
        <v>0</v>
      </c>
      <c r="G831" s="17">
        <f t="shared" ca="1" si="436"/>
        <v>0</v>
      </c>
      <c r="H831" s="17">
        <f t="shared" ca="1" si="436"/>
        <v>0</v>
      </c>
      <c r="I831" s="13">
        <f t="shared" ca="1" si="436"/>
        <v>0</v>
      </c>
      <c r="J831" s="16"/>
      <c r="K831" s="13">
        <f t="shared" ca="1" si="437"/>
        <v>0</v>
      </c>
      <c r="L831" s="15">
        <f t="shared" ca="1" si="431"/>
        <v>1</v>
      </c>
      <c r="M831" s="15"/>
      <c r="N831" s="15">
        <f t="shared" ca="1" si="430"/>
        <v>0</v>
      </c>
    </row>
    <row r="832" spans="1:14" x14ac:dyDescent="0.4">
      <c r="A832" s="11" t="s">
        <v>8</v>
      </c>
      <c r="B832" s="40">
        <f t="shared" ref="B832:I834" ca="1" si="438">OFFSET(B832,-12,0)</f>
        <v>0</v>
      </c>
      <c r="C832" s="40"/>
      <c r="D832" s="40"/>
      <c r="E832" s="40"/>
      <c r="F832" s="13">
        <f t="shared" ca="1" si="438"/>
        <v>0</v>
      </c>
      <c r="G832" s="17">
        <f t="shared" ca="1" si="438"/>
        <v>0</v>
      </c>
      <c r="H832" s="17">
        <f t="shared" ca="1" si="438"/>
        <v>0</v>
      </c>
      <c r="I832" s="13">
        <f t="shared" ca="1" si="438"/>
        <v>0</v>
      </c>
      <c r="J832" s="16"/>
      <c r="K832" s="13">
        <f t="shared" ref="K832:K834" ca="1" si="439">OFFSET(K832,-12,0)</f>
        <v>0</v>
      </c>
      <c r="L832" s="15">
        <f t="shared" ca="1" si="431"/>
        <v>1</v>
      </c>
      <c r="M832" s="15"/>
      <c r="N832" s="15">
        <f t="shared" ca="1" si="430"/>
        <v>0</v>
      </c>
    </row>
    <row r="833" spans="1:14" x14ac:dyDescent="0.4">
      <c r="A833" s="11" t="s">
        <v>8</v>
      </c>
      <c r="B833" s="40">
        <f t="shared" ca="1" si="438"/>
        <v>0</v>
      </c>
      <c r="C833" s="40"/>
      <c r="D833" s="40"/>
      <c r="E833" s="40"/>
      <c r="F833" s="13">
        <f t="shared" ca="1" si="438"/>
        <v>0</v>
      </c>
      <c r="G833" s="17">
        <f t="shared" ca="1" si="438"/>
        <v>0</v>
      </c>
      <c r="H833" s="17">
        <f t="shared" ca="1" si="438"/>
        <v>0</v>
      </c>
      <c r="I833" s="13">
        <f t="shared" ca="1" si="438"/>
        <v>0</v>
      </c>
      <c r="J833" s="16"/>
      <c r="K833" s="13">
        <f t="shared" ca="1" si="439"/>
        <v>0</v>
      </c>
      <c r="L833" s="15">
        <f t="shared" ca="1" si="431"/>
        <v>1</v>
      </c>
      <c r="M833" s="15"/>
      <c r="N833" s="15">
        <f t="shared" ca="1" si="430"/>
        <v>0</v>
      </c>
    </row>
    <row r="834" spans="1:14" x14ac:dyDescent="0.4">
      <c r="A834" s="11" t="s">
        <v>8</v>
      </c>
      <c r="B834" s="40">
        <f t="shared" ca="1" si="438"/>
        <v>0</v>
      </c>
      <c r="C834" s="40"/>
      <c r="D834" s="40"/>
      <c r="E834" s="40"/>
      <c r="F834" s="13">
        <f t="shared" ca="1" si="438"/>
        <v>0</v>
      </c>
      <c r="G834" s="17">
        <f t="shared" ca="1" si="438"/>
        <v>0</v>
      </c>
      <c r="H834" s="17">
        <f t="shared" ca="1" si="438"/>
        <v>0</v>
      </c>
      <c r="I834" s="13">
        <f t="shared" ca="1" si="438"/>
        <v>0</v>
      </c>
      <c r="J834" s="16"/>
      <c r="K834" s="13">
        <f t="shared" ca="1" si="439"/>
        <v>0</v>
      </c>
      <c r="L834" s="15">
        <f t="shared" ca="1" si="431"/>
        <v>1</v>
      </c>
      <c r="M834" s="15"/>
      <c r="N834" s="15">
        <f t="shared" ca="1" si="430"/>
        <v>0</v>
      </c>
    </row>
    <row r="835" spans="1:14" x14ac:dyDescent="0.4">
      <c r="A835" s="11" t="s">
        <v>9</v>
      </c>
      <c r="B835" s="41">
        <f t="shared" ref="B835:I837" ca="1" si="440">OFFSET(B835,-15,0)</f>
        <v>0</v>
      </c>
      <c r="C835" s="41"/>
      <c r="D835" s="41"/>
      <c r="E835" s="41"/>
      <c r="F835" s="19">
        <f t="shared" ca="1" si="440"/>
        <v>0</v>
      </c>
      <c r="G835" s="20">
        <f t="shared" ca="1" si="440"/>
        <v>0</v>
      </c>
      <c r="H835" s="20">
        <f t="shared" ca="1" si="440"/>
        <v>0</v>
      </c>
      <c r="I835" s="13">
        <f t="shared" ca="1" si="440"/>
        <v>0</v>
      </c>
      <c r="J835" s="16"/>
      <c r="K835" s="19">
        <f t="shared" ref="K835:K837" ca="1" si="441">OFFSET(K835,-15,0)</f>
        <v>0</v>
      </c>
      <c r="L835" s="15">
        <f t="shared" ca="1" si="431"/>
        <v>1</v>
      </c>
      <c r="M835" s="15"/>
      <c r="N835" s="15">
        <f t="shared" ca="1" si="430"/>
        <v>0</v>
      </c>
    </row>
    <row r="836" spans="1:14" x14ac:dyDescent="0.4">
      <c r="A836" s="11" t="s">
        <v>9</v>
      </c>
      <c r="B836" s="41">
        <f t="shared" ca="1" si="440"/>
        <v>0</v>
      </c>
      <c r="C836" s="41"/>
      <c r="D836" s="41"/>
      <c r="E836" s="41"/>
      <c r="F836" s="19">
        <f t="shared" ca="1" si="440"/>
        <v>0</v>
      </c>
      <c r="G836" s="20">
        <f t="shared" ca="1" si="440"/>
        <v>0</v>
      </c>
      <c r="H836" s="20">
        <f t="shared" ca="1" si="440"/>
        <v>0</v>
      </c>
      <c r="I836" s="13">
        <f t="shared" ca="1" si="440"/>
        <v>0</v>
      </c>
      <c r="J836" s="16"/>
      <c r="K836" s="19">
        <f t="shared" ca="1" si="441"/>
        <v>0</v>
      </c>
      <c r="L836" s="15">
        <f t="shared" ca="1" si="431"/>
        <v>1</v>
      </c>
      <c r="M836" s="15"/>
      <c r="N836" s="15">
        <f t="shared" ca="1" si="430"/>
        <v>0</v>
      </c>
    </row>
    <row r="837" spans="1:14" x14ac:dyDescent="0.4">
      <c r="A837" s="11" t="s">
        <v>9</v>
      </c>
      <c r="B837" s="41">
        <f t="shared" ca="1" si="440"/>
        <v>0</v>
      </c>
      <c r="C837" s="41"/>
      <c r="D837" s="41"/>
      <c r="E837" s="41"/>
      <c r="F837" s="19">
        <f t="shared" ca="1" si="440"/>
        <v>0</v>
      </c>
      <c r="G837" s="20">
        <f t="shared" ca="1" si="440"/>
        <v>0</v>
      </c>
      <c r="H837" s="20">
        <f t="shared" ca="1" si="440"/>
        <v>0</v>
      </c>
      <c r="I837" s="13">
        <f t="shared" ca="1" si="440"/>
        <v>0</v>
      </c>
      <c r="J837" s="16"/>
      <c r="K837" s="19">
        <f t="shared" ca="1" si="441"/>
        <v>0</v>
      </c>
      <c r="L837" s="15">
        <f t="shared" ca="1" si="431"/>
        <v>1</v>
      </c>
      <c r="M837" s="15"/>
      <c r="N837" s="15">
        <f t="shared" ca="1" si="430"/>
        <v>0</v>
      </c>
    </row>
    <row r="838" spans="1:14" ht="17.399999999999999" x14ac:dyDescent="0.4">
      <c r="A838" s="77" t="s">
        <v>23</v>
      </c>
      <c r="B838" s="75"/>
      <c r="C838" s="75"/>
      <c r="D838" s="75"/>
      <c r="E838" s="75"/>
      <c r="F838" s="75"/>
      <c r="G838" s="75"/>
      <c r="H838" s="75"/>
      <c r="I838" s="75"/>
      <c r="J838" s="75"/>
      <c r="K838" s="75"/>
      <c r="L838" s="75"/>
      <c r="M838" s="75"/>
      <c r="N838" s="76"/>
    </row>
    <row r="839" spans="1:14" x14ac:dyDescent="0.4">
      <c r="A839" s="11" t="str">
        <f ca="1">INDEX(A687:A837, MATCH(MAX(N687:N837), N687:N837, 0), 0)</f>
        <v>Front</v>
      </c>
      <c r="B839" s="40">
        <f ca="1">INDEX(B687:B837, MATCH(MAX(N687:N837), N687:N837, 0), 0)</f>
        <v>0</v>
      </c>
      <c r="C839" s="40"/>
      <c r="D839" s="40"/>
      <c r="E839" s="40"/>
      <c r="F839" s="13">
        <f ca="1">INDEX(F687:F837, MATCH(MAX(N687:N837), N687:N837, 0), 0)</f>
        <v>0</v>
      </c>
      <c r="G839" s="11">
        <f ca="1">INDEX(G687:G837, MATCH(MAX(N687:N837), N687:N837, 0), 0)</f>
        <v>0</v>
      </c>
      <c r="H839" s="17">
        <f ca="1">INDEX(H687:H837, MATCH(MAX(N687:N837), N687:N837, 0), 0)</f>
        <v>0</v>
      </c>
      <c r="I839" s="13">
        <f ca="1">INDEX(I687:I837, MATCH(MAX(N687:N837), N687:N837, 0), 0)</f>
        <v>0</v>
      </c>
      <c r="J839" s="16"/>
      <c r="K839" s="13">
        <f ca="1">INDEX(K687:K837, MATCH(MAX(N687:N837), N687:N837, 0), 0)</f>
        <v>0</v>
      </c>
      <c r="L839" s="15">
        <f ca="1">ROUND((10^(K839/10))/(10^(I839/10)),3)</f>
        <v>1</v>
      </c>
      <c r="M839" s="15"/>
      <c r="N839" s="15">
        <f t="shared" ref="N839" ca="1" si="442">J839*L839</f>
        <v>0</v>
      </c>
    </row>
    <row r="840" spans="1:14" x14ac:dyDescent="0.4">
      <c r="A840" s="11"/>
      <c r="B840" s="40"/>
      <c r="C840" s="40"/>
      <c r="D840" s="40"/>
      <c r="E840" s="40"/>
      <c r="F840" s="13"/>
      <c r="G840" s="11"/>
      <c r="H840" s="17"/>
      <c r="I840" s="13"/>
      <c r="J840" s="16"/>
      <c r="K840" s="13"/>
      <c r="L840" s="15"/>
      <c r="M840" s="15"/>
      <c r="N840" s="15"/>
    </row>
    <row r="841" spans="1:14" x14ac:dyDescent="0.4">
      <c r="A841" s="11"/>
      <c r="B841" s="40"/>
      <c r="C841" s="40"/>
      <c r="D841" s="40"/>
      <c r="E841" s="40"/>
      <c r="F841" s="13"/>
      <c r="G841" s="11"/>
      <c r="H841" s="17"/>
      <c r="I841" s="13"/>
      <c r="J841" s="16"/>
      <c r="K841" s="13"/>
      <c r="L841" s="15"/>
      <c r="M841" s="15"/>
      <c r="N841" s="15"/>
    </row>
    <row r="842" spans="1:14" x14ac:dyDescent="0.4">
      <c r="A842" s="11"/>
      <c r="B842" s="41"/>
      <c r="C842" s="41"/>
      <c r="D842" s="41"/>
      <c r="E842" s="41"/>
      <c r="F842" s="19"/>
      <c r="G842" s="11"/>
      <c r="H842" s="20"/>
      <c r="I842" s="19"/>
      <c r="J842" s="16"/>
      <c r="K842" s="19"/>
      <c r="L842" s="15"/>
      <c r="M842" s="15"/>
      <c r="N842" s="15"/>
    </row>
    <row r="843" spans="1:14" x14ac:dyDescent="0.4">
      <c r="A843" s="11"/>
      <c r="B843" s="41"/>
      <c r="C843" s="41"/>
      <c r="D843" s="41"/>
      <c r="E843" s="41"/>
      <c r="F843" s="19"/>
      <c r="G843" s="11"/>
      <c r="H843" s="20"/>
      <c r="I843" s="19"/>
      <c r="J843" s="16"/>
      <c r="K843" s="19"/>
      <c r="L843" s="15"/>
      <c r="M843" s="15"/>
      <c r="N843" s="15"/>
    </row>
    <row r="844" spans="1:14" x14ac:dyDescent="0.4">
      <c r="A844" s="11"/>
      <c r="B844" s="41"/>
      <c r="C844" s="41"/>
      <c r="D844" s="41"/>
      <c r="E844" s="41"/>
      <c r="F844" s="19"/>
      <c r="G844" s="11"/>
      <c r="H844" s="20"/>
      <c r="I844" s="19"/>
      <c r="J844" s="16"/>
      <c r="K844" s="19"/>
      <c r="L844" s="15"/>
      <c r="M844" s="15"/>
      <c r="N844" s="15"/>
    </row>
    <row r="845" spans="1:14" x14ac:dyDescent="0.4">
      <c r="A845" s="11"/>
      <c r="B845" s="40"/>
      <c r="C845" s="40"/>
      <c r="D845" s="40"/>
      <c r="E845" s="40"/>
      <c r="F845" s="13"/>
      <c r="G845" s="11"/>
      <c r="H845" s="17"/>
      <c r="I845" s="13"/>
      <c r="J845" s="16"/>
      <c r="K845" s="13"/>
      <c r="L845" s="15"/>
      <c r="M845" s="15"/>
      <c r="N845" s="15"/>
    </row>
    <row r="846" spans="1:14" x14ac:dyDescent="0.4">
      <c r="A846" s="11"/>
      <c r="B846" s="40"/>
      <c r="C846" s="40"/>
      <c r="D846" s="40"/>
      <c r="E846" s="40"/>
      <c r="F846" s="13"/>
      <c r="G846" s="11"/>
      <c r="H846" s="17"/>
      <c r="I846" s="13"/>
      <c r="J846" s="16"/>
      <c r="K846" s="13"/>
      <c r="L846" s="15"/>
      <c r="M846" s="15"/>
      <c r="N846" s="15"/>
    </row>
    <row r="847" spans="1:14" x14ac:dyDescent="0.4">
      <c r="A847" s="11"/>
      <c r="B847" s="40"/>
      <c r="C847" s="40"/>
      <c r="D847" s="40"/>
      <c r="E847" s="40"/>
      <c r="F847" s="13"/>
      <c r="G847" s="11"/>
      <c r="H847" s="17"/>
      <c r="I847" s="13"/>
      <c r="J847" s="16"/>
      <c r="K847" s="13"/>
      <c r="L847" s="15"/>
      <c r="M847" s="15"/>
      <c r="N847" s="15"/>
    </row>
    <row r="848" spans="1:14" x14ac:dyDescent="0.4">
      <c r="A848" s="11"/>
      <c r="B848" s="40"/>
      <c r="C848" s="40"/>
      <c r="D848" s="40"/>
      <c r="E848" s="40"/>
      <c r="F848" s="13"/>
      <c r="G848" s="11"/>
      <c r="H848" s="17"/>
      <c r="I848" s="13"/>
      <c r="J848" s="16"/>
      <c r="K848" s="13"/>
      <c r="L848" s="15"/>
      <c r="M848" s="15"/>
      <c r="N848" s="15"/>
    </row>
    <row r="849" spans="1:14" x14ac:dyDescent="0.4">
      <c r="A849" s="11"/>
      <c r="B849" s="40"/>
      <c r="C849" s="40"/>
      <c r="D849" s="40"/>
      <c r="E849" s="40"/>
      <c r="F849" s="13"/>
      <c r="G849" s="11"/>
      <c r="H849" s="17"/>
      <c r="I849" s="13"/>
      <c r="J849" s="16"/>
      <c r="K849" s="13"/>
      <c r="L849" s="15"/>
      <c r="M849" s="15"/>
      <c r="N849" s="15"/>
    </row>
    <row r="850" spans="1:14" x14ac:dyDescent="0.4">
      <c r="A850" s="11"/>
      <c r="B850" s="40"/>
      <c r="C850" s="40"/>
      <c r="D850" s="40"/>
      <c r="E850" s="40"/>
      <c r="F850" s="13"/>
      <c r="G850" s="11"/>
      <c r="H850" s="17"/>
      <c r="I850" s="13"/>
      <c r="J850" s="16"/>
      <c r="K850" s="13"/>
      <c r="L850" s="15"/>
      <c r="M850" s="15"/>
      <c r="N850" s="15"/>
    </row>
    <row r="851" spans="1:14" x14ac:dyDescent="0.4">
      <c r="A851" s="11"/>
      <c r="B851" s="40"/>
      <c r="C851" s="40"/>
      <c r="D851" s="40"/>
      <c r="E851" s="40"/>
      <c r="F851" s="13"/>
      <c r="G851" s="11"/>
      <c r="H851" s="17"/>
      <c r="I851" s="13"/>
      <c r="J851" s="16"/>
      <c r="K851" s="13"/>
      <c r="L851" s="15"/>
      <c r="M851" s="15"/>
      <c r="N851" s="15"/>
    </row>
    <row r="852" spans="1:14" x14ac:dyDescent="0.4">
      <c r="A852" s="11"/>
      <c r="B852" s="40"/>
      <c r="C852" s="40"/>
      <c r="D852" s="40"/>
      <c r="E852" s="40"/>
      <c r="F852" s="13"/>
      <c r="G852" s="11"/>
      <c r="H852" s="17"/>
      <c r="I852" s="13"/>
      <c r="J852" s="16"/>
      <c r="K852" s="13"/>
      <c r="L852" s="15"/>
      <c r="M852" s="15"/>
      <c r="N852" s="15"/>
    </row>
    <row r="853" spans="1:14" x14ac:dyDescent="0.4">
      <c r="A853" s="11"/>
      <c r="B853" s="40"/>
      <c r="C853" s="40"/>
      <c r="D853" s="40"/>
      <c r="E853" s="40"/>
      <c r="F853" s="13"/>
      <c r="G853" s="11"/>
      <c r="H853" s="17"/>
      <c r="I853" s="13"/>
      <c r="J853" s="16"/>
      <c r="K853" s="13"/>
      <c r="L853" s="15"/>
      <c r="M853" s="15"/>
      <c r="N853" s="15"/>
    </row>
    <row r="854" spans="1:14" x14ac:dyDescent="0.4">
      <c r="A854" s="11"/>
      <c r="B854" s="41"/>
      <c r="C854" s="41"/>
      <c r="D854" s="41"/>
      <c r="E854" s="41"/>
      <c r="F854" s="19"/>
      <c r="G854" s="11"/>
      <c r="H854" s="20"/>
      <c r="I854" s="19"/>
      <c r="J854" s="16"/>
      <c r="K854" s="19"/>
      <c r="L854" s="15"/>
      <c r="M854" s="15"/>
      <c r="N854" s="15"/>
    </row>
    <row r="855" spans="1:14" x14ac:dyDescent="0.4">
      <c r="A855" s="11"/>
      <c r="B855" s="41"/>
      <c r="C855" s="41"/>
      <c r="D855" s="41"/>
      <c r="E855" s="41"/>
      <c r="F855" s="19"/>
      <c r="G855" s="11"/>
      <c r="H855" s="20"/>
      <c r="I855" s="19"/>
      <c r="J855" s="16"/>
      <c r="K855" s="19"/>
      <c r="L855" s="15"/>
      <c r="M855" s="15"/>
      <c r="N855" s="15"/>
    </row>
    <row r="856" spans="1:14" x14ac:dyDescent="0.4">
      <c r="A856" s="11"/>
      <c r="B856" s="41"/>
      <c r="C856" s="41"/>
      <c r="D856" s="41"/>
      <c r="E856" s="41"/>
      <c r="F856" s="19"/>
      <c r="G856" s="11"/>
      <c r="H856" s="20"/>
      <c r="I856" s="19"/>
      <c r="J856" s="16"/>
      <c r="K856" s="19"/>
      <c r="L856" s="15"/>
      <c r="M856" s="15"/>
      <c r="N856" s="15"/>
    </row>
    <row r="857" spans="1:14" ht="17.399999999999999" x14ac:dyDescent="0.4">
      <c r="A857" s="77" t="s">
        <v>24</v>
      </c>
      <c r="B857" s="75"/>
      <c r="C857" s="75"/>
      <c r="D857" s="75"/>
      <c r="E857" s="75"/>
      <c r="F857" s="75"/>
      <c r="G857" s="75"/>
      <c r="H857" s="75"/>
      <c r="I857" s="75"/>
      <c r="J857" s="75"/>
      <c r="K857" s="75"/>
      <c r="L857" s="75"/>
      <c r="M857" s="75"/>
      <c r="N857" s="76"/>
    </row>
    <row r="858" spans="1:14" x14ac:dyDescent="0.4">
      <c r="A858" s="11" t="str">
        <f ca="1">INDEX(A687:A837, MATCH(MAX(N687:N837), N687:N837, 0), 0)</f>
        <v>Front</v>
      </c>
      <c r="B858" s="40">
        <f ca="1">INDEX(B687:B837, MATCH(MAX(N687:N837), N687:N837, 0), 0)</f>
        <v>0</v>
      </c>
      <c r="C858" s="40"/>
      <c r="D858" s="40"/>
      <c r="E858" s="40"/>
      <c r="F858" s="13">
        <f ca="1">INDEX(F687:F837, MATCH(MAX(N687:N837), N687:N837, 0), 0)</f>
        <v>0</v>
      </c>
      <c r="G858" s="11">
        <f ca="1">INDEX(G687:G837, MATCH(MAX(N687:N837), N687:N837, 0), 0)</f>
        <v>0</v>
      </c>
      <c r="H858" s="17">
        <f ca="1">INDEX(H687:H837, MATCH(MAX(N687:N837), N687:N837, 0), 0)</f>
        <v>0</v>
      </c>
      <c r="I858" s="13">
        <f ca="1">INDEX(I687:I837, MATCH(MAX(N687:N837), N687:N837, 0), 0)</f>
        <v>0</v>
      </c>
      <c r="J858" s="16"/>
      <c r="K858" s="13">
        <f ca="1">INDEX(K687:K837, MATCH(MAX(N687:N837), N687:N837, 0), 0)</f>
        <v>0</v>
      </c>
      <c r="L858" s="15">
        <f ca="1">ROUND((10^(K858/10))/(10^(I858/10)),3)</f>
        <v>1</v>
      </c>
      <c r="M858" s="15"/>
      <c r="N858" s="15">
        <f t="shared" ref="N858" ca="1" si="443">J858*L858</f>
        <v>0</v>
      </c>
    </row>
    <row r="859" spans="1:14" x14ac:dyDescent="0.4">
      <c r="A859" s="11"/>
      <c r="B859" s="40"/>
      <c r="C859" s="40"/>
      <c r="D859" s="40"/>
      <c r="E859" s="40"/>
      <c r="F859" s="13"/>
      <c r="G859" s="11"/>
      <c r="H859" s="17"/>
      <c r="I859" s="13"/>
      <c r="J859" s="16"/>
      <c r="K859" s="13"/>
      <c r="L859" s="15"/>
      <c r="M859" s="15"/>
      <c r="N859" s="52"/>
    </row>
    <row r="860" spans="1:14" x14ac:dyDescent="0.4">
      <c r="A860" s="11"/>
      <c r="B860" s="40"/>
      <c r="C860" s="40"/>
      <c r="D860" s="40"/>
      <c r="E860" s="40"/>
      <c r="F860" s="13"/>
      <c r="G860" s="11"/>
      <c r="H860" s="17"/>
      <c r="I860" s="13"/>
      <c r="J860" s="16"/>
      <c r="K860" s="13"/>
      <c r="L860" s="15"/>
      <c r="M860" s="15"/>
      <c r="N860" s="52"/>
    </row>
    <row r="861" spans="1:14" x14ac:dyDescent="0.4">
      <c r="A861" s="11"/>
      <c r="B861" s="41"/>
      <c r="C861" s="41"/>
      <c r="D861" s="41"/>
      <c r="E861" s="41"/>
      <c r="F861" s="19"/>
      <c r="G861" s="11"/>
      <c r="H861" s="20"/>
      <c r="I861" s="19"/>
      <c r="J861" s="16"/>
      <c r="K861" s="19"/>
      <c r="L861" s="15"/>
      <c r="M861" s="15"/>
      <c r="N861" s="52"/>
    </row>
    <row r="862" spans="1:14" x14ac:dyDescent="0.4">
      <c r="A862" s="11"/>
      <c r="B862" s="41"/>
      <c r="C862" s="41"/>
      <c r="D862" s="41"/>
      <c r="E862" s="41"/>
      <c r="F862" s="19"/>
      <c r="G862" s="11"/>
      <c r="H862" s="20"/>
      <c r="I862" s="19"/>
      <c r="J862" s="16"/>
      <c r="K862" s="19"/>
      <c r="L862" s="15"/>
      <c r="M862" s="15"/>
      <c r="N862" s="52"/>
    </row>
    <row r="863" spans="1:14" x14ac:dyDescent="0.4">
      <c r="A863" s="11"/>
      <c r="B863" s="41"/>
      <c r="C863" s="41"/>
      <c r="D863" s="41"/>
      <c r="E863" s="41"/>
      <c r="F863" s="19"/>
      <c r="G863" s="11"/>
      <c r="H863" s="20"/>
      <c r="I863" s="19"/>
      <c r="J863" s="16"/>
      <c r="K863" s="19"/>
      <c r="L863" s="15"/>
      <c r="M863" s="15"/>
      <c r="N863" s="52"/>
    </row>
    <row r="864" spans="1:14" x14ac:dyDescent="0.4">
      <c r="A864" s="11"/>
      <c r="B864" s="40"/>
      <c r="C864" s="40"/>
      <c r="D864" s="40"/>
      <c r="E864" s="40"/>
      <c r="F864" s="13"/>
      <c r="G864" s="11"/>
      <c r="H864" s="17"/>
      <c r="I864" s="13"/>
      <c r="J864" s="16"/>
      <c r="K864" s="13"/>
      <c r="L864" s="15"/>
      <c r="M864" s="15"/>
      <c r="N864" s="52"/>
    </row>
    <row r="865" spans="1:14" x14ac:dyDescent="0.4">
      <c r="A865" s="11"/>
      <c r="B865" s="40"/>
      <c r="C865" s="40"/>
      <c r="D865" s="40"/>
      <c r="E865" s="40"/>
      <c r="F865" s="13"/>
      <c r="G865" s="11"/>
      <c r="H865" s="17"/>
      <c r="I865" s="13"/>
      <c r="J865" s="16"/>
      <c r="K865" s="13"/>
      <c r="L865" s="15"/>
      <c r="M865" s="15"/>
      <c r="N865" s="52"/>
    </row>
    <row r="866" spans="1:14" x14ac:dyDescent="0.4">
      <c r="A866" s="11"/>
      <c r="B866" s="40"/>
      <c r="C866" s="40"/>
      <c r="D866" s="40"/>
      <c r="E866" s="40"/>
      <c r="F866" s="13"/>
      <c r="G866" s="11"/>
      <c r="H866" s="17"/>
      <c r="I866" s="13"/>
      <c r="J866" s="16"/>
      <c r="K866" s="13"/>
      <c r="L866" s="15"/>
      <c r="M866" s="15"/>
      <c r="N866" s="52"/>
    </row>
    <row r="867" spans="1:14" x14ac:dyDescent="0.4">
      <c r="A867" s="11"/>
      <c r="B867" s="40"/>
      <c r="C867" s="40"/>
      <c r="D867" s="40"/>
      <c r="E867" s="40"/>
      <c r="F867" s="13"/>
      <c r="G867" s="11"/>
      <c r="H867" s="17"/>
      <c r="I867" s="13"/>
      <c r="J867" s="16"/>
      <c r="K867" s="13"/>
      <c r="L867" s="15"/>
      <c r="M867" s="15"/>
      <c r="N867" s="52"/>
    </row>
    <row r="868" spans="1:14" x14ac:dyDescent="0.4">
      <c r="A868" s="11"/>
      <c r="B868" s="40"/>
      <c r="C868" s="40"/>
      <c r="D868" s="40"/>
      <c r="E868" s="40"/>
      <c r="F868" s="13"/>
      <c r="G868" s="11"/>
      <c r="H868" s="17"/>
      <c r="I868" s="13"/>
      <c r="J868" s="16"/>
      <c r="K868" s="13"/>
      <c r="L868" s="15"/>
      <c r="M868" s="15"/>
      <c r="N868" s="52"/>
    </row>
    <row r="869" spans="1:14" x14ac:dyDescent="0.4">
      <c r="A869" s="11"/>
      <c r="B869" s="40"/>
      <c r="C869" s="40"/>
      <c r="D869" s="40"/>
      <c r="E869" s="40"/>
      <c r="F869" s="13"/>
      <c r="G869" s="11"/>
      <c r="H869" s="17"/>
      <c r="I869" s="13"/>
      <c r="J869" s="16"/>
      <c r="K869" s="13"/>
      <c r="L869" s="15"/>
      <c r="M869" s="15"/>
      <c r="N869" s="52"/>
    </row>
    <row r="870" spans="1:14" x14ac:dyDescent="0.4">
      <c r="A870" s="11"/>
      <c r="B870" s="40"/>
      <c r="C870" s="40"/>
      <c r="D870" s="40"/>
      <c r="E870" s="40"/>
      <c r="F870" s="13"/>
      <c r="G870" s="11"/>
      <c r="H870" s="17"/>
      <c r="I870" s="13"/>
      <c r="J870" s="16"/>
      <c r="K870" s="13"/>
      <c r="L870" s="15"/>
      <c r="M870" s="15"/>
      <c r="N870" s="52"/>
    </row>
    <row r="871" spans="1:14" x14ac:dyDescent="0.4">
      <c r="A871" s="11"/>
      <c r="B871" s="40"/>
      <c r="C871" s="40"/>
      <c r="D871" s="40"/>
      <c r="E871" s="40"/>
      <c r="F871" s="13"/>
      <c r="G871" s="11"/>
      <c r="H871" s="17"/>
      <c r="I871" s="13"/>
      <c r="J871" s="16"/>
      <c r="K871" s="13"/>
      <c r="L871" s="15"/>
      <c r="M871" s="15"/>
      <c r="N871" s="52"/>
    </row>
    <row r="872" spans="1:14" x14ac:dyDescent="0.4">
      <c r="A872" s="11"/>
      <c r="B872" s="40"/>
      <c r="C872" s="40"/>
      <c r="D872" s="40"/>
      <c r="E872" s="40"/>
      <c r="F872" s="13"/>
      <c r="G872" s="11"/>
      <c r="H872" s="17"/>
      <c r="I872" s="13"/>
      <c r="J872" s="16"/>
      <c r="K872" s="13"/>
      <c r="L872" s="15"/>
      <c r="M872" s="15"/>
      <c r="N872" s="52"/>
    </row>
    <row r="873" spans="1:14" x14ac:dyDescent="0.4">
      <c r="A873" s="11"/>
      <c r="B873" s="41"/>
      <c r="C873" s="41"/>
      <c r="D873" s="41"/>
      <c r="E873" s="41"/>
      <c r="F873" s="19"/>
      <c r="G873" s="11"/>
      <c r="H873" s="20"/>
      <c r="I873" s="19"/>
      <c r="J873" s="16"/>
      <c r="K873" s="19"/>
      <c r="L873" s="15"/>
      <c r="M873" s="15"/>
      <c r="N873" s="52"/>
    </row>
    <row r="874" spans="1:14" x14ac:dyDescent="0.4">
      <c r="A874" s="11"/>
      <c r="B874" s="41"/>
      <c r="C874" s="41"/>
      <c r="D874" s="41"/>
      <c r="E874" s="41"/>
      <c r="F874" s="19"/>
      <c r="G874" s="11"/>
      <c r="H874" s="20"/>
      <c r="I874" s="19"/>
      <c r="J874" s="16"/>
      <c r="K874" s="19"/>
      <c r="L874" s="15"/>
      <c r="M874" s="15"/>
      <c r="N874" s="52"/>
    </row>
    <row r="875" spans="1:14" x14ac:dyDescent="0.4">
      <c r="A875" s="11"/>
      <c r="B875" s="41"/>
      <c r="C875" s="41"/>
      <c r="D875" s="41"/>
      <c r="E875" s="41"/>
      <c r="F875" s="19"/>
      <c r="G875" s="11"/>
      <c r="H875" s="20"/>
      <c r="I875" s="19"/>
      <c r="J875" s="16"/>
      <c r="K875" s="19"/>
      <c r="L875" s="15"/>
      <c r="M875" s="15"/>
      <c r="N875" s="52"/>
    </row>
    <row r="878" spans="1:14" x14ac:dyDescent="0.4">
      <c r="A878" s="58" t="s">
        <v>163</v>
      </c>
      <c r="B878" s="59"/>
      <c r="C878" s="59"/>
      <c r="D878" s="59"/>
      <c r="E878" s="59"/>
      <c r="F878" s="59"/>
      <c r="G878" s="59"/>
      <c r="H878" s="60"/>
      <c r="I878" s="54" t="s">
        <v>3</v>
      </c>
      <c r="J878" s="54"/>
      <c r="K878" s="54"/>
      <c r="L878" s="7"/>
      <c r="M878" s="7"/>
      <c r="N878" s="8"/>
    </row>
    <row r="879" spans="1:14" x14ac:dyDescent="0.4">
      <c r="A879" s="61"/>
      <c r="B879" s="62"/>
      <c r="C879" s="62"/>
      <c r="D879" s="62"/>
      <c r="E879" s="62"/>
      <c r="F879" s="62"/>
      <c r="G879" s="62"/>
      <c r="H879" s="63"/>
      <c r="I879" s="54" t="s">
        <v>4</v>
      </c>
      <c r="J879" s="54"/>
      <c r="K879" s="54"/>
      <c r="L879" s="7"/>
      <c r="M879" s="7"/>
      <c r="N879" s="8"/>
    </row>
    <row r="880" spans="1:14" x14ac:dyDescent="0.4">
      <c r="A880" s="64"/>
      <c r="B880" s="65"/>
      <c r="C880" s="65"/>
      <c r="D880" s="65"/>
      <c r="E880" s="65"/>
      <c r="F880" s="65"/>
      <c r="G880" s="65"/>
      <c r="H880" s="66"/>
      <c r="I880" s="54" t="s">
        <v>0</v>
      </c>
      <c r="J880" s="54"/>
      <c r="K880" s="54"/>
      <c r="L880" s="9"/>
      <c r="M880" s="9"/>
      <c r="N880" s="8"/>
    </row>
    <row r="881" spans="1:14" x14ac:dyDescent="0.4">
      <c r="A881" s="39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</row>
    <row r="882" spans="1:14" x14ac:dyDescent="0.4">
      <c r="A882" s="53" t="s">
        <v>14</v>
      </c>
      <c r="B882" s="55" t="s">
        <v>34</v>
      </c>
      <c r="C882" s="71" t="s">
        <v>152</v>
      </c>
      <c r="D882" s="71" t="s">
        <v>153</v>
      </c>
      <c r="E882" s="71" t="s">
        <v>145</v>
      </c>
      <c r="F882" s="53" t="s">
        <v>1</v>
      </c>
      <c r="G882" s="53"/>
      <c r="H882" s="57" t="s">
        <v>15</v>
      </c>
      <c r="I882" s="57" t="s">
        <v>16</v>
      </c>
      <c r="J882" s="53" t="s">
        <v>17</v>
      </c>
      <c r="K882" s="67" t="s">
        <v>84</v>
      </c>
      <c r="L882" s="68"/>
      <c r="M882" s="53" t="s">
        <v>20</v>
      </c>
      <c r="N882" s="8"/>
    </row>
    <row r="883" spans="1:14" x14ac:dyDescent="0.4">
      <c r="A883" s="53"/>
      <c r="B883" s="55"/>
      <c r="C883" s="72"/>
      <c r="D883" s="72"/>
      <c r="E883" s="72"/>
      <c r="F883" s="53" t="s">
        <v>18</v>
      </c>
      <c r="G883" s="53" t="s">
        <v>2</v>
      </c>
      <c r="H883" s="57"/>
      <c r="I883" s="57"/>
      <c r="J883" s="53"/>
      <c r="K883" s="69"/>
      <c r="L883" s="70"/>
      <c r="M883" s="53"/>
      <c r="N883" s="8"/>
    </row>
    <row r="884" spans="1:14" x14ac:dyDescent="0.4">
      <c r="A884" s="53"/>
      <c r="B884" s="56"/>
      <c r="C884" s="73"/>
      <c r="D884" s="73"/>
      <c r="E884" s="73"/>
      <c r="F884" s="53"/>
      <c r="G884" s="53"/>
      <c r="H884" s="57"/>
      <c r="I884" s="57"/>
      <c r="J884" s="53"/>
      <c r="K884" s="42" t="s">
        <v>85</v>
      </c>
      <c r="L884" s="42" t="s">
        <v>86</v>
      </c>
      <c r="M884" s="53"/>
      <c r="N884" s="8"/>
    </row>
    <row r="885" spans="1:14" x14ac:dyDescent="0.4">
      <c r="A885" s="11" t="s">
        <v>11</v>
      </c>
      <c r="B885" s="40"/>
      <c r="C885" s="40"/>
      <c r="D885" s="40"/>
      <c r="E885" s="40"/>
      <c r="F885" s="13"/>
      <c r="G885" s="11"/>
      <c r="H885" s="13"/>
      <c r="I885" s="14"/>
      <c r="J885" s="13"/>
      <c r="K885" s="15">
        <f>ROUND((10^(J885/10))/(10^(H885/10)),3)</f>
        <v>1</v>
      </c>
      <c r="L885" s="15"/>
      <c r="M885" s="15">
        <f t="shared" ref="M885:M896" si="444">I885*K885</f>
        <v>0</v>
      </c>
      <c r="N885" s="8"/>
    </row>
    <row r="886" spans="1:14" x14ac:dyDescent="0.4">
      <c r="A886" s="11" t="s">
        <v>11</v>
      </c>
      <c r="B886" s="40"/>
      <c r="C886" s="40"/>
      <c r="D886" s="40"/>
      <c r="E886" s="40"/>
      <c r="F886" s="13"/>
      <c r="G886" s="11"/>
      <c r="H886" s="13"/>
      <c r="I886" s="14"/>
      <c r="J886" s="13"/>
      <c r="K886" s="15">
        <f t="shared" ref="K886:K896" si="445">ROUND((10^(J886/10))/(10^(H886/10)),3)</f>
        <v>1</v>
      </c>
      <c r="L886" s="15"/>
      <c r="M886" s="15">
        <f t="shared" si="444"/>
        <v>0</v>
      </c>
      <c r="N886" s="8"/>
    </row>
    <row r="887" spans="1:14" x14ac:dyDescent="0.4">
      <c r="A887" s="11" t="s">
        <v>11</v>
      </c>
      <c r="B887" s="40"/>
      <c r="C887" s="40"/>
      <c r="D887" s="40"/>
      <c r="E887" s="40"/>
      <c r="F887" s="13"/>
      <c r="G887" s="11"/>
      <c r="H887" s="13"/>
      <c r="I887" s="14"/>
      <c r="J887" s="13"/>
      <c r="K887" s="15">
        <f t="shared" si="445"/>
        <v>1</v>
      </c>
      <c r="L887" s="15"/>
      <c r="M887" s="15">
        <f t="shared" si="444"/>
        <v>0</v>
      </c>
      <c r="N887" s="8"/>
    </row>
    <row r="888" spans="1:14" x14ac:dyDescent="0.4">
      <c r="A888" s="11" t="s">
        <v>13</v>
      </c>
      <c r="B888" s="40">
        <f t="shared" ref="B888" si="446">B885</f>
        <v>0</v>
      </c>
      <c r="C888" s="40"/>
      <c r="D888" s="40"/>
      <c r="E888" s="40">
        <f t="shared" ref="E888:G888" si="447">E885</f>
        <v>0</v>
      </c>
      <c r="F888" s="13">
        <f t="shared" si="447"/>
        <v>0</v>
      </c>
      <c r="G888" s="40">
        <f t="shared" si="447"/>
        <v>0</v>
      </c>
      <c r="H888" s="13">
        <f>H885</f>
        <v>0</v>
      </c>
      <c r="I888" s="16"/>
      <c r="J888" s="13">
        <f t="shared" ref="J888:J890" si="448">J885</f>
        <v>0</v>
      </c>
      <c r="K888" s="15">
        <f t="shared" si="445"/>
        <v>1</v>
      </c>
      <c r="L888" s="15"/>
      <c r="M888" s="15">
        <f t="shared" si="444"/>
        <v>0</v>
      </c>
      <c r="N888" s="8"/>
    </row>
    <row r="889" spans="1:14" x14ac:dyDescent="0.4">
      <c r="A889" s="11" t="s">
        <v>13</v>
      </c>
      <c r="B889" s="40">
        <f t="shared" ref="B889" si="449">B886</f>
        <v>0</v>
      </c>
      <c r="C889" s="40"/>
      <c r="D889" s="40"/>
      <c r="E889" s="40">
        <f t="shared" ref="E889:H889" si="450">E886</f>
        <v>0</v>
      </c>
      <c r="F889" s="13">
        <f t="shared" si="450"/>
        <v>0</v>
      </c>
      <c r="G889" s="40">
        <f t="shared" si="450"/>
        <v>0</v>
      </c>
      <c r="H889" s="13">
        <f t="shared" si="450"/>
        <v>0</v>
      </c>
      <c r="I889" s="16"/>
      <c r="J889" s="13">
        <f t="shared" si="448"/>
        <v>0</v>
      </c>
      <c r="K889" s="15">
        <f t="shared" si="445"/>
        <v>1</v>
      </c>
      <c r="L889" s="15"/>
      <c r="M889" s="15">
        <f t="shared" si="444"/>
        <v>0</v>
      </c>
      <c r="N889" s="8"/>
    </row>
    <row r="890" spans="1:14" x14ac:dyDescent="0.4">
      <c r="A890" s="11" t="s">
        <v>13</v>
      </c>
      <c r="B890" s="40">
        <f t="shared" ref="B890" si="451">B887</f>
        <v>0</v>
      </c>
      <c r="C890" s="40"/>
      <c r="D890" s="40"/>
      <c r="E890" s="40">
        <f t="shared" ref="E890:H890" si="452">E887</f>
        <v>0</v>
      </c>
      <c r="F890" s="13">
        <f t="shared" si="452"/>
        <v>0</v>
      </c>
      <c r="G890" s="40">
        <f t="shared" si="452"/>
        <v>0</v>
      </c>
      <c r="H890" s="13">
        <f t="shared" si="452"/>
        <v>0</v>
      </c>
      <c r="I890" s="16"/>
      <c r="J890" s="13">
        <f t="shared" si="448"/>
        <v>0</v>
      </c>
      <c r="K890" s="15">
        <f t="shared" si="445"/>
        <v>1</v>
      </c>
      <c r="L890" s="15"/>
      <c r="M890" s="15">
        <f t="shared" si="444"/>
        <v>0</v>
      </c>
      <c r="N890" s="8"/>
    </row>
    <row r="891" spans="1:14" x14ac:dyDescent="0.4">
      <c r="A891" s="11" t="s">
        <v>12</v>
      </c>
      <c r="B891" s="40">
        <f t="shared" ref="B891:J896" ca="1" si="453">OFFSET(B891,-6,0)</f>
        <v>0</v>
      </c>
      <c r="C891" s="40"/>
      <c r="D891" s="40"/>
      <c r="E891" s="40">
        <f t="shared" ca="1" si="453"/>
        <v>0</v>
      </c>
      <c r="F891" s="13">
        <f t="shared" ca="1" si="453"/>
        <v>0</v>
      </c>
      <c r="G891" s="17">
        <f t="shared" ca="1" si="453"/>
        <v>0</v>
      </c>
      <c r="H891" s="13">
        <f t="shared" ca="1" si="453"/>
        <v>0</v>
      </c>
      <c r="I891" s="16"/>
      <c r="J891" s="13">
        <f t="shared" ca="1" si="453"/>
        <v>0</v>
      </c>
      <c r="K891" s="15">
        <f t="shared" ca="1" si="445"/>
        <v>1</v>
      </c>
      <c r="L891" s="15"/>
      <c r="M891" s="15">
        <f t="shared" ca="1" si="444"/>
        <v>0</v>
      </c>
      <c r="N891" s="8"/>
    </row>
    <row r="892" spans="1:14" x14ac:dyDescent="0.4">
      <c r="A892" s="11" t="s">
        <v>12</v>
      </c>
      <c r="B892" s="40">
        <f t="shared" ca="1" si="453"/>
        <v>0</v>
      </c>
      <c r="C892" s="40"/>
      <c r="D892" s="40"/>
      <c r="E892" s="40">
        <f t="shared" ca="1" si="453"/>
        <v>0</v>
      </c>
      <c r="F892" s="13">
        <f t="shared" ca="1" si="453"/>
        <v>0</v>
      </c>
      <c r="G892" s="17">
        <f t="shared" ca="1" si="453"/>
        <v>0</v>
      </c>
      <c r="H892" s="13">
        <f t="shared" ca="1" si="453"/>
        <v>0</v>
      </c>
      <c r="I892" s="16"/>
      <c r="J892" s="13">
        <f t="shared" ca="1" si="453"/>
        <v>0</v>
      </c>
      <c r="K892" s="15">
        <f t="shared" ca="1" si="445"/>
        <v>1</v>
      </c>
      <c r="L892" s="15"/>
      <c r="M892" s="15">
        <f t="shared" ca="1" si="444"/>
        <v>0</v>
      </c>
      <c r="N892" s="8"/>
    </row>
    <row r="893" spans="1:14" x14ac:dyDescent="0.4">
      <c r="A893" s="11" t="s">
        <v>12</v>
      </c>
      <c r="B893" s="40">
        <f t="shared" ca="1" si="453"/>
        <v>0</v>
      </c>
      <c r="C893" s="40"/>
      <c r="D893" s="40"/>
      <c r="E893" s="40">
        <f t="shared" ca="1" si="453"/>
        <v>0</v>
      </c>
      <c r="F893" s="13">
        <f t="shared" ca="1" si="453"/>
        <v>0</v>
      </c>
      <c r="G893" s="17">
        <f t="shared" ca="1" si="453"/>
        <v>0</v>
      </c>
      <c r="H893" s="13">
        <f t="shared" ca="1" si="453"/>
        <v>0</v>
      </c>
      <c r="I893" s="16"/>
      <c r="J893" s="13">
        <f t="shared" ca="1" si="453"/>
        <v>0</v>
      </c>
      <c r="K893" s="15">
        <f t="shared" ca="1" si="445"/>
        <v>1</v>
      </c>
      <c r="L893" s="15"/>
      <c r="M893" s="15">
        <f t="shared" ca="1" si="444"/>
        <v>0</v>
      </c>
      <c r="N893" s="8"/>
    </row>
    <row r="894" spans="1:14" x14ac:dyDescent="0.4">
      <c r="A894" s="11" t="s">
        <v>21</v>
      </c>
      <c r="B894" s="40">
        <f t="shared" ca="1" si="453"/>
        <v>0</v>
      </c>
      <c r="C894" s="40"/>
      <c r="D894" s="40"/>
      <c r="E894" s="40">
        <f t="shared" ca="1" si="453"/>
        <v>0</v>
      </c>
      <c r="F894" s="13">
        <f t="shared" ca="1" si="453"/>
        <v>0</v>
      </c>
      <c r="G894" s="17">
        <f t="shared" ca="1" si="453"/>
        <v>0</v>
      </c>
      <c r="H894" s="13">
        <f t="shared" ca="1" si="453"/>
        <v>0</v>
      </c>
      <c r="I894" s="16"/>
      <c r="J894" s="13">
        <f t="shared" ca="1" si="453"/>
        <v>0</v>
      </c>
      <c r="K894" s="15">
        <f t="shared" ca="1" si="445"/>
        <v>1</v>
      </c>
      <c r="L894" s="15"/>
      <c r="M894" s="15">
        <f t="shared" ca="1" si="444"/>
        <v>0</v>
      </c>
      <c r="N894" s="8"/>
    </row>
    <row r="895" spans="1:14" x14ac:dyDescent="0.4">
      <c r="A895" s="11" t="s">
        <v>21</v>
      </c>
      <c r="B895" s="40">
        <f t="shared" ca="1" si="453"/>
        <v>0</v>
      </c>
      <c r="C895" s="40"/>
      <c r="D895" s="40"/>
      <c r="E895" s="40">
        <f t="shared" ca="1" si="453"/>
        <v>0</v>
      </c>
      <c r="F895" s="13">
        <f t="shared" ca="1" si="453"/>
        <v>0</v>
      </c>
      <c r="G895" s="17">
        <f t="shared" ca="1" si="453"/>
        <v>0</v>
      </c>
      <c r="H895" s="13">
        <f t="shared" ca="1" si="453"/>
        <v>0</v>
      </c>
      <c r="I895" s="16"/>
      <c r="J895" s="13">
        <f t="shared" ca="1" si="453"/>
        <v>0</v>
      </c>
      <c r="K895" s="15">
        <f t="shared" ca="1" si="445"/>
        <v>1</v>
      </c>
      <c r="L895" s="15"/>
      <c r="M895" s="15">
        <f t="shared" ca="1" si="444"/>
        <v>0</v>
      </c>
      <c r="N895" s="8"/>
    </row>
    <row r="896" spans="1:14" x14ac:dyDescent="0.4">
      <c r="A896" s="11" t="s">
        <v>21</v>
      </c>
      <c r="B896" s="40">
        <f t="shared" ca="1" si="453"/>
        <v>0</v>
      </c>
      <c r="C896" s="40"/>
      <c r="D896" s="40"/>
      <c r="E896" s="40">
        <f t="shared" ca="1" si="453"/>
        <v>0</v>
      </c>
      <c r="F896" s="13">
        <f t="shared" ca="1" si="453"/>
        <v>0</v>
      </c>
      <c r="G896" s="17">
        <f t="shared" ca="1" si="453"/>
        <v>0</v>
      </c>
      <c r="H896" s="13">
        <f t="shared" ca="1" si="453"/>
        <v>0</v>
      </c>
      <c r="I896" s="16"/>
      <c r="J896" s="13">
        <f t="shared" ca="1" si="453"/>
        <v>0</v>
      </c>
      <c r="K896" s="15">
        <f t="shared" ca="1" si="445"/>
        <v>1</v>
      </c>
      <c r="L896" s="15"/>
      <c r="M896" s="15">
        <f t="shared" ca="1" si="444"/>
        <v>0</v>
      </c>
      <c r="N896" s="8"/>
    </row>
    <row r="897" spans="1:14" x14ac:dyDescent="0.4">
      <c r="A897" s="36"/>
      <c r="B897" s="36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7"/>
    </row>
    <row r="898" spans="1:14" x14ac:dyDescent="0.4">
      <c r="A898" s="58" t="s">
        <v>164</v>
      </c>
      <c r="B898" s="59"/>
      <c r="C898" s="59"/>
      <c r="D898" s="59"/>
      <c r="E898" s="59"/>
      <c r="F898" s="59"/>
      <c r="G898" s="59"/>
      <c r="H898" s="59"/>
      <c r="I898" s="60"/>
      <c r="J898" s="54" t="s">
        <v>3</v>
      </c>
      <c r="K898" s="54"/>
      <c r="L898" s="54"/>
      <c r="M898" s="7"/>
      <c r="N898" s="7"/>
    </row>
    <row r="899" spans="1:14" x14ac:dyDescent="0.4">
      <c r="A899" s="61"/>
      <c r="B899" s="62"/>
      <c r="C899" s="62"/>
      <c r="D899" s="62"/>
      <c r="E899" s="62"/>
      <c r="F899" s="62"/>
      <c r="G899" s="62"/>
      <c r="H899" s="62"/>
      <c r="I899" s="63"/>
      <c r="J899" s="54" t="s">
        <v>4</v>
      </c>
      <c r="K899" s="54"/>
      <c r="L899" s="54"/>
      <c r="M899" s="7"/>
      <c r="N899" s="7"/>
    </row>
    <row r="900" spans="1:14" x14ac:dyDescent="0.4">
      <c r="A900" s="64"/>
      <c r="B900" s="65"/>
      <c r="C900" s="65"/>
      <c r="D900" s="65"/>
      <c r="E900" s="65"/>
      <c r="F900" s="65"/>
      <c r="G900" s="65"/>
      <c r="H900" s="65"/>
      <c r="I900" s="66"/>
      <c r="J900" s="54" t="s">
        <v>0</v>
      </c>
      <c r="K900" s="54"/>
      <c r="L900" s="54"/>
      <c r="M900" s="9"/>
      <c r="N900" s="9"/>
    </row>
    <row r="901" spans="1:14" x14ac:dyDescent="0.4">
      <c r="A901" s="39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</row>
    <row r="902" spans="1:14" x14ac:dyDescent="0.4">
      <c r="A902" s="53" t="s">
        <v>14</v>
      </c>
      <c r="B902" s="55" t="s">
        <v>33</v>
      </c>
      <c r="C902" s="71" t="s">
        <v>152</v>
      </c>
      <c r="D902" s="71" t="s">
        <v>153</v>
      </c>
      <c r="E902" s="55" t="s">
        <v>145</v>
      </c>
      <c r="F902" s="53" t="s">
        <v>1</v>
      </c>
      <c r="G902" s="53"/>
      <c r="H902" s="53" t="s">
        <v>19</v>
      </c>
      <c r="I902" s="57" t="s">
        <v>15</v>
      </c>
      <c r="J902" s="57" t="s">
        <v>16</v>
      </c>
      <c r="K902" s="53" t="s">
        <v>17</v>
      </c>
      <c r="L902" s="53" t="s">
        <v>84</v>
      </c>
      <c r="M902" s="53"/>
      <c r="N902" s="53" t="s">
        <v>20</v>
      </c>
    </row>
    <row r="903" spans="1:14" x14ac:dyDescent="0.4">
      <c r="A903" s="53"/>
      <c r="B903" s="55"/>
      <c r="C903" s="72"/>
      <c r="D903" s="72"/>
      <c r="E903" s="55"/>
      <c r="F903" s="53" t="s">
        <v>18</v>
      </c>
      <c r="G903" s="53" t="s">
        <v>2</v>
      </c>
      <c r="H903" s="53"/>
      <c r="I903" s="57"/>
      <c r="J903" s="57"/>
      <c r="K903" s="53"/>
      <c r="L903" s="53"/>
      <c r="M903" s="53"/>
      <c r="N903" s="53"/>
    </row>
    <row r="904" spans="1:14" x14ac:dyDescent="0.4">
      <c r="A904" s="53"/>
      <c r="B904" s="56"/>
      <c r="C904" s="73"/>
      <c r="D904" s="73"/>
      <c r="E904" s="55"/>
      <c r="F904" s="53"/>
      <c r="G904" s="53"/>
      <c r="H904" s="53"/>
      <c r="I904" s="57"/>
      <c r="J904" s="57"/>
      <c r="K904" s="53"/>
      <c r="L904" s="42" t="s">
        <v>85</v>
      </c>
      <c r="M904" s="42" t="s">
        <v>86</v>
      </c>
      <c r="N904" s="53"/>
    </row>
    <row r="905" spans="1:14" x14ac:dyDescent="0.4">
      <c r="A905" s="74" t="s">
        <v>26</v>
      </c>
      <c r="B905" s="78"/>
      <c r="C905" s="78"/>
      <c r="D905" s="78"/>
      <c r="E905" s="78"/>
      <c r="F905" s="78"/>
      <c r="G905" s="78"/>
      <c r="H905" s="78"/>
      <c r="I905" s="78"/>
      <c r="J905" s="78"/>
      <c r="K905" s="78"/>
      <c r="L905" s="78"/>
      <c r="M905" s="78"/>
      <c r="N905" s="79"/>
    </row>
    <row r="906" spans="1:14" x14ac:dyDescent="0.4">
      <c r="A906" s="11" t="s">
        <v>5</v>
      </c>
      <c r="B906" s="40"/>
      <c r="C906" s="40"/>
      <c r="D906" s="40"/>
      <c r="E906" s="40"/>
      <c r="F906" s="13"/>
      <c r="G906" s="11"/>
      <c r="H906" s="17"/>
      <c r="I906" s="13"/>
      <c r="J906" s="16"/>
      <c r="K906" s="13"/>
      <c r="L906" s="15">
        <f>ROUND((10^(K906/10))/(10^(I906/10)),3)</f>
        <v>1</v>
      </c>
      <c r="M906" s="15"/>
      <c r="N906" s="15">
        <f t="shared" ref="N906:N923" si="454">J906*L906</f>
        <v>0</v>
      </c>
    </row>
    <row r="907" spans="1:14" x14ac:dyDescent="0.4">
      <c r="A907" s="11" t="s">
        <v>5</v>
      </c>
      <c r="B907" s="40"/>
      <c r="C907" s="40"/>
      <c r="D907" s="40"/>
      <c r="E907" s="40"/>
      <c r="F907" s="13"/>
      <c r="G907" s="11"/>
      <c r="H907" s="17"/>
      <c r="I907" s="13"/>
      <c r="J907" s="16"/>
      <c r="K907" s="13"/>
      <c r="L907" s="15">
        <f t="shared" ref="L907:L923" si="455">ROUND((10^(K907/10))/(10^(I907/10)),3)</f>
        <v>1</v>
      </c>
      <c r="M907" s="15"/>
      <c r="N907" s="15">
        <f t="shared" si="454"/>
        <v>0</v>
      </c>
    </row>
    <row r="908" spans="1:14" x14ac:dyDescent="0.4">
      <c r="A908" s="11" t="s">
        <v>5</v>
      </c>
      <c r="B908" s="40"/>
      <c r="C908" s="40"/>
      <c r="D908" s="40"/>
      <c r="E908" s="40"/>
      <c r="F908" s="13"/>
      <c r="G908" s="11"/>
      <c r="H908" s="17"/>
      <c r="I908" s="13"/>
      <c r="J908" s="16"/>
      <c r="K908" s="13"/>
      <c r="L908" s="15">
        <f t="shared" si="455"/>
        <v>1</v>
      </c>
      <c r="M908" s="15"/>
      <c r="N908" s="15">
        <f t="shared" si="454"/>
        <v>0</v>
      </c>
    </row>
    <row r="909" spans="1:14" x14ac:dyDescent="0.4">
      <c r="A909" s="11" t="s">
        <v>6</v>
      </c>
      <c r="B909" s="41">
        <f t="shared" ref="B909:I911" ca="1" si="456">OFFSET(B909,-3,0)</f>
        <v>0</v>
      </c>
      <c r="C909" s="41"/>
      <c r="D909" s="41"/>
      <c r="E909" s="41"/>
      <c r="F909" s="19">
        <f t="shared" ca="1" si="456"/>
        <v>0</v>
      </c>
      <c r="G909" s="20">
        <f t="shared" ca="1" si="456"/>
        <v>0</v>
      </c>
      <c r="H909" s="20">
        <f t="shared" ca="1" si="456"/>
        <v>0</v>
      </c>
      <c r="I909" s="13">
        <f t="shared" ca="1" si="456"/>
        <v>0</v>
      </c>
      <c r="J909" s="16"/>
      <c r="K909" s="19">
        <f t="shared" ref="K909:K911" ca="1" si="457">OFFSET(K909,-3,0)</f>
        <v>0</v>
      </c>
      <c r="L909" s="15">
        <f t="shared" ca="1" si="455"/>
        <v>1</v>
      </c>
      <c r="M909" s="15"/>
      <c r="N909" s="15">
        <f t="shared" ca="1" si="454"/>
        <v>0</v>
      </c>
    </row>
    <row r="910" spans="1:14" x14ac:dyDescent="0.4">
      <c r="A910" s="11" t="s">
        <v>6</v>
      </c>
      <c r="B910" s="41">
        <f t="shared" ca="1" si="456"/>
        <v>0</v>
      </c>
      <c r="C910" s="41"/>
      <c r="D910" s="41"/>
      <c r="E910" s="41"/>
      <c r="F910" s="19">
        <f t="shared" ca="1" si="456"/>
        <v>0</v>
      </c>
      <c r="G910" s="20">
        <f t="shared" ca="1" si="456"/>
        <v>0</v>
      </c>
      <c r="H910" s="20">
        <f t="shared" ca="1" si="456"/>
        <v>0</v>
      </c>
      <c r="I910" s="13">
        <f t="shared" ca="1" si="456"/>
        <v>0</v>
      </c>
      <c r="J910" s="16"/>
      <c r="K910" s="19">
        <f t="shared" ca="1" si="457"/>
        <v>0</v>
      </c>
      <c r="L910" s="15">
        <f t="shared" ca="1" si="455"/>
        <v>1</v>
      </c>
      <c r="M910" s="15"/>
      <c r="N910" s="15">
        <f t="shared" ca="1" si="454"/>
        <v>0</v>
      </c>
    </row>
    <row r="911" spans="1:14" x14ac:dyDescent="0.4">
      <c r="A911" s="11" t="s">
        <v>6</v>
      </c>
      <c r="B911" s="41">
        <f t="shared" ca="1" si="456"/>
        <v>0</v>
      </c>
      <c r="C911" s="41"/>
      <c r="D911" s="41"/>
      <c r="E911" s="41"/>
      <c r="F911" s="19">
        <f t="shared" ca="1" si="456"/>
        <v>0</v>
      </c>
      <c r="G911" s="20">
        <f t="shared" ca="1" si="456"/>
        <v>0</v>
      </c>
      <c r="H911" s="20">
        <f t="shared" ca="1" si="456"/>
        <v>0</v>
      </c>
      <c r="I911" s="13">
        <f t="shared" ca="1" si="456"/>
        <v>0</v>
      </c>
      <c r="J911" s="16"/>
      <c r="K911" s="19">
        <f t="shared" ca="1" si="457"/>
        <v>0</v>
      </c>
      <c r="L911" s="15">
        <f t="shared" ca="1" si="455"/>
        <v>1</v>
      </c>
      <c r="M911" s="15"/>
      <c r="N911" s="15">
        <f t="shared" ca="1" si="454"/>
        <v>0</v>
      </c>
    </row>
    <row r="912" spans="1:14" x14ac:dyDescent="0.4">
      <c r="A912" s="11" t="s">
        <v>10</v>
      </c>
      <c r="B912" s="40">
        <f t="shared" ref="B912:I914" ca="1" si="458">OFFSET(B912,-6,0)</f>
        <v>0</v>
      </c>
      <c r="C912" s="40"/>
      <c r="D912" s="40"/>
      <c r="E912" s="40"/>
      <c r="F912" s="13">
        <f t="shared" ca="1" si="458"/>
        <v>0</v>
      </c>
      <c r="G912" s="17">
        <f t="shared" ca="1" si="458"/>
        <v>0</v>
      </c>
      <c r="H912" s="17">
        <f t="shared" ca="1" si="458"/>
        <v>0</v>
      </c>
      <c r="I912" s="13">
        <f t="shared" ca="1" si="458"/>
        <v>0</v>
      </c>
      <c r="J912" s="16"/>
      <c r="K912" s="13">
        <f t="shared" ref="K912:K914" ca="1" si="459">OFFSET(K912,-6,0)</f>
        <v>0</v>
      </c>
      <c r="L912" s="15">
        <f t="shared" ca="1" si="455"/>
        <v>1</v>
      </c>
      <c r="M912" s="15"/>
      <c r="N912" s="15">
        <f t="shared" ca="1" si="454"/>
        <v>0</v>
      </c>
    </row>
    <row r="913" spans="1:14" x14ac:dyDescent="0.4">
      <c r="A913" s="11" t="s">
        <v>10</v>
      </c>
      <c r="B913" s="40">
        <f t="shared" ca="1" si="458"/>
        <v>0</v>
      </c>
      <c r="C913" s="40"/>
      <c r="D913" s="40"/>
      <c r="E913" s="40"/>
      <c r="F913" s="13">
        <f t="shared" ca="1" si="458"/>
        <v>0</v>
      </c>
      <c r="G913" s="17">
        <f t="shared" ca="1" si="458"/>
        <v>0</v>
      </c>
      <c r="H913" s="17">
        <f t="shared" ca="1" si="458"/>
        <v>0</v>
      </c>
      <c r="I913" s="13">
        <f t="shared" ca="1" si="458"/>
        <v>0</v>
      </c>
      <c r="J913" s="16"/>
      <c r="K913" s="13">
        <f t="shared" ca="1" si="459"/>
        <v>0</v>
      </c>
      <c r="L913" s="15">
        <f t="shared" ca="1" si="455"/>
        <v>1</v>
      </c>
      <c r="M913" s="15"/>
      <c r="N913" s="15">
        <f t="shared" ca="1" si="454"/>
        <v>0</v>
      </c>
    </row>
    <row r="914" spans="1:14" x14ac:dyDescent="0.4">
      <c r="A914" s="11" t="s">
        <v>10</v>
      </c>
      <c r="B914" s="40">
        <f t="shared" ca="1" si="458"/>
        <v>0</v>
      </c>
      <c r="C914" s="40"/>
      <c r="D914" s="40"/>
      <c r="E914" s="40"/>
      <c r="F914" s="13">
        <f t="shared" ca="1" si="458"/>
        <v>0</v>
      </c>
      <c r="G914" s="17">
        <f t="shared" ca="1" si="458"/>
        <v>0</v>
      </c>
      <c r="H914" s="17">
        <f t="shared" ca="1" si="458"/>
        <v>0</v>
      </c>
      <c r="I914" s="13">
        <f t="shared" ca="1" si="458"/>
        <v>0</v>
      </c>
      <c r="J914" s="16"/>
      <c r="K914" s="13">
        <f t="shared" ca="1" si="459"/>
        <v>0</v>
      </c>
      <c r="L914" s="15">
        <f t="shared" ca="1" si="455"/>
        <v>1</v>
      </c>
      <c r="M914" s="15"/>
      <c r="N914" s="15">
        <f t="shared" ca="1" si="454"/>
        <v>0</v>
      </c>
    </row>
    <row r="915" spans="1:14" x14ac:dyDescent="0.4">
      <c r="A915" s="11" t="s">
        <v>7</v>
      </c>
      <c r="B915" s="40">
        <f t="shared" ref="B915:I917" ca="1" si="460">OFFSET(B915,-9,0)</f>
        <v>0</v>
      </c>
      <c r="C915" s="40"/>
      <c r="D915" s="40"/>
      <c r="E915" s="40"/>
      <c r="F915" s="13">
        <f t="shared" ca="1" si="460"/>
        <v>0</v>
      </c>
      <c r="G915" s="17">
        <f t="shared" ca="1" si="460"/>
        <v>0</v>
      </c>
      <c r="H915" s="17">
        <f t="shared" ca="1" si="460"/>
        <v>0</v>
      </c>
      <c r="I915" s="13">
        <f t="shared" ca="1" si="460"/>
        <v>0</v>
      </c>
      <c r="J915" s="16"/>
      <c r="K915" s="13">
        <f t="shared" ref="K915:K917" ca="1" si="461">OFFSET(K915,-9,0)</f>
        <v>0</v>
      </c>
      <c r="L915" s="15">
        <f t="shared" ca="1" si="455"/>
        <v>1</v>
      </c>
      <c r="M915" s="15"/>
      <c r="N915" s="15">
        <f t="shared" ca="1" si="454"/>
        <v>0</v>
      </c>
    </row>
    <row r="916" spans="1:14" x14ac:dyDescent="0.4">
      <c r="A916" s="11" t="s">
        <v>7</v>
      </c>
      <c r="B916" s="40">
        <f t="shared" ca="1" si="460"/>
        <v>0</v>
      </c>
      <c r="C916" s="40"/>
      <c r="D916" s="40"/>
      <c r="E916" s="40"/>
      <c r="F916" s="13">
        <f t="shared" ca="1" si="460"/>
        <v>0</v>
      </c>
      <c r="G916" s="17">
        <f t="shared" ca="1" si="460"/>
        <v>0</v>
      </c>
      <c r="H916" s="17">
        <f t="shared" ca="1" si="460"/>
        <v>0</v>
      </c>
      <c r="I916" s="13">
        <f t="shared" ca="1" si="460"/>
        <v>0</v>
      </c>
      <c r="J916" s="16"/>
      <c r="K916" s="13">
        <f t="shared" ca="1" si="461"/>
        <v>0</v>
      </c>
      <c r="L916" s="15">
        <f t="shared" ca="1" si="455"/>
        <v>1</v>
      </c>
      <c r="M916" s="15"/>
      <c r="N916" s="15">
        <f t="shared" ca="1" si="454"/>
        <v>0</v>
      </c>
    </row>
    <row r="917" spans="1:14" x14ac:dyDescent="0.4">
      <c r="A917" s="11" t="s">
        <v>7</v>
      </c>
      <c r="B917" s="40">
        <f t="shared" ca="1" si="460"/>
        <v>0</v>
      </c>
      <c r="C917" s="40"/>
      <c r="D917" s="40"/>
      <c r="E917" s="40"/>
      <c r="F917" s="13">
        <f t="shared" ca="1" si="460"/>
        <v>0</v>
      </c>
      <c r="G917" s="17">
        <f t="shared" ca="1" si="460"/>
        <v>0</v>
      </c>
      <c r="H917" s="17">
        <f t="shared" ca="1" si="460"/>
        <v>0</v>
      </c>
      <c r="I917" s="13">
        <f t="shared" ca="1" si="460"/>
        <v>0</v>
      </c>
      <c r="J917" s="16"/>
      <c r="K917" s="13">
        <f t="shared" ca="1" si="461"/>
        <v>0</v>
      </c>
      <c r="L917" s="15">
        <f t="shared" ca="1" si="455"/>
        <v>1</v>
      </c>
      <c r="M917" s="15"/>
      <c r="N917" s="15">
        <f t="shared" ca="1" si="454"/>
        <v>0</v>
      </c>
    </row>
    <row r="918" spans="1:14" x14ac:dyDescent="0.4">
      <c r="A918" s="11" t="s">
        <v>8</v>
      </c>
      <c r="B918" s="40">
        <f t="shared" ref="B918:I920" ca="1" si="462">OFFSET(B918,-12,0)</f>
        <v>0</v>
      </c>
      <c r="C918" s="40"/>
      <c r="D918" s="40"/>
      <c r="E918" s="40"/>
      <c r="F918" s="13">
        <f t="shared" ca="1" si="462"/>
        <v>0</v>
      </c>
      <c r="G918" s="17">
        <f t="shared" ca="1" si="462"/>
        <v>0</v>
      </c>
      <c r="H918" s="17">
        <f t="shared" ca="1" si="462"/>
        <v>0</v>
      </c>
      <c r="I918" s="13">
        <f t="shared" ca="1" si="462"/>
        <v>0</v>
      </c>
      <c r="J918" s="16"/>
      <c r="K918" s="13">
        <f t="shared" ref="K918:K920" ca="1" si="463">OFFSET(K918,-12,0)</f>
        <v>0</v>
      </c>
      <c r="L918" s="15">
        <f t="shared" ca="1" si="455"/>
        <v>1</v>
      </c>
      <c r="M918" s="15"/>
      <c r="N918" s="15">
        <f t="shared" ca="1" si="454"/>
        <v>0</v>
      </c>
    </row>
    <row r="919" spans="1:14" x14ac:dyDescent="0.4">
      <c r="A919" s="11" t="s">
        <v>8</v>
      </c>
      <c r="B919" s="40">
        <f t="shared" ca="1" si="462"/>
        <v>0</v>
      </c>
      <c r="C919" s="40"/>
      <c r="D919" s="40"/>
      <c r="E919" s="40"/>
      <c r="F919" s="13">
        <f t="shared" ca="1" si="462"/>
        <v>0</v>
      </c>
      <c r="G919" s="17">
        <f t="shared" ca="1" si="462"/>
        <v>0</v>
      </c>
      <c r="H919" s="17">
        <f t="shared" ca="1" si="462"/>
        <v>0</v>
      </c>
      <c r="I919" s="13">
        <f t="shared" ca="1" si="462"/>
        <v>0</v>
      </c>
      <c r="J919" s="16"/>
      <c r="K919" s="13">
        <f t="shared" ca="1" si="463"/>
        <v>0</v>
      </c>
      <c r="L919" s="15">
        <f t="shared" ca="1" si="455"/>
        <v>1</v>
      </c>
      <c r="M919" s="15"/>
      <c r="N919" s="15">
        <f t="shared" ca="1" si="454"/>
        <v>0</v>
      </c>
    </row>
    <row r="920" spans="1:14" x14ac:dyDescent="0.4">
      <c r="A920" s="11" t="s">
        <v>8</v>
      </c>
      <c r="B920" s="40">
        <f t="shared" ca="1" si="462"/>
        <v>0</v>
      </c>
      <c r="C920" s="40"/>
      <c r="D920" s="40"/>
      <c r="E920" s="40"/>
      <c r="F920" s="13">
        <f t="shared" ca="1" si="462"/>
        <v>0</v>
      </c>
      <c r="G920" s="17">
        <f t="shared" ca="1" si="462"/>
        <v>0</v>
      </c>
      <c r="H920" s="17">
        <f t="shared" ca="1" si="462"/>
        <v>0</v>
      </c>
      <c r="I920" s="13">
        <f t="shared" ca="1" si="462"/>
        <v>0</v>
      </c>
      <c r="J920" s="16"/>
      <c r="K920" s="13">
        <f t="shared" ca="1" si="463"/>
        <v>0</v>
      </c>
      <c r="L920" s="15">
        <f t="shared" ca="1" si="455"/>
        <v>1</v>
      </c>
      <c r="M920" s="15"/>
      <c r="N920" s="15">
        <f t="shared" ca="1" si="454"/>
        <v>0</v>
      </c>
    </row>
    <row r="921" spans="1:14" x14ac:dyDescent="0.4">
      <c r="A921" s="11" t="s">
        <v>9</v>
      </c>
      <c r="B921" s="41">
        <f t="shared" ref="B921:G923" ca="1" si="464">OFFSET(B921,-15,0)</f>
        <v>0</v>
      </c>
      <c r="C921" s="41"/>
      <c r="D921" s="41"/>
      <c r="E921" s="41"/>
      <c r="F921" s="19">
        <f t="shared" ca="1" si="464"/>
        <v>0</v>
      </c>
      <c r="G921" s="20">
        <f t="shared" ca="1" si="464"/>
        <v>0</v>
      </c>
      <c r="H921" s="20">
        <f ca="1">OFFSET(H921,-15,0)</f>
        <v>0</v>
      </c>
      <c r="I921" s="13">
        <f t="shared" ref="H921:I923" ca="1" si="465">OFFSET(I921,-15,0)</f>
        <v>0</v>
      </c>
      <c r="J921" s="16"/>
      <c r="K921" s="19">
        <f t="shared" ref="K921:K923" ca="1" si="466">OFFSET(K921,-15,0)</f>
        <v>0</v>
      </c>
      <c r="L921" s="15">
        <f t="shared" ca="1" si="455"/>
        <v>1</v>
      </c>
      <c r="M921" s="15"/>
      <c r="N921" s="15">
        <f t="shared" ca="1" si="454"/>
        <v>0</v>
      </c>
    </row>
    <row r="922" spans="1:14" x14ac:dyDescent="0.4">
      <c r="A922" s="11" t="s">
        <v>9</v>
      </c>
      <c r="B922" s="41">
        <f t="shared" ca="1" si="464"/>
        <v>0</v>
      </c>
      <c r="C922" s="41"/>
      <c r="D922" s="41"/>
      <c r="E922" s="41"/>
      <c r="F922" s="19">
        <f t="shared" ca="1" si="464"/>
        <v>0</v>
      </c>
      <c r="G922" s="20">
        <f t="shared" ca="1" si="464"/>
        <v>0</v>
      </c>
      <c r="H922" s="20">
        <f t="shared" ca="1" si="465"/>
        <v>0</v>
      </c>
      <c r="I922" s="13">
        <f t="shared" ca="1" si="465"/>
        <v>0</v>
      </c>
      <c r="J922" s="16"/>
      <c r="K922" s="19">
        <f t="shared" ca="1" si="466"/>
        <v>0</v>
      </c>
      <c r="L922" s="15">
        <f t="shared" ca="1" si="455"/>
        <v>1</v>
      </c>
      <c r="M922" s="15"/>
      <c r="N922" s="15">
        <f t="shared" ca="1" si="454"/>
        <v>0</v>
      </c>
    </row>
    <row r="923" spans="1:14" x14ac:dyDescent="0.4">
      <c r="A923" s="11" t="s">
        <v>9</v>
      </c>
      <c r="B923" s="41">
        <f t="shared" ca="1" si="464"/>
        <v>0</v>
      </c>
      <c r="C923" s="41"/>
      <c r="D923" s="41"/>
      <c r="E923" s="41"/>
      <c r="F923" s="19">
        <f t="shared" ca="1" si="464"/>
        <v>0</v>
      </c>
      <c r="G923" s="20">
        <f t="shared" ca="1" si="464"/>
        <v>0</v>
      </c>
      <c r="H923" s="20">
        <f t="shared" ca="1" si="465"/>
        <v>0</v>
      </c>
      <c r="I923" s="13">
        <f t="shared" ca="1" si="465"/>
        <v>0</v>
      </c>
      <c r="J923" s="16"/>
      <c r="K923" s="19">
        <f t="shared" ca="1" si="466"/>
        <v>0</v>
      </c>
      <c r="L923" s="15">
        <f t="shared" ca="1" si="455"/>
        <v>1</v>
      </c>
      <c r="M923" s="15"/>
      <c r="N923" s="15">
        <f t="shared" ca="1" si="454"/>
        <v>0</v>
      </c>
    </row>
    <row r="924" spans="1:14" ht="17.399999999999999" x14ac:dyDescent="0.4">
      <c r="A924" s="74" t="s">
        <v>28</v>
      </c>
      <c r="B924" s="75"/>
      <c r="C924" s="75"/>
      <c r="D924" s="75"/>
      <c r="E924" s="75"/>
      <c r="F924" s="75"/>
      <c r="G924" s="75"/>
      <c r="H924" s="75"/>
      <c r="I924" s="75"/>
      <c r="J924" s="75"/>
      <c r="K924" s="75"/>
      <c r="L924" s="75"/>
      <c r="M924" s="75"/>
      <c r="N924" s="76"/>
    </row>
    <row r="925" spans="1:14" x14ac:dyDescent="0.4">
      <c r="A925" s="11" t="s">
        <v>5</v>
      </c>
      <c r="B925" s="40"/>
      <c r="C925" s="40"/>
      <c r="D925" s="40"/>
      <c r="E925" s="40"/>
      <c r="F925" s="13"/>
      <c r="G925" s="11"/>
      <c r="H925" s="17"/>
      <c r="I925" s="13"/>
      <c r="J925" s="16"/>
      <c r="K925" s="13"/>
      <c r="L925" s="15">
        <f>ROUND((10^(K925/10))/(10^(I925/10)),3)</f>
        <v>1</v>
      </c>
      <c r="M925" s="15"/>
      <c r="N925" s="15">
        <f t="shared" ref="N925:N942" si="467">J925*L925</f>
        <v>0</v>
      </c>
    </row>
    <row r="926" spans="1:14" x14ac:dyDescent="0.4">
      <c r="A926" s="11" t="s">
        <v>5</v>
      </c>
      <c r="B926" s="40"/>
      <c r="C926" s="40"/>
      <c r="D926" s="40"/>
      <c r="E926" s="40"/>
      <c r="F926" s="13"/>
      <c r="G926" s="11"/>
      <c r="H926" s="17"/>
      <c r="I926" s="13"/>
      <c r="J926" s="16"/>
      <c r="K926" s="13"/>
      <c r="L926" s="15">
        <f t="shared" ref="L926:L942" si="468">ROUND((10^(K926/10))/(10^(I926/10)),3)</f>
        <v>1</v>
      </c>
      <c r="M926" s="15"/>
      <c r="N926" s="15">
        <f t="shared" si="467"/>
        <v>0</v>
      </c>
    </row>
    <row r="927" spans="1:14" x14ac:dyDescent="0.4">
      <c r="A927" s="11" t="s">
        <v>5</v>
      </c>
      <c r="B927" s="40"/>
      <c r="C927" s="40"/>
      <c r="D927" s="40"/>
      <c r="E927" s="40"/>
      <c r="F927" s="13"/>
      <c r="G927" s="11"/>
      <c r="H927" s="17"/>
      <c r="I927" s="13"/>
      <c r="J927" s="16"/>
      <c r="K927" s="13"/>
      <c r="L927" s="15">
        <f t="shared" si="468"/>
        <v>1</v>
      </c>
      <c r="M927" s="15"/>
      <c r="N927" s="15">
        <f t="shared" si="467"/>
        <v>0</v>
      </c>
    </row>
    <row r="928" spans="1:14" x14ac:dyDescent="0.4">
      <c r="A928" s="11" t="s">
        <v>6</v>
      </c>
      <c r="B928" s="41">
        <f t="shared" ref="B928:I930" ca="1" si="469">OFFSET(B928,-3,0)</f>
        <v>0</v>
      </c>
      <c r="C928" s="41"/>
      <c r="D928" s="41"/>
      <c r="E928" s="41"/>
      <c r="F928" s="19">
        <f t="shared" ca="1" si="469"/>
        <v>0</v>
      </c>
      <c r="G928" s="20">
        <f t="shared" ca="1" si="469"/>
        <v>0</v>
      </c>
      <c r="H928" s="20">
        <f t="shared" ca="1" si="469"/>
        <v>0</v>
      </c>
      <c r="I928" s="13">
        <f t="shared" ca="1" si="469"/>
        <v>0</v>
      </c>
      <c r="J928" s="16"/>
      <c r="K928" s="19">
        <f t="shared" ref="K928:K930" ca="1" si="470">OFFSET(K928,-3,0)</f>
        <v>0</v>
      </c>
      <c r="L928" s="15">
        <f t="shared" ca="1" si="468"/>
        <v>1</v>
      </c>
      <c r="M928" s="15"/>
      <c r="N928" s="15">
        <f t="shared" ca="1" si="467"/>
        <v>0</v>
      </c>
    </row>
    <row r="929" spans="1:14" x14ac:dyDescent="0.4">
      <c r="A929" s="11" t="s">
        <v>6</v>
      </c>
      <c r="B929" s="41">
        <f t="shared" ca="1" si="469"/>
        <v>0</v>
      </c>
      <c r="C929" s="41"/>
      <c r="D929" s="41"/>
      <c r="E929" s="41"/>
      <c r="F929" s="19">
        <f t="shared" ca="1" si="469"/>
        <v>0</v>
      </c>
      <c r="G929" s="20">
        <f t="shared" ca="1" si="469"/>
        <v>0</v>
      </c>
      <c r="H929" s="20">
        <f t="shared" ca="1" si="469"/>
        <v>0</v>
      </c>
      <c r="I929" s="13">
        <f t="shared" ca="1" si="469"/>
        <v>0</v>
      </c>
      <c r="J929" s="16"/>
      <c r="K929" s="19">
        <f t="shared" ca="1" si="470"/>
        <v>0</v>
      </c>
      <c r="L929" s="15">
        <f t="shared" ca="1" si="468"/>
        <v>1</v>
      </c>
      <c r="M929" s="15"/>
      <c r="N929" s="15">
        <f t="shared" ca="1" si="467"/>
        <v>0</v>
      </c>
    </row>
    <row r="930" spans="1:14" x14ac:dyDescent="0.4">
      <c r="A930" s="11" t="s">
        <v>6</v>
      </c>
      <c r="B930" s="41">
        <f t="shared" ca="1" si="469"/>
        <v>0</v>
      </c>
      <c r="C930" s="41"/>
      <c r="D930" s="41"/>
      <c r="E930" s="41"/>
      <c r="F930" s="19">
        <f t="shared" ca="1" si="469"/>
        <v>0</v>
      </c>
      <c r="G930" s="20">
        <f t="shared" ca="1" si="469"/>
        <v>0</v>
      </c>
      <c r="H930" s="20">
        <f t="shared" ca="1" si="469"/>
        <v>0</v>
      </c>
      <c r="I930" s="13">
        <f t="shared" ca="1" si="469"/>
        <v>0</v>
      </c>
      <c r="J930" s="16"/>
      <c r="K930" s="19">
        <f t="shared" ca="1" si="470"/>
        <v>0</v>
      </c>
      <c r="L930" s="15">
        <f t="shared" ca="1" si="468"/>
        <v>1</v>
      </c>
      <c r="M930" s="15"/>
      <c r="N930" s="15">
        <f t="shared" ca="1" si="467"/>
        <v>0</v>
      </c>
    </row>
    <row r="931" spans="1:14" x14ac:dyDescent="0.4">
      <c r="A931" s="11" t="s">
        <v>10</v>
      </c>
      <c r="B931" s="40">
        <f t="shared" ref="B931:I933" ca="1" si="471">OFFSET(B931,-6,0)</f>
        <v>0</v>
      </c>
      <c r="C931" s="40"/>
      <c r="D931" s="40"/>
      <c r="E931" s="40"/>
      <c r="F931" s="13">
        <f t="shared" ca="1" si="471"/>
        <v>0</v>
      </c>
      <c r="G931" s="17">
        <f t="shared" ca="1" si="471"/>
        <v>0</v>
      </c>
      <c r="H931" s="17">
        <f t="shared" ca="1" si="471"/>
        <v>0</v>
      </c>
      <c r="I931" s="13">
        <f t="shared" ca="1" si="471"/>
        <v>0</v>
      </c>
      <c r="J931" s="16"/>
      <c r="K931" s="13">
        <f t="shared" ref="K931:K933" ca="1" si="472">OFFSET(K931,-6,0)</f>
        <v>0</v>
      </c>
      <c r="L931" s="15">
        <f t="shared" ca="1" si="468"/>
        <v>1</v>
      </c>
      <c r="M931" s="15"/>
      <c r="N931" s="15">
        <f t="shared" ca="1" si="467"/>
        <v>0</v>
      </c>
    </row>
    <row r="932" spans="1:14" x14ac:dyDescent="0.4">
      <c r="A932" s="11" t="s">
        <v>10</v>
      </c>
      <c r="B932" s="40">
        <f t="shared" ca="1" si="471"/>
        <v>0</v>
      </c>
      <c r="C932" s="40"/>
      <c r="D932" s="40"/>
      <c r="E932" s="40"/>
      <c r="F932" s="13">
        <f t="shared" ca="1" si="471"/>
        <v>0</v>
      </c>
      <c r="G932" s="17">
        <f t="shared" ca="1" si="471"/>
        <v>0</v>
      </c>
      <c r="H932" s="17">
        <f t="shared" ca="1" si="471"/>
        <v>0</v>
      </c>
      <c r="I932" s="13">
        <f t="shared" ca="1" si="471"/>
        <v>0</v>
      </c>
      <c r="J932" s="16"/>
      <c r="K932" s="13">
        <f t="shared" ca="1" si="472"/>
        <v>0</v>
      </c>
      <c r="L932" s="15">
        <f t="shared" ca="1" si="468"/>
        <v>1</v>
      </c>
      <c r="M932" s="15"/>
      <c r="N932" s="15">
        <f t="shared" ca="1" si="467"/>
        <v>0</v>
      </c>
    </row>
    <row r="933" spans="1:14" x14ac:dyDescent="0.4">
      <c r="A933" s="11" t="s">
        <v>10</v>
      </c>
      <c r="B933" s="40">
        <f t="shared" ca="1" si="471"/>
        <v>0</v>
      </c>
      <c r="C933" s="40"/>
      <c r="D933" s="40"/>
      <c r="E933" s="40"/>
      <c r="F933" s="13">
        <f t="shared" ca="1" si="471"/>
        <v>0</v>
      </c>
      <c r="G933" s="17">
        <f t="shared" ca="1" si="471"/>
        <v>0</v>
      </c>
      <c r="H933" s="17">
        <f t="shared" ca="1" si="471"/>
        <v>0</v>
      </c>
      <c r="I933" s="13">
        <f t="shared" ca="1" si="471"/>
        <v>0</v>
      </c>
      <c r="J933" s="16"/>
      <c r="K933" s="13">
        <f t="shared" ca="1" si="472"/>
        <v>0</v>
      </c>
      <c r="L933" s="15">
        <f t="shared" ca="1" si="468"/>
        <v>1</v>
      </c>
      <c r="M933" s="15"/>
      <c r="N933" s="15">
        <f t="shared" ca="1" si="467"/>
        <v>0</v>
      </c>
    </row>
    <row r="934" spans="1:14" x14ac:dyDescent="0.4">
      <c r="A934" s="11" t="s">
        <v>7</v>
      </c>
      <c r="B934" s="40">
        <f t="shared" ref="B934:I936" ca="1" si="473">OFFSET(B934,-9,0)</f>
        <v>0</v>
      </c>
      <c r="C934" s="40"/>
      <c r="D934" s="40"/>
      <c r="E934" s="40"/>
      <c r="F934" s="13">
        <f t="shared" ca="1" si="473"/>
        <v>0</v>
      </c>
      <c r="G934" s="17">
        <f t="shared" ca="1" si="473"/>
        <v>0</v>
      </c>
      <c r="H934" s="17">
        <f t="shared" ca="1" si="473"/>
        <v>0</v>
      </c>
      <c r="I934" s="13">
        <f t="shared" ca="1" si="473"/>
        <v>0</v>
      </c>
      <c r="J934" s="16"/>
      <c r="K934" s="13">
        <f t="shared" ref="K934:K936" ca="1" si="474">OFFSET(K934,-9,0)</f>
        <v>0</v>
      </c>
      <c r="L934" s="15">
        <f t="shared" ca="1" si="468"/>
        <v>1</v>
      </c>
      <c r="M934" s="15"/>
      <c r="N934" s="15">
        <f t="shared" ca="1" si="467"/>
        <v>0</v>
      </c>
    </row>
    <row r="935" spans="1:14" x14ac:dyDescent="0.4">
      <c r="A935" s="11" t="s">
        <v>7</v>
      </c>
      <c r="B935" s="40">
        <f t="shared" ca="1" si="473"/>
        <v>0</v>
      </c>
      <c r="C935" s="40"/>
      <c r="D935" s="40"/>
      <c r="E935" s="40"/>
      <c r="F935" s="13">
        <f t="shared" ca="1" si="473"/>
        <v>0</v>
      </c>
      <c r="G935" s="17">
        <f t="shared" ca="1" si="473"/>
        <v>0</v>
      </c>
      <c r="H935" s="17">
        <f t="shared" ca="1" si="473"/>
        <v>0</v>
      </c>
      <c r="I935" s="13">
        <f t="shared" ca="1" si="473"/>
        <v>0</v>
      </c>
      <c r="J935" s="16"/>
      <c r="K935" s="13">
        <f t="shared" ca="1" si="474"/>
        <v>0</v>
      </c>
      <c r="L935" s="15">
        <f t="shared" ca="1" si="468"/>
        <v>1</v>
      </c>
      <c r="M935" s="15"/>
      <c r="N935" s="15">
        <f t="shared" ca="1" si="467"/>
        <v>0</v>
      </c>
    </row>
    <row r="936" spans="1:14" x14ac:dyDescent="0.4">
      <c r="A936" s="11" t="s">
        <v>7</v>
      </c>
      <c r="B936" s="40">
        <f t="shared" ca="1" si="473"/>
        <v>0</v>
      </c>
      <c r="C936" s="40"/>
      <c r="D936" s="40"/>
      <c r="E936" s="40"/>
      <c r="F936" s="13">
        <f t="shared" ca="1" si="473"/>
        <v>0</v>
      </c>
      <c r="G936" s="17">
        <f t="shared" ca="1" si="473"/>
        <v>0</v>
      </c>
      <c r="H936" s="17">
        <f t="shared" ca="1" si="473"/>
        <v>0</v>
      </c>
      <c r="I936" s="13">
        <f t="shared" ca="1" si="473"/>
        <v>0</v>
      </c>
      <c r="J936" s="16"/>
      <c r="K936" s="13">
        <f t="shared" ca="1" si="474"/>
        <v>0</v>
      </c>
      <c r="L936" s="15">
        <f t="shared" ca="1" si="468"/>
        <v>1</v>
      </c>
      <c r="M936" s="15"/>
      <c r="N936" s="15">
        <f t="shared" ca="1" si="467"/>
        <v>0</v>
      </c>
    </row>
    <row r="937" spans="1:14" x14ac:dyDescent="0.4">
      <c r="A937" s="11" t="s">
        <v>8</v>
      </c>
      <c r="B937" s="40">
        <f t="shared" ref="B937:I939" ca="1" si="475">OFFSET(B937,-12,0)</f>
        <v>0</v>
      </c>
      <c r="C937" s="40"/>
      <c r="D937" s="40"/>
      <c r="E937" s="40"/>
      <c r="F937" s="13">
        <f t="shared" ca="1" si="475"/>
        <v>0</v>
      </c>
      <c r="G937" s="17">
        <f t="shared" ca="1" si="475"/>
        <v>0</v>
      </c>
      <c r="H937" s="17">
        <f t="shared" ca="1" si="475"/>
        <v>0</v>
      </c>
      <c r="I937" s="13">
        <f t="shared" ca="1" si="475"/>
        <v>0</v>
      </c>
      <c r="J937" s="16"/>
      <c r="K937" s="13">
        <f t="shared" ref="K937:K939" ca="1" si="476">OFFSET(K937,-12,0)</f>
        <v>0</v>
      </c>
      <c r="L937" s="15">
        <f t="shared" ca="1" si="468"/>
        <v>1</v>
      </c>
      <c r="M937" s="15"/>
      <c r="N937" s="15">
        <f t="shared" ca="1" si="467"/>
        <v>0</v>
      </c>
    </row>
    <row r="938" spans="1:14" x14ac:dyDescent="0.4">
      <c r="A938" s="11" t="s">
        <v>8</v>
      </c>
      <c r="B938" s="40">
        <f t="shared" ca="1" si="475"/>
        <v>0</v>
      </c>
      <c r="C938" s="40"/>
      <c r="D938" s="40"/>
      <c r="E938" s="40"/>
      <c r="F938" s="13">
        <f t="shared" ca="1" si="475"/>
        <v>0</v>
      </c>
      <c r="G938" s="17">
        <f t="shared" ca="1" si="475"/>
        <v>0</v>
      </c>
      <c r="H938" s="17">
        <f t="shared" ca="1" si="475"/>
        <v>0</v>
      </c>
      <c r="I938" s="13">
        <f t="shared" ca="1" si="475"/>
        <v>0</v>
      </c>
      <c r="J938" s="16"/>
      <c r="K938" s="13">
        <f t="shared" ca="1" si="476"/>
        <v>0</v>
      </c>
      <c r="L938" s="15">
        <f t="shared" ca="1" si="468"/>
        <v>1</v>
      </c>
      <c r="M938" s="15"/>
      <c r="N938" s="15">
        <f t="shared" ca="1" si="467"/>
        <v>0</v>
      </c>
    </row>
    <row r="939" spans="1:14" x14ac:dyDescent="0.4">
      <c r="A939" s="11" t="s">
        <v>8</v>
      </c>
      <c r="B939" s="40">
        <f t="shared" ca="1" si="475"/>
        <v>0</v>
      </c>
      <c r="C939" s="40"/>
      <c r="D939" s="40"/>
      <c r="E939" s="40"/>
      <c r="F939" s="13">
        <f t="shared" ca="1" si="475"/>
        <v>0</v>
      </c>
      <c r="G939" s="17">
        <f t="shared" ca="1" si="475"/>
        <v>0</v>
      </c>
      <c r="H939" s="17">
        <f t="shared" ca="1" si="475"/>
        <v>0</v>
      </c>
      <c r="I939" s="13">
        <f t="shared" ca="1" si="475"/>
        <v>0</v>
      </c>
      <c r="J939" s="16"/>
      <c r="K939" s="13">
        <f t="shared" ca="1" si="476"/>
        <v>0</v>
      </c>
      <c r="L939" s="15">
        <f t="shared" ca="1" si="468"/>
        <v>1</v>
      </c>
      <c r="M939" s="15"/>
      <c r="N939" s="15">
        <f t="shared" ca="1" si="467"/>
        <v>0</v>
      </c>
    </row>
    <row r="940" spans="1:14" x14ac:dyDescent="0.4">
      <c r="A940" s="11" t="s">
        <v>9</v>
      </c>
      <c r="B940" s="41">
        <f t="shared" ref="B940:H942" ca="1" si="477">OFFSET(B940,-15,0)</f>
        <v>0</v>
      </c>
      <c r="C940" s="41"/>
      <c r="D940" s="41"/>
      <c r="E940" s="41"/>
      <c r="F940" s="19">
        <f t="shared" ca="1" si="477"/>
        <v>0</v>
      </c>
      <c r="G940" s="20">
        <f t="shared" ca="1" si="477"/>
        <v>0</v>
      </c>
      <c r="H940" s="20">
        <f ca="1">OFFSET(H940,-15,0)</f>
        <v>0</v>
      </c>
      <c r="I940" s="13">
        <f t="shared" ref="I940:I942" ca="1" si="478">OFFSET(I940,-15,0)</f>
        <v>0</v>
      </c>
      <c r="J940" s="16"/>
      <c r="K940" s="19">
        <f t="shared" ref="K940:K942" ca="1" si="479">OFFSET(K940,-15,0)</f>
        <v>0</v>
      </c>
      <c r="L940" s="15">
        <f t="shared" ca="1" si="468"/>
        <v>1</v>
      </c>
      <c r="M940" s="15"/>
      <c r="N940" s="15">
        <f t="shared" ca="1" si="467"/>
        <v>0</v>
      </c>
    </row>
    <row r="941" spans="1:14" x14ac:dyDescent="0.4">
      <c r="A941" s="11" t="s">
        <v>9</v>
      </c>
      <c r="B941" s="41">
        <f t="shared" ca="1" si="477"/>
        <v>0</v>
      </c>
      <c r="C941" s="41"/>
      <c r="D941" s="41"/>
      <c r="E941" s="41"/>
      <c r="F941" s="19">
        <f t="shared" ca="1" si="477"/>
        <v>0</v>
      </c>
      <c r="G941" s="20">
        <f t="shared" ca="1" si="477"/>
        <v>0</v>
      </c>
      <c r="H941" s="20">
        <f t="shared" ca="1" si="477"/>
        <v>0</v>
      </c>
      <c r="I941" s="13">
        <f t="shared" ca="1" si="478"/>
        <v>0</v>
      </c>
      <c r="J941" s="16"/>
      <c r="K941" s="19">
        <f t="shared" ca="1" si="479"/>
        <v>0</v>
      </c>
      <c r="L941" s="15">
        <f t="shared" ca="1" si="468"/>
        <v>1</v>
      </c>
      <c r="M941" s="15"/>
      <c r="N941" s="15">
        <f t="shared" ca="1" si="467"/>
        <v>0</v>
      </c>
    </row>
    <row r="942" spans="1:14" x14ac:dyDescent="0.4">
      <c r="A942" s="11" t="s">
        <v>9</v>
      </c>
      <c r="B942" s="41">
        <f t="shared" ca="1" si="477"/>
        <v>0</v>
      </c>
      <c r="C942" s="41"/>
      <c r="D942" s="41"/>
      <c r="E942" s="41"/>
      <c r="F942" s="19">
        <f t="shared" ca="1" si="477"/>
        <v>0</v>
      </c>
      <c r="G942" s="20">
        <f t="shared" ca="1" si="477"/>
        <v>0</v>
      </c>
      <c r="H942" s="20">
        <f t="shared" ca="1" si="477"/>
        <v>0</v>
      </c>
      <c r="I942" s="13">
        <f t="shared" ca="1" si="478"/>
        <v>0</v>
      </c>
      <c r="J942" s="16"/>
      <c r="K942" s="19">
        <f t="shared" ca="1" si="479"/>
        <v>0</v>
      </c>
      <c r="L942" s="15">
        <f t="shared" ca="1" si="468"/>
        <v>1</v>
      </c>
      <c r="M942" s="15"/>
      <c r="N942" s="15">
        <f t="shared" ca="1" si="467"/>
        <v>0</v>
      </c>
    </row>
    <row r="943" spans="1:14" ht="17.399999999999999" x14ac:dyDescent="0.4">
      <c r="A943" s="74" t="s">
        <v>25</v>
      </c>
      <c r="B943" s="75"/>
      <c r="C943" s="75"/>
      <c r="D943" s="75"/>
      <c r="E943" s="75"/>
      <c r="F943" s="75"/>
      <c r="G943" s="75"/>
      <c r="H943" s="75"/>
      <c r="I943" s="75"/>
      <c r="J943" s="75"/>
      <c r="K943" s="75"/>
      <c r="L943" s="75"/>
      <c r="M943" s="75"/>
      <c r="N943" s="76"/>
    </row>
    <row r="944" spans="1:14" x14ac:dyDescent="0.4">
      <c r="A944" s="11" t="s">
        <v>5</v>
      </c>
      <c r="B944" s="40"/>
      <c r="C944" s="40"/>
      <c r="D944" s="40"/>
      <c r="E944" s="40"/>
      <c r="F944" s="13"/>
      <c r="G944" s="11"/>
      <c r="H944" s="17"/>
      <c r="I944" s="13"/>
      <c r="J944" s="16"/>
      <c r="K944" s="13"/>
      <c r="L944" s="15">
        <f>ROUND((10^(K944/10))/(10^(I944/10)),3)</f>
        <v>1</v>
      </c>
      <c r="M944" s="15"/>
      <c r="N944" s="15">
        <f t="shared" ref="N944:N961" si="480">J944*L944</f>
        <v>0</v>
      </c>
    </row>
    <row r="945" spans="1:14" x14ac:dyDescent="0.4">
      <c r="A945" s="11" t="s">
        <v>5</v>
      </c>
      <c r="B945" s="40"/>
      <c r="C945" s="40"/>
      <c r="D945" s="40"/>
      <c r="E945" s="40"/>
      <c r="F945" s="13"/>
      <c r="G945" s="11"/>
      <c r="H945" s="17"/>
      <c r="I945" s="13"/>
      <c r="J945" s="16"/>
      <c r="K945" s="13"/>
      <c r="L945" s="15">
        <f t="shared" ref="L945:L961" si="481">ROUND((10^(K945/10))/(10^(I945/10)),3)</f>
        <v>1</v>
      </c>
      <c r="M945" s="15"/>
      <c r="N945" s="15">
        <f t="shared" si="480"/>
        <v>0</v>
      </c>
    </row>
    <row r="946" spans="1:14" x14ac:dyDescent="0.4">
      <c r="A946" s="11" t="s">
        <v>5</v>
      </c>
      <c r="B946" s="40"/>
      <c r="C946" s="40"/>
      <c r="D946" s="40"/>
      <c r="E946" s="40"/>
      <c r="F946" s="13"/>
      <c r="G946" s="11"/>
      <c r="H946" s="17"/>
      <c r="I946" s="13"/>
      <c r="J946" s="16"/>
      <c r="K946" s="13"/>
      <c r="L946" s="15">
        <f t="shared" si="481"/>
        <v>1</v>
      </c>
      <c r="M946" s="15"/>
      <c r="N946" s="15">
        <f t="shared" si="480"/>
        <v>0</v>
      </c>
    </row>
    <row r="947" spans="1:14" x14ac:dyDescent="0.4">
      <c r="A947" s="11" t="s">
        <v>6</v>
      </c>
      <c r="B947" s="41">
        <f t="shared" ref="B947:I949" ca="1" si="482">OFFSET(B947,-3,0)</f>
        <v>0</v>
      </c>
      <c r="C947" s="41"/>
      <c r="D947" s="41"/>
      <c r="E947" s="41"/>
      <c r="F947" s="19">
        <f t="shared" ca="1" si="482"/>
        <v>0</v>
      </c>
      <c r="G947" s="20">
        <f t="shared" ca="1" si="482"/>
        <v>0</v>
      </c>
      <c r="H947" s="20">
        <f t="shared" ca="1" si="482"/>
        <v>0</v>
      </c>
      <c r="I947" s="13">
        <f t="shared" ca="1" si="482"/>
        <v>0</v>
      </c>
      <c r="J947" s="16"/>
      <c r="K947" s="19">
        <f t="shared" ref="K947:K949" ca="1" si="483">OFFSET(K947,-3,0)</f>
        <v>0</v>
      </c>
      <c r="L947" s="15">
        <f t="shared" ca="1" si="481"/>
        <v>1</v>
      </c>
      <c r="M947" s="15"/>
      <c r="N947" s="15">
        <f t="shared" ca="1" si="480"/>
        <v>0</v>
      </c>
    </row>
    <row r="948" spans="1:14" x14ac:dyDescent="0.4">
      <c r="A948" s="11" t="s">
        <v>6</v>
      </c>
      <c r="B948" s="41">
        <f t="shared" ca="1" si="482"/>
        <v>0</v>
      </c>
      <c r="C948" s="41"/>
      <c r="D948" s="41"/>
      <c r="E948" s="41"/>
      <c r="F948" s="19">
        <f t="shared" ca="1" si="482"/>
        <v>0</v>
      </c>
      <c r="G948" s="20">
        <f t="shared" ca="1" si="482"/>
        <v>0</v>
      </c>
      <c r="H948" s="20">
        <f t="shared" ca="1" si="482"/>
        <v>0</v>
      </c>
      <c r="I948" s="13">
        <f t="shared" ca="1" si="482"/>
        <v>0</v>
      </c>
      <c r="J948" s="16"/>
      <c r="K948" s="19">
        <f t="shared" ca="1" si="483"/>
        <v>0</v>
      </c>
      <c r="L948" s="15">
        <f t="shared" ca="1" si="481"/>
        <v>1</v>
      </c>
      <c r="M948" s="15"/>
      <c r="N948" s="15">
        <f t="shared" ca="1" si="480"/>
        <v>0</v>
      </c>
    </row>
    <row r="949" spans="1:14" x14ac:dyDescent="0.4">
      <c r="A949" s="11" t="s">
        <v>6</v>
      </c>
      <c r="B949" s="41">
        <f t="shared" ca="1" si="482"/>
        <v>0</v>
      </c>
      <c r="C949" s="41"/>
      <c r="D949" s="41"/>
      <c r="E949" s="41"/>
      <c r="F949" s="19">
        <f t="shared" ca="1" si="482"/>
        <v>0</v>
      </c>
      <c r="G949" s="20">
        <f t="shared" ca="1" si="482"/>
        <v>0</v>
      </c>
      <c r="H949" s="20">
        <f t="shared" ca="1" si="482"/>
        <v>0</v>
      </c>
      <c r="I949" s="13">
        <f t="shared" ca="1" si="482"/>
        <v>0</v>
      </c>
      <c r="J949" s="16"/>
      <c r="K949" s="19">
        <f t="shared" ca="1" si="483"/>
        <v>0</v>
      </c>
      <c r="L949" s="15">
        <f t="shared" ca="1" si="481"/>
        <v>1</v>
      </c>
      <c r="M949" s="15"/>
      <c r="N949" s="15">
        <f t="shared" ca="1" si="480"/>
        <v>0</v>
      </c>
    </row>
    <row r="950" spans="1:14" x14ac:dyDescent="0.4">
      <c r="A950" s="11" t="s">
        <v>10</v>
      </c>
      <c r="B950" s="40">
        <f t="shared" ref="B950:I952" ca="1" si="484">OFFSET(B950,-6,0)</f>
        <v>0</v>
      </c>
      <c r="C950" s="40"/>
      <c r="D950" s="40"/>
      <c r="E950" s="40"/>
      <c r="F950" s="13">
        <f t="shared" ca="1" si="484"/>
        <v>0</v>
      </c>
      <c r="G950" s="17">
        <f t="shared" ca="1" si="484"/>
        <v>0</v>
      </c>
      <c r="H950" s="17">
        <f t="shared" ca="1" si="484"/>
        <v>0</v>
      </c>
      <c r="I950" s="13">
        <f t="shared" ca="1" si="484"/>
        <v>0</v>
      </c>
      <c r="J950" s="16"/>
      <c r="K950" s="13">
        <f t="shared" ref="K950:K952" ca="1" si="485">OFFSET(K950,-6,0)</f>
        <v>0</v>
      </c>
      <c r="L950" s="15">
        <f t="shared" ca="1" si="481"/>
        <v>1</v>
      </c>
      <c r="M950" s="15"/>
      <c r="N950" s="15">
        <f t="shared" ca="1" si="480"/>
        <v>0</v>
      </c>
    </row>
    <row r="951" spans="1:14" x14ac:dyDescent="0.4">
      <c r="A951" s="11" t="s">
        <v>10</v>
      </c>
      <c r="B951" s="40">
        <f t="shared" ca="1" si="484"/>
        <v>0</v>
      </c>
      <c r="C951" s="40"/>
      <c r="D951" s="40"/>
      <c r="E951" s="40"/>
      <c r="F951" s="13">
        <f t="shared" ca="1" si="484"/>
        <v>0</v>
      </c>
      <c r="G951" s="17">
        <f t="shared" ca="1" si="484"/>
        <v>0</v>
      </c>
      <c r="H951" s="17">
        <f t="shared" ca="1" si="484"/>
        <v>0</v>
      </c>
      <c r="I951" s="13">
        <f t="shared" ca="1" si="484"/>
        <v>0</v>
      </c>
      <c r="J951" s="16"/>
      <c r="K951" s="13">
        <f t="shared" ca="1" si="485"/>
        <v>0</v>
      </c>
      <c r="L951" s="15">
        <f t="shared" ca="1" si="481"/>
        <v>1</v>
      </c>
      <c r="M951" s="15"/>
      <c r="N951" s="15">
        <f t="shared" ca="1" si="480"/>
        <v>0</v>
      </c>
    </row>
    <row r="952" spans="1:14" x14ac:dyDescent="0.4">
      <c r="A952" s="11" t="s">
        <v>10</v>
      </c>
      <c r="B952" s="40">
        <f t="shared" ca="1" si="484"/>
        <v>0</v>
      </c>
      <c r="C952" s="40"/>
      <c r="D952" s="40"/>
      <c r="E952" s="40"/>
      <c r="F952" s="13">
        <f t="shared" ca="1" si="484"/>
        <v>0</v>
      </c>
      <c r="G952" s="17">
        <f t="shared" ca="1" si="484"/>
        <v>0</v>
      </c>
      <c r="H952" s="17">
        <f t="shared" ca="1" si="484"/>
        <v>0</v>
      </c>
      <c r="I952" s="13">
        <f t="shared" ca="1" si="484"/>
        <v>0</v>
      </c>
      <c r="J952" s="16"/>
      <c r="K952" s="13">
        <f t="shared" ca="1" si="485"/>
        <v>0</v>
      </c>
      <c r="L952" s="15">
        <f t="shared" ca="1" si="481"/>
        <v>1</v>
      </c>
      <c r="M952" s="15"/>
      <c r="N952" s="15">
        <f t="shared" ca="1" si="480"/>
        <v>0</v>
      </c>
    </row>
    <row r="953" spans="1:14" x14ac:dyDescent="0.4">
      <c r="A953" s="11" t="s">
        <v>7</v>
      </c>
      <c r="B953" s="40">
        <f t="shared" ref="B953:I955" ca="1" si="486">OFFSET(B953,-9,0)</f>
        <v>0</v>
      </c>
      <c r="C953" s="40"/>
      <c r="D953" s="40"/>
      <c r="E953" s="40"/>
      <c r="F953" s="13">
        <f t="shared" ca="1" si="486"/>
        <v>0</v>
      </c>
      <c r="G953" s="17">
        <f t="shared" ca="1" si="486"/>
        <v>0</v>
      </c>
      <c r="H953" s="17">
        <f t="shared" ca="1" si="486"/>
        <v>0</v>
      </c>
      <c r="I953" s="13">
        <f t="shared" ca="1" si="486"/>
        <v>0</v>
      </c>
      <c r="J953" s="16"/>
      <c r="K953" s="13">
        <f t="shared" ref="K953:K955" ca="1" si="487">OFFSET(K953,-9,0)</f>
        <v>0</v>
      </c>
      <c r="L953" s="15">
        <f t="shared" ca="1" si="481"/>
        <v>1</v>
      </c>
      <c r="M953" s="15"/>
      <c r="N953" s="15">
        <f t="shared" ca="1" si="480"/>
        <v>0</v>
      </c>
    </row>
    <row r="954" spans="1:14" x14ac:dyDescent="0.4">
      <c r="A954" s="11" t="s">
        <v>7</v>
      </c>
      <c r="B954" s="40">
        <f t="shared" ca="1" si="486"/>
        <v>0</v>
      </c>
      <c r="C954" s="40"/>
      <c r="D954" s="40"/>
      <c r="E954" s="40"/>
      <c r="F954" s="13">
        <f t="shared" ca="1" si="486"/>
        <v>0</v>
      </c>
      <c r="G954" s="17">
        <f t="shared" ca="1" si="486"/>
        <v>0</v>
      </c>
      <c r="H954" s="17">
        <f t="shared" ca="1" si="486"/>
        <v>0</v>
      </c>
      <c r="I954" s="13">
        <f t="shared" ca="1" si="486"/>
        <v>0</v>
      </c>
      <c r="J954" s="16"/>
      <c r="K954" s="13">
        <f t="shared" ca="1" si="487"/>
        <v>0</v>
      </c>
      <c r="L954" s="15">
        <f t="shared" ca="1" si="481"/>
        <v>1</v>
      </c>
      <c r="M954" s="15"/>
      <c r="N954" s="15">
        <f t="shared" ca="1" si="480"/>
        <v>0</v>
      </c>
    </row>
    <row r="955" spans="1:14" x14ac:dyDescent="0.4">
      <c r="A955" s="11" t="s">
        <v>7</v>
      </c>
      <c r="B955" s="40">
        <f t="shared" ca="1" si="486"/>
        <v>0</v>
      </c>
      <c r="C955" s="40"/>
      <c r="D955" s="40"/>
      <c r="E955" s="40"/>
      <c r="F955" s="13">
        <f t="shared" ca="1" si="486"/>
        <v>0</v>
      </c>
      <c r="G955" s="17">
        <f t="shared" ca="1" si="486"/>
        <v>0</v>
      </c>
      <c r="H955" s="17">
        <f t="shared" ca="1" si="486"/>
        <v>0</v>
      </c>
      <c r="I955" s="13">
        <f t="shared" ca="1" si="486"/>
        <v>0</v>
      </c>
      <c r="J955" s="16"/>
      <c r="K955" s="13">
        <f t="shared" ca="1" si="487"/>
        <v>0</v>
      </c>
      <c r="L955" s="15">
        <f t="shared" ca="1" si="481"/>
        <v>1</v>
      </c>
      <c r="M955" s="15"/>
      <c r="N955" s="15">
        <f t="shared" ca="1" si="480"/>
        <v>0</v>
      </c>
    </row>
    <row r="956" spans="1:14" x14ac:dyDescent="0.4">
      <c r="A956" s="11" t="s">
        <v>8</v>
      </c>
      <c r="B956" s="40">
        <f t="shared" ref="B956:I958" ca="1" si="488">OFFSET(B956,-12,0)</f>
        <v>0</v>
      </c>
      <c r="C956" s="40"/>
      <c r="D956" s="40"/>
      <c r="E956" s="40"/>
      <c r="F956" s="13">
        <f t="shared" ca="1" si="488"/>
        <v>0</v>
      </c>
      <c r="G956" s="17">
        <f t="shared" ca="1" si="488"/>
        <v>0</v>
      </c>
      <c r="H956" s="17">
        <f t="shared" ca="1" si="488"/>
        <v>0</v>
      </c>
      <c r="I956" s="13">
        <f t="shared" ca="1" si="488"/>
        <v>0</v>
      </c>
      <c r="J956" s="16"/>
      <c r="K956" s="13">
        <f t="shared" ref="K956:K958" ca="1" si="489">OFFSET(K956,-12,0)</f>
        <v>0</v>
      </c>
      <c r="L956" s="15">
        <f t="shared" ca="1" si="481"/>
        <v>1</v>
      </c>
      <c r="M956" s="15"/>
      <c r="N956" s="15">
        <f t="shared" ca="1" si="480"/>
        <v>0</v>
      </c>
    </row>
    <row r="957" spans="1:14" x14ac:dyDescent="0.4">
      <c r="A957" s="11" t="s">
        <v>8</v>
      </c>
      <c r="B957" s="40">
        <f t="shared" ca="1" si="488"/>
        <v>0</v>
      </c>
      <c r="C957" s="40"/>
      <c r="D957" s="40"/>
      <c r="E957" s="40"/>
      <c r="F957" s="13">
        <f t="shared" ca="1" si="488"/>
        <v>0</v>
      </c>
      <c r="G957" s="17">
        <f t="shared" ca="1" si="488"/>
        <v>0</v>
      </c>
      <c r="H957" s="17">
        <f t="shared" ca="1" si="488"/>
        <v>0</v>
      </c>
      <c r="I957" s="13">
        <f t="shared" ca="1" si="488"/>
        <v>0</v>
      </c>
      <c r="J957" s="16"/>
      <c r="K957" s="13">
        <f t="shared" ca="1" si="489"/>
        <v>0</v>
      </c>
      <c r="L957" s="15">
        <f t="shared" ca="1" si="481"/>
        <v>1</v>
      </c>
      <c r="M957" s="15"/>
      <c r="N957" s="15">
        <f t="shared" ca="1" si="480"/>
        <v>0</v>
      </c>
    </row>
    <row r="958" spans="1:14" x14ac:dyDescent="0.4">
      <c r="A958" s="11" t="s">
        <v>8</v>
      </c>
      <c r="B958" s="40">
        <f t="shared" ca="1" si="488"/>
        <v>0</v>
      </c>
      <c r="C958" s="40"/>
      <c r="D958" s="40"/>
      <c r="E958" s="40"/>
      <c r="F958" s="13">
        <f t="shared" ca="1" si="488"/>
        <v>0</v>
      </c>
      <c r="G958" s="17">
        <f t="shared" ca="1" si="488"/>
        <v>0</v>
      </c>
      <c r="H958" s="17">
        <f t="shared" ca="1" si="488"/>
        <v>0</v>
      </c>
      <c r="I958" s="13">
        <f t="shared" ca="1" si="488"/>
        <v>0</v>
      </c>
      <c r="J958" s="16"/>
      <c r="K958" s="13">
        <f t="shared" ca="1" si="489"/>
        <v>0</v>
      </c>
      <c r="L958" s="15">
        <f t="shared" ca="1" si="481"/>
        <v>1</v>
      </c>
      <c r="M958" s="15"/>
      <c r="N958" s="15">
        <f t="shared" ca="1" si="480"/>
        <v>0</v>
      </c>
    </row>
    <row r="959" spans="1:14" x14ac:dyDescent="0.4">
      <c r="A959" s="11" t="s">
        <v>9</v>
      </c>
      <c r="B959" s="41">
        <f t="shared" ref="B959:I961" ca="1" si="490">OFFSET(B959,-15,0)</f>
        <v>0</v>
      </c>
      <c r="C959" s="41"/>
      <c r="D959" s="41"/>
      <c r="E959" s="41"/>
      <c r="F959" s="19">
        <f t="shared" ca="1" si="490"/>
        <v>0</v>
      </c>
      <c r="G959" s="20">
        <f t="shared" ca="1" si="490"/>
        <v>0</v>
      </c>
      <c r="H959" s="20">
        <f t="shared" ca="1" si="490"/>
        <v>0</v>
      </c>
      <c r="I959" s="13">
        <f t="shared" ca="1" si="490"/>
        <v>0</v>
      </c>
      <c r="J959" s="16"/>
      <c r="K959" s="19">
        <f t="shared" ref="K959:K961" ca="1" si="491">OFFSET(K959,-15,0)</f>
        <v>0</v>
      </c>
      <c r="L959" s="15">
        <f t="shared" ca="1" si="481"/>
        <v>1</v>
      </c>
      <c r="M959" s="15"/>
      <c r="N959" s="15">
        <f t="shared" ca="1" si="480"/>
        <v>0</v>
      </c>
    </row>
    <row r="960" spans="1:14" x14ac:dyDescent="0.4">
      <c r="A960" s="11" t="s">
        <v>9</v>
      </c>
      <c r="B960" s="41">
        <f t="shared" ca="1" si="490"/>
        <v>0</v>
      </c>
      <c r="C960" s="41"/>
      <c r="D960" s="41"/>
      <c r="E960" s="41"/>
      <c r="F960" s="19">
        <f t="shared" ca="1" si="490"/>
        <v>0</v>
      </c>
      <c r="G960" s="20">
        <f t="shared" ca="1" si="490"/>
        <v>0</v>
      </c>
      <c r="H960" s="20">
        <f t="shared" ca="1" si="490"/>
        <v>0</v>
      </c>
      <c r="I960" s="13">
        <f t="shared" ca="1" si="490"/>
        <v>0</v>
      </c>
      <c r="J960" s="16"/>
      <c r="K960" s="19">
        <f t="shared" ca="1" si="491"/>
        <v>0</v>
      </c>
      <c r="L960" s="15">
        <f t="shared" ca="1" si="481"/>
        <v>1</v>
      </c>
      <c r="M960" s="15"/>
      <c r="N960" s="15">
        <f t="shared" ca="1" si="480"/>
        <v>0</v>
      </c>
    </row>
    <row r="961" spans="1:14" x14ac:dyDescent="0.4">
      <c r="A961" s="11" t="s">
        <v>9</v>
      </c>
      <c r="B961" s="41">
        <f t="shared" ca="1" si="490"/>
        <v>0</v>
      </c>
      <c r="C961" s="41"/>
      <c r="D961" s="41"/>
      <c r="E961" s="41"/>
      <c r="F961" s="19">
        <f t="shared" ca="1" si="490"/>
        <v>0</v>
      </c>
      <c r="G961" s="20">
        <f t="shared" ca="1" si="490"/>
        <v>0</v>
      </c>
      <c r="H961" s="20">
        <f t="shared" ca="1" si="490"/>
        <v>0</v>
      </c>
      <c r="I961" s="13">
        <f t="shared" ca="1" si="490"/>
        <v>0</v>
      </c>
      <c r="J961" s="16"/>
      <c r="K961" s="19">
        <f t="shared" ca="1" si="491"/>
        <v>0</v>
      </c>
      <c r="L961" s="15">
        <f t="shared" ca="1" si="481"/>
        <v>1</v>
      </c>
      <c r="M961" s="15"/>
      <c r="N961" s="15">
        <f t="shared" ca="1" si="480"/>
        <v>0</v>
      </c>
    </row>
    <row r="962" spans="1:14" ht="17.399999999999999" x14ac:dyDescent="0.4">
      <c r="A962" s="74" t="s">
        <v>29</v>
      </c>
      <c r="B962" s="75"/>
      <c r="C962" s="75"/>
      <c r="D962" s="75"/>
      <c r="E962" s="75"/>
      <c r="F962" s="75"/>
      <c r="G962" s="75"/>
      <c r="H962" s="75"/>
      <c r="I962" s="75"/>
      <c r="J962" s="75"/>
      <c r="K962" s="75"/>
      <c r="L962" s="75"/>
      <c r="M962" s="75"/>
      <c r="N962" s="76"/>
    </row>
    <row r="963" spans="1:14" x14ac:dyDescent="0.4">
      <c r="A963" s="11" t="s">
        <v>5</v>
      </c>
      <c r="B963" s="40"/>
      <c r="C963" s="40"/>
      <c r="D963" s="40"/>
      <c r="E963" s="40"/>
      <c r="F963" s="13"/>
      <c r="G963" s="11"/>
      <c r="H963" s="17"/>
      <c r="I963" s="13"/>
      <c r="J963" s="16"/>
      <c r="K963" s="13"/>
      <c r="L963" s="15">
        <f>ROUND((10^(K963/10))/(10^(I963/10)),3)</f>
        <v>1</v>
      </c>
      <c r="M963" s="15"/>
      <c r="N963" s="15">
        <f t="shared" ref="N963:N980" si="492">J963*L963</f>
        <v>0</v>
      </c>
    </row>
    <row r="964" spans="1:14" x14ac:dyDescent="0.4">
      <c r="A964" s="11" t="s">
        <v>5</v>
      </c>
      <c r="B964" s="40"/>
      <c r="C964" s="40"/>
      <c r="D964" s="40"/>
      <c r="E964" s="40"/>
      <c r="F964" s="13"/>
      <c r="G964" s="11"/>
      <c r="H964" s="17"/>
      <c r="I964" s="13"/>
      <c r="J964" s="16"/>
      <c r="K964" s="13"/>
      <c r="L964" s="15">
        <f t="shared" ref="L964:L980" si="493">ROUND((10^(K964/10))/(10^(I964/10)),3)</f>
        <v>1</v>
      </c>
      <c r="M964" s="15"/>
      <c r="N964" s="15">
        <f t="shared" si="492"/>
        <v>0</v>
      </c>
    </row>
    <row r="965" spans="1:14" x14ac:dyDescent="0.4">
      <c r="A965" s="11" t="s">
        <v>5</v>
      </c>
      <c r="B965" s="40"/>
      <c r="C965" s="40"/>
      <c r="D965" s="40"/>
      <c r="E965" s="40"/>
      <c r="F965" s="13"/>
      <c r="G965" s="11"/>
      <c r="H965" s="17"/>
      <c r="I965" s="13"/>
      <c r="J965" s="16"/>
      <c r="K965" s="13"/>
      <c r="L965" s="15">
        <f t="shared" si="493"/>
        <v>1</v>
      </c>
      <c r="M965" s="15"/>
      <c r="N965" s="15">
        <f t="shared" si="492"/>
        <v>0</v>
      </c>
    </row>
    <row r="966" spans="1:14" x14ac:dyDescent="0.4">
      <c r="A966" s="11" t="s">
        <v>6</v>
      </c>
      <c r="B966" s="41">
        <f t="shared" ref="B966:I968" ca="1" si="494">OFFSET(B966,-3,0)</f>
        <v>0</v>
      </c>
      <c r="C966" s="41"/>
      <c r="D966" s="41"/>
      <c r="E966" s="41"/>
      <c r="F966" s="19">
        <f t="shared" ca="1" si="494"/>
        <v>0</v>
      </c>
      <c r="G966" s="20">
        <f t="shared" ca="1" si="494"/>
        <v>0</v>
      </c>
      <c r="H966" s="20">
        <f t="shared" ca="1" si="494"/>
        <v>0</v>
      </c>
      <c r="I966" s="13">
        <f t="shared" ca="1" si="494"/>
        <v>0</v>
      </c>
      <c r="J966" s="16"/>
      <c r="K966" s="19">
        <f t="shared" ref="K966:K968" ca="1" si="495">OFFSET(K966,-3,0)</f>
        <v>0</v>
      </c>
      <c r="L966" s="15">
        <f t="shared" ca="1" si="493"/>
        <v>1</v>
      </c>
      <c r="M966" s="15"/>
      <c r="N966" s="15">
        <f t="shared" ca="1" si="492"/>
        <v>0</v>
      </c>
    </row>
    <row r="967" spans="1:14" x14ac:dyDescent="0.4">
      <c r="A967" s="11" t="s">
        <v>6</v>
      </c>
      <c r="B967" s="41">
        <f t="shared" ca="1" si="494"/>
        <v>0</v>
      </c>
      <c r="C967" s="41"/>
      <c r="D967" s="41"/>
      <c r="E967" s="41"/>
      <c r="F967" s="19">
        <f t="shared" ca="1" si="494"/>
        <v>0</v>
      </c>
      <c r="G967" s="20">
        <f t="shared" ca="1" si="494"/>
        <v>0</v>
      </c>
      <c r="H967" s="20">
        <f t="shared" ca="1" si="494"/>
        <v>0</v>
      </c>
      <c r="I967" s="13">
        <f t="shared" ca="1" si="494"/>
        <v>0</v>
      </c>
      <c r="J967" s="16"/>
      <c r="K967" s="19">
        <f t="shared" ca="1" si="495"/>
        <v>0</v>
      </c>
      <c r="L967" s="15">
        <f t="shared" ca="1" si="493"/>
        <v>1</v>
      </c>
      <c r="M967" s="15"/>
      <c r="N967" s="15">
        <f t="shared" ca="1" si="492"/>
        <v>0</v>
      </c>
    </row>
    <row r="968" spans="1:14" x14ac:dyDescent="0.4">
      <c r="A968" s="11" t="s">
        <v>6</v>
      </c>
      <c r="B968" s="41">
        <f t="shared" ca="1" si="494"/>
        <v>0</v>
      </c>
      <c r="C968" s="41"/>
      <c r="D968" s="41"/>
      <c r="E968" s="41"/>
      <c r="F968" s="19">
        <f t="shared" ca="1" si="494"/>
        <v>0</v>
      </c>
      <c r="G968" s="20">
        <f t="shared" ca="1" si="494"/>
        <v>0</v>
      </c>
      <c r="H968" s="20">
        <f t="shared" ca="1" si="494"/>
        <v>0</v>
      </c>
      <c r="I968" s="13">
        <f t="shared" ca="1" si="494"/>
        <v>0</v>
      </c>
      <c r="J968" s="16"/>
      <c r="K968" s="19">
        <f t="shared" ca="1" si="495"/>
        <v>0</v>
      </c>
      <c r="L968" s="15">
        <f t="shared" ca="1" si="493"/>
        <v>1</v>
      </c>
      <c r="M968" s="15"/>
      <c r="N968" s="15">
        <f t="shared" ca="1" si="492"/>
        <v>0</v>
      </c>
    </row>
    <row r="969" spans="1:14" x14ac:dyDescent="0.4">
      <c r="A969" s="11" t="s">
        <v>10</v>
      </c>
      <c r="B969" s="40">
        <f t="shared" ref="B969:I971" ca="1" si="496">OFFSET(B969,-6,0)</f>
        <v>0</v>
      </c>
      <c r="C969" s="40"/>
      <c r="D969" s="40"/>
      <c r="E969" s="40"/>
      <c r="F969" s="13">
        <f t="shared" ca="1" si="496"/>
        <v>0</v>
      </c>
      <c r="G969" s="17">
        <f t="shared" ca="1" si="496"/>
        <v>0</v>
      </c>
      <c r="H969" s="17">
        <f t="shared" ca="1" si="496"/>
        <v>0</v>
      </c>
      <c r="I969" s="13">
        <f t="shared" ca="1" si="496"/>
        <v>0</v>
      </c>
      <c r="J969" s="16"/>
      <c r="K969" s="13">
        <f t="shared" ref="K969:K971" ca="1" si="497">OFFSET(K969,-6,0)</f>
        <v>0</v>
      </c>
      <c r="L969" s="15">
        <f t="shared" ca="1" si="493"/>
        <v>1</v>
      </c>
      <c r="M969" s="15"/>
      <c r="N969" s="15">
        <f t="shared" ca="1" si="492"/>
        <v>0</v>
      </c>
    </row>
    <row r="970" spans="1:14" x14ac:dyDescent="0.4">
      <c r="A970" s="11" t="s">
        <v>10</v>
      </c>
      <c r="B970" s="40">
        <f t="shared" ca="1" si="496"/>
        <v>0</v>
      </c>
      <c r="C970" s="40"/>
      <c r="D970" s="40"/>
      <c r="E970" s="40"/>
      <c r="F970" s="13">
        <f t="shared" ca="1" si="496"/>
        <v>0</v>
      </c>
      <c r="G970" s="17">
        <f t="shared" ca="1" si="496"/>
        <v>0</v>
      </c>
      <c r="H970" s="17">
        <f t="shared" ca="1" si="496"/>
        <v>0</v>
      </c>
      <c r="I970" s="13">
        <f t="shared" ca="1" si="496"/>
        <v>0</v>
      </c>
      <c r="J970" s="16"/>
      <c r="K970" s="13">
        <f t="shared" ca="1" si="497"/>
        <v>0</v>
      </c>
      <c r="L970" s="15">
        <f t="shared" ca="1" si="493"/>
        <v>1</v>
      </c>
      <c r="M970" s="15"/>
      <c r="N970" s="15">
        <f t="shared" ca="1" si="492"/>
        <v>0</v>
      </c>
    </row>
    <row r="971" spans="1:14" x14ac:dyDescent="0.4">
      <c r="A971" s="11" t="s">
        <v>10</v>
      </c>
      <c r="B971" s="40">
        <f t="shared" ca="1" si="496"/>
        <v>0</v>
      </c>
      <c r="C971" s="40"/>
      <c r="D971" s="40"/>
      <c r="E971" s="40"/>
      <c r="F971" s="13">
        <f t="shared" ca="1" si="496"/>
        <v>0</v>
      </c>
      <c r="G971" s="17">
        <f t="shared" ca="1" si="496"/>
        <v>0</v>
      </c>
      <c r="H971" s="17">
        <f t="shared" ca="1" si="496"/>
        <v>0</v>
      </c>
      <c r="I971" s="13">
        <f t="shared" ca="1" si="496"/>
        <v>0</v>
      </c>
      <c r="J971" s="16"/>
      <c r="K971" s="13">
        <f t="shared" ca="1" si="497"/>
        <v>0</v>
      </c>
      <c r="L971" s="15">
        <f t="shared" ca="1" si="493"/>
        <v>1</v>
      </c>
      <c r="M971" s="15"/>
      <c r="N971" s="15">
        <f t="shared" ca="1" si="492"/>
        <v>0</v>
      </c>
    </row>
    <row r="972" spans="1:14" x14ac:dyDescent="0.4">
      <c r="A972" s="11" t="s">
        <v>7</v>
      </c>
      <c r="B972" s="40">
        <f t="shared" ref="B972:I974" ca="1" si="498">OFFSET(B972,-9,0)</f>
        <v>0</v>
      </c>
      <c r="C972" s="40"/>
      <c r="D972" s="40"/>
      <c r="E972" s="40"/>
      <c r="F972" s="13">
        <f t="shared" ca="1" si="498"/>
        <v>0</v>
      </c>
      <c r="G972" s="17">
        <f t="shared" ca="1" si="498"/>
        <v>0</v>
      </c>
      <c r="H972" s="17">
        <f t="shared" ca="1" si="498"/>
        <v>0</v>
      </c>
      <c r="I972" s="13">
        <f t="shared" ca="1" si="498"/>
        <v>0</v>
      </c>
      <c r="J972" s="16"/>
      <c r="K972" s="13">
        <f t="shared" ref="K972:K974" ca="1" si="499">OFFSET(K972,-9,0)</f>
        <v>0</v>
      </c>
      <c r="L972" s="15">
        <f t="shared" ca="1" si="493"/>
        <v>1</v>
      </c>
      <c r="M972" s="15"/>
      <c r="N972" s="15">
        <f t="shared" ca="1" si="492"/>
        <v>0</v>
      </c>
    </row>
    <row r="973" spans="1:14" x14ac:dyDescent="0.4">
      <c r="A973" s="11" t="s">
        <v>7</v>
      </c>
      <c r="B973" s="40">
        <f t="shared" ca="1" si="498"/>
        <v>0</v>
      </c>
      <c r="C973" s="40"/>
      <c r="D973" s="40"/>
      <c r="E973" s="40"/>
      <c r="F973" s="13">
        <f t="shared" ca="1" si="498"/>
        <v>0</v>
      </c>
      <c r="G973" s="17">
        <f t="shared" ca="1" si="498"/>
        <v>0</v>
      </c>
      <c r="H973" s="17">
        <f t="shared" ca="1" si="498"/>
        <v>0</v>
      </c>
      <c r="I973" s="13">
        <f t="shared" ca="1" si="498"/>
        <v>0</v>
      </c>
      <c r="J973" s="16"/>
      <c r="K973" s="13">
        <f t="shared" ca="1" si="499"/>
        <v>0</v>
      </c>
      <c r="L973" s="15">
        <f t="shared" ca="1" si="493"/>
        <v>1</v>
      </c>
      <c r="M973" s="15"/>
      <c r="N973" s="15">
        <f t="shared" ca="1" si="492"/>
        <v>0</v>
      </c>
    </row>
    <row r="974" spans="1:14" x14ac:dyDescent="0.4">
      <c r="A974" s="11" t="s">
        <v>7</v>
      </c>
      <c r="B974" s="40">
        <f t="shared" ca="1" si="498"/>
        <v>0</v>
      </c>
      <c r="C974" s="40"/>
      <c r="D974" s="40"/>
      <c r="E974" s="40"/>
      <c r="F974" s="13">
        <f t="shared" ca="1" si="498"/>
        <v>0</v>
      </c>
      <c r="G974" s="17">
        <f t="shared" ca="1" si="498"/>
        <v>0</v>
      </c>
      <c r="H974" s="17">
        <f t="shared" ca="1" si="498"/>
        <v>0</v>
      </c>
      <c r="I974" s="13">
        <f t="shared" ca="1" si="498"/>
        <v>0</v>
      </c>
      <c r="J974" s="16"/>
      <c r="K974" s="13">
        <f t="shared" ca="1" si="499"/>
        <v>0</v>
      </c>
      <c r="L974" s="15">
        <f t="shared" ca="1" si="493"/>
        <v>1</v>
      </c>
      <c r="M974" s="15"/>
      <c r="N974" s="15">
        <f t="shared" ca="1" si="492"/>
        <v>0</v>
      </c>
    </row>
    <row r="975" spans="1:14" x14ac:dyDescent="0.4">
      <c r="A975" s="11" t="s">
        <v>8</v>
      </c>
      <c r="B975" s="40">
        <f t="shared" ref="B975:I977" ca="1" si="500">OFFSET(B975,-12,0)</f>
        <v>0</v>
      </c>
      <c r="C975" s="40"/>
      <c r="D975" s="40"/>
      <c r="E975" s="40"/>
      <c r="F975" s="13">
        <f t="shared" ca="1" si="500"/>
        <v>0</v>
      </c>
      <c r="G975" s="17">
        <f t="shared" ca="1" si="500"/>
        <v>0</v>
      </c>
      <c r="H975" s="17">
        <f t="shared" ca="1" si="500"/>
        <v>0</v>
      </c>
      <c r="I975" s="13">
        <f t="shared" ca="1" si="500"/>
        <v>0</v>
      </c>
      <c r="J975" s="16"/>
      <c r="K975" s="13">
        <f t="shared" ref="K975:K977" ca="1" si="501">OFFSET(K975,-12,0)</f>
        <v>0</v>
      </c>
      <c r="L975" s="15">
        <f t="shared" ca="1" si="493"/>
        <v>1</v>
      </c>
      <c r="M975" s="15"/>
      <c r="N975" s="15">
        <f t="shared" ca="1" si="492"/>
        <v>0</v>
      </c>
    </row>
    <row r="976" spans="1:14" x14ac:dyDescent="0.4">
      <c r="A976" s="11" t="s">
        <v>8</v>
      </c>
      <c r="B976" s="40">
        <f t="shared" ca="1" si="500"/>
        <v>0</v>
      </c>
      <c r="C976" s="40"/>
      <c r="D976" s="40"/>
      <c r="E976" s="40"/>
      <c r="F976" s="13">
        <f t="shared" ca="1" si="500"/>
        <v>0</v>
      </c>
      <c r="G976" s="17">
        <f t="shared" ca="1" si="500"/>
        <v>0</v>
      </c>
      <c r="H976" s="17">
        <f t="shared" ca="1" si="500"/>
        <v>0</v>
      </c>
      <c r="I976" s="13">
        <f t="shared" ca="1" si="500"/>
        <v>0</v>
      </c>
      <c r="J976" s="16"/>
      <c r="K976" s="13">
        <f t="shared" ca="1" si="501"/>
        <v>0</v>
      </c>
      <c r="L976" s="15">
        <f t="shared" ca="1" si="493"/>
        <v>1</v>
      </c>
      <c r="M976" s="15"/>
      <c r="N976" s="15">
        <f t="shared" ca="1" si="492"/>
        <v>0</v>
      </c>
    </row>
    <row r="977" spans="1:14" x14ac:dyDescent="0.4">
      <c r="A977" s="11" t="s">
        <v>8</v>
      </c>
      <c r="B977" s="40">
        <f t="shared" ca="1" si="500"/>
        <v>0</v>
      </c>
      <c r="C977" s="40"/>
      <c r="D977" s="40"/>
      <c r="E977" s="40"/>
      <c r="F977" s="13">
        <f t="shared" ca="1" si="500"/>
        <v>0</v>
      </c>
      <c r="G977" s="17">
        <f t="shared" ca="1" si="500"/>
        <v>0</v>
      </c>
      <c r="H977" s="17">
        <f t="shared" ca="1" si="500"/>
        <v>0</v>
      </c>
      <c r="I977" s="13">
        <f t="shared" ca="1" si="500"/>
        <v>0</v>
      </c>
      <c r="J977" s="16"/>
      <c r="K977" s="13">
        <f t="shared" ca="1" si="501"/>
        <v>0</v>
      </c>
      <c r="L977" s="15">
        <f t="shared" ca="1" si="493"/>
        <v>1</v>
      </c>
      <c r="M977" s="15"/>
      <c r="N977" s="15">
        <f t="shared" ca="1" si="492"/>
        <v>0</v>
      </c>
    </row>
    <row r="978" spans="1:14" x14ac:dyDescent="0.4">
      <c r="A978" s="11" t="s">
        <v>9</v>
      </c>
      <c r="B978" s="41">
        <f t="shared" ref="B978:I980" ca="1" si="502">OFFSET(B978,-15,0)</f>
        <v>0</v>
      </c>
      <c r="C978" s="41"/>
      <c r="D978" s="41"/>
      <c r="E978" s="41"/>
      <c r="F978" s="19">
        <f t="shared" ca="1" si="502"/>
        <v>0</v>
      </c>
      <c r="G978" s="20">
        <f t="shared" ca="1" si="502"/>
        <v>0</v>
      </c>
      <c r="H978" s="20">
        <f t="shared" ca="1" si="502"/>
        <v>0</v>
      </c>
      <c r="I978" s="13">
        <f t="shared" ca="1" si="502"/>
        <v>0</v>
      </c>
      <c r="J978" s="16"/>
      <c r="K978" s="19">
        <f t="shared" ref="K978:K980" ca="1" si="503">OFFSET(K978,-15,0)</f>
        <v>0</v>
      </c>
      <c r="L978" s="15">
        <f t="shared" ca="1" si="493"/>
        <v>1</v>
      </c>
      <c r="M978" s="15"/>
      <c r="N978" s="15">
        <f t="shared" ca="1" si="492"/>
        <v>0</v>
      </c>
    </row>
    <row r="979" spans="1:14" x14ac:dyDescent="0.4">
      <c r="A979" s="11" t="s">
        <v>9</v>
      </c>
      <c r="B979" s="41">
        <f t="shared" ca="1" si="502"/>
        <v>0</v>
      </c>
      <c r="C979" s="41"/>
      <c r="D979" s="41"/>
      <c r="E979" s="41"/>
      <c r="F979" s="19">
        <f t="shared" ca="1" si="502"/>
        <v>0</v>
      </c>
      <c r="G979" s="20">
        <f t="shared" ca="1" si="502"/>
        <v>0</v>
      </c>
      <c r="H979" s="20">
        <f t="shared" ca="1" si="502"/>
        <v>0</v>
      </c>
      <c r="I979" s="13">
        <f t="shared" ca="1" si="502"/>
        <v>0</v>
      </c>
      <c r="J979" s="16"/>
      <c r="K979" s="19">
        <f t="shared" ca="1" si="503"/>
        <v>0</v>
      </c>
      <c r="L979" s="15">
        <f t="shared" ca="1" si="493"/>
        <v>1</v>
      </c>
      <c r="M979" s="15"/>
      <c r="N979" s="15">
        <f t="shared" ca="1" si="492"/>
        <v>0</v>
      </c>
    </row>
    <row r="980" spans="1:14" x14ac:dyDescent="0.4">
      <c r="A980" s="11" t="s">
        <v>9</v>
      </c>
      <c r="B980" s="41">
        <f t="shared" ca="1" si="502"/>
        <v>0</v>
      </c>
      <c r="C980" s="41"/>
      <c r="D980" s="41"/>
      <c r="E980" s="41"/>
      <c r="F980" s="19">
        <f t="shared" ca="1" si="502"/>
        <v>0</v>
      </c>
      <c r="G980" s="20">
        <f t="shared" ca="1" si="502"/>
        <v>0</v>
      </c>
      <c r="H980" s="20">
        <f t="shared" ca="1" si="502"/>
        <v>0</v>
      </c>
      <c r="I980" s="13">
        <f t="shared" ca="1" si="502"/>
        <v>0</v>
      </c>
      <c r="J980" s="16"/>
      <c r="K980" s="19">
        <f t="shared" ca="1" si="503"/>
        <v>0</v>
      </c>
      <c r="L980" s="15">
        <f t="shared" ca="1" si="493"/>
        <v>1</v>
      </c>
      <c r="M980" s="15"/>
      <c r="N980" s="15">
        <f t="shared" ca="1" si="492"/>
        <v>0</v>
      </c>
    </row>
    <row r="981" spans="1:14" ht="17.399999999999999" x14ac:dyDescent="0.4">
      <c r="A981" s="74" t="s">
        <v>32</v>
      </c>
      <c r="B981" s="75"/>
      <c r="C981" s="75"/>
      <c r="D981" s="75"/>
      <c r="E981" s="75"/>
      <c r="F981" s="75"/>
      <c r="G981" s="75"/>
      <c r="H981" s="75"/>
      <c r="I981" s="75"/>
      <c r="J981" s="75"/>
      <c r="K981" s="75"/>
      <c r="L981" s="75"/>
      <c r="M981" s="75"/>
      <c r="N981" s="76"/>
    </row>
    <row r="982" spans="1:14" x14ac:dyDescent="0.4">
      <c r="A982" s="11" t="s">
        <v>5</v>
      </c>
      <c r="B982" s="40"/>
      <c r="C982" s="40"/>
      <c r="D982" s="40"/>
      <c r="E982" s="40"/>
      <c r="F982" s="13"/>
      <c r="G982" s="11"/>
      <c r="H982" s="17"/>
      <c r="I982" s="13"/>
      <c r="J982" s="16"/>
      <c r="K982" s="13"/>
      <c r="L982" s="15">
        <f>ROUND((10^(K982/10))/(10^(I982/10)),3)</f>
        <v>1</v>
      </c>
      <c r="M982" s="15"/>
      <c r="N982" s="15">
        <f t="shared" ref="N982:N999" si="504">J982*L982</f>
        <v>0</v>
      </c>
    </row>
    <row r="983" spans="1:14" x14ac:dyDescent="0.4">
      <c r="A983" s="11" t="s">
        <v>5</v>
      </c>
      <c r="B983" s="40"/>
      <c r="C983" s="40"/>
      <c r="D983" s="40"/>
      <c r="E983" s="40"/>
      <c r="F983" s="13"/>
      <c r="G983" s="11"/>
      <c r="H983" s="17"/>
      <c r="I983" s="13"/>
      <c r="J983" s="16"/>
      <c r="K983" s="13"/>
      <c r="L983" s="15">
        <f t="shared" ref="L983:L999" si="505">ROUND((10^(K983/10))/(10^(I983/10)),3)</f>
        <v>1</v>
      </c>
      <c r="M983" s="15"/>
      <c r="N983" s="15">
        <f t="shared" si="504"/>
        <v>0</v>
      </c>
    </row>
    <row r="984" spans="1:14" x14ac:dyDescent="0.4">
      <c r="A984" s="11" t="s">
        <v>5</v>
      </c>
      <c r="B984" s="40"/>
      <c r="C984" s="40"/>
      <c r="D984" s="40"/>
      <c r="E984" s="40"/>
      <c r="F984" s="13"/>
      <c r="G984" s="11"/>
      <c r="H984" s="17"/>
      <c r="I984" s="13"/>
      <c r="J984" s="16"/>
      <c r="K984" s="13"/>
      <c r="L984" s="15">
        <f t="shared" si="505"/>
        <v>1</v>
      </c>
      <c r="M984" s="15"/>
      <c r="N984" s="15">
        <f t="shared" si="504"/>
        <v>0</v>
      </c>
    </row>
    <row r="985" spans="1:14" x14ac:dyDescent="0.4">
      <c r="A985" s="11" t="s">
        <v>6</v>
      </c>
      <c r="B985" s="41">
        <f t="shared" ref="B985:I987" ca="1" si="506">OFFSET(B985,-3,0)</f>
        <v>0</v>
      </c>
      <c r="C985" s="41"/>
      <c r="D985" s="41"/>
      <c r="E985" s="41"/>
      <c r="F985" s="19">
        <f t="shared" ca="1" si="506"/>
        <v>0</v>
      </c>
      <c r="G985" s="20">
        <f t="shared" ca="1" si="506"/>
        <v>0</v>
      </c>
      <c r="H985" s="20">
        <f t="shared" ca="1" si="506"/>
        <v>0</v>
      </c>
      <c r="I985" s="13">
        <f t="shared" ca="1" si="506"/>
        <v>0</v>
      </c>
      <c r="J985" s="16"/>
      <c r="K985" s="19">
        <f t="shared" ref="K985:K987" ca="1" si="507">OFFSET(K985,-3,0)</f>
        <v>0</v>
      </c>
      <c r="L985" s="15">
        <f t="shared" ca="1" si="505"/>
        <v>1</v>
      </c>
      <c r="M985" s="15"/>
      <c r="N985" s="15">
        <f t="shared" ca="1" si="504"/>
        <v>0</v>
      </c>
    </row>
    <row r="986" spans="1:14" x14ac:dyDescent="0.4">
      <c r="A986" s="11" t="s">
        <v>6</v>
      </c>
      <c r="B986" s="41">
        <f t="shared" ca="1" si="506"/>
        <v>0</v>
      </c>
      <c r="C986" s="41"/>
      <c r="D986" s="41"/>
      <c r="E986" s="41"/>
      <c r="F986" s="19">
        <f t="shared" ca="1" si="506"/>
        <v>0</v>
      </c>
      <c r="G986" s="20">
        <f t="shared" ca="1" si="506"/>
        <v>0</v>
      </c>
      <c r="H986" s="20">
        <f t="shared" ca="1" si="506"/>
        <v>0</v>
      </c>
      <c r="I986" s="13">
        <f t="shared" ca="1" si="506"/>
        <v>0</v>
      </c>
      <c r="J986" s="16"/>
      <c r="K986" s="19">
        <f t="shared" ca="1" si="507"/>
        <v>0</v>
      </c>
      <c r="L986" s="15">
        <f t="shared" ca="1" si="505"/>
        <v>1</v>
      </c>
      <c r="M986" s="15"/>
      <c r="N986" s="15">
        <f t="shared" ca="1" si="504"/>
        <v>0</v>
      </c>
    </row>
    <row r="987" spans="1:14" x14ac:dyDescent="0.4">
      <c r="A987" s="11" t="s">
        <v>6</v>
      </c>
      <c r="B987" s="41">
        <f t="shared" ca="1" si="506"/>
        <v>0</v>
      </c>
      <c r="C987" s="41"/>
      <c r="D987" s="41"/>
      <c r="E987" s="41"/>
      <c r="F987" s="19">
        <f t="shared" ca="1" si="506"/>
        <v>0</v>
      </c>
      <c r="G987" s="20">
        <f t="shared" ca="1" si="506"/>
        <v>0</v>
      </c>
      <c r="H987" s="20">
        <f t="shared" ca="1" si="506"/>
        <v>0</v>
      </c>
      <c r="I987" s="13">
        <f t="shared" ca="1" si="506"/>
        <v>0</v>
      </c>
      <c r="J987" s="16"/>
      <c r="K987" s="19">
        <f t="shared" ca="1" si="507"/>
        <v>0</v>
      </c>
      <c r="L987" s="15">
        <f t="shared" ca="1" si="505"/>
        <v>1</v>
      </c>
      <c r="M987" s="15"/>
      <c r="N987" s="15">
        <f t="shared" ca="1" si="504"/>
        <v>0</v>
      </c>
    </row>
    <row r="988" spans="1:14" x14ac:dyDescent="0.4">
      <c r="A988" s="11" t="s">
        <v>10</v>
      </c>
      <c r="B988" s="40">
        <f t="shared" ref="B988:I990" ca="1" si="508">OFFSET(B988,-6,0)</f>
        <v>0</v>
      </c>
      <c r="C988" s="40"/>
      <c r="D988" s="40"/>
      <c r="E988" s="40"/>
      <c r="F988" s="13">
        <f t="shared" ca="1" si="508"/>
        <v>0</v>
      </c>
      <c r="G988" s="17">
        <f t="shared" ca="1" si="508"/>
        <v>0</v>
      </c>
      <c r="H988" s="17">
        <f t="shared" ca="1" si="508"/>
        <v>0</v>
      </c>
      <c r="I988" s="13">
        <f t="shared" ca="1" si="508"/>
        <v>0</v>
      </c>
      <c r="J988" s="16"/>
      <c r="K988" s="13">
        <f t="shared" ref="K988:K990" ca="1" si="509">OFFSET(K988,-6,0)</f>
        <v>0</v>
      </c>
      <c r="L988" s="15">
        <f t="shared" ca="1" si="505"/>
        <v>1</v>
      </c>
      <c r="M988" s="15"/>
      <c r="N988" s="15">
        <f t="shared" ca="1" si="504"/>
        <v>0</v>
      </c>
    </row>
    <row r="989" spans="1:14" x14ac:dyDescent="0.4">
      <c r="A989" s="11" t="s">
        <v>10</v>
      </c>
      <c r="B989" s="40">
        <f t="shared" ca="1" si="508"/>
        <v>0</v>
      </c>
      <c r="C989" s="40"/>
      <c r="D989" s="40"/>
      <c r="E989" s="40"/>
      <c r="F989" s="13">
        <f t="shared" ca="1" si="508"/>
        <v>0</v>
      </c>
      <c r="G989" s="17">
        <f t="shared" ca="1" si="508"/>
        <v>0</v>
      </c>
      <c r="H989" s="17">
        <f t="shared" ca="1" si="508"/>
        <v>0</v>
      </c>
      <c r="I989" s="13">
        <f t="shared" ca="1" si="508"/>
        <v>0</v>
      </c>
      <c r="J989" s="16"/>
      <c r="K989" s="13">
        <f t="shared" ca="1" si="509"/>
        <v>0</v>
      </c>
      <c r="L989" s="15">
        <f t="shared" ca="1" si="505"/>
        <v>1</v>
      </c>
      <c r="M989" s="15"/>
      <c r="N989" s="15">
        <f t="shared" ca="1" si="504"/>
        <v>0</v>
      </c>
    </row>
    <row r="990" spans="1:14" x14ac:dyDescent="0.4">
      <c r="A990" s="11" t="s">
        <v>10</v>
      </c>
      <c r="B990" s="40">
        <f t="shared" ca="1" si="508"/>
        <v>0</v>
      </c>
      <c r="C990" s="40"/>
      <c r="D990" s="40"/>
      <c r="E990" s="40"/>
      <c r="F990" s="13">
        <f t="shared" ca="1" si="508"/>
        <v>0</v>
      </c>
      <c r="G990" s="17">
        <f t="shared" ca="1" si="508"/>
        <v>0</v>
      </c>
      <c r="H990" s="17">
        <f t="shared" ca="1" si="508"/>
        <v>0</v>
      </c>
      <c r="I990" s="13">
        <f t="shared" ca="1" si="508"/>
        <v>0</v>
      </c>
      <c r="J990" s="16"/>
      <c r="K990" s="13">
        <f t="shared" ca="1" si="509"/>
        <v>0</v>
      </c>
      <c r="L990" s="15">
        <f t="shared" ca="1" si="505"/>
        <v>1</v>
      </c>
      <c r="M990" s="15"/>
      <c r="N990" s="15">
        <f t="shared" ca="1" si="504"/>
        <v>0</v>
      </c>
    </row>
    <row r="991" spans="1:14" x14ac:dyDescent="0.4">
      <c r="A991" s="11" t="s">
        <v>7</v>
      </c>
      <c r="B991" s="40">
        <f t="shared" ref="B991:I993" ca="1" si="510">OFFSET(B991,-9,0)</f>
        <v>0</v>
      </c>
      <c r="C991" s="40"/>
      <c r="D991" s="40"/>
      <c r="E991" s="40"/>
      <c r="F991" s="13">
        <f t="shared" ca="1" si="510"/>
        <v>0</v>
      </c>
      <c r="G991" s="17">
        <f t="shared" ca="1" si="510"/>
        <v>0</v>
      </c>
      <c r="H991" s="17">
        <f t="shared" ca="1" si="510"/>
        <v>0</v>
      </c>
      <c r="I991" s="13">
        <f t="shared" ca="1" si="510"/>
        <v>0</v>
      </c>
      <c r="J991" s="16"/>
      <c r="K991" s="13">
        <f t="shared" ref="K991:K993" ca="1" si="511">OFFSET(K991,-9,0)</f>
        <v>0</v>
      </c>
      <c r="L991" s="15">
        <f t="shared" ca="1" si="505"/>
        <v>1</v>
      </c>
      <c r="M991" s="15"/>
      <c r="N991" s="15">
        <f t="shared" ca="1" si="504"/>
        <v>0</v>
      </c>
    </row>
    <row r="992" spans="1:14" x14ac:dyDescent="0.4">
      <c r="A992" s="11" t="s">
        <v>7</v>
      </c>
      <c r="B992" s="40">
        <f t="shared" ca="1" si="510"/>
        <v>0</v>
      </c>
      <c r="C992" s="40"/>
      <c r="D992" s="40"/>
      <c r="E992" s="40"/>
      <c r="F992" s="13">
        <f t="shared" ca="1" si="510"/>
        <v>0</v>
      </c>
      <c r="G992" s="17">
        <f t="shared" ca="1" si="510"/>
        <v>0</v>
      </c>
      <c r="H992" s="17">
        <f t="shared" ca="1" si="510"/>
        <v>0</v>
      </c>
      <c r="I992" s="13">
        <f t="shared" ca="1" si="510"/>
        <v>0</v>
      </c>
      <c r="J992" s="16"/>
      <c r="K992" s="13">
        <f t="shared" ca="1" si="511"/>
        <v>0</v>
      </c>
      <c r="L992" s="15">
        <f t="shared" ca="1" si="505"/>
        <v>1</v>
      </c>
      <c r="M992" s="15"/>
      <c r="N992" s="15">
        <f t="shared" ca="1" si="504"/>
        <v>0</v>
      </c>
    </row>
    <row r="993" spans="1:14" x14ac:dyDescent="0.4">
      <c r="A993" s="11" t="s">
        <v>7</v>
      </c>
      <c r="B993" s="40">
        <f t="shared" ca="1" si="510"/>
        <v>0</v>
      </c>
      <c r="C993" s="40"/>
      <c r="D993" s="40"/>
      <c r="E993" s="40"/>
      <c r="F993" s="13">
        <f t="shared" ca="1" si="510"/>
        <v>0</v>
      </c>
      <c r="G993" s="17">
        <f t="shared" ca="1" si="510"/>
        <v>0</v>
      </c>
      <c r="H993" s="17">
        <f t="shared" ca="1" si="510"/>
        <v>0</v>
      </c>
      <c r="I993" s="13">
        <f t="shared" ca="1" si="510"/>
        <v>0</v>
      </c>
      <c r="J993" s="16"/>
      <c r="K993" s="13">
        <f t="shared" ca="1" si="511"/>
        <v>0</v>
      </c>
      <c r="L993" s="15">
        <f t="shared" ca="1" si="505"/>
        <v>1</v>
      </c>
      <c r="M993" s="15"/>
      <c r="N993" s="15">
        <f t="shared" ca="1" si="504"/>
        <v>0</v>
      </c>
    </row>
    <row r="994" spans="1:14" x14ac:dyDescent="0.4">
      <c r="A994" s="11" t="s">
        <v>8</v>
      </c>
      <c r="B994" s="40">
        <f t="shared" ref="B994:I996" ca="1" si="512">OFFSET(B994,-12,0)</f>
        <v>0</v>
      </c>
      <c r="C994" s="40"/>
      <c r="D994" s="40"/>
      <c r="E994" s="40"/>
      <c r="F994" s="13">
        <f t="shared" ca="1" si="512"/>
        <v>0</v>
      </c>
      <c r="G994" s="17">
        <f t="shared" ca="1" si="512"/>
        <v>0</v>
      </c>
      <c r="H994" s="17">
        <f t="shared" ca="1" si="512"/>
        <v>0</v>
      </c>
      <c r="I994" s="13">
        <f t="shared" ca="1" si="512"/>
        <v>0</v>
      </c>
      <c r="J994" s="16"/>
      <c r="K994" s="13">
        <f t="shared" ref="K994:K996" ca="1" si="513">OFFSET(K994,-12,0)</f>
        <v>0</v>
      </c>
      <c r="L994" s="15">
        <f t="shared" ca="1" si="505"/>
        <v>1</v>
      </c>
      <c r="M994" s="15"/>
      <c r="N994" s="15">
        <f t="shared" ca="1" si="504"/>
        <v>0</v>
      </c>
    </row>
    <row r="995" spans="1:14" x14ac:dyDescent="0.4">
      <c r="A995" s="11" t="s">
        <v>8</v>
      </c>
      <c r="B995" s="40">
        <f t="shared" ca="1" si="512"/>
        <v>0</v>
      </c>
      <c r="C995" s="40"/>
      <c r="D995" s="40"/>
      <c r="E995" s="40"/>
      <c r="F995" s="13">
        <f t="shared" ca="1" si="512"/>
        <v>0</v>
      </c>
      <c r="G995" s="17">
        <f t="shared" ca="1" si="512"/>
        <v>0</v>
      </c>
      <c r="H995" s="17">
        <f t="shared" ca="1" si="512"/>
        <v>0</v>
      </c>
      <c r="I995" s="13">
        <f t="shared" ca="1" si="512"/>
        <v>0</v>
      </c>
      <c r="J995" s="16"/>
      <c r="K995" s="13">
        <f t="shared" ca="1" si="513"/>
        <v>0</v>
      </c>
      <c r="L995" s="15">
        <f t="shared" ca="1" si="505"/>
        <v>1</v>
      </c>
      <c r="M995" s="15"/>
      <c r="N995" s="15">
        <f t="shared" ca="1" si="504"/>
        <v>0</v>
      </c>
    </row>
    <row r="996" spans="1:14" x14ac:dyDescent="0.4">
      <c r="A996" s="11" t="s">
        <v>8</v>
      </c>
      <c r="B996" s="40">
        <f t="shared" ca="1" si="512"/>
        <v>0</v>
      </c>
      <c r="C996" s="40"/>
      <c r="D996" s="40"/>
      <c r="E996" s="40"/>
      <c r="F996" s="13">
        <f t="shared" ca="1" si="512"/>
        <v>0</v>
      </c>
      <c r="G996" s="17">
        <f t="shared" ca="1" si="512"/>
        <v>0</v>
      </c>
      <c r="H996" s="17">
        <f t="shared" ca="1" si="512"/>
        <v>0</v>
      </c>
      <c r="I996" s="13">
        <f t="shared" ca="1" si="512"/>
        <v>0</v>
      </c>
      <c r="J996" s="16"/>
      <c r="K996" s="13">
        <f t="shared" ca="1" si="513"/>
        <v>0</v>
      </c>
      <c r="L996" s="15">
        <f t="shared" ca="1" si="505"/>
        <v>1</v>
      </c>
      <c r="M996" s="15"/>
      <c r="N996" s="15">
        <f t="shared" ca="1" si="504"/>
        <v>0</v>
      </c>
    </row>
    <row r="997" spans="1:14" x14ac:dyDescent="0.4">
      <c r="A997" s="11" t="s">
        <v>9</v>
      </c>
      <c r="B997" s="41">
        <f t="shared" ref="B997:H999" ca="1" si="514">OFFSET(B997,-15,0)</f>
        <v>0</v>
      </c>
      <c r="C997" s="41"/>
      <c r="D997" s="41"/>
      <c r="E997" s="41"/>
      <c r="F997" s="19">
        <f t="shared" ca="1" si="514"/>
        <v>0</v>
      </c>
      <c r="G997" s="20">
        <f t="shared" ca="1" si="514"/>
        <v>0</v>
      </c>
      <c r="H997" s="20">
        <f ca="1">OFFSET(H997,-15,0)</f>
        <v>0</v>
      </c>
      <c r="I997" s="13">
        <f t="shared" ref="I997:I999" ca="1" si="515">OFFSET(I997,-15,0)</f>
        <v>0</v>
      </c>
      <c r="J997" s="16"/>
      <c r="K997" s="19">
        <f t="shared" ref="K997:K999" ca="1" si="516">OFFSET(K997,-15,0)</f>
        <v>0</v>
      </c>
      <c r="L997" s="15">
        <f t="shared" ca="1" si="505"/>
        <v>1</v>
      </c>
      <c r="M997" s="15"/>
      <c r="N997" s="15">
        <f t="shared" ca="1" si="504"/>
        <v>0</v>
      </c>
    </row>
    <row r="998" spans="1:14" x14ac:dyDescent="0.4">
      <c r="A998" s="11" t="s">
        <v>9</v>
      </c>
      <c r="B998" s="41">
        <f t="shared" ca="1" si="514"/>
        <v>0</v>
      </c>
      <c r="C998" s="41"/>
      <c r="D998" s="41"/>
      <c r="E998" s="41"/>
      <c r="F998" s="19">
        <f t="shared" ca="1" si="514"/>
        <v>0</v>
      </c>
      <c r="G998" s="20">
        <f t="shared" ca="1" si="514"/>
        <v>0</v>
      </c>
      <c r="H998" s="20">
        <f t="shared" ca="1" si="514"/>
        <v>0</v>
      </c>
      <c r="I998" s="13">
        <f t="shared" ca="1" si="515"/>
        <v>0</v>
      </c>
      <c r="J998" s="16"/>
      <c r="K998" s="19">
        <f t="shared" ca="1" si="516"/>
        <v>0</v>
      </c>
      <c r="L998" s="15">
        <f t="shared" ca="1" si="505"/>
        <v>1</v>
      </c>
      <c r="M998" s="15"/>
      <c r="N998" s="15">
        <f t="shared" ca="1" si="504"/>
        <v>0</v>
      </c>
    </row>
    <row r="999" spans="1:14" x14ac:dyDescent="0.4">
      <c r="A999" s="11" t="s">
        <v>9</v>
      </c>
      <c r="B999" s="41">
        <f t="shared" ca="1" si="514"/>
        <v>0</v>
      </c>
      <c r="C999" s="41"/>
      <c r="D999" s="41"/>
      <c r="E999" s="41"/>
      <c r="F999" s="19">
        <f t="shared" ca="1" si="514"/>
        <v>0</v>
      </c>
      <c r="G999" s="20">
        <f t="shared" ca="1" si="514"/>
        <v>0</v>
      </c>
      <c r="H999" s="20">
        <f t="shared" ca="1" si="514"/>
        <v>0</v>
      </c>
      <c r="I999" s="13">
        <f t="shared" ca="1" si="515"/>
        <v>0</v>
      </c>
      <c r="J999" s="16"/>
      <c r="K999" s="19">
        <f t="shared" ca="1" si="516"/>
        <v>0</v>
      </c>
      <c r="L999" s="15">
        <f t="shared" ca="1" si="505"/>
        <v>1</v>
      </c>
      <c r="M999" s="15"/>
      <c r="N999" s="15">
        <f t="shared" ca="1" si="504"/>
        <v>0</v>
      </c>
    </row>
    <row r="1000" spans="1:14" ht="17.399999999999999" x14ac:dyDescent="0.4">
      <c r="A1000" s="74" t="s">
        <v>30</v>
      </c>
      <c r="B1000" s="75"/>
      <c r="C1000" s="75"/>
      <c r="D1000" s="75"/>
      <c r="E1000" s="75"/>
      <c r="F1000" s="75"/>
      <c r="G1000" s="75"/>
      <c r="H1000" s="75"/>
      <c r="I1000" s="75"/>
      <c r="J1000" s="75"/>
      <c r="K1000" s="75"/>
      <c r="L1000" s="75"/>
      <c r="M1000" s="75"/>
      <c r="N1000" s="76"/>
    </row>
    <row r="1001" spans="1:14" x14ac:dyDescent="0.4">
      <c r="A1001" s="11" t="s">
        <v>5</v>
      </c>
      <c r="B1001" s="40"/>
      <c r="C1001" s="40"/>
      <c r="D1001" s="40"/>
      <c r="E1001" s="40"/>
      <c r="F1001" s="13"/>
      <c r="G1001" s="11"/>
      <c r="H1001" s="17"/>
      <c r="I1001" s="13"/>
      <c r="J1001" s="16"/>
      <c r="K1001" s="13"/>
      <c r="L1001" s="15">
        <f>ROUND((10^(K1001/10))/(10^(I1001/10)),3)</f>
        <v>1</v>
      </c>
      <c r="M1001" s="15"/>
      <c r="N1001" s="15">
        <f t="shared" ref="N1001:N1018" si="517">J1001*L1001</f>
        <v>0</v>
      </c>
    </row>
    <row r="1002" spans="1:14" x14ac:dyDescent="0.4">
      <c r="A1002" s="11" t="s">
        <v>5</v>
      </c>
      <c r="B1002" s="40"/>
      <c r="C1002" s="40"/>
      <c r="D1002" s="40"/>
      <c r="E1002" s="40"/>
      <c r="F1002" s="13"/>
      <c r="G1002" s="11"/>
      <c r="H1002" s="17"/>
      <c r="I1002" s="13"/>
      <c r="J1002" s="16"/>
      <c r="K1002" s="13"/>
      <c r="L1002" s="15">
        <f t="shared" ref="L1002:L1018" si="518">ROUND((10^(K1002/10))/(10^(I1002/10)),3)</f>
        <v>1</v>
      </c>
      <c r="M1002" s="15"/>
      <c r="N1002" s="15">
        <f t="shared" si="517"/>
        <v>0</v>
      </c>
    </row>
    <row r="1003" spans="1:14" x14ac:dyDescent="0.4">
      <c r="A1003" s="11" t="s">
        <v>5</v>
      </c>
      <c r="B1003" s="40"/>
      <c r="C1003" s="40"/>
      <c r="D1003" s="40"/>
      <c r="E1003" s="40"/>
      <c r="F1003" s="13"/>
      <c r="G1003" s="11"/>
      <c r="H1003" s="17"/>
      <c r="I1003" s="13"/>
      <c r="J1003" s="16"/>
      <c r="K1003" s="13"/>
      <c r="L1003" s="15">
        <f t="shared" si="518"/>
        <v>1</v>
      </c>
      <c r="M1003" s="15"/>
      <c r="N1003" s="15">
        <f t="shared" si="517"/>
        <v>0</v>
      </c>
    </row>
    <row r="1004" spans="1:14" x14ac:dyDescent="0.4">
      <c r="A1004" s="11" t="s">
        <v>6</v>
      </c>
      <c r="B1004" s="41">
        <f t="shared" ref="B1004:I1006" ca="1" si="519">OFFSET(B1004,-3,0)</f>
        <v>0</v>
      </c>
      <c r="C1004" s="41"/>
      <c r="D1004" s="41"/>
      <c r="E1004" s="41"/>
      <c r="F1004" s="19">
        <f t="shared" ca="1" si="519"/>
        <v>0</v>
      </c>
      <c r="G1004" s="20">
        <f t="shared" ca="1" si="519"/>
        <v>0</v>
      </c>
      <c r="H1004" s="20">
        <f t="shared" ca="1" si="519"/>
        <v>0</v>
      </c>
      <c r="I1004" s="13">
        <f t="shared" ca="1" si="519"/>
        <v>0</v>
      </c>
      <c r="J1004" s="16"/>
      <c r="K1004" s="19">
        <f t="shared" ref="K1004:K1006" ca="1" si="520">OFFSET(K1004,-3,0)</f>
        <v>0</v>
      </c>
      <c r="L1004" s="15">
        <f t="shared" ca="1" si="518"/>
        <v>1</v>
      </c>
      <c r="M1004" s="15"/>
      <c r="N1004" s="15">
        <f t="shared" ca="1" si="517"/>
        <v>0</v>
      </c>
    </row>
    <row r="1005" spans="1:14" x14ac:dyDescent="0.4">
      <c r="A1005" s="11" t="s">
        <v>6</v>
      </c>
      <c r="B1005" s="41">
        <f t="shared" ca="1" si="519"/>
        <v>0</v>
      </c>
      <c r="C1005" s="41"/>
      <c r="D1005" s="41"/>
      <c r="E1005" s="41"/>
      <c r="F1005" s="19">
        <f t="shared" ca="1" si="519"/>
        <v>0</v>
      </c>
      <c r="G1005" s="20">
        <f t="shared" ca="1" si="519"/>
        <v>0</v>
      </c>
      <c r="H1005" s="20">
        <f t="shared" ca="1" si="519"/>
        <v>0</v>
      </c>
      <c r="I1005" s="13">
        <f t="shared" ca="1" si="519"/>
        <v>0</v>
      </c>
      <c r="J1005" s="16"/>
      <c r="K1005" s="19">
        <f t="shared" ca="1" si="520"/>
        <v>0</v>
      </c>
      <c r="L1005" s="15">
        <f t="shared" ca="1" si="518"/>
        <v>1</v>
      </c>
      <c r="M1005" s="15"/>
      <c r="N1005" s="15">
        <f t="shared" ca="1" si="517"/>
        <v>0</v>
      </c>
    </row>
    <row r="1006" spans="1:14" x14ac:dyDescent="0.4">
      <c r="A1006" s="11" t="s">
        <v>6</v>
      </c>
      <c r="B1006" s="41">
        <f t="shared" ca="1" si="519"/>
        <v>0</v>
      </c>
      <c r="C1006" s="41"/>
      <c r="D1006" s="41"/>
      <c r="E1006" s="41"/>
      <c r="F1006" s="19">
        <f t="shared" ca="1" si="519"/>
        <v>0</v>
      </c>
      <c r="G1006" s="20">
        <f t="shared" ca="1" si="519"/>
        <v>0</v>
      </c>
      <c r="H1006" s="20">
        <f t="shared" ca="1" si="519"/>
        <v>0</v>
      </c>
      <c r="I1006" s="13">
        <f t="shared" ca="1" si="519"/>
        <v>0</v>
      </c>
      <c r="J1006" s="16"/>
      <c r="K1006" s="19">
        <f t="shared" ca="1" si="520"/>
        <v>0</v>
      </c>
      <c r="L1006" s="15">
        <f t="shared" ca="1" si="518"/>
        <v>1</v>
      </c>
      <c r="M1006" s="15"/>
      <c r="N1006" s="15">
        <f t="shared" ca="1" si="517"/>
        <v>0</v>
      </c>
    </row>
    <row r="1007" spans="1:14" x14ac:dyDescent="0.4">
      <c r="A1007" s="11" t="s">
        <v>57</v>
      </c>
      <c r="B1007" s="40">
        <f t="shared" ref="B1007:I1009" ca="1" si="521">OFFSET(B1007,-6,0)</f>
        <v>0</v>
      </c>
      <c r="C1007" s="40"/>
      <c r="D1007" s="40"/>
      <c r="E1007" s="40"/>
      <c r="F1007" s="13">
        <f t="shared" ca="1" si="521"/>
        <v>0</v>
      </c>
      <c r="G1007" s="17">
        <f t="shared" ca="1" si="521"/>
        <v>0</v>
      </c>
      <c r="H1007" s="17">
        <f t="shared" ca="1" si="521"/>
        <v>0</v>
      </c>
      <c r="I1007" s="13">
        <f t="shared" ca="1" si="521"/>
        <v>0</v>
      </c>
      <c r="J1007" s="16"/>
      <c r="K1007" s="13">
        <f t="shared" ref="K1007:K1009" ca="1" si="522">OFFSET(K1007,-6,0)</f>
        <v>0</v>
      </c>
      <c r="L1007" s="15">
        <f t="shared" ca="1" si="518"/>
        <v>1</v>
      </c>
      <c r="M1007" s="15"/>
      <c r="N1007" s="15">
        <f t="shared" ca="1" si="517"/>
        <v>0</v>
      </c>
    </row>
    <row r="1008" spans="1:14" x14ac:dyDescent="0.4">
      <c r="A1008" s="11" t="s">
        <v>57</v>
      </c>
      <c r="B1008" s="40">
        <f t="shared" ca="1" si="521"/>
        <v>0</v>
      </c>
      <c r="C1008" s="40"/>
      <c r="D1008" s="40"/>
      <c r="E1008" s="40"/>
      <c r="F1008" s="13">
        <f t="shared" ca="1" si="521"/>
        <v>0</v>
      </c>
      <c r="G1008" s="17">
        <f t="shared" ca="1" si="521"/>
        <v>0</v>
      </c>
      <c r="H1008" s="17">
        <f t="shared" ca="1" si="521"/>
        <v>0</v>
      </c>
      <c r="I1008" s="13">
        <f t="shared" ca="1" si="521"/>
        <v>0</v>
      </c>
      <c r="J1008" s="16"/>
      <c r="K1008" s="13">
        <f t="shared" ca="1" si="522"/>
        <v>0</v>
      </c>
      <c r="L1008" s="15">
        <f t="shared" ca="1" si="518"/>
        <v>1</v>
      </c>
      <c r="M1008" s="15"/>
      <c r="N1008" s="15">
        <f t="shared" ca="1" si="517"/>
        <v>0</v>
      </c>
    </row>
    <row r="1009" spans="1:14" x14ac:dyDescent="0.4">
      <c r="A1009" s="11" t="s">
        <v>57</v>
      </c>
      <c r="B1009" s="40">
        <f t="shared" ca="1" si="521"/>
        <v>0</v>
      </c>
      <c r="C1009" s="40"/>
      <c r="D1009" s="40"/>
      <c r="E1009" s="40"/>
      <c r="F1009" s="13">
        <f t="shared" ca="1" si="521"/>
        <v>0</v>
      </c>
      <c r="G1009" s="17">
        <f t="shared" ca="1" si="521"/>
        <v>0</v>
      </c>
      <c r="H1009" s="17">
        <f t="shared" ca="1" si="521"/>
        <v>0</v>
      </c>
      <c r="I1009" s="13">
        <f t="shared" ca="1" si="521"/>
        <v>0</v>
      </c>
      <c r="J1009" s="16"/>
      <c r="K1009" s="13">
        <f t="shared" ca="1" si="522"/>
        <v>0</v>
      </c>
      <c r="L1009" s="15">
        <f t="shared" ca="1" si="518"/>
        <v>1</v>
      </c>
      <c r="M1009" s="15"/>
      <c r="N1009" s="15">
        <f t="shared" ca="1" si="517"/>
        <v>0</v>
      </c>
    </row>
    <row r="1010" spans="1:14" x14ac:dyDescent="0.4">
      <c r="A1010" s="11" t="s">
        <v>7</v>
      </c>
      <c r="B1010" s="40">
        <f t="shared" ref="B1010:I1012" ca="1" si="523">OFFSET(B1010,-9,0)</f>
        <v>0</v>
      </c>
      <c r="C1010" s="40"/>
      <c r="D1010" s="40"/>
      <c r="E1010" s="40"/>
      <c r="F1010" s="13">
        <f t="shared" ca="1" si="523"/>
        <v>0</v>
      </c>
      <c r="G1010" s="17">
        <f t="shared" ca="1" si="523"/>
        <v>0</v>
      </c>
      <c r="H1010" s="17">
        <f t="shared" ca="1" si="523"/>
        <v>0</v>
      </c>
      <c r="I1010" s="13">
        <f t="shared" ca="1" si="523"/>
        <v>0</v>
      </c>
      <c r="J1010" s="16"/>
      <c r="K1010" s="13">
        <f t="shared" ref="K1010:K1012" ca="1" si="524">OFFSET(K1010,-9,0)</f>
        <v>0</v>
      </c>
      <c r="L1010" s="15">
        <f t="shared" ca="1" si="518"/>
        <v>1</v>
      </c>
      <c r="M1010" s="15"/>
      <c r="N1010" s="15">
        <f t="shared" ca="1" si="517"/>
        <v>0</v>
      </c>
    </row>
    <row r="1011" spans="1:14" x14ac:dyDescent="0.4">
      <c r="A1011" s="11" t="s">
        <v>7</v>
      </c>
      <c r="B1011" s="40">
        <f t="shared" ca="1" si="523"/>
        <v>0</v>
      </c>
      <c r="C1011" s="40"/>
      <c r="D1011" s="40"/>
      <c r="E1011" s="40"/>
      <c r="F1011" s="13">
        <f t="shared" ca="1" si="523"/>
        <v>0</v>
      </c>
      <c r="G1011" s="17">
        <f t="shared" ca="1" si="523"/>
        <v>0</v>
      </c>
      <c r="H1011" s="17">
        <f t="shared" ca="1" si="523"/>
        <v>0</v>
      </c>
      <c r="I1011" s="13">
        <f t="shared" ca="1" si="523"/>
        <v>0</v>
      </c>
      <c r="J1011" s="16"/>
      <c r="K1011" s="13">
        <f t="shared" ca="1" si="524"/>
        <v>0</v>
      </c>
      <c r="L1011" s="15">
        <f t="shared" ca="1" si="518"/>
        <v>1</v>
      </c>
      <c r="M1011" s="15"/>
      <c r="N1011" s="15">
        <f t="shared" ca="1" si="517"/>
        <v>0</v>
      </c>
    </row>
    <row r="1012" spans="1:14" x14ac:dyDescent="0.4">
      <c r="A1012" s="11" t="s">
        <v>7</v>
      </c>
      <c r="B1012" s="40">
        <f t="shared" ca="1" si="523"/>
        <v>0</v>
      </c>
      <c r="C1012" s="40"/>
      <c r="D1012" s="40"/>
      <c r="E1012" s="40"/>
      <c r="F1012" s="13">
        <f t="shared" ca="1" si="523"/>
        <v>0</v>
      </c>
      <c r="G1012" s="17">
        <f t="shared" ca="1" si="523"/>
        <v>0</v>
      </c>
      <c r="H1012" s="17">
        <f t="shared" ca="1" si="523"/>
        <v>0</v>
      </c>
      <c r="I1012" s="13">
        <f t="shared" ca="1" si="523"/>
        <v>0</v>
      </c>
      <c r="J1012" s="16"/>
      <c r="K1012" s="13">
        <f t="shared" ca="1" si="524"/>
        <v>0</v>
      </c>
      <c r="L1012" s="15">
        <f t="shared" ca="1" si="518"/>
        <v>1</v>
      </c>
      <c r="M1012" s="15"/>
      <c r="N1012" s="15">
        <f t="shared" ca="1" si="517"/>
        <v>0</v>
      </c>
    </row>
    <row r="1013" spans="1:14" x14ac:dyDescent="0.4">
      <c r="A1013" s="11" t="s">
        <v>8</v>
      </c>
      <c r="B1013" s="40">
        <f t="shared" ref="B1013:I1015" ca="1" si="525">OFFSET(B1013,-12,0)</f>
        <v>0</v>
      </c>
      <c r="C1013" s="40"/>
      <c r="D1013" s="40"/>
      <c r="E1013" s="40"/>
      <c r="F1013" s="13">
        <f t="shared" ca="1" si="525"/>
        <v>0</v>
      </c>
      <c r="G1013" s="17">
        <f t="shared" ca="1" si="525"/>
        <v>0</v>
      </c>
      <c r="H1013" s="17">
        <f t="shared" ca="1" si="525"/>
        <v>0</v>
      </c>
      <c r="I1013" s="13">
        <f t="shared" ca="1" si="525"/>
        <v>0</v>
      </c>
      <c r="J1013" s="16"/>
      <c r="K1013" s="13">
        <f t="shared" ref="K1013:K1015" ca="1" si="526">OFFSET(K1013,-12,0)</f>
        <v>0</v>
      </c>
      <c r="L1013" s="15">
        <f t="shared" ca="1" si="518"/>
        <v>1</v>
      </c>
      <c r="M1013" s="15"/>
      <c r="N1013" s="15">
        <f t="shared" ca="1" si="517"/>
        <v>0</v>
      </c>
    </row>
    <row r="1014" spans="1:14" x14ac:dyDescent="0.4">
      <c r="A1014" s="11" t="s">
        <v>8</v>
      </c>
      <c r="B1014" s="40">
        <f t="shared" ca="1" si="525"/>
        <v>0</v>
      </c>
      <c r="C1014" s="40"/>
      <c r="D1014" s="40"/>
      <c r="E1014" s="40"/>
      <c r="F1014" s="13">
        <f t="shared" ca="1" si="525"/>
        <v>0</v>
      </c>
      <c r="G1014" s="17">
        <f t="shared" ca="1" si="525"/>
        <v>0</v>
      </c>
      <c r="H1014" s="17">
        <f t="shared" ca="1" si="525"/>
        <v>0</v>
      </c>
      <c r="I1014" s="13">
        <f t="shared" ca="1" si="525"/>
        <v>0</v>
      </c>
      <c r="J1014" s="16"/>
      <c r="K1014" s="13">
        <f t="shared" ca="1" si="526"/>
        <v>0</v>
      </c>
      <c r="L1014" s="15">
        <f t="shared" ca="1" si="518"/>
        <v>1</v>
      </c>
      <c r="M1014" s="15"/>
      <c r="N1014" s="15">
        <f t="shared" ca="1" si="517"/>
        <v>0</v>
      </c>
    </row>
    <row r="1015" spans="1:14" x14ac:dyDescent="0.4">
      <c r="A1015" s="11" t="s">
        <v>8</v>
      </c>
      <c r="B1015" s="40">
        <f t="shared" ca="1" si="525"/>
        <v>0</v>
      </c>
      <c r="C1015" s="40"/>
      <c r="D1015" s="40"/>
      <c r="E1015" s="40"/>
      <c r="F1015" s="13">
        <f t="shared" ca="1" si="525"/>
        <v>0</v>
      </c>
      <c r="G1015" s="17">
        <f t="shared" ca="1" si="525"/>
        <v>0</v>
      </c>
      <c r="H1015" s="17">
        <f t="shared" ca="1" si="525"/>
        <v>0</v>
      </c>
      <c r="I1015" s="13">
        <f t="shared" ca="1" si="525"/>
        <v>0</v>
      </c>
      <c r="J1015" s="16"/>
      <c r="K1015" s="13">
        <f t="shared" ca="1" si="526"/>
        <v>0</v>
      </c>
      <c r="L1015" s="15">
        <f t="shared" ca="1" si="518"/>
        <v>1</v>
      </c>
      <c r="M1015" s="15"/>
      <c r="N1015" s="15">
        <f t="shared" ca="1" si="517"/>
        <v>0</v>
      </c>
    </row>
    <row r="1016" spans="1:14" x14ac:dyDescent="0.4">
      <c r="A1016" s="11" t="s">
        <v>9</v>
      </c>
      <c r="B1016" s="41">
        <f t="shared" ref="B1016:I1018" ca="1" si="527">OFFSET(B1016,-15,0)</f>
        <v>0</v>
      </c>
      <c r="C1016" s="41"/>
      <c r="D1016" s="41"/>
      <c r="E1016" s="41"/>
      <c r="F1016" s="19">
        <f t="shared" ca="1" si="527"/>
        <v>0</v>
      </c>
      <c r="G1016" s="20">
        <f t="shared" ca="1" si="527"/>
        <v>0</v>
      </c>
      <c r="H1016" s="20">
        <f t="shared" ca="1" si="527"/>
        <v>0</v>
      </c>
      <c r="I1016" s="13">
        <f t="shared" ca="1" si="527"/>
        <v>0</v>
      </c>
      <c r="J1016" s="16"/>
      <c r="K1016" s="19">
        <f t="shared" ref="K1016:K1018" ca="1" si="528">OFFSET(K1016,-15,0)</f>
        <v>0</v>
      </c>
      <c r="L1016" s="15">
        <f t="shared" ca="1" si="518"/>
        <v>1</v>
      </c>
      <c r="M1016" s="15"/>
      <c r="N1016" s="15">
        <f t="shared" ca="1" si="517"/>
        <v>0</v>
      </c>
    </row>
    <row r="1017" spans="1:14" x14ac:dyDescent="0.4">
      <c r="A1017" s="11" t="s">
        <v>9</v>
      </c>
      <c r="B1017" s="41">
        <f t="shared" ca="1" si="527"/>
        <v>0</v>
      </c>
      <c r="C1017" s="41"/>
      <c r="D1017" s="41"/>
      <c r="E1017" s="41"/>
      <c r="F1017" s="19">
        <f t="shared" ca="1" si="527"/>
        <v>0</v>
      </c>
      <c r="G1017" s="20">
        <f t="shared" ca="1" si="527"/>
        <v>0</v>
      </c>
      <c r="H1017" s="20">
        <f t="shared" ca="1" si="527"/>
        <v>0</v>
      </c>
      <c r="I1017" s="13">
        <f t="shared" ca="1" si="527"/>
        <v>0</v>
      </c>
      <c r="J1017" s="16"/>
      <c r="K1017" s="19">
        <f t="shared" ca="1" si="528"/>
        <v>0</v>
      </c>
      <c r="L1017" s="15">
        <f t="shared" ca="1" si="518"/>
        <v>1</v>
      </c>
      <c r="M1017" s="15"/>
      <c r="N1017" s="15">
        <f t="shared" ca="1" si="517"/>
        <v>0</v>
      </c>
    </row>
    <row r="1018" spans="1:14" x14ac:dyDescent="0.4">
      <c r="A1018" s="11" t="s">
        <v>9</v>
      </c>
      <c r="B1018" s="41">
        <f t="shared" ca="1" si="527"/>
        <v>0</v>
      </c>
      <c r="C1018" s="41"/>
      <c r="D1018" s="41"/>
      <c r="E1018" s="41"/>
      <c r="F1018" s="19">
        <f t="shared" ca="1" si="527"/>
        <v>0</v>
      </c>
      <c r="G1018" s="20">
        <f t="shared" ca="1" si="527"/>
        <v>0</v>
      </c>
      <c r="H1018" s="20">
        <f t="shared" ca="1" si="527"/>
        <v>0</v>
      </c>
      <c r="I1018" s="13">
        <f t="shared" ca="1" si="527"/>
        <v>0</v>
      </c>
      <c r="J1018" s="16"/>
      <c r="K1018" s="19">
        <f t="shared" ca="1" si="528"/>
        <v>0</v>
      </c>
      <c r="L1018" s="15">
        <f t="shared" ca="1" si="518"/>
        <v>1</v>
      </c>
      <c r="M1018" s="15"/>
      <c r="N1018" s="15">
        <f t="shared" ca="1" si="517"/>
        <v>0</v>
      </c>
    </row>
    <row r="1019" spans="1:14" ht="17.399999999999999" x14ac:dyDescent="0.4">
      <c r="A1019" s="77" t="s">
        <v>27</v>
      </c>
      <c r="B1019" s="75"/>
      <c r="C1019" s="75"/>
      <c r="D1019" s="75"/>
      <c r="E1019" s="75"/>
      <c r="F1019" s="75"/>
      <c r="G1019" s="75"/>
      <c r="H1019" s="75"/>
      <c r="I1019" s="75"/>
      <c r="J1019" s="75"/>
      <c r="K1019" s="75"/>
      <c r="L1019" s="75"/>
      <c r="M1019" s="75"/>
      <c r="N1019" s="76"/>
    </row>
    <row r="1020" spans="1:14" x14ac:dyDescent="0.4">
      <c r="A1020" s="11" t="s">
        <v>5</v>
      </c>
      <c r="B1020" s="40"/>
      <c r="C1020" s="40"/>
      <c r="D1020" s="40"/>
      <c r="E1020" s="40"/>
      <c r="F1020" s="13"/>
      <c r="G1020" s="11"/>
      <c r="H1020" s="17"/>
      <c r="I1020" s="13"/>
      <c r="J1020" s="16"/>
      <c r="K1020" s="13"/>
      <c r="L1020" s="15">
        <f>ROUND((10^(K1020/10))/(10^(I1020/10)),3)</f>
        <v>1</v>
      </c>
      <c r="M1020" s="15"/>
      <c r="N1020" s="15">
        <f t="shared" ref="N1020:N1037" si="529">J1020*L1020</f>
        <v>0</v>
      </c>
    </row>
    <row r="1021" spans="1:14" x14ac:dyDescent="0.4">
      <c r="A1021" s="11" t="s">
        <v>5</v>
      </c>
      <c r="B1021" s="40"/>
      <c r="C1021" s="40"/>
      <c r="D1021" s="40"/>
      <c r="E1021" s="40"/>
      <c r="F1021" s="13"/>
      <c r="G1021" s="11"/>
      <c r="H1021" s="17"/>
      <c r="I1021" s="13"/>
      <c r="J1021" s="16"/>
      <c r="K1021" s="13"/>
      <c r="L1021" s="15">
        <f t="shared" ref="L1021:L1037" si="530">ROUND((10^(K1021/10))/(10^(I1021/10)),3)</f>
        <v>1</v>
      </c>
      <c r="M1021" s="15"/>
      <c r="N1021" s="15">
        <f t="shared" si="529"/>
        <v>0</v>
      </c>
    </row>
    <row r="1022" spans="1:14" x14ac:dyDescent="0.4">
      <c r="A1022" s="11" t="s">
        <v>5</v>
      </c>
      <c r="B1022" s="40"/>
      <c r="C1022" s="40"/>
      <c r="D1022" s="40"/>
      <c r="E1022" s="40"/>
      <c r="F1022" s="13"/>
      <c r="G1022" s="11"/>
      <c r="H1022" s="17"/>
      <c r="I1022" s="13"/>
      <c r="J1022" s="16"/>
      <c r="K1022" s="13"/>
      <c r="L1022" s="15">
        <f t="shared" si="530"/>
        <v>1</v>
      </c>
      <c r="M1022" s="15"/>
      <c r="N1022" s="15">
        <f t="shared" si="529"/>
        <v>0</v>
      </c>
    </row>
    <row r="1023" spans="1:14" x14ac:dyDescent="0.4">
      <c r="A1023" s="11" t="s">
        <v>6</v>
      </c>
      <c r="B1023" s="41">
        <f t="shared" ref="B1023:I1025" ca="1" si="531">OFFSET(B1023,-3,0)</f>
        <v>0</v>
      </c>
      <c r="C1023" s="41"/>
      <c r="D1023" s="41"/>
      <c r="E1023" s="41"/>
      <c r="F1023" s="19">
        <f t="shared" ca="1" si="531"/>
        <v>0</v>
      </c>
      <c r="G1023" s="20">
        <f t="shared" ca="1" si="531"/>
        <v>0</v>
      </c>
      <c r="H1023" s="20">
        <f t="shared" ca="1" si="531"/>
        <v>0</v>
      </c>
      <c r="I1023" s="13">
        <f t="shared" ca="1" si="531"/>
        <v>0</v>
      </c>
      <c r="J1023" s="16"/>
      <c r="K1023" s="19">
        <f t="shared" ref="K1023:K1025" ca="1" si="532">OFFSET(K1023,-3,0)</f>
        <v>0</v>
      </c>
      <c r="L1023" s="15">
        <f t="shared" ca="1" si="530"/>
        <v>1</v>
      </c>
      <c r="M1023" s="15"/>
      <c r="N1023" s="15">
        <f t="shared" ca="1" si="529"/>
        <v>0</v>
      </c>
    </row>
    <row r="1024" spans="1:14" x14ac:dyDescent="0.4">
      <c r="A1024" s="11" t="s">
        <v>6</v>
      </c>
      <c r="B1024" s="41">
        <f t="shared" ca="1" si="531"/>
        <v>0</v>
      </c>
      <c r="C1024" s="41"/>
      <c r="D1024" s="41"/>
      <c r="E1024" s="41"/>
      <c r="F1024" s="19">
        <f t="shared" ca="1" si="531"/>
        <v>0</v>
      </c>
      <c r="G1024" s="20">
        <f t="shared" ca="1" si="531"/>
        <v>0</v>
      </c>
      <c r="H1024" s="20">
        <f t="shared" ca="1" si="531"/>
        <v>0</v>
      </c>
      <c r="I1024" s="13">
        <f t="shared" ca="1" si="531"/>
        <v>0</v>
      </c>
      <c r="J1024" s="16"/>
      <c r="K1024" s="19">
        <f t="shared" ca="1" si="532"/>
        <v>0</v>
      </c>
      <c r="L1024" s="15">
        <f t="shared" ca="1" si="530"/>
        <v>1</v>
      </c>
      <c r="M1024" s="15"/>
      <c r="N1024" s="15">
        <f t="shared" ca="1" si="529"/>
        <v>0</v>
      </c>
    </row>
    <row r="1025" spans="1:14" x14ac:dyDescent="0.4">
      <c r="A1025" s="11" t="s">
        <v>6</v>
      </c>
      <c r="B1025" s="41">
        <f t="shared" ca="1" si="531"/>
        <v>0</v>
      </c>
      <c r="C1025" s="41"/>
      <c r="D1025" s="41"/>
      <c r="E1025" s="41"/>
      <c r="F1025" s="19">
        <f t="shared" ca="1" si="531"/>
        <v>0</v>
      </c>
      <c r="G1025" s="20">
        <f t="shared" ca="1" si="531"/>
        <v>0</v>
      </c>
      <c r="H1025" s="20">
        <f t="shared" ca="1" si="531"/>
        <v>0</v>
      </c>
      <c r="I1025" s="13">
        <f t="shared" ca="1" si="531"/>
        <v>0</v>
      </c>
      <c r="J1025" s="16"/>
      <c r="K1025" s="19">
        <f t="shared" ca="1" si="532"/>
        <v>0</v>
      </c>
      <c r="L1025" s="15">
        <f t="shared" ca="1" si="530"/>
        <v>1</v>
      </c>
      <c r="M1025" s="15"/>
      <c r="N1025" s="15">
        <f t="shared" ca="1" si="529"/>
        <v>0</v>
      </c>
    </row>
    <row r="1026" spans="1:14" x14ac:dyDescent="0.4">
      <c r="A1026" s="11" t="s">
        <v>57</v>
      </c>
      <c r="B1026" s="40">
        <f t="shared" ref="B1026:I1028" ca="1" si="533">OFFSET(B1026,-6,0)</f>
        <v>0</v>
      </c>
      <c r="C1026" s="40"/>
      <c r="D1026" s="40"/>
      <c r="E1026" s="40"/>
      <c r="F1026" s="13">
        <f t="shared" ca="1" si="533"/>
        <v>0</v>
      </c>
      <c r="G1026" s="17">
        <f t="shared" ca="1" si="533"/>
        <v>0</v>
      </c>
      <c r="H1026" s="17">
        <f t="shared" ca="1" si="533"/>
        <v>0</v>
      </c>
      <c r="I1026" s="13">
        <f t="shared" ca="1" si="533"/>
        <v>0</v>
      </c>
      <c r="J1026" s="16"/>
      <c r="K1026" s="13">
        <f t="shared" ref="K1026:K1028" ca="1" si="534">OFFSET(K1026,-6,0)</f>
        <v>0</v>
      </c>
      <c r="L1026" s="15">
        <f t="shared" ca="1" si="530"/>
        <v>1</v>
      </c>
      <c r="M1026" s="15"/>
      <c r="N1026" s="15">
        <f t="shared" ca="1" si="529"/>
        <v>0</v>
      </c>
    </row>
    <row r="1027" spans="1:14" x14ac:dyDescent="0.4">
      <c r="A1027" s="11" t="s">
        <v>57</v>
      </c>
      <c r="B1027" s="40">
        <f t="shared" ca="1" si="533"/>
        <v>0</v>
      </c>
      <c r="C1027" s="40"/>
      <c r="D1027" s="40"/>
      <c r="E1027" s="40"/>
      <c r="F1027" s="13">
        <f t="shared" ca="1" si="533"/>
        <v>0</v>
      </c>
      <c r="G1027" s="17">
        <f t="shared" ca="1" si="533"/>
        <v>0</v>
      </c>
      <c r="H1027" s="17">
        <f t="shared" ca="1" si="533"/>
        <v>0</v>
      </c>
      <c r="I1027" s="13">
        <f t="shared" ca="1" si="533"/>
        <v>0</v>
      </c>
      <c r="J1027" s="16"/>
      <c r="K1027" s="13">
        <f t="shared" ca="1" si="534"/>
        <v>0</v>
      </c>
      <c r="L1027" s="15">
        <f t="shared" ca="1" si="530"/>
        <v>1</v>
      </c>
      <c r="M1027" s="15"/>
      <c r="N1027" s="15">
        <f t="shared" ca="1" si="529"/>
        <v>0</v>
      </c>
    </row>
    <row r="1028" spans="1:14" x14ac:dyDescent="0.4">
      <c r="A1028" s="11" t="s">
        <v>57</v>
      </c>
      <c r="B1028" s="40">
        <f t="shared" ca="1" si="533"/>
        <v>0</v>
      </c>
      <c r="C1028" s="40"/>
      <c r="D1028" s="40"/>
      <c r="E1028" s="40"/>
      <c r="F1028" s="13">
        <f t="shared" ca="1" si="533"/>
        <v>0</v>
      </c>
      <c r="G1028" s="17">
        <f t="shared" ca="1" si="533"/>
        <v>0</v>
      </c>
      <c r="H1028" s="17">
        <f t="shared" ca="1" si="533"/>
        <v>0</v>
      </c>
      <c r="I1028" s="13">
        <f t="shared" ca="1" si="533"/>
        <v>0</v>
      </c>
      <c r="J1028" s="16"/>
      <c r="K1028" s="13">
        <f t="shared" ca="1" si="534"/>
        <v>0</v>
      </c>
      <c r="L1028" s="15">
        <f t="shared" ca="1" si="530"/>
        <v>1</v>
      </c>
      <c r="M1028" s="15"/>
      <c r="N1028" s="15">
        <f t="shared" ca="1" si="529"/>
        <v>0</v>
      </c>
    </row>
    <row r="1029" spans="1:14" x14ac:dyDescent="0.4">
      <c r="A1029" s="11" t="s">
        <v>7</v>
      </c>
      <c r="B1029" s="40">
        <f t="shared" ref="B1029:I1031" ca="1" si="535">OFFSET(B1029,-9,0)</f>
        <v>0</v>
      </c>
      <c r="C1029" s="40"/>
      <c r="D1029" s="40"/>
      <c r="E1029" s="40"/>
      <c r="F1029" s="13">
        <f t="shared" ca="1" si="535"/>
        <v>0</v>
      </c>
      <c r="G1029" s="17">
        <f t="shared" ca="1" si="535"/>
        <v>0</v>
      </c>
      <c r="H1029" s="17">
        <f t="shared" ca="1" si="535"/>
        <v>0</v>
      </c>
      <c r="I1029" s="13">
        <f t="shared" ca="1" si="535"/>
        <v>0</v>
      </c>
      <c r="J1029" s="16"/>
      <c r="K1029" s="13">
        <f t="shared" ref="K1029:K1031" ca="1" si="536">OFFSET(K1029,-9,0)</f>
        <v>0</v>
      </c>
      <c r="L1029" s="15">
        <f t="shared" ca="1" si="530"/>
        <v>1</v>
      </c>
      <c r="M1029" s="15"/>
      <c r="N1029" s="15">
        <f t="shared" ca="1" si="529"/>
        <v>0</v>
      </c>
    </row>
    <row r="1030" spans="1:14" x14ac:dyDescent="0.4">
      <c r="A1030" s="11" t="s">
        <v>7</v>
      </c>
      <c r="B1030" s="40">
        <f t="shared" ca="1" si="535"/>
        <v>0</v>
      </c>
      <c r="C1030" s="40"/>
      <c r="D1030" s="40"/>
      <c r="E1030" s="40"/>
      <c r="F1030" s="13">
        <f t="shared" ca="1" si="535"/>
        <v>0</v>
      </c>
      <c r="G1030" s="17">
        <f t="shared" ca="1" si="535"/>
        <v>0</v>
      </c>
      <c r="H1030" s="17">
        <f t="shared" ca="1" si="535"/>
        <v>0</v>
      </c>
      <c r="I1030" s="13">
        <f t="shared" ca="1" si="535"/>
        <v>0</v>
      </c>
      <c r="J1030" s="16"/>
      <c r="K1030" s="13">
        <f t="shared" ca="1" si="536"/>
        <v>0</v>
      </c>
      <c r="L1030" s="15">
        <f t="shared" ca="1" si="530"/>
        <v>1</v>
      </c>
      <c r="M1030" s="15"/>
      <c r="N1030" s="15">
        <f t="shared" ca="1" si="529"/>
        <v>0</v>
      </c>
    </row>
    <row r="1031" spans="1:14" x14ac:dyDescent="0.4">
      <c r="A1031" s="11" t="s">
        <v>7</v>
      </c>
      <c r="B1031" s="40">
        <f t="shared" ca="1" si="535"/>
        <v>0</v>
      </c>
      <c r="C1031" s="40"/>
      <c r="D1031" s="40"/>
      <c r="E1031" s="40"/>
      <c r="F1031" s="13">
        <f t="shared" ca="1" si="535"/>
        <v>0</v>
      </c>
      <c r="G1031" s="17">
        <f t="shared" ca="1" si="535"/>
        <v>0</v>
      </c>
      <c r="H1031" s="17">
        <f t="shared" ca="1" si="535"/>
        <v>0</v>
      </c>
      <c r="I1031" s="13">
        <f t="shared" ca="1" si="535"/>
        <v>0</v>
      </c>
      <c r="J1031" s="16"/>
      <c r="K1031" s="13">
        <f t="shared" ca="1" si="536"/>
        <v>0</v>
      </c>
      <c r="L1031" s="15">
        <f t="shared" ca="1" si="530"/>
        <v>1</v>
      </c>
      <c r="M1031" s="15"/>
      <c r="N1031" s="15">
        <f t="shared" ca="1" si="529"/>
        <v>0</v>
      </c>
    </row>
    <row r="1032" spans="1:14" x14ac:dyDescent="0.4">
      <c r="A1032" s="11" t="s">
        <v>8</v>
      </c>
      <c r="B1032" s="40">
        <f t="shared" ref="B1032:I1034" ca="1" si="537">OFFSET(B1032,-12,0)</f>
        <v>0</v>
      </c>
      <c r="C1032" s="40"/>
      <c r="D1032" s="40"/>
      <c r="E1032" s="40"/>
      <c r="F1032" s="13">
        <f t="shared" ca="1" si="537"/>
        <v>0</v>
      </c>
      <c r="G1032" s="17">
        <f t="shared" ca="1" si="537"/>
        <v>0</v>
      </c>
      <c r="H1032" s="17">
        <f t="shared" ca="1" si="537"/>
        <v>0</v>
      </c>
      <c r="I1032" s="13">
        <f t="shared" ca="1" si="537"/>
        <v>0</v>
      </c>
      <c r="J1032" s="16"/>
      <c r="K1032" s="13">
        <f t="shared" ref="K1032:K1034" ca="1" si="538">OFFSET(K1032,-12,0)</f>
        <v>0</v>
      </c>
      <c r="L1032" s="15">
        <f t="shared" ca="1" si="530"/>
        <v>1</v>
      </c>
      <c r="M1032" s="15"/>
      <c r="N1032" s="15">
        <f t="shared" ca="1" si="529"/>
        <v>0</v>
      </c>
    </row>
    <row r="1033" spans="1:14" x14ac:dyDescent="0.4">
      <c r="A1033" s="11" t="s">
        <v>8</v>
      </c>
      <c r="B1033" s="40">
        <f t="shared" ca="1" si="537"/>
        <v>0</v>
      </c>
      <c r="C1033" s="40"/>
      <c r="D1033" s="40"/>
      <c r="E1033" s="40"/>
      <c r="F1033" s="13">
        <f t="shared" ca="1" si="537"/>
        <v>0</v>
      </c>
      <c r="G1033" s="17">
        <f t="shared" ca="1" si="537"/>
        <v>0</v>
      </c>
      <c r="H1033" s="17">
        <f t="shared" ca="1" si="537"/>
        <v>0</v>
      </c>
      <c r="I1033" s="13">
        <f t="shared" ca="1" si="537"/>
        <v>0</v>
      </c>
      <c r="J1033" s="16"/>
      <c r="K1033" s="13">
        <f t="shared" ca="1" si="538"/>
        <v>0</v>
      </c>
      <c r="L1033" s="15">
        <f t="shared" ca="1" si="530"/>
        <v>1</v>
      </c>
      <c r="M1033" s="15"/>
      <c r="N1033" s="15">
        <f t="shared" ca="1" si="529"/>
        <v>0</v>
      </c>
    </row>
    <row r="1034" spans="1:14" x14ac:dyDescent="0.4">
      <c r="A1034" s="11" t="s">
        <v>8</v>
      </c>
      <c r="B1034" s="40">
        <f t="shared" ca="1" si="537"/>
        <v>0</v>
      </c>
      <c r="C1034" s="40"/>
      <c r="D1034" s="40"/>
      <c r="E1034" s="40"/>
      <c r="F1034" s="13">
        <f t="shared" ca="1" si="537"/>
        <v>0</v>
      </c>
      <c r="G1034" s="17">
        <f t="shared" ca="1" si="537"/>
        <v>0</v>
      </c>
      <c r="H1034" s="17">
        <f t="shared" ca="1" si="537"/>
        <v>0</v>
      </c>
      <c r="I1034" s="13">
        <f t="shared" ca="1" si="537"/>
        <v>0</v>
      </c>
      <c r="J1034" s="16"/>
      <c r="K1034" s="13">
        <f t="shared" ca="1" si="538"/>
        <v>0</v>
      </c>
      <c r="L1034" s="15">
        <f t="shared" ca="1" si="530"/>
        <v>1</v>
      </c>
      <c r="M1034" s="15"/>
      <c r="N1034" s="15">
        <f t="shared" ca="1" si="529"/>
        <v>0</v>
      </c>
    </row>
    <row r="1035" spans="1:14" x14ac:dyDescent="0.4">
      <c r="A1035" s="11" t="s">
        <v>9</v>
      </c>
      <c r="B1035" s="41">
        <f t="shared" ref="B1035:I1037" ca="1" si="539">OFFSET(B1035,-15,0)</f>
        <v>0</v>
      </c>
      <c r="C1035" s="41"/>
      <c r="D1035" s="41"/>
      <c r="E1035" s="41"/>
      <c r="F1035" s="19">
        <f t="shared" ca="1" si="539"/>
        <v>0</v>
      </c>
      <c r="G1035" s="20">
        <f t="shared" ca="1" si="539"/>
        <v>0</v>
      </c>
      <c r="H1035" s="20">
        <f t="shared" ca="1" si="539"/>
        <v>0</v>
      </c>
      <c r="I1035" s="13">
        <f t="shared" ca="1" si="539"/>
        <v>0</v>
      </c>
      <c r="J1035" s="16"/>
      <c r="K1035" s="19">
        <f t="shared" ref="K1035:K1037" ca="1" si="540">OFFSET(K1035,-15,0)</f>
        <v>0</v>
      </c>
      <c r="L1035" s="15">
        <f t="shared" ca="1" si="530"/>
        <v>1</v>
      </c>
      <c r="M1035" s="15"/>
      <c r="N1035" s="15">
        <f t="shared" ca="1" si="529"/>
        <v>0</v>
      </c>
    </row>
    <row r="1036" spans="1:14" x14ac:dyDescent="0.4">
      <c r="A1036" s="11" t="s">
        <v>9</v>
      </c>
      <c r="B1036" s="41">
        <f t="shared" ca="1" si="539"/>
        <v>0</v>
      </c>
      <c r="C1036" s="41"/>
      <c r="D1036" s="41"/>
      <c r="E1036" s="41"/>
      <c r="F1036" s="19">
        <f t="shared" ca="1" si="539"/>
        <v>0</v>
      </c>
      <c r="G1036" s="20">
        <f t="shared" ca="1" si="539"/>
        <v>0</v>
      </c>
      <c r="H1036" s="20">
        <f t="shared" ca="1" si="539"/>
        <v>0</v>
      </c>
      <c r="I1036" s="13">
        <f t="shared" ca="1" si="539"/>
        <v>0</v>
      </c>
      <c r="J1036" s="16"/>
      <c r="K1036" s="19">
        <f t="shared" ca="1" si="540"/>
        <v>0</v>
      </c>
      <c r="L1036" s="15">
        <f t="shared" ca="1" si="530"/>
        <v>1</v>
      </c>
      <c r="M1036" s="15"/>
      <c r="N1036" s="15">
        <f t="shared" ca="1" si="529"/>
        <v>0</v>
      </c>
    </row>
    <row r="1037" spans="1:14" x14ac:dyDescent="0.4">
      <c r="A1037" s="11" t="s">
        <v>9</v>
      </c>
      <c r="B1037" s="41">
        <f t="shared" ca="1" si="539"/>
        <v>0</v>
      </c>
      <c r="C1037" s="41"/>
      <c r="D1037" s="41"/>
      <c r="E1037" s="41"/>
      <c r="F1037" s="19">
        <f t="shared" ca="1" si="539"/>
        <v>0</v>
      </c>
      <c r="G1037" s="20">
        <f t="shared" ca="1" si="539"/>
        <v>0</v>
      </c>
      <c r="H1037" s="20">
        <f t="shared" ca="1" si="539"/>
        <v>0</v>
      </c>
      <c r="I1037" s="13">
        <f t="shared" ca="1" si="539"/>
        <v>0</v>
      </c>
      <c r="J1037" s="16"/>
      <c r="K1037" s="19">
        <f t="shared" ca="1" si="540"/>
        <v>0</v>
      </c>
      <c r="L1037" s="15">
        <f t="shared" ca="1" si="530"/>
        <v>1</v>
      </c>
      <c r="M1037" s="15"/>
      <c r="N1037" s="15">
        <f t="shared" ca="1" si="529"/>
        <v>0</v>
      </c>
    </row>
    <row r="1038" spans="1:14" ht="17.399999999999999" x14ac:dyDescent="0.4">
      <c r="A1038" s="77" t="s">
        <v>31</v>
      </c>
      <c r="B1038" s="75"/>
      <c r="C1038" s="75"/>
      <c r="D1038" s="75"/>
      <c r="E1038" s="75"/>
      <c r="F1038" s="75"/>
      <c r="G1038" s="75"/>
      <c r="H1038" s="75"/>
      <c r="I1038" s="75"/>
      <c r="J1038" s="75"/>
      <c r="K1038" s="75"/>
      <c r="L1038" s="75"/>
      <c r="M1038" s="75"/>
      <c r="N1038" s="76"/>
    </row>
    <row r="1039" spans="1:14" x14ac:dyDescent="0.4">
      <c r="A1039" s="11" t="s">
        <v>5</v>
      </c>
      <c r="B1039" s="40"/>
      <c r="C1039" s="40"/>
      <c r="D1039" s="40"/>
      <c r="E1039" s="40"/>
      <c r="F1039" s="13"/>
      <c r="G1039" s="11"/>
      <c r="H1039" s="17"/>
      <c r="I1039" s="13"/>
      <c r="J1039" s="16"/>
      <c r="K1039" s="13"/>
      <c r="L1039" s="15">
        <f>ROUND((10^(K1039/10))/(10^(I1039/10)),3)</f>
        <v>1</v>
      </c>
      <c r="M1039" s="15"/>
      <c r="N1039" s="15">
        <f t="shared" ref="N1039:N1056" si="541">J1039*L1039</f>
        <v>0</v>
      </c>
    </row>
    <row r="1040" spans="1:14" x14ac:dyDescent="0.4">
      <c r="A1040" s="11" t="s">
        <v>5</v>
      </c>
      <c r="B1040" s="40"/>
      <c r="C1040" s="40"/>
      <c r="D1040" s="40"/>
      <c r="E1040" s="40"/>
      <c r="F1040" s="13"/>
      <c r="G1040" s="11"/>
      <c r="H1040" s="17"/>
      <c r="I1040" s="13"/>
      <c r="J1040" s="16"/>
      <c r="K1040" s="13"/>
      <c r="L1040" s="15">
        <f t="shared" ref="L1040:L1056" si="542">ROUND((10^(K1040/10))/(10^(I1040/10)),3)</f>
        <v>1</v>
      </c>
      <c r="M1040" s="15"/>
      <c r="N1040" s="15">
        <f t="shared" si="541"/>
        <v>0</v>
      </c>
    </row>
    <row r="1041" spans="1:14" x14ac:dyDescent="0.4">
      <c r="A1041" s="11" t="s">
        <v>5</v>
      </c>
      <c r="B1041" s="40"/>
      <c r="C1041" s="40"/>
      <c r="D1041" s="40"/>
      <c r="E1041" s="40"/>
      <c r="F1041" s="13"/>
      <c r="G1041" s="11"/>
      <c r="H1041" s="17"/>
      <c r="I1041" s="13"/>
      <c r="J1041" s="16"/>
      <c r="K1041" s="13"/>
      <c r="L1041" s="15">
        <f t="shared" si="542"/>
        <v>1</v>
      </c>
      <c r="M1041" s="15"/>
      <c r="N1041" s="15">
        <f t="shared" si="541"/>
        <v>0</v>
      </c>
    </row>
    <row r="1042" spans="1:14" x14ac:dyDescent="0.4">
      <c r="A1042" s="11" t="s">
        <v>6</v>
      </c>
      <c r="B1042" s="41">
        <f t="shared" ref="B1042:I1044" ca="1" si="543">OFFSET(B1042,-3,0)</f>
        <v>0</v>
      </c>
      <c r="C1042" s="41"/>
      <c r="D1042" s="41"/>
      <c r="E1042" s="41"/>
      <c r="F1042" s="19">
        <f t="shared" ca="1" si="543"/>
        <v>0</v>
      </c>
      <c r="G1042" s="20">
        <f t="shared" ca="1" si="543"/>
        <v>0</v>
      </c>
      <c r="H1042" s="20">
        <f t="shared" ca="1" si="543"/>
        <v>0</v>
      </c>
      <c r="I1042" s="13">
        <f t="shared" ca="1" si="543"/>
        <v>0</v>
      </c>
      <c r="J1042" s="16"/>
      <c r="K1042" s="19">
        <f t="shared" ref="K1042:K1044" ca="1" si="544">OFFSET(K1042,-3,0)</f>
        <v>0</v>
      </c>
      <c r="L1042" s="15">
        <f t="shared" ca="1" si="542"/>
        <v>1</v>
      </c>
      <c r="M1042" s="15"/>
      <c r="N1042" s="15">
        <f t="shared" ca="1" si="541"/>
        <v>0</v>
      </c>
    </row>
    <row r="1043" spans="1:14" x14ac:dyDescent="0.4">
      <c r="A1043" s="11" t="s">
        <v>6</v>
      </c>
      <c r="B1043" s="41">
        <f t="shared" ca="1" si="543"/>
        <v>0</v>
      </c>
      <c r="C1043" s="41"/>
      <c r="D1043" s="41"/>
      <c r="E1043" s="41"/>
      <c r="F1043" s="19">
        <f t="shared" ca="1" si="543"/>
        <v>0</v>
      </c>
      <c r="G1043" s="20">
        <f t="shared" ca="1" si="543"/>
        <v>0</v>
      </c>
      <c r="H1043" s="20">
        <f t="shared" ca="1" si="543"/>
        <v>0</v>
      </c>
      <c r="I1043" s="13">
        <f t="shared" ca="1" si="543"/>
        <v>0</v>
      </c>
      <c r="J1043" s="16"/>
      <c r="K1043" s="19">
        <f t="shared" ca="1" si="544"/>
        <v>0</v>
      </c>
      <c r="L1043" s="15">
        <f t="shared" ca="1" si="542"/>
        <v>1</v>
      </c>
      <c r="M1043" s="15"/>
      <c r="N1043" s="15">
        <f t="shared" ca="1" si="541"/>
        <v>0</v>
      </c>
    </row>
    <row r="1044" spans="1:14" x14ac:dyDescent="0.4">
      <c r="A1044" s="11" t="s">
        <v>6</v>
      </c>
      <c r="B1044" s="41">
        <f t="shared" ca="1" si="543"/>
        <v>0</v>
      </c>
      <c r="C1044" s="41"/>
      <c r="D1044" s="41"/>
      <c r="E1044" s="41"/>
      <c r="F1044" s="19">
        <f t="shared" ca="1" si="543"/>
        <v>0</v>
      </c>
      <c r="G1044" s="20">
        <f t="shared" ca="1" si="543"/>
        <v>0</v>
      </c>
      <c r="H1044" s="20">
        <f t="shared" ca="1" si="543"/>
        <v>0</v>
      </c>
      <c r="I1044" s="13">
        <f t="shared" ca="1" si="543"/>
        <v>0</v>
      </c>
      <c r="J1044" s="16"/>
      <c r="K1044" s="19">
        <f t="shared" ca="1" si="544"/>
        <v>0</v>
      </c>
      <c r="L1044" s="15">
        <f t="shared" ca="1" si="542"/>
        <v>1</v>
      </c>
      <c r="M1044" s="15"/>
      <c r="N1044" s="15">
        <f t="shared" ca="1" si="541"/>
        <v>0</v>
      </c>
    </row>
    <row r="1045" spans="1:14" x14ac:dyDescent="0.4">
      <c r="A1045" s="11" t="s">
        <v>10</v>
      </c>
      <c r="B1045" s="40">
        <f t="shared" ref="B1045:I1047" ca="1" si="545">OFFSET(B1045,-6,0)</f>
        <v>0</v>
      </c>
      <c r="C1045" s="40"/>
      <c r="D1045" s="40"/>
      <c r="E1045" s="40"/>
      <c r="F1045" s="13">
        <f t="shared" ca="1" si="545"/>
        <v>0</v>
      </c>
      <c r="G1045" s="17">
        <f t="shared" ca="1" si="545"/>
        <v>0</v>
      </c>
      <c r="H1045" s="17">
        <f t="shared" ca="1" si="545"/>
        <v>0</v>
      </c>
      <c r="I1045" s="13">
        <f t="shared" ca="1" si="545"/>
        <v>0</v>
      </c>
      <c r="J1045" s="16"/>
      <c r="K1045" s="13">
        <f t="shared" ref="K1045:K1047" ca="1" si="546">OFFSET(K1045,-6,0)</f>
        <v>0</v>
      </c>
      <c r="L1045" s="15">
        <f t="shared" ca="1" si="542"/>
        <v>1</v>
      </c>
      <c r="M1045" s="15"/>
      <c r="N1045" s="15">
        <f t="shared" ca="1" si="541"/>
        <v>0</v>
      </c>
    </row>
    <row r="1046" spans="1:14" x14ac:dyDescent="0.4">
      <c r="A1046" s="11" t="s">
        <v>10</v>
      </c>
      <c r="B1046" s="40">
        <f t="shared" ca="1" si="545"/>
        <v>0</v>
      </c>
      <c r="C1046" s="40"/>
      <c r="D1046" s="40"/>
      <c r="E1046" s="40"/>
      <c r="F1046" s="13">
        <f t="shared" ca="1" si="545"/>
        <v>0</v>
      </c>
      <c r="G1046" s="17">
        <f t="shared" ca="1" si="545"/>
        <v>0</v>
      </c>
      <c r="H1046" s="17">
        <f t="shared" ca="1" si="545"/>
        <v>0</v>
      </c>
      <c r="I1046" s="13">
        <f t="shared" ca="1" si="545"/>
        <v>0</v>
      </c>
      <c r="J1046" s="16"/>
      <c r="K1046" s="13">
        <f t="shared" ca="1" si="546"/>
        <v>0</v>
      </c>
      <c r="L1046" s="15">
        <f t="shared" ca="1" si="542"/>
        <v>1</v>
      </c>
      <c r="M1046" s="15"/>
      <c r="N1046" s="15">
        <f t="shared" ca="1" si="541"/>
        <v>0</v>
      </c>
    </row>
    <row r="1047" spans="1:14" x14ac:dyDescent="0.4">
      <c r="A1047" s="11" t="s">
        <v>10</v>
      </c>
      <c r="B1047" s="40">
        <f t="shared" ca="1" si="545"/>
        <v>0</v>
      </c>
      <c r="C1047" s="40"/>
      <c r="D1047" s="40"/>
      <c r="E1047" s="40"/>
      <c r="F1047" s="13">
        <f t="shared" ca="1" si="545"/>
        <v>0</v>
      </c>
      <c r="G1047" s="17">
        <f t="shared" ca="1" si="545"/>
        <v>0</v>
      </c>
      <c r="H1047" s="17">
        <f t="shared" ca="1" si="545"/>
        <v>0</v>
      </c>
      <c r="I1047" s="13">
        <f t="shared" ca="1" si="545"/>
        <v>0</v>
      </c>
      <c r="J1047" s="16"/>
      <c r="K1047" s="13">
        <f t="shared" ca="1" si="546"/>
        <v>0</v>
      </c>
      <c r="L1047" s="15">
        <f t="shared" ca="1" si="542"/>
        <v>1</v>
      </c>
      <c r="M1047" s="15"/>
      <c r="N1047" s="15">
        <f t="shared" ca="1" si="541"/>
        <v>0</v>
      </c>
    </row>
    <row r="1048" spans="1:14" x14ac:dyDescent="0.4">
      <c r="A1048" s="11" t="s">
        <v>7</v>
      </c>
      <c r="B1048" s="40">
        <f t="shared" ref="B1048:I1050" ca="1" si="547">OFFSET(B1048,-9,0)</f>
        <v>0</v>
      </c>
      <c r="C1048" s="40"/>
      <c r="D1048" s="40"/>
      <c r="E1048" s="40"/>
      <c r="F1048" s="13">
        <f t="shared" ca="1" si="547"/>
        <v>0</v>
      </c>
      <c r="G1048" s="17">
        <f t="shared" ca="1" si="547"/>
        <v>0</v>
      </c>
      <c r="H1048" s="17">
        <f t="shared" ca="1" si="547"/>
        <v>0</v>
      </c>
      <c r="I1048" s="13">
        <f t="shared" ca="1" si="547"/>
        <v>0</v>
      </c>
      <c r="J1048" s="16"/>
      <c r="K1048" s="13">
        <f t="shared" ref="K1048:K1050" ca="1" si="548">OFFSET(K1048,-9,0)</f>
        <v>0</v>
      </c>
      <c r="L1048" s="15">
        <f t="shared" ca="1" si="542"/>
        <v>1</v>
      </c>
      <c r="M1048" s="15"/>
      <c r="N1048" s="15">
        <f t="shared" ca="1" si="541"/>
        <v>0</v>
      </c>
    </row>
    <row r="1049" spans="1:14" x14ac:dyDescent="0.4">
      <c r="A1049" s="11" t="s">
        <v>7</v>
      </c>
      <c r="B1049" s="40">
        <f t="shared" ca="1" si="547"/>
        <v>0</v>
      </c>
      <c r="C1049" s="40"/>
      <c r="D1049" s="40"/>
      <c r="E1049" s="40"/>
      <c r="F1049" s="13">
        <f t="shared" ca="1" si="547"/>
        <v>0</v>
      </c>
      <c r="G1049" s="17">
        <f t="shared" ca="1" si="547"/>
        <v>0</v>
      </c>
      <c r="H1049" s="17">
        <f t="shared" ca="1" si="547"/>
        <v>0</v>
      </c>
      <c r="I1049" s="13">
        <f t="shared" ca="1" si="547"/>
        <v>0</v>
      </c>
      <c r="J1049" s="16"/>
      <c r="K1049" s="13">
        <f t="shared" ca="1" si="548"/>
        <v>0</v>
      </c>
      <c r="L1049" s="15">
        <f t="shared" ca="1" si="542"/>
        <v>1</v>
      </c>
      <c r="M1049" s="15"/>
      <c r="N1049" s="15">
        <f t="shared" ca="1" si="541"/>
        <v>0</v>
      </c>
    </row>
    <row r="1050" spans="1:14" x14ac:dyDescent="0.4">
      <c r="A1050" s="11" t="s">
        <v>7</v>
      </c>
      <c r="B1050" s="40">
        <f t="shared" ca="1" si="547"/>
        <v>0</v>
      </c>
      <c r="C1050" s="40"/>
      <c r="D1050" s="40"/>
      <c r="E1050" s="40"/>
      <c r="F1050" s="13">
        <f t="shared" ca="1" si="547"/>
        <v>0</v>
      </c>
      <c r="G1050" s="17">
        <f t="shared" ca="1" si="547"/>
        <v>0</v>
      </c>
      <c r="H1050" s="17">
        <f t="shared" ca="1" si="547"/>
        <v>0</v>
      </c>
      <c r="I1050" s="13">
        <f t="shared" ca="1" si="547"/>
        <v>0</v>
      </c>
      <c r="J1050" s="16"/>
      <c r="K1050" s="13">
        <f t="shared" ca="1" si="548"/>
        <v>0</v>
      </c>
      <c r="L1050" s="15">
        <f t="shared" ca="1" si="542"/>
        <v>1</v>
      </c>
      <c r="M1050" s="15"/>
      <c r="N1050" s="15">
        <f t="shared" ca="1" si="541"/>
        <v>0</v>
      </c>
    </row>
    <row r="1051" spans="1:14" x14ac:dyDescent="0.4">
      <c r="A1051" s="11" t="s">
        <v>8</v>
      </c>
      <c r="B1051" s="40">
        <f t="shared" ref="B1051:I1053" ca="1" si="549">OFFSET(B1051,-12,0)</f>
        <v>0</v>
      </c>
      <c r="C1051" s="40"/>
      <c r="D1051" s="40"/>
      <c r="E1051" s="40"/>
      <c r="F1051" s="13">
        <f t="shared" ca="1" si="549"/>
        <v>0</v>
      </c>
      <c r="G1051" s="17">
        <f t="shared" ca="1" si="549"/>
        <v>0</v>
      </c>
      <c r="H1051" s="17">
        <f t="shared" ca="1" si="549"/>
        <v>0</v>
      </c>
      <c r="I1051" s="13">
        <f t="shared" ca="1" si="549"/>
        <v>0</v>
      </c>
      <c r="J1051" s="16"/>
      <c r="K1051" s="13">
        <f t="shared" ref="K1051:K1053" ca="1" si="550">OFFSET(K1051,-12,0)</f>
        <v>0</v>
      </c>
      <c r="L1051" s="15">
        <f t="shared" ca="1" si="542"/>
        <v>1</v>
      </c>
      <c r="M1051" s="15"/>
      <c r="N1051" s="15">
        <f t="shared" ca="1" si="541"/>
        <v>0</v>
      </c>
    </row>
    <row r="1052" spans="1:14" x14ac:dyDescent="0.4">
      <c r="A1052" s="11" t="s">
        <v>8</v>
      </c>
      <c r="B1052" s="40">
        <f t="shared" ca="1" si="549"/>
        <v>0</v>
      </c>
      <c r="C1052" s="40"/>
      <c r="D1052" s="40"/>
      <c r="E1052" s="40"/>
      <c r="F1052" s="13">
        <f t="shared" ca="1" si="549"/>
        <v>0</v>
      </c>
      <c r="G1052" s="17">
        <f t="shared" ca="1" si="549"/>
        <v>0</v>
      </c>
      <c r="H1052" s="17">
        <f t="shared" ca="1" si="549"/>
        <v>0</v>
      </c>
      <c r="I1052" s="13">
        <f t="shared" ca="1" si="549"/>
        <v>0</v>
      </c>
      <c r="J1052" s="16"/>
      <c r="K1052" s="13">
        <f t="shared" ca="1" si="550"/>
        <v>0</v>
      </c>
      <c r="L1052" s="15">
        <f t="shared" ca="1" si="542"/>
        <v>1</v>
      </c>
      <c r="M1052" s="15"/>
      <c r="N1052" s="15">
        <f t="shared" ca="1" si="541"/>
        <v>0</v>
      </c>
    </row>
    <row r="1053" spans="1:14" x14ac:dyDescent="0.4">
      <c r="A1053" s="11" t="s">
        <v>8</v>
      </c>
      <c r="B1053" s="40">
        <f t="shared" ca="1" si="549"/>
        <v>0</v>
      </c>
      <c r="C1053" s="40"/>
      <c r="D1053" s="40"/>
      <c r="E1053" s="40"/>
      <c r="F1053" s="13">
        <f t="shared" ca="1" si="549"/>
        <v>0</v>
      </c>
      <c r="G1053" s="17">
        <f t="shared" ca="1" si="549"/>
        <v>0</v>
      </c>
      <c r="H1053" s="17">
        <f t="shared" ca="1" si="549"/>
        <v>0</v>
      </c>
      <c r="I1053" s="13">
        <f t="shared" ca="1" si="549"/>
        <v>0</v>
      </c>
      <c r="J1053" s="16"/>
      <c r="K1053" s="13">
        <f t="shared" ca="1" si="550"/>
        <v>0</v>
      </c>
      <c r="L1053" s="15">
        <f t="shared" ca="1" si="542"/>
        <v>1</v>
      </c>
      <c r="M1053" s="15"/>
      <c r="N1053" s="15">
        <f t="shared" ca="1" si="541"/>
        <v>0</v>
      </c>
    </row>
    <row r="1054" spans="1:14" x14ac:dyDescent="0.4">
      <c r="A1054" s="11" t="s">
        <v>9</v>
      </c>
      <c r="B1054" s="41">
        <f t="shared" ref="B1054:I1056" ca="1" si="551">OFFSET(B1054,-15,0)</f>
        <v>0</v>
      </c>
      <c r="C1054" s="41"/>
      <c r="D1054" s="41"/>
      <c r="E1054" s="41"/>
      <c r="F1054" s="19">
        <f t="shared" ca="1" si="551"/>
        <v>0</v>
      </c>
      <c r="G1054" s="20">
        <f t="shared" ca="1" si="551"/>
        <v>0</v>
      </c>
      <c r="H1054" s="20">
        <f t="shared" ca="1" si="551"/>
        <v>0</v>
      </c>
      <c r="I1054" s="13">
        <f t="shared" ca="1" si="551"/>
        <v>0</v>
      </c>
      <c r="J1054" s="16"/>
      <c r="K1054" s="19">
        <f t="shared" ref="K1054:K1056" ca="1" si="552">OFFSET(K1054,-15,0)</f>
        <v>0</v>
      </c>
      <c r="L1054" s="15">
        <f t="shared" ca="1" si="542"/>
        <v>1</v>
      </c>
      <c r="M1054" s="15"/>
      <c r="N1054" s="15">
        <f t="shared" ca="1" si="541"/>
        <v>0</v>
      </c>
    </row>
    <row r="1055" spans="1:14" x14ac:dyDescent="0.4">
      <c r="A1055" s="11" t="s">
        <v>9</v>
      </c>
      <c r="B1055" s="41">
        <f t="shared" ca="1" si="551"/>
        <v>0</v>
      </c>
      <c r="C1055" s="41"/>
      <c r="D1055" s="41"/>
      <c r="E1055" s="41"/>
      <c r="F1055" s="19">
        <f t="shared" ca="1" si="551"/>
        <v>0</v>
      </c>
      <c r="G1055" s="20">
        <f t="shared" ca="1" si="551"/>
        <v>0</v>
      </c>
      <c r="H1055" s="20">
        <f t="shared" ca="1" si="551"/>
        <v>0</v>
      </c>
      <c r="I1055" s="13">
        <f t="shared" ca="1" si="551"/>
        <v>0</v>
      </c>
      <c r="J1055" s="16"/>
      <c r="K1055" s="19">
        <f t="shared" ca="1" si="552"/>
        <v>0</v>
      </c>
      <c r="L1055" s="15">
        <f t="shared" ca="1" si="542"/>
        <v>1</v>
      </c>
      <c r="M1055" s="15"/>
      <c r="N1055" s="15">
        <f t="shared" ca="1" si="541"/>
        <v>0</v>
      </c>
    </row>
    <row r="1056" spans="1:14" x14ac:dyDescent="0.4">
      <c r="A1056" s="11" t="s">
        <v>9</v>
      </c>
      <c r="B1056" s="41">
        <f t="shared" ca="1" si="551"/>
        <v>0</v>
      </c>
      <c r="C1056" s="41"/>
      <c r="D1056" s="41"/>
      <c r="E1056" s="41"/>
      <c r="F1056" s="19">
        <f t="shared" ca="1" si="551"/>
        <v>0</v>
      </c>
      <c r="G1056" s="20">
        <f t="shared" ca="1" si="551"/>
        <v>0</v>
      </c>
      <c r="H1056" s="20">
        <f t="shared" ca="1" si="551"/>
        <v>0</v>
      </c>
      <c r="I1056" s="13">
        <f t="shared" ca="1" si="551"/>
        <v>0</v>
      </c>
      <c r="J1056" s="16"/>
      <c r="K1056" s="19">
        <f t="shared" ca="1" si="552"/>
        <v>0</v>
      </c>
      <c r="L1056" s="15">
        <f t="shared" ca="1" si="542"/>
        <v>1</v>
      </c>
      <c r="M1056" s="15"/>
      <c r="N1056" s="15">
        <f t="shared" ca="1" si="541"/>
        <v>0</v>
      </c>
    </row>
    <row r="1057" spans="1:14" ht="17.399999999999999" x14ac:dyDescent="0.4">
      <c r="A1057" s="77" t="s">
        <v>23</v>
      </c>
      <c r="B1057" s="75"/>
      <c r="C1057" s="75"/>
      <c r="D1057" s="75"/>
      <c r="E1057" s="75"/>
      <c r="F1057" s="75"/>
      <c r="G1057" s="75"/>
      <c r="H1057" s="75"/>
      <c r="I1057" s="75"/>
      <c r="J1057" s="75"/>
      <c r="K1057" s="75"/>
      <c r="L1057" s="75"/>
      <c r="M1057" s="75"/>
      <c r="N1057" s="76"/>
    </row>
    <row r="1058" spans="1:14" x14ac:dyDescent="0.4">
      <c r="A1058" s="11" t="str">
        <f ca="1">INDEX(A906:A1056, MATCH(MAX(N906:N1056), N906:N1056, 0), 0)</f>
        <v>Front</v>
      </c>
      <c r="B1058" s="40">
        <f ca="1">INDEX(B906:B1056, MATCH(MAX(N906:N1056), N906:N1056, 0), 0)</f>
        <v>0</v>
      </c>
      <c r="C1058" s="40"/>
      <c r="D1058" s="40"/>
      <c r="E1058" s="40"/>
      <c r="F1058" s="13">
        <f ca="1">INDEX(F906:F1056, MATCH(MAX(N906:N1056), N906:N1056, 0), 0)</f>
        <v>0</v>
      </c>
      <c r="G1058" s="11">
        <f ca="1">INDEX(G906:G1056, MATCH(MAX(N906:N1056), N906:N1056, 0), 0)</f>
        <v>0</v>
      </c>
      <c r="H1058" s="17">
        <f ca="1">INDEX(H906:H1056, MATCH(MAX(N906:N1056), N906:N1056, 0), 0)</f>
        <v>0</v>
      </c>
      <c r="I1058" s="13">
        <f ca="1">INDEX(I906:I1056, MATCH(MAX(N906:N1056), N906:N1056, 0), 0)</f>
        <v>0</v>
      </c>
      <c r="J1058" s="16"/>
      <c r="K1058" s="13">
        <f ca="1">INDEX(K906:K1056, MATCH(MAX(N906:N1056), N906:N1056, 0), 0)</f>
        <v>0</v>
      </c>
      <c r="L1058" s="15">
        <f ca="1">ROUND((10^(K1058/10))/(10^(I1058/10)),3)</f>
        <v>1</v>
      </c>
      <c r="M1058" s="15"/>
      <c r="N1058" s="15">
        <f t="shared" ref="N1058" ca="1" si="553">J1058*L1058</f>
        <v>0</v>
      </c>
    </row>
    <row r="1059" spans="1:14" x14ac:dyDescent="0.4">
      <c r="A1059" s="11"/>
      <c r="B1059" s="40"/>
      <c r="C1059" s="40"/>
      <c r="D1059" s="40"/>
      <c r="E1059" s="40"/>
      <c r="F1059" s="13"/>
      <c r="G1059" s="11"/>
      <c r="H1059" s="17"/>
      <c r="I1059" s="13"/>
      <c r="J1059" s="16"/>
      <c r="K1059" s="13"/>
      <c r="L1059" s="15"/>
      <c r="M1059" s="15"/>
      <c r="N1059" s="15"/>
    </row>
    <row r="1060" spans="1:14" x14ac:dyDescent="0.4">
      <c r="A1060" s="11"/>
      <c r="B1060" s="40"/>
      <c r="C1060" s="40"/>
      <c r="D1060" s="40"/>
      <c r="E1060" s="40"/>
      <c r="F1060" s="13"/>
      <c r="G1060" s="11"/>
      <c r="H1060" s="17"/>
      <c r="I1060" s="13"/>
      <c r="J1060" s="16"/>
      <c r="K1060" s="13"/>
      <c r="L1060" s="15"/>
      <c r="M1060" s="15"/>
      <c r="N1060" s="15"/>
    </row>
    <row r="1061" spans="1:14" x14ac:dyDescent="0.4">
      <c r="A1061" s="11"/>
      <c r="B1061" s="41"/>
      <c r="C1061" s="41"/>
      <c r="D1061" s="41"/>
      <c r="E1061" s="41"/>
      <c r="F1061" s="19"/>
      <c r="G1061" s="11"/>
      <c r="H1061" s="20"/>
      <c r="I1061" s="19"/>
      <c r="J1061" s="16"/>
      <c r="K1061" s="19"/>
      <c r="L1061" s="15"/>
      <c r="M1061" s="15"/>
      <c r="N1061" s="15"/>
    </row>
    <row r="1062" spans="1:14" x14ac:dyDescent="0.4">
      <c r="A1062" s="11"/>
      <c r="B1062" s="41"/>
      <c r="C1062" s="41"/>
      <c r="D1062" s="41"/>
      <c r="E1062" s="41"/>
      <c r="F1062" s="19"/>
      <c r="G1062" s="11"/>
      <c r="H1062" s="20"/>
      <c r="I1062" s="19"/>
      <c r="J1062" s="16"/>
      <c r="K1062" s="19"/>
      <c r="L1062" s="15"/>
      <c r="M1062" s="15"/>
      <c r="N1062" s="15"/>
    </row>
    <row r="1063" spans="1:14" x14ac:dyDescent="0.4">
      <c r="A1063" s="11"/>
      <c r="B1063" s="41"/>
      <c r="C1063" s="41"/>
      <c r="D1063" s="41"/>
      <c r="E1063" s="41"/>
      <c r="F1063" s="19"/>
      <c r="G1063" s="11"/>
      <c r="H1063" s="20"/>
      <c r="I1063" s="19"/>
      <c r="J1063" s="16"/>
      <c r="K1063" s="19"/>
      <c r="L1063" s="15"/>
      <c r="M1063" s="15"/>
      <c r="N1063" s="15"/>
    </row>
    <row r="1064" spans="1:14" x14ac:dyDescent="0.4">
      <c r="A1064" s="11"/>
      <c r="B1064" s="40"/>
      <c r="C1064" s="40"/>
      <c r="D1064" s="40"/>
      <c r="E1064" s="40"/>
      <c r="F1064" s="13"/>
      <c r="G1064" s="11"/>
      <c r="H1064" s="17"/>
      <c r="I1064" s="13"/>
      <c r="J1064" s="16"/>
      <c r="K1064" s="13"/>
      <c r="L1064" s="15"/>
      <c r="M1064" s="15"/>
      <c r="N1064" s="15"/>
    </row>
    <row r="1065" spans="1:14" x14ac:dyDescent="0.4">
      <c r="A1065" s="11"/>
      <c r="B1065" s="40"/>
      <c r="C1065" s="40"/>
      <c r="D1065" s="40"/>
      <c r="E1065" s="40"/>
      <c r="F1065" s="13"/>
      <c r="G1065" s="11"/>
      <c r="H1065" s="17"/>
      <c r="I1065" s="13"/>
      <c r="J1065" s="16"/>
      <c r="K1065" s="13"/>
      <c r="L1065" s="15"/>
      <c r="M1065" s="15"/>
      <c r="N1065" s="15"/>
    </row>
    <row r="1066" spans="1:14" x14ac:dyDescent="0.4">
      <c r="A1066" s="11"/>
      <c r="B1066" s="40"/>
      <c r="C1066" s="40"/>
      <c r="D1066" s="40"/>
      <c r="E1066" s="40"/>
      <c r="F1066" s="13"/>
      <c r="G1066" s="11"/>
      <c r="H1066" s="17"/>
      <c r="I1066" s="13"/>
      <c r="J1066" s="16"/>
      <c r="K1066" s="13"/>
      <c r="L1066" s="15"/>
      <c r="M1066" s="15"/>
      <c r="N1066" s="15"/>
    </row>
    <row r="1067" spans="1:14" x14ac:dyDescent="0.4">
      <c r="A1067" s="11"/>
      <c r="B1067" s="40"/>
      <c r="C1067" s="40"/>
      <c r="D1067" s="40"/>
      <c r="E1067" s="40"/>
      <c r="F1067" s="13"/>
      <c r="G1067" s="11"/>
      <c r="H1067" s="17"/>
      <c r="I1067" s="13"/>
      <c r="J1067" s="16"/>
      <c r="K1067" s="13"/>
      <c r="L1067" s="15"/>
      <c r="M1067" s="15"/>
      <c r="N1067" s="15"/>
    </row>
    <row r="1068" spans="1:14" x14ac:dyDescent="0.4">
      <c r="A1068" s="11"/>
      <c r="B1068" s="40"/>
      <c r="C1068" s="40"/>
      <c r="D1068" s="40"/>
      <c r="E1068" s="40"/>
      <c r="F1068" s="13"/>
      <c r="G1068" s="11"/>
      <c r="H1068" s="17"/>
      <c r="I1068" s="13"/>
      <c r="J1068" s="16"/>
      <c r="K1068" s="13"/>
      <c r="L1068" s="15"/>
      <c r="M1068" s="15"/>
      <c r="N1068" s="15"/>
    </row>
    <row r="1069" spans="1:14" x14ac:dyDescent="0.4">
      <c r="A1069" s="11"/>
      <c r="B1069" s="40"/>
      <c r="C1069" s="40"/>
      <c r="D1069" s="40"/>
      <c r="E1069" s="40"/>
      <c r="F1069" s="13"/>
      <c r="G1069" s="11"/>
      <c r="H1069" s="17"/>
      <c r="I1069" s="13"/>
      <c r="J1069" s="16"/>
      <c r="K1069" s="13"/>
      <c r="L1069" s="15"/>
      <c r="M1069" s="15"/>
      <c r="N1069" s="15"/>
    </row>
    <row r="1070" spans="1:14" x14ac:dyDescent="0.4">
      <c r="A1070" s="11"/>
      <c r="B1070" s="40"/>
      <c r="C1070" s="40"/>
      <c r="D1070" s="40"/>
      <c r="E1070" s="40"/>
      <c r="F1070" s="13"/>
      <c r="G1070" s="11"/>
      <c r="H1070" s="17"/>
      <c r="I1070" s="13"/>
      <c r="J1070" s="16"/>
      <c r="K1070" s="13"/>
      <c r="L1070" s="15"/>
      <c r="M1070" s="15"/>
      <c r="N1070" s="15"/>
    </row>
    <row r="1071" spans="1:14" x14ac:dyDescent="0.4">
      <c r="A1071" s="11"/>
      <c r="B1071" s="40"/>
      <c r="C1071" s="40"/>
      <c r="D1071" s="40"/>
      <c r="E1071" s="40"/>
      <c r="F1071" s="13"/>
      <c r="G1071" s="11"/>
      <c r="H1071" s="17"/>
      <c r="I1071" s="13"/>
      <c r="J1071" s="16"/>
      <c r="K1071" s="13"/>
      <c r="L1071" s="15"/>
      <c r="M1071" s="15"/>
      <c r="N1071" s="15"/>
    </row>
    <row r="1072" spans="1:14" x14ac:dyDescent="0.4">
      <c r="A1072" s="11"/>
      <c r="B1072" s="40"/>
      <c r="C1072" s="40"/>
      <c r="D1072" s="40"/>
      <c r="E1072" s="40"/>
      <c r="F1072" s="13"/>
      <c r="G1072" s="11"/>
      <c r="H1072" s="17"/>
      <c r="I1072" s="13"/>
      <c r="J1072" s="16"/>
      <c r="K1072" s="13"/>
      <c r="L1072" s="15"/>
      <c r="M1072" s="15"/>
      <c r="N1072" s="15"/>
    </row>
    <row r="1073" spans="1:14" x14ac:dyDescent="0.4">
      <c r="A1073" s="11"/>
      <c r="B1073" s="41"/>
      <c r="C1073" s="41"/>
      <c r="D1073" s="41"/>
      <c r="E1073" s="41"/>
      <c r="F1073" s="19"/>
      <c r="G1073" s="11"/>
      <c r="H1073" s="20"/>
      <c r="I1073" s="19"/>
      <c r="J1073" s="16"/>
      <c r="K1073" s="19"/>
      <c r="L1073" s="15"/>
      <c r="M1073" s="15"/>
      <c r="N1073" s="15"/>
    </row>
    <row r="1074" spans="1:14" x14ac:dyDescent="0.4">
      <c r="A1074" s="11"/>
      <c r="B1074" s="41"/>
      <c r="C1074" s="41"/>
      <c r="D1074" s="41"/>
      <c r="E1074" s="41"/>
      <c r="F1074" s="19"/>
      <c r="G1074" s="11"/>
      <c r="H1074" s="20"/>
      <c r="I1074" s="19"/>
      <c r="J1074" s="16"/>
      <c r="K1074" s="19"/>
      <c r="L1074" s="15"/>
      <c r="M1074" s="15"/>
      <c r="N1074" s="15"/>
    </row>
    <row r="1075" spans="1:14" x14ac:dyDescent="0.4">
      <c r="A1075" s="11"/>
      <c r="B1075" s="41"/>
      <c r="C1075" s="41"/>
      <c r="D1075" s="41"/>
      <c r="E1075" s="41"/>
      <c r="F1075" s="19"/>
      <c r="G1075" s="11"/>
      <c r="H1075" s="20"/>
      <c r="I1075" s="19"/>
      <c r="J1075" s="16"/>
      <c r="K1075" s="19"/>
      <c r="L1075" s="15"/>
      <c r="M1075" s="15"/>
      <c r="N1075" s="15"/>
    </row>
    <row r="1076" spans="1:14" ht="17.399999999999999" x14ac:dyDescent="0.4">
      <c r="A1076" s="77" t="s">
        <v>24</v>
      </c>
      <c r="B1076" s="75"/>
      <c r="C1076" s="75"/>
      <c r="D1076" s="75"/>
      <c r="E1076" s="75"/>
      <c r="F1076" s="75"/>
      <c r="G1076" s="75"/>
      <c r="H1076" s="75"/>
      <c r="I1076" s="75"/>
      <c r="J1076" s="75"/>
      <c r="K1076" s="75"/>
      <c r="L1076" s="75"/>
      <c r="M1076" s="75"/>
      <c r="N1076" s="76"/>
    </row>
    <row r="1077" spans="1:14" x14ac:dyDescent="0.4">
      <c r="A1077" s="11" t="str">
        <f ca="1">INDEX(A906:A1056, MATCH(MAX(N906:N1056), N906:N1056, 0), 0)</f>
        <v>Front</v>
      </c>
      <c r="B1077" s="40">
        <f ca="1">INDEX(B906:B1056, MATCH(MAX(N906:N1056), N906:N1056, 0), 0)</f>
        <v>0</v>
      </c>
      <c r="C1077" s="40"/>
      <c r="D1077" s="40"/>
      <c r="E1077" s="40"/>
      <c r="F1077" s="13">
        <f ca="1">INDEX(F906:F1056, MATCH(MAX(N906:N1056), N906:N1056, 0), 0)</f>
        <v>0</v>
      </c>
      <c r="G1077" s="11">
        <f ca="1">INDEX(G906:G1056, MATCH(MAX(N906:N1056), N906:N1056, 0), 0)</f>
        <v>0</v>
      </c>
      <c r="H1077" s="17">
        <f ca="1">INDEX(H906:H1056, MATCH(MAX(N906:N1056), N906:N1056, 0), 0)</f>
        <v>0</v>
      </c>
      <c r="I1077" s="13">
        <f ca="1">INDEX(I906:I1056, MATCH(MAX(N906:N1056), N906:N1056, 0), 0)</f>
        <v>0</v>
      </c>
      <c r="J1077" s="16"/>
      <c r="K1077" s="13">
        <f ca="1">INDEX(K906:K1056, MATCH(MAX(N906:N1056), N906:N1056, 0), 0)</f>
        <v>0</v>
      </c>
      <c r="L1077" s="15">
        <f ca="1">ROUND((10^(K1077/10))/(10^(I1077/10)),3)</f>
        <v>1</v>
      </c>
      <c r="M1077" s="15"/>
      <c r="N1077" s="15">
        <f t="shared" ref="N1077" ca="1" si="554">J1077*L1077</f>
        <v>0</v>
      </c>
    </row>
    <row r="1078" spans="1:14" x14ac:dyDescent="0.4">
      <c r="A1078" s="11"/>
      <c r="B1078" s="40"/>
      <c r="C1078" s="40"/>
      <c r="D1078" s="40"/>
      <c r="E1078" s="40"/>
      <c r="F1078" s="13"/>
      <c r="G1078" s="11"/>
      <c r="H1078" s="17"/>
      <c r="I1078" s="13"/>
      <c r="J1078" s="16"/>
      <c r="K1078" s="13"/>
      <c r="L1078" s="15"/>
      <c r="M1078" s="15"/>
      <c r="N1078" s="52"/>
    </row>
    <row r="1079" spans="1:14" x14ac:dyDescent="0.4">
      <c r="A1079" s="11"/>
      <c r="B1079" s="40"/>
      <c r="C1079" s="40"/>
      <c r="D1079" s="40"/>
      <c r="E1079" s="40"/>
      <c r="F1079" s="13"/>
      <c r="G1079" s="11"/>
      <c r="H1079" s="17"/>
      <c r="I1079" s="13"/>
      <c r="J1079" s="16"/>
      <c r="K1079" s="13"/>
      <c r="L1079" s="15"/>
      <c r="M1079" s="15"/>
      <c r="N1079" s="52"/>
    </row>
    <row r="1080" spans="1:14" x14ac:dyDescent="0.4">
      <c r="A1080" s="11"/>
      <c r="B1080" s="41"/>
      <c r="C1080" s="41"/>
      <c r="D1080" s="41"/>
      <c r="E1080" s="41"/>
      <c r="F1080" s="19"/>
      <c r="G1080" s="11"/>
      <c r="H1080" s="20"/>
      <c r="I1080" s="19"/>
      <c r="J1080" s="16"/>
      <c r="K1080" s="19"/>
      <c r="L1080" s="15"/>
      <c r="M1080" s="15"/>
      <c r="N1080" s="52"/>
    </row>
    <row r="1081" spans="1:14" x14ac:dyDescent="0.4">
      <c r="A1081" s="11"/>
      <c r="B1081" s="41"/>
      <c r="C1081" s="41"/>
      <c r="D1081" s="41"/>
      <c r="E1081" s="41"/>
      <c r="F1081" s="19"/>
      <c r="G1081" s="11"/>
      <c r="H1081" s="20"/>
      <c r="I1081" s="19"/>
      <c r="J1081" s="16"/>
      <c r="K1081" s="19"/>
      <c r="L1081" s="15"/>
      <c r="M1081" s="15"/>
      <c r="N1081" s="52"/>
    </row>
    <row r="1082" spans="1:14" x14ac:dyDescent="0.4">
      <c r="A1082" s="11"/>
      <c r="B1082" s="41"/>
      <c r="C1082" s="41"/>
      <c r="D1082" s="41"/>
      <c r="E1082" s="41"/>
      <c r="F1082" s="19"/>
      <c r="G1082" s="11"/>
      <c r="H1082" s="20"/>
      <c r="I1082" s="19"/>
      <c r="J1082" s="16"/>
      <c r="K1082" s="19"/>
      <c r="L1082" s="15"/>
      <c r="M1082" s="15"/>
      <c r="N1082" s="52"/>
    </row>
    <row r="1083" spans="1:14" x14ac:dyDescent="0.4">
      <c r="A1083" s="11"/>
      <c r="B1083" s="40"/>
      <c r="C1083" s="40"/>
      <c r="D1083" s="40"/>
      <c r="E1083" s="40"/>
      <c r="F1083" s="13"/>
      <c r="G1083" s="11"/>
      <c r="H1083" s="17"/>
      <c r="I1083" s="13"/>
      <c r="J1083" s="16"/>
      <c r="K1083" s="13"/>
      <c r="L1083" s="15"/>
      <c r="M1083" s="15"/>
      <c r="N1083" s="52"/>
    </row>
    <row r="1084" spans="1:14" x14ac:dyDescent="0.4">
      <c r="A1084" s="11"/>
      <c r="B1084" s="40"/>
      <c r="C1084" s="40"/>
      <c r="D1084" s="40"/>
      <c r="E1084" s="40"/>
      <c r="F1084" s="13"/>
      <c r="G1084" s="11"/>
      <c r="H1084" s="17"/>
      <c r="I1084" s="13"/>
      <c r="J1084" s="16"/>
      <c r="K1084" s="13"/>
      <c r="L1084" s="15"/>
      <c r="M1084" s="15"/>
      <c r="N1084" s="52"/>
    </row>
    <row r="1085" spans="1:14" x14ac:dyDescent="0.4">
      <c r="A1085" s="11"/>
      <c r="B1085" s="40"/>
      <c r="C1085" s="40"/>
      <c r="D1085" s="40"/>
      <c r="E1085" s="40"/>
      <c r="F1085" s="13"/>
      <c r="G1085" s="11"/>
      <c r="H1085" s="17"/>
      <c r="I1085" s="13"/>
      <c r="J1085" s="16"/>
      <c r="K1085" s="13"/>
      <c r="L1085" s="15"/>
      <c r="M1085" s="15"/>
      <c r="N1085" s="52"/>
    </row>
    <row r="1086" spans="1:14" x14ac:dyDescent="0.4">
      <c r="A1086" s="11"/>
      <c r="B1086" s="40"/>
      <c r="C1086" s="40"/>
      <c r="D1086" s="40"/>
      <c r="E1086" s="40"/>
      <c r="F1086" s="13"/>
      <c r="G1086" s="11"/>
      <c r="H1086" s="17"/>
      <c r="I1086" s="13"/>
      <c r="J1086" s="16"/>
      <c r="K1086" s="13"/>
      <c r="L1086" s="15"/>
      <c r="M1086" s="15"/>
      <c r="N1086" s="52"/>
    </row>
    <row r="1087" spans="1:14" x14ac:dyDescent="0.4">
      <c r="A1087" s="11"/>
      <c r="B1087" s="40"/>
      <c r="C1087" s="40"/>
      <c r="D1087" s="40"/>
      <c r="E1087" s="40"/>
      <c r="F1087" s="13"/>
      <c r="G1087" s="11"/>
      <c r="H1087" s="17"/>
      <c r="I1087" s="13"/>
      <c r="J1087" s="16"/>
      <c r="K1087" s="13"/>
      <c r="L1087" s="15"/>
      <c r="M1087" s="15"/>
      <c r="N1087" s="52"/>
    </row>
    <row r="1088" spans="1:14" x14ac:dyDescent="0.4">
      <c r="A1088" s="11"/>
      <c r="B1088" s="40"/>
      <c r="C1088" s="40"/>
      <c r="D1088" s="40"/>
      <c r="E1088" s="40"/>
      <c r="F1088" s="13"/>
      <c r="G1088" s="11"/>
      <c r="H1088" s="17"/>
      <c r="I1088" s="13"/>
      <c r="J1088" s="16"/>
      <c r="K1088" s="13"/>
      <c r="L1088" s="15"/>
      <c r="M1088" s="15"/>
      <c r="N1088" s="52"/>
    </row>
    <row r="1089" spans="1:14" x14ac:dyDescent="0.4">
      <c r="A1089" s="11"/>
      <c r="B1089" s="40"/>
      <c r="C1089" s="40"/>
      <c r="D1089" s="40"/>
      <c r="E1089" s="40"/>
      <c r="F1089" s="13"/>
      <c r="G1089" s="11"/>
      <c r="H1089" s="17"/>
      <c r="I1089" s="13"/>
      <c r="J1089" s="16"/>
      <c r="K1089" s="13"/>
      <c r="L1089" s="15"/>
      <c r="M1089" s="15"/>
      <c r="N1089" s="52"/>
    </row>
    <row r="1090" spans="1:14" x14ac:dyDescent="0.4">
      <c r="A1090" s="11"/>
      <c r="B1090" s="40"/>
      <c r="C1090" s="40"/>
      <c r="D1090" s="40"/>
      <c r="E1090" s="40"/>
      <c r="F1090" s="13"/>
      <c r="G1090" s="11"/>
      <c r="H1090" s="17"/>
      <c r="I1090" s="13"/>
      <c r="J1090" s="16"/>
      <c r="K1090" s="13"/>
      <c r="L1090" s="15"/>
      <c r="M1090" s="15"/>
      <c r="N1090" s="52"/>
    </row>
    <row r="1091" spans="1:14" x14ac:dyDescent="0.4">
      <c r="A1091" s="11"/>
      <c r="B1091" s="40"/>
      <c r="C1091" s="40"/>
      <c r="D1091" s="40"/>
      <c r="E1091" s="40"/>
      <c r="F1091" s="13"/>
      <c r="G1091" s="11"/>
      <c r="H1091" s="17"/>
      <c r="I1091" s="13"/>
      <c r="J1091" s="16"/>
      <c r="K1091" s="13"/>
      <c r="L1091" s="15"/>
      <c r="M1091" s="15"/>
      <c r="N1091" s="52"/>
    </row>
    <row r="1092" spans="1:14" x14ac:dyDescent="0.4">
      <c r="A1092" s="11"/>
      <c r="B1092" s="41"/>
      <c r="C1092" s="41"/>
      <c r="D1092" s="41"/>
      <c r="E1092" s="41"/>
      <c r="F1092" s="19"/>
      <c r="G1092" s="11"/>
      <c r="H1092" s="20"/>
      <c r="I1092" s="19"/>
      <c r="J1092" s="16"/>
      <c r="K1092" s="19"/>
      <c r="L1092" s="15"/>
      <c r="M1092" s="15"/>
      <c r="N1092" s="52"/>
    </row>
    <row r="1093" spans="1:14" x14ac:dyDescent="0.4">
      <c r="A1093" s="11"/>
      <c r="B1093" s="41"/>
      <c r="C1093" s="41"/>
      <c r="D1093" s="41"/>
      <c r="E1093" s="41"/>
      <c r="F1093" s="19"/>
      <c r="G1093" s="11"/>
      <c r="H1093" s="20"/>
      <c r="I1093" s="19"/>
      <c r="J1093" s="16"/>
      <c r="K1093" s="19"/>
      <c r="L1093" s="15"/>
      <c r="M1093" s="15"/>
      <c r="N1093" s="52"/>
    </row>
    <row r="1094" spans="1:14" x14ac:dyDescent="0.4">
      <c r="A1094" s="11"/>
      <c r="B1094" s="41"/>
      <c r="C1094" s="41"/>
      <c r="D1094" s="41"/>
      <c r="E1094" s="41"/>
      <c r="F1094" s="19"/>
      <c r="G1094" s="11"/>
      <c r="H1094" s="20"/>
      <c r="I1094" s="19"/>
      <c r="J1094" s="16"/>
      <c r="K1094" s="19"/>
      <c r="L1094" s="15"/>
      <c r="M1094" s="15"/>
      <c r="N1094" s="52"/>
    </row>
    <row r="1097" spans="1:14" x14ac:dyDescent="0.4">
      <c r="A1097" s="58" t="s">
        <v>168</v>
      </c>
      <c r="B1097" s="59"/>
      <c r="C1097" s="59"/>
      <c r="D1097" s="59"/>
      <c r="E1097" s="59"/>
      <c r="F1097" s="59"/>
      <c r="G1097" s="59"/>
      <c r="H1097" s="60"/>
      <c r="I1097" s="54" t="s">
        <v>3</v>
      </c>
      <c r="J1097" s="54"/>
      <c r="K1097" s="54"/>
      <c r="L1097" s="7"/>
      <c r="M1097" s="7"/>
      <c r="N1097" s="8"/>
    </row>
    <row r="1098" spans="1:14" x14ac:dyDescent="0.4">
      <c r="A1098" s="61"/>
      <c r="B1098" s="62"/>
      <c r="C1098" s="62"/>
      <c r="D1098" s="62"/>
      <c r="E1098" s="62"/>
      <c r="F1098" s="62"/>
      <c r="G1098" s="62"/>
      <c r="H1098" s="63"/>
      <c r="I1098" s="54" t="s">
        <v>4</v>
      </c>
      <c r="J1098" s="54"/>
      <c r="K1098" s="54"/>
      <c r="L1098" s="7"/>
      <c r="M1098" s="7"/>
      <c r="N1098" s="8"/>
    </row>
    <row r="1099" spans="1:14" x14ac:dyDescent="0.4">
      <c r="A1099" s="64"/>
      <c r="B1099" s="65"/>
      <c r="C1099" s="65"/>
      <c r="D1099" s="65"/>
      <c r="E1099" s="65"/>
      <c r="F1099" s="65"/>
      <c r="G1099" s="65"/>
      <c r="H1099" s="66"/>
      <c r="I1099" s="54" t="s">
        <v>0</v>
      </c>
      <c r="J1099" s="54"/>
      <c r="K1099" s="54"/>
      <c r="L1099" s="9"/>
      <c r="M1099" s="9"/>
      <c r="N1099" s="8"/>
    </row>
    <row r="1100" spans="1:14" x14ac:dyDescent="0.4">
      <c r="A1100" s="39"/>
      <c r="B1100" s="39"/>
      <c r="C1100" s="39"/>
      <c r="D1100" s="39"/>
      <c r="E1100" s="39"/>
      <c r="F1100" s="39"/>
      <c r="G1100" s="39"/>
      <c r="H1100" s="39"/>
      <c r="I1100" s="39"/>
      <c r="J1100" s="39"/>
      <c r="K1100" s="39"/>
      <c r="L1100" s="39"/>
    </row>
    <row r="1101" spans="1:14" x14ac:dyDescent="0.4">
      <c r="A1101" s="53" t="s">
        <v>14</v>
      </c>
      <c r="B1101" s="55" t="s">
        <v>34</v>
      </c>
      <c r="C1101" s="71" t="s">
        <v>152</v>
      </c>
      <c r="D1101" s="71" t="s">
        <v>153</v>
      </c>
      <c r="E1101" s="71" t="s">
        <v>145</v>
      </c>
      <c r="F1101" s="53" t="s">
        <v>1</v>
      </c>
      <c r="G1101" s="53"/>
      <c r="H1101" s="57" t="s">
        <v>15</v>
      </c>
      <c r="I1101" s="57" t="s">
        <v>16</v>
      </c>
      <c r="J1101" s="53" t="s">
        <v>17</v>
      </c>
      <c r="K1101" s="67" t="s">
        <v>84</v>
      </c>
      <c r="L1101" s="68"/>
      <c r="M1101" s="53" t="s">
        <v>20</v>
      </c>
      <c r="N1101" s="8"/>
    </row>
    <row r="1102" spans="1:14" x14ac:dyDescent="0.4">
      <c r="A1102" s="53"/>
      <c r="B1102" s="55"/>
      <c r="C1102" s="72"/>
      <c r="D1102" s="72"/>
      <c r="E1102" s="72"/>
      <c r="F1102" s="53" t="s">
        <v>18</v>
      </c>
      <c r="G1102" s="53" t="s">
        <v>2</v>
      </c>
      <c r="H1102" s="57"/>
      <c r="I1102" s="57"/>
      <c r="J1102" s="53"/>
      <c r="K1102" s="69"/>
      <c r="L1102" s="70"/>
      <c r="M1102" s="53"/>
      <c r="N1102" s="8"/>
    </row>
    <row r="1103" spans="1:14" x14ac:dyDescent="0.4">
      <c r="A1103" s="53"/>
      <c r="B1103" s="56"/>
      <c r="C1103" s="73"/>
      <c r="D1103" s="73"/>
      <c r="E1103" s="73"/>
      <c r="F1103" s="53"/>
      <c r="G1103" s="53"/>
      <c r="H1103" s="57"/>
      <c r="I1103" s="57"/>
      <c r="J1103" s="53"/>
      <c r="K1103" s="42" t="s">
        <v>85</v>
      </c>
      <c r="L1103" s="42" t="s">
        <v>86</v>
      </c>
      <c r="M1103" s="53"/>
      <c r="N1103" s="8"/>
    </row>
    <row r="1104" spans="1:14" x14ac:dyDescent="0.4">
      <c r="A1104" s="11" t="s">
        <v>11</v>
      </c>
      <c r="B1104" s="40"/>
      <c r="C1104" s="40"/>
      <c r="D1104" s="40"/>
      <c r="E1104" s="40"/>
      <c r="F1104" s="13"/>
      <c r="G1104" s="11"/>
      <c r="H1104" s="13"/>
      <c r="I1104" s="14"/>
      <c r="J1104" s="13"/>
      <c r="K1104" s="15">
        <f>ROUND((10^(J1104/10))/(10^(H1104/10)),3)</f>
        <v>1</v>
      </c>
      <c r="L1104" s="15"/>
      <c r="M1104" s="15">
        <f t="shared" ref="M1104:M1115" si="555">I1104*K1104</f>
        <v>0</v>
      </c>
      <c r="N1104" s="8"/>
    </row>
    <row r="1105" spans="1:14" x14ac:dyDescent="0.4">
      <c r="A1105" s="11" t="s">
        <v>11</v>
      </c>
      <c r="B1105" s="40"/>
      <c r="C1105" s="40"/>
      <c r="D1105" s="40"/>
      <c r="E1105" s="40"/>
      <c r="F1105" s="13"/>
      <c r="G1105" s="11"/>
      <c r="H1105" s="13"/>
      <c r="I1105" s="14"/>
      <c r="J1105" s="13"/>
      <c r="K1105" s="15">
        <f t="shared" ref="K1105:K1115" si="556">ROUND((10^(J1105/10))/(10^(H1105/10)),3)</f>
        <v>1</v>
      </c>
      <c r="L1105" s="15"/>
      <c r="M1105" s="15">
        <f t="shared" si="555"/>
        <v>0</v>
      </c>
      <c r="N1105" s="8"/>
    </row>
    <row r="1106" spans="1:14" x14ac:dyDescent="0.4">
      <c r="A1106" s="11" t="s">
        <v>11</v>
      </c>
      <c r="B1106" s="40"/>
      <c r="C1106" s="40"/>
      <c r="D1106" s="40"/>
      <c r="E1106" s="40"/>
      <c r="F1106" s="13"/>
      <c r="G1106" s="11"/>
      <c r="H1106" s="13"/>
      <c r="I1106" s="14"/>
      <c r="J1106" s="13"/>
      <c r="K1106" s="15">
        <f t="shared" si="556"/>
        <v>1</v>
      </c>
      <c r="L1106" s="15"/>
      <c r="M1106" s="15">
        <f t="shared" si="555"/>
        <v>0</v>
      </c>
      <c r="N1106" s="8"/>
    </row>
    <row r="1107" spans="1:14" x14ac:dyDescent="0.4">
      <c r="A1107" s="11" t="s">
        <v>13</v>
      </c>
      <c r="B1107" s="40">
        <f t="shared" ref="B1107" si="557">B1104</f>
        <v>0</v>
      </c>
      <c r="C1107" s="40"/>
      <c r="D1107" s="40"/>
      <c r="E1107" s="40">
        <f t="shared" ref="E1107:G1107" si="558">E1104</f>
        <v>0</v>
      </c>
      <c r="F1107" s="13">
        <f t="shared" si="558"/>
        <v>0</v>
      </c>
      <c r="G1107" s="40">
        <f t="shared" si="558"/>
        <v>0</v>
      </c>
      <c r="H1107" s="13">
        <f>H1104</f>
        <v>0</v>
      </c>
      <c r="I1107" s="16"/>
      <c r="J1107" s="13">
        <f t="shared" ref="J1107:J1109" si="559">J1104</f>
        <v>0</v>
      </c>
      <c r="K1107" s="15">
        <f t="shared" si="556"/>
        <v>1</v>
      </c>
      <c r="L1107" s="15"/>
      <c r="M1107" s="15">
        <f t="shared" si="555"/>
        <v>0</v>
      </c>
      <c r="N1107" s="8"/>
    </row>
    <row r="1108" spans="1:14" x14ac:dyDescent="0.4">
      <c r="A1108" s="11" t="s">
        <v>13</v>
      </c>
      <c r="B1108" s="40">
        <f t="shared" ref="B1108" si="560">B1105</f>
        <v>0</v>
      </c>
      <c r="C1108" s="40"/>
      <c r="D1108" s="40"/>
      <c r="E1108" s="40">
        <f t="shared" ref="E1108:H1108" si="561">E1105</f>
        <v>0</v>
      </c>
      <c r="F1108" s="13">
        <f t="shared" si="561"/>
        <v>0</v>
      </c>
      <c r="G1108" s="40">
        <f t="shared" si="561"/>
        <v>0</v>
      </c>
      <c r="H1108" s="13">
        <f t="shared" si="561"/>
        <v>0</v>
      </c>
      <c r="I1108" s="16"/>
      <c r="J1108" s="13">
        <f t="shared" si="559"/>
        <v>0</v>
      </c>
      <c r="K1108" s="15">
        <f t="shared" si="556"/>
        <v>1</v>
      </c>
      <c r="L1108" s="15"/>
      <c r="M1108" s="15">
        <f t="shared" si="555"/>
        <v>0</v>
      </c>
      <c r="N1108" s="8"/>
    </row>
    <row r="1109" spans="1:14" x14ac:dyDescent="0.4">
      <c r="A1109" s="11" t="s">
        <v>13</v>
      </c>
      <c r="B1109" s="40">
        <f t="shared" ref="B1109" si="562">B1106</f>
        <v>0</v>
      </c>
      <c r="C1109" s="40"/>
      <c r="D1109" s="40"/>
      <c r="E1109" s="40">
        <f t="shared" ref="E1109:H1109" si="563">E1106</f>
        <v>0</v>
      </c>
      <c r="F1109" s="13">
        <f t="shared" si="563"/>
        <v>0</v>
      </c>
      <c r="G1109" s="40">
        <f t="shared" si="563"/>
        <v>0</v>
      </c>
      <c r="H1109" s="13">
        <f t="shared" si="563"/>
        <v>0</v>
      </c>
      <c r="I1109" s="16"/>
      <c r="J1109" s="13">
        <f t="shared" si="559"/>
        <v>0</v>
      </c>
      <c r="K1109" s="15">
        <f t="shared" si="556"/>
        <v>1</v>
      </c>
      <c r="L1109" s="15"/>
      <c r="M1109" s="15">
        <f t="shared" si="555"/>
        <v>0</v>
      </c>
      <c r="N1109" s="8"/>
    </row>
    <row r="1110" spans="1:14" x14ac:dyDescent="0.4">
      <c r="A1110" s="11" t="s">
        <v>12</v>
      </c>
      <c r="B1110" s="40">
        <f t="shared" ref="B1110:J1115" ca="1" si="564">OFFSET(B1110,-6,0)</f>
        <v>0</v>
      </c>
      <c r="C1110" s="40"/>
      <c r="D1110" s="40"/>
      <c r="E1110" s="40">
        <f t="shared" ca="1" si="564"/>
        <v>0</v>
      </c>
      <c r="F1110" s="13">
        <f t="shared" ca="1" si="564"/>
        <v>0</v>
      </c>
      <c r="G1110" s="17">
        <f t="shared" ca="1" si="564"/>
        <v>0</v>
      </c>
      <c r="H1110" s="13">
        <f t="shared" ca="1" si="564"/>
        <v>0</v>
      </c>
      <c r="I1110" s="16"/>
      <c r="J1110" s="13">
        <f t="shared" ca="1" si="564"/>
        <v>0</v>
      </c>
      <c r="K1110" s="15">
        <f t="shared" ca="1" si="556"/>
        <v>1</v>
      </c>
      <c r="L1110" s="15"/>
      <c r="M1110" s="15">
        <f t="shared" ca="1" si="555"/>
        <v>0</v>
      </c>
      <c r="N1110" s="8"/>
    </row>
    <row r="1111" spans="1:14" x14ac:dyDescent="0.4">
      <c r="A1111" s="11" t="s">
        <v>12</v>
      </c>
      <c r="B1111" s="40">
        <f t="shared" ca="1" si="564"/>
        <v>0</v>
      </c>
      <c r="C1111" s="40"/>
      <c r="D1111" s="40"/>
      <c r="E1111" s="40">
        <f t="shared" ca="1" si="564"/>
        <v>0</v>
      </c>
      <c r="F1111" s="13">
        <f t="shared" ca="1" si="564"/>
        <v>0</v>
      </c>
      <c r="G1111" s="17">
        <f t="shared" ca="1" si="564"/>
        <v>0</v>
      </c>
      <c r="H1111" s="13">
        <f t="shared" ca="1" si="564"/>
        <v>0</v>
      </c>
      <c r="I1111" s="16"/>
      <c r="J1111" s="13">
        <f t="shared" ca="1" si="564"/>
        <v>0</v>
      </c>
      <c r="K1111" s="15">
        <f t="shared" ca="1" si="556"/>
        <v>1</v>
      </c>
      <c r="L1111" s="15"/>
      <c r="M1111" s="15">
        <f t="shared" ca="1" si="555"/>
        <v>0</v>
      </c>
      <c r="N1111" s="8"/>
    </row>
    <row r="1112" spans="1:14" x14ac:dyDescent="0.4">
      <c r="A1112" s="11" t="s">
        <v>12</v>
      </c>
      <c r="B1112" s="40">
        <f t="shared" ca="1" si="564"/>
        <v>0</v>
      </c>
      <c r="C1112" s="40"/>
      <c r="D1112" s="40"/>
      <c r="E1112" s="40">
        <f t="shared" ca="1" si="564"/>
        <v>0</v>
      </c>
      <c r="F1112" s="13">
        <f t="shared" ca="1" si="564"/>
        <v>0</v>
      </c>
      <c r="G1112" s="17">
        <f t="shared" ca="1" si="564"/>
        <v>0</v>
      </c>
      <c r="H1112" s="13">
        <f t="shared" ca="1" si="564"/>
        <v>0</v>
      </c>
      <c r="I1112" s="16"/>
      <c r="J1112" s="13">
        <f t="shared" ca="1" si="564"/>
        <v>0</v>
      </c>
      <c r="K1112" s="15">
        <f t="shared" ca="1" si="556"/>
        <v>1</v>
      </c>
      <c r="L1112" s="15"/>
      <c r="M1112" s="15">
        <f t="shared" ca="1" si="555"/>
        <v>0</v>
      </c>
      <c r="N1112" s="8"/>
    </row>
    <row r="1113" spans="1:14" x14ac:dyDescent="0.4">
      <c r="A1113" s="11" t="s">
        <v>21</v>
      </c>
      <c r="B1113" s="40">
        <f t="shared" ca="1" si="564"/>
        <v>0</v>
      </c>
      <c r="C1113" s="40"/>
      <c r="D1113" s="40"/>
      <c r="E1113" s="40">
        <f t="shared" ca="1" si="564"/>
        <v>0</v>
      </c>
      <c r="F1113" s="13">
        <f t="shared" ca="1" si="564"/>
        <v>0</v>
      </c>
      <c r="G1113" s="17">
        <f t="shared" ca="1" si="564"/>
        <v>0</v>
      </c>
      <c r="H1113" s="13">
        <f t="shared" ca="1" si="564"/>
        <v>0</v>
      </c>
      <c r="I1113" s="16"/>
      <c r="J1113" s="13">
        <f t="shared" ca="1" si="564"/>
        <v>0</v>
      </c>
      <c r="K1113" s="15">
        <f t="shared" ca="1" si="556"/>
        <v>1</v>
      </c>
      <c r="L1113" s="15"/>
      <c r="M1113" s="15">
        <f t="shared" ca="1" si="555"/>
        <v>0</v>
      </c>
      <c r="N1113" s="8"/>
    </row>
    <row r="1114" spans="1:14" x14ac:dyDescent="0.4">
      <c r="A1114" s="11" t="s">
        <v>21</v>
      </c>
      <c r="B1114" s="40">
        <f t="shared" ca="1" si="564"/>
        <v>0</v>
      </c>
      <c r="C1114" s="40"/>
      <c r="D1114" s="40"/>
      <c r="E1114" s="40">
        <f t="shared" ca="1" si="564"/>
        <v>0</v>
      </c>
      <c r="F1114" s="13">
        <f t="shared" ca="1" si="564"/>
        <v>0</v>
      </c>
      <c r="G1114" s="17">
        <f t="shared" ca="1" si="564"/>
        <v>0</v>
      </c>
      <c r="H1114" s="13">
        <f t="shared" ca="1" si="564"/>
        <v>0</v>
      </c>
      <c r="I1114" s="16"/>
      <c r="J1114" s="13">
        <f t="shared" ca="1" si="564"/>
        <v>0</v>
      </c>
      <c r="K1114" s="15">
        <f t="shared" ca="1" si="556"/>
        <v>1</v>
      </c>
      <c r="L1114" s="15"/>
      <c r="M1114" s="15">
        <f t="shared" ca="1" si="555"/>
        <v>0</v>
      </c>
      <c r="N1114" s="8"/>
    </row>
    <row r="1115" spans="1:14" x14ac:dyDescent="0.4">
      <c r="A1115" s="11" t="s">
        <v>21</v>
      </c>
      <c r="B1115" s="40">
        <f t="shared" ca="1" si="564"/>
        <v>0</v>
      </c>
      <c r="C1115" s="40"/>
      <c r="D1115" s="40"/>
      <c r="E1115" s="40">
        <f t="shared" ca="1" si="564"/>
        <v>0</v>
      </c>
      <c r="F1115" s="13">
        <f t="shared" ca="1" si="564"/>
        <v>0</v>
      </c>
      <c r="G1115" s="17">
        <f t="shared" ca="1" si="564"/>
        <v>0</v>
      </c>
      <c r="H1115" s="13">
        <f t="shared" ca="1" si="564"/>
        <v>0</v>
      </c>
      <c r="I1115" s="16"/>
      <c r="J1115" s="13">
        <f t="shared" ca="1" si="564"/>
        <v>0</v>
      </c>
      <c r="K1115" s="15">
        <f t="shared" ca="1" si="556"/>
        <v>1</v>
      </c>
      <c r="L1115" s="15"/>
      <c r="M1115" s="15">
        <f t="shared" ca="1" si="555"/>
        <v>0</v>
      </c>
      <c r="N1115" s="8"/>
    </row>
    <row r="1116" spans="1:14" x14ac:dyDescent="0.4">
      <c r="A1116" s="36"/>
      <c r="B1116" s="36"/>
      <c r="C1116" s="36"/>
      <c r="D1116" s="36"/>
      <c r="E1116" s="36"/>
      <c r="F1116" s="36"/>
      <c r="G1116" s="36"/>
      <c r="H1116" s="36"/>
      <c r="I1116" s="36"/>
      <c r="J1116" s="36"/>
      <c r="K1116" s="36"/>
      <c r="L1116" s="36"/>
      <c r="M1116" s="37"/>
    </row>
    <row r="1117" spans="1:14" x14ac:dyDescent="0.4">
      <c r="A1117" s="58" t="s">
        <v>169</v>
      </c>
      <c r="B1117" s="59"/>
      <c r="C1117" s="59"/>
      <c r="D1117" s="59"/>
      <c r="E1117" s="59"/>
      <c r="F1117" s="59"/>
      <c r="G1117" s="59"/>
      <c r="H1117" s="59"/>
      <c r="I1117" s="60"/>
      <c r="J1117" s="54" t="s">
        <v>3</v>
      </c>
      <c r="K1117" s="54"/>
      <c r="L1117" s="54"/>
      <c r="M1117" s="7"/>
      <c r="N1117" s="7"/>
    </row>
    <row r="1118" spans="1:14" x14ac:dyDescent="0.4">
      <c r="A1118" s="61"/>
      <c r="B1118" s="62"/>
      <c r="C1118" s="62"/>
      <c r="D1118" s="62"/>
      <c r="E1118" s="62"/>
      <c r="F1118" s="62"/>
      <c r="G1118" s="62"/>
      <c r="H1118" s="62"/>
      <c r="I1118" s="63"/>
      <c r="J1118" s="54" t="s">
        <v>4</v>
      </c>
      <c r="K1118" s="54"/>
      <c r="L1118" s="54"/>
      <c r="M1118" s="7"/>
      <c r="N1118" s="7"/>
    </row>
    <row r="1119" spans="1:14" x14ac:dyDescent="0.4">
      <c r="A1119" s="64"/>
      <c r="B1119" s="65"/>
      <c r="C1119" s="65"/>
      <c r="D1119" s="65"/>
      <c r="E1119" s="65"/>
      <c r="F1119" s="65"/>
      <c r="G1119" s="65"/>
      <c r="H1119" s="65"/>
      <c r="I1119" s="66"/>
      <c r="J1119" s="54" t="s">
        <v>0</v>
      </c>
      <c r="K1119" s="54"/>
      <c r="L1119" s="54"/>
      <c r="M1119" s="9"/>
      <c r="N1119" s="9"/>
    </row>
    <row r="1120" spans="1:14" x14ac:dyDescent="0.4">
      <c r="A1120" s="39"/>
      <c r="B1120" s="39"/>
      <c r="C1120" s="39"/>
      <c r="D1120" s="39"/>
      <c r="E1120" s="39"/>
      <c r="F1120" s="39"/>
      <c r="G1120" s="39"/>
      <c r="H1120" s="39"/>
      <c r="I1120" s="39"/>
      <c r="J1120" s="39"/>
      <c r="K1120" s="39"/>
      <c r="L1120" s="39"/>
      <c r="M1120" s="39"/>
    </row>
    <row r="1121" spans="1:14" x14ac:dyDescent="0.4">
      <c r="A1121" s="53" t="s">
        <v>14</v>
      </c>
      <c r="B1121" s="55" t="s">
        <v>33</v>
      </c>
      <c r="C1121" s="71" t="s">
        <v>152</v>
      </c>
      <c r="D1121" s="71" t="s">
        <v>153</v>
      </c>
      <c r="E1121" s="55" t="s">
        <v>145</v>
      </c>
      <c r="F1121" s="53" t="s">
        <v>1</v>
      </c>
      <c r="G1121" s="53"/>
      <c r="H1121" s="53" t="s">
        <v>19</v>
      </c>
      <c r="I1121" s="57" t="s">
        <v>15</v>
      </c>
      <c r="J1121" s="57" t="s">
        <v>16</v>
      </c>
      <c r="K1121" s="53" t="s">
        <v>17</v>
      </c>
      <c r="L1121" s="53" t="s">
        <v>84</v>
      </c>
      <c r="M1121" s="53"/>
      <c r="N1121" s="53" t="s">
        <v>20</v>
      </c>
    </row>
    <row r="1122" spans="1:14" x14ac:dyDescent="0.4">
      <c r="A1122" s="53"/>
      <c r="B1122" s="55"/>
      <c r="C1122" s="72"/>
      <c r="D1122" s="72"/>
      <c r="E1122" s="55"/>
      <c r="F1122" s="53" t="s">
        <v>18</v>
      </c>
      <c r="G1122" s="53" t="s">
        <v>2</v>
      </c>
      <c r="H1122" s="53"/>
      <c r="I1122" s="57"/>
      <c r="J1122" s="57"/>
      <c r="K1122" s="53"/>
      <c r="L1122" s="53"/>
      <c r="M1122" s="53"/>
      <c r="N1122" s="53"/>
    </row>
    <row r="1123" spans="1:14" x14ac:dyDescent="0.4">
      <c r="A1123" s="53"/>
      <c r="B1123" s="56"/>
      <c r="C1123" s="73"/>
      <c r="D1123" s="73"/>
      <c r="E1123" s="55"/>
      <c r="F1123" s="53"/>
      <c r="G1123" s="53"/>
      <c r="H1123" s="53"/>
      <c r="I1123" s="57"/>
      <c r="J1123" s="57"/>
      <c r="K1123" s="53"/>
      <c r="L1123" s="42" t="s">
        <v>85</v>
      </c>
      <c r="M1123" s="42" t="s">
        <v>86</v>
      </c>
      <c r="N1123" s="53"/>
    </row>
    <row r="1124" spans="1:14" x14ac:dyDescent="0.4">
      <c r="A1124" s="74" t="s">
        <v>26</v>
      </c>
      <c r="B1124" s="78"/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9"/>
    </row>
    <row r="1125" spans="1:14" x14ac:dyDescent="0.4">
      <c r="A1125" s="11" t="s">
        <v>5</v>
      </c>
      <c r="B1125" s="40"/>
      <c r="C1125" s="40"/>
      <c r="D1125" s="40"/>
      <c r="E1125" s="40"/>
      <c r="F1125" s="13"/>
      <c r="G1125" s="11"/>
      <c r="H1125" s="17"/>
      <c r="I1125" s="13"/>
      <c r="J1125" s="16"/>
      <c r="K1125" s="13"/>
      <c r="L1125" s="15">
        <f>ROUND((10^(K1125/10))/(10^(I1125/10)),3)</f>
        <v>1</v>
      </c>
      <c r="M1125" s="15"/>
      <c r="N1125" s="15">
        <f t="shared" ref="N1125:N1142" si="565">J1125*L1125</f>
        <v>0</v>
      </c>
    </row>
    <row r="1126" spans="1:14" x14ac:dyDescent="0.4">
      <c r="A1126" s="11" t="s">
        <v>5</v>
      </c>
      <c r="B1126" s="40"/>
      <c r="C1126" s="40"/>
      <c r="D1126" s="40"/>
      <c r="E1126" s="40"/>
      <c r="F1126" s="13"/>
      <c r="G1126" s="11"/>
      <c r="H1126" s="17"/>
      <c r="I1126" s="13"/>
      <c r="J1126" s="16"/>
      <c r="K1126" s="13"/>
      <c r="L1126" s="15">
        <f t="shared" ref="L1126:L1142" si="566">ROUND((10^(K1126/10))/(10^(I1126/10)),3)</f>
        <v>1</v>
      </c>
      <c r="M1126" s="15"/>
      <c r="N1126" s="15">
        <f t="shared" si="565"/>
        <v>0</v>
      </c>
    </row>
    <row r="1127" spans="1:14" x14ac:dyDescent="0.4">
      <c r="A1127" s="11" t="s">
        <v>5</v>
      </c>
      <c r="B1127" s="40"/>
      <c r="C1127" s="40"/>
      <c r="D1127" s="40"/>
      <c r="E1127" s="40"/>
      <c r="F1127" s="13"/>
      <c r="G1127" s="11"/>
      <c r="H1127" s="17"/>
      <c r="I1127" s="13"/>
      <c r="J1127" s="16"/>
      <c r="K1127" s="13"/>
      <c r="L1127" s="15">
        <f t="shared" si="566"/>
        <v>1</v>
      </c>
      <c r="M1127" s="15"/>
      <c r="N1127" s="15">
        <f t="shared" si="565"/>
        <v>0</v>
      </c>
    </row>
    <row r="1128" spans="1:14" x14ac:dyDescent="0.4">
      <c r="A1128" s="11" t="s">
        <v>6</v>
      </c>
      <c r="B1128" s="41">
        <f t="shared" ref="B1128:I1130" ca="1" si="567">OFFSET(B1128,-3,0)</f>
        <v>0</v>
      </c>
      <c r="C1128" s="41"/>
      <c r="D1128" s="41"/>
      <c r="E1128" s="41"/>
      <c r="F1128" s="19">
        <f t="shared" ca="1" si="567"/>
        <v>0</v>
      </c>
      <c r="G1128" s="20">
        <f t="shared" ca="1" si="567"/>
        <v>0</v>
      </c>
      <c r="H1128" s="20">
        <f t="shared" ca="1" si="567"/>
        <v>0</v>
      </c>
      <c r="I1128" s="13">
        <f t="shared" ca="1" si="567"/>
        <v>0</v>
      </c>
      <c r="J1128" s="16"/>
      <c r="K1128" s="19">
        <f t="shared" ref="K1128:K1130" ca="1" si="568">OFFSET(K1128,-3,0)</f>
        <v>0</v>
      </c>
      <c r="L1128" s="15">
        <f t="shared" ca="1" si="566"/>
        <v>1</v>
      </c>
      <c r="M1128" s="15"/>
      <c r="N1128" s="15">
        <f t="shared" ca="1" si="565"/>
        <v>0</v>
      </c>
    </row>
    <row r="1129" spans="1:14" x14ac:dyDescent="0.4">
      <c r="A1129" s="11" t="s">
        <v>6</v>
      </c>
      <c r="B1129" s="41">
        <f t="shared" ca="1" si="567"/>
        <v>0</v>
      </c>
      <c r="C1129" s="41"/>
      <c r="D1129" s="41"/>
      <c r="E1129" s="41"/>
      <c r="F1129" s="19">
        <f t="shared" ca="1" si="567"/>
        <v>0</v>
      </c>
      <c r="G1129" s="20">
        <f t="shared" ca="1" si="567"/>
        <v>0</v>
      </c>
      <c r="H1129" s="20">
        <f t="shared" ca="1" si="567"/>
        <v>0</v>
      </c>
      <c r="I1129" s="13">
        <f t="shared" ca="1" si="567"/>
        <v>0</v>
      </c>
      <c r="J1129" s="16"/>
      <c r="K1129" s="19">
        <f t="shared" ca="1" si="568"/>
        <v>0</v>
      </c>
      <c r="L1129" s="15">
        <f t="shared" ca="1" si="566"/>
        <v>1</v>
      </c>
      <c r="M1129" s="15"/>
      <c r="N1129" s="15">
        <f t="shared" ca="1" si="565"/>
        <v>0</v>
      </c>
    </row>
    <row r="1130" spans="1:14" x14ac:dyDescent="0.4">
      <c r="A1130" s="11" t="s">
        <v>6</v>
      </c>
      <c r="B1130" s="41">
        <f t="shared" ca="1" si="567"/>
        <v>0</v>
      </c>
      <c r="C1130" s="41"/>
      <c r="D1130" s="41"/>
      <c r="E1130" s="41"/>
      <c r="F1130" s="19">
        <f t="shared" ca="1" si="567"/>
        <v>0</v>
      </c>
      <c r="G1130" s="20">
        <f t="shared" ca="1" si="567"/>
        <v>0</v>
      </c>
      <c r="H1130" s="20">
        <f t="shared" ca="1" si="567"/>
        <v>0</v>
      </c>
      <c r="I1130" s="13">
        <f t="shared" ca="1" si="567"/>
        <v>0</v>
      </c>
      <c r="J1130" s="16"/>
      <c r="K1130" s="19">
        <f t="shared" ca="1" si="568"/>
        <v>0</v>
      </c>
      <c r="L1130" s="15">
        <f t="shared" ca="1" si="566"/>
        <v>1</v>
      </c>
      <c r="M1130" s="15"/>
      <c r="N1130" s="15">
        <f t="shared" ca="1" si="565"/>
        <v>0</v>
      </c>
    </row>
    <row r="1131" spans="1:14" x14ac:dyDescent="0.4">
      <c r="A1131" s="11" t="s">
        <v>10</v>
      </c>
      <c r="B1131" s="40">
        <f t="shared" ref="B1131:I1133" ca="1" si="569">OFFSET(B1131,-6,0)</f>
        <v>0</v>
      </c>
      <c r="C1131" s="40"/>
      <c r="D1131" s="40"/>
      <c r="E1131" s="40"/>
      <c r="F1131" s="13">
        <f t="shared" ca="1" si="569"/>
        <v>0</v>
      </c>
      <c r="G1131" s="17">
        <f t="shared" ca="1" si="569"/>
        <v>0</v>
      </c>
      <c r="H1131" s="17">
        <f t="shared" ca="1" si="569"/>
        <v>0</v>
      </c>
      <c r="I1131" s="13">
        <f t="shared" ca="1" si="569"/>
        <v>0</v>
      </c>
      <c r="J1131" s="16"/>
      <c r="K1131" s="13">
        <f t="shared" ref="K1131:K1133" ca="1" si="570">OFFSET(K1131,-6,0)</f>
        <v>0</v>
      </c>
      <c r="L1131" s="15">
        <f t="shared" ca="1" si="566"/>
        <v>1</v>
      </c>
      <c r="M1131" s="15"/>
      <c r="N1131" s="15">
        <f t="shared" ca="1" si="565"/>
        <v>0</v>
      </c>
    </row>
    <row r="1132" spans="1:14" x14ac:dyDescent="0.4">
      <c r="A1132" s="11" t="s">
        <v>10</v>
      </c>
      <c r="B1132" s="40">
        <f t="shared" ca="1" si="569"/>
        <v>0</v>
      </c>
      <c r="C1132" s="40"/>
      <c r="D1132" s="40"/>
      <c r="E1132" s="40"/>
      <c r="F1132" s="13">
        <f t="shared" ca="1" si="569"/>
        <v>0</v>
      </c>
      <c r="G1132" s="17">
        <f t="shared" ca="1" si="569"/>
        <v>0</v>
      </c>
      <c r="H1132" s="17">
        <f t="shared" ca="1" si="569"/>
        <v>0</v>
      </c>
      <c r="I1132" s="13">
        <f t="shared" ca="1" si="569"/>
        <v>0</v>
      </c>
      <c r="J1132" s="16"/>
      <c r="K1132" s="13">
        <f t="shared" ca="1" si="570"/>
        <v>0</v>
      </c>
      <c r="L1132" s="15">
        <f t="shared" ca="1" si="566"/>
        <v>1</v>
      </c>
      <c r="M1132" s="15"/>
      <c r="N1132" s="15">
        <f t="shared" ca="1" si="565"/>
        <v>0</v>
      </c>
    </row>
    <row r="1133" spans="1:14" x14ac:dyDescent="0.4">
      <c r="A1133" s="11" t="s">
        <v>10</v>
      </c>
      <c r="B1133" s="40">
        <f t="shared" ca="1" si="569"/>
        <v>0</v>
      </c>
      <c r="C1133" s="40"/>
      <c r="D1133" s="40"/>
      <c r="E1133" s="40"/>
      <c r="F1133" s="13">
        <f t="shared" ca="1" si="569"/>
        <v>0</v>
      </c>
      <c r="G1133" s="17">
        <f t="shared" ca="1" si="569"/>
        <v>0</v>
      </c>
      <c r="H1133" s="17">
        <f t="shared" ca="1" si="569"/>
        <v>0</v>
      </c>
      <c r="I1133" s="13">
        <f t="shared" ca="1" si="569"/>
        <v>0</v>
      </c>
      <c r="J1133" s="16"/>
      <c r="K1133" s="13">
        <f t="shared" ca="1" si="570"/>
        <v>0</v>
      </c>
      <c r="L1133" s="15">
        <f t="shared" ca="1" si="566"/>
        <v>1</v>
      </c>
      <c r="M1133" s="15"/>
      <c r="N1133" s="15">
        <f t="shared" ca="1" si="565"/>
        <v>0</v>
      </c>
    </row>
    <row r="1134" spans="1:14" x14ac:dyDescent="0.4">
      <c r="A1134" s="11" t="s">
        <v>7</v>
      </c>
      <c r="B1134" s="40">
        <f t="shared" ref="B1134:I1136" ca="1" si="571">OFFSET(B1134,-9,0)</f>
        <v>0</v>
      </c>
      <c r="C1134" s="40"/>
      <c r="D1134" s="40"/>
      <c r="E1134" s="40"/>
      <c r="F1134" s="13">
        <f t="shared" ca="1" si="571"/>
        <v>0</v>
      </c>
      <c r="G1134" s="17">
        <f t="shared" ca="1" si="571"/>
        <v>0</v>
      </c>
      <c r="H1134" s="17">
        <f t="shared" ca="1" si="571"/>
        <v>0</v>
      </c>
      <c r="I1134" s="13">
        <f t="shared" ca="1" si="571"/>
        <v>0</v>
      </c>
      <c r="J1134" s="16"/>
      <c r="K1134" s="13">
        <f t="shared" ref="K1134:K1136" ca="1" si="572">OFFSET(K1134,-9,0)</f>
        <v>0</v>
      </c>
      <c r="L1134" s="15">
        <f t="shared" ca="1" si="566"/>
        <v>1</v>
      </c>
      <c r="M1134" s="15"/>
      <c r="N1134" s="15">
        <f t="shared" ca="1" si="565"/>
        <v>0</v>
      </c>
    </row>
    <row r="1135" spans="1:14" x14ac:dyDescent="0.4">
      <c r="A1135" s="11" t="s">
        <v>7</v>
      </c>
      <c r="B1135" s="40">
        <f t="shared" ca="1" si="571"/>
        <v>0</v>
      </c>
      <c r="C1135" s="40"/>
      <c r="D1135" s="40"/>
      <c r="E1135" s="40"/>
      <c r="F1135" s="13">
        <f t="shared" ca="1" si="571"/>
        <v>0</v>
      </c>
      <c r="G1135" s="17">
        <f t="shared" ca="1" si="571"/>
        <v>0</v>
      </c>
      <c r="H1135" s="17">
        <f t="shared" ca="1" si="571"/>
        <v>0</v>
      </c>
      <c r="I1135" s="13">
        <f t="shared" ca="1" si="571"/>
        <v>0</v>
      </c>
      <c r="J1135" s="16"/>
      <c r="K1135" s="13">
        <f t="shared" ca="1" si="572"/>
        <v>0</v>
      </c>
      <c r="L1135" s="15">
        <f t="shared" ca="1" si="566"/>
        <v>1</v>
      </c>
      <c r="M1135" s="15"/>
      <c r="N1135" s="15">
        <f t="shared" ca="1" si="565"/>
        <v>0</v>
      </c>
    </row>
    <row r="1136" spans="1:14" x14ac:dyDescent="0.4">
      <c r="A1136" s="11" t="s">
        <v>7</v>
      </c>
      <c r="B1136" s="40">
        <f t="shared" ca="1" si="571"/>
        <v>0</v>
      </c>
      <c r="C1136" s="40"/>
      <c r="D1136" s="40"/>
      <c r="E1136" s="40"/>
      <c r="F1136" s="13">
        <f t="shared" ca="1" si="571"/>
        <v>0</v>
      </c>
      <c r="G1136" s="17">
        <f t="shared" ca="1" si="571"/>
        <v>0</v>
      </c>
      <c r="H1136" s="17">
        <f t="shared" ca="1" si="571"/>
        <v>0</v>
      </c>
      <c r="I1136" s="13">
        <f t="shared" ca="1" si="571"/>
        <v>0</v>
      </c>
      <c r="J1136" s="16"/>
      <c r="K1136" s="13">
        <f t="shared" ca="1" si="572"/>
        <v>0</v>
      </c>
      <c r="L1136" s="15">
        <f t="shared" ca="1" si="566"/>
        <v>1</v>
      </c>
      <c r="M1136" s="15"/>
      <c r="N1136" s="15">
        <f t="shared" ca="1" si="565"/>
        <v>0</v>
      </c>
    </row>
    <row r="1137" spans="1:14" x14ac:dyDescent="0.4">
      <c r="A1137" s="11" t="s">
        <v>8</v>
      </c>
      <c r="B1137" s="40">
        <f t="shared" ref="B1137:I1139" ca="1" si="573">OFFSET(B1137,-12,0)</f>
        <v>0</v>
      </c>
      <c r="C1137" s="40"/>
      <c r="D1137" s="40"/>
      <c r="E1137" s="40"/>
      <c r="F1137" s="13">
        <f t="shared" ca="1" si="573"/>
        <v>0</v>
      </c>
      <c r="G1137" s="17">
        <f t="shared" ca="1" si="573"/>
        <v>0</v>
      </c>
      <c r="H1137" s="17">
        <f t="shared" ca="1" si="573"/>
        <v>0</v>
      </c>
      <c r="I1137" s="13">
        <f t="shared" ca="1" si="573"/>
        <v>0</v>
      </c>
      <c r="J1137" s="16"/>
      <c r="K1137" s="13">
        <f t="shared" ref="K1137:K1139" ca="1" si="574">OFFSET(K1137,-12,0)</f>
        <v>0</v>
      </c>
      <c r="L1137" s="15">
        <f t="shared" ca="1" si="566"/>
        <v>1</v>
      </c>
      <c r="M1137" s="15"/>
      <c r="N1137" s="15">
        <f t="shared" ca="1" si="565"/>
        <v>0</v>
      </c>
    </row>
    <row r="1138" spans="1:14" x14ac:dyDescent="0.4">
      <c r="A1138" s="11" t="s">
        <v>8</v>
      </c>
      <c r="B1138" s="40">
        <f t="shared" ca="1" si="573"/>
        <v>0</v>
      </c>
      <c r="C1138" s="40"/>
      <c r="D1138" s="40"/>
      <c r="E1138" s="40"/>
      <c r="F1138" s="13">
        <f t="shared" ca="1" si="573"/>
        <v>0</v>
      </c>
      <c r="G1138" s="17">
        <f t="shared" ca="1" si="573"/>
        <v>0</v>
      </c>
      <c r="H1138" s="17">
        <f t="shared" ca="1" si="573"/>
        <v>0</v>
      </c>
      <c r="I1138" s="13">
        <f t="shared" ca="1" si="573"/>
        <v>0</v>
      </c>
      <c r="J1138" s="16"/>
      <c r="K1138" s="13">
        <f t="shared" ca="1" si="574"/>
        <v>0</v>
      </c>
      <c r="L1138" s="15">
        <f t="shared" ca="1" si="566"/>
        <v>1</v>
      </c>
      <c r="M1138" s="15"/>
      <c r="N1138" s="15">
        <f t="shared" ca="1" si="565"/>
        <v>0</v>
      </c>
    </row>
    <row r="1139" spans="1:14" x14ac:dyDescent="0.4">
      <c r="A1139" s="11" t="s">
        <v>8</v>
      </c>
      <c r="B1139" s="40">
        <f t="shared" ca="1" si="573"/>
        <v>0</v>
      </c>
      <c r="C1139" s="40"/>
      <c r="D1139" s="40"/>
      <c r="E1139" s="40"/>
      <c r="F1139" s="13">
        <f t="shared" ca="1" si="573"/>
        <v>0</v>
      </c>
      <c r="G1139" s="17">
        <f t="shared" ca="1" si="573"/>
        <v>0</v>
      </c>
      <c r="H1139" s="17">
        <f t="shared" ca="1" si="573"/>
        <v>0</v>
      </c>
      <c r="I1139" s="13">
        <f t="shared" ca="1" si="573"/>
        <v>0</v>
      </c>
      <c r="J1139" s="16"/>
      <c r="K1139" s="13">
        <f t="shared" ca="1" si="574"/>
        <v>0</v>
      </c>
      <c r="L1139" s="15">
        <f t="shared" ca="1" si="566"/>
        <v>1</v>
      </c>
      <c r="M1139" s="15"/>
      <c r="N1139" s="15">
        <f t="shared" ca="1" si="565"/>
        <v>0</v>
      </c>
    </row>
    <row r="1140" spans="1:14" x14ac:dyDescent="0.4">
      <c r="A1140" s="11" t="s">
        <v>9</v>
      </c>
      <c r="B1140" s="41">
        <f t="shared" ref="B1140:G1142" ca="1" si="575">OFFSET(B1140,-15,0)</f>
        <v>0</v>
      </c>
      <c r="C1140" s="41"/>
      <c r="D1140" s="41"/>
      <c r="E1140" s="41"/>
      <c r="F1140" s="19">
        <f t="shared" ca="1" si="575"/>
        <v>0</v>
      </c>
      <c r="G1140" s="20">
        <f t="shared" ca="1" si="575"/>
        <v>0</v>
      </c>
      <c r="H1140" s="20">
        <f ca="1">OFFSET(H1140,-15,0)</f>
        <v>0</v>
      </c>
      <c r="I1140" s="13">
        <f t="shared" ref="H1140:I1142" ca="1" si="576">OFFSET(I1140,-15,0)</f>
        <v>0</v>
      </c>
      <c r="J1140" s="16"/>
      <c r="K1140" s="19">
        <f t="shared" ref="K1140:K1142" ca="1" si="577">OFFSET(K1140,-15,0)</f>
        <v>0</v>
      </c>
      <c r="L1140" s="15">
        <f t="shared" ca="1" si="566"/>
        <v>1</v>
      </c>
      <c r="M1140" s="15"/>
      <c r="N1140" s="15">
        <f t="shared" ca="1" si="565"/>
        <v>0</v>
      </c>
    </row>
    <row r="1141" spans="1:14" x14ac:dyDescent="0.4">
      <c r="A1141" s="11" t="s">
        <v>9</v>
      </c>
      <c r="B1141" s="41">
        <f t="shared" ca="1" si="575"/>
        <v>0</v>
      </c>
      <c r="C1141" s="41"/>
      <c r="D1141" s="41"/>
      <c r="E1141" s="41"/>
      <c r="F1141" s="19">
        <f t="shared" ca="1" si="575"/>
        <v>0</v>
      </c>
      <c r="G1141" s="20">
        <f t="shared" ca="1" si="575"/>
        <v>0</v>
      </c>
      <c r="H1141" s="20">
        <f t="shared" ca="1" si="576"/>
        <v>0</v>
      </c>
      <c r="I1141" s="13">
        <f t="shared" ca="1" si="576"/>
        <v>0</v>
      </c>
      <c r="J1141" s="16"/>
      <c r="K1141" s="19">
        <f t="shared" ca="1" si="577"/>
        <v>0</v>
      </c>
      <c r="L1141" s="15">
        <f t="shared" ca="1" si="566"/>
        <v>1</v>
      </c>
      <c r="M1141" s="15"/>
      <c r="N1141" s="15">
        <f t="shared" ca="1" si="565"/>
        <v>0</v>
      </c>
    </row>
    <row r="1142" spans="1:14" x14ac:dyDescent="0.4">
      <c r="A1142" s="11" t="s">
        <v>9</v>
      </c>
      <c r="B1142" s="41">
        <f t="shared" ca="1" si="575"/>
        <v>0</v>
      </c>
      <c r="C1142" s="41"/>
      <c r="D1142" s="41"/>
      <c r="E1142" s="41"/>
      <c r="F1142" s="19">
        <f t="shared" ca="1" si="575"/>
        <v>0</v>
      </c>
      <c r="G1142" s="20">
        <f t="shared" ca="1" si="575"/>
        <v>0</v>
      </c>
      <c r="H1142" s="20">
        <f t="shared" ca="1" si="576"/>
        <v>0</v>
      </c>
      <c r="I1142" s="13">
        <f t="shared" ca="1" si="576"/>
        <v>0</v>
      </c>
      <c r="J1142" s="16"/>
      <c r="K1142" s="19">
        <f t="shared" ca="1" si="577"/>
        <v>0</v>
      </c>
      <c r="L1142" s="15">
        <f t="shared" ca="1" si="566"/>
        <v>1</v>
      </c>
      <c r="M1142" s="15"/>
      <c r="N1142" s="15">
        <f t="shared" ca="1" si="565"/>
        <v>0</v>
      </c>
    </row>
    <row r="1143" spans="1:14" ht="17.399999999999999" x14ac:dyDescent="0.4">
      <c r="A1143" s="74" t="s">
        <v>28</v>
      </c>
      <c r="B1143" s="75"/>
      <c r="C1143" s="75"/>
      <c r="D1143" s="75"/>
      <c r="E1143" s="75"/>
      <c r="F1143" s="75"/>
      <c r="G1143" s="75"/>
      <c r="H1143" s="75"/>
      <c r="I1143" s="75"/>
      <c r="J1143" s="75"/>
      <c r="K1143" s="75"/>
      <c r="L1143" s="75"/>
      <c r="M1143" s="75"/>
      <c r="N1143" s="76"/>
    </row>
    <row r="1144" spans="1:14" x14ac:dyDescent="0.4">
      <c r="A1144" s="11" t="s">
        <v>5</v>
      </c>
      <c r="B1144" s="40"/>
      <c r="C1144" s="40"/>
      <c r="D1144" s="40"/>
      <c r="E1144" s="40"/>
      <c r="F1144" s="13"/>
      <c r="G1144" s="11"/>
      <c r="H1144" s="17"/>
      <c r="I1144" s="13"/>
      <c r="J1144" s="16"/>
      <c r="K1144" s="13"/>
      <c r="L1144" s="15">
        <f>ROUND((10^(K1144/10))/(10^(I1144/10)),3)</f>
        <v>1</v>
      </c>
      <c r="M1144" s="15"/>
      <c r="N1144" s="15">
        <f t="shared" ref="N1144:N1161" si="578">J1144*L1144</f>
        <v>0</v>
      </c>
    </row>
    <row r="1145" spans="1:14" x14ac:dyDescent="0.4">
      <c r="A1145" s="11" t="s">
        <v>5</v>
      </c>
      <c r="B1145" s="40"/>
      <c r="C1145" s="40"/>
      <c r="D1145" s="40"/>
      <c r="E1145" s="40"/>
      <c r="F1145" s="13"/>
      <c r="G1145" s="11"/>
      <c r="H1145" s="17"/>
      <c r="I1145" s="13"/>
      <c r="J1145" s="16"/>
      <c r="K1145" s="13"/>
      <c r="L1145" s="15">
        <f t="shared" ref="L1145:L1161" si="579">ROUND((10^(K1145/10))/(10^(I1145/10)),3)</f>
        <v>1</v>
      </c>
      <c r="M1145" s="15"/>
      <c r="N1145" s="15">
        <f t="shared" si="578"/>
        <v>0</v>
      </c>
    </row>
    <row r="1146" spans="1:14" x14ac:dyDescent="0.4">
      <c r="A1146" s="11" t="s">
        <v>5</v>
      </c>
      <c r="B1146" s="40"/>
      <c r="C1146" s="40"/>
      <c r="D1146" s="40"/>
      <c r="E1146" s="40"/>
      <c r="F1146" s="13"/>
      <c r="G1146" s="11"/>
      <c r="H1146" s="17"/>
      <c r="I1146" s="13"/>
      <c r="J1146" s="16"/>
      <c r="K1146" s="13"/>
      <c r="L1146" s="15">
        <f t="shared" si="579"/>
        <v>1</v>
      </c>
      <c r="M1146" s="15"/>
      <c r="N1146" s="15">
        <f t="shared" si="578"/>
        <v>0</v>
      </c>
    </row>
    <row r="1147" spans="1:14" x14ac:dyDescent="0.4">
      <c r="A1147" s="11" t="s">
        <v>6</v>
      </c>
      <c r="B1147" s="41">
        <f t="shared" ref="B1147:I1149" ca="1" si="580">OFFSET(B1147,-3,0)</f>
        <v>0</v>
      </c>
      <c r="C1147" s="41"/>
      <c r="D1147" s="41"/>
      <c r="E1147" s="41"/>
      <c r="F1147" s="19">
        <f t="shared" ca="1" si="580"/>
        <v>0</v>
      </c>
      <c r="G1147" s="20">
        <f t="shared" ca="1" si="580"/>
        <v>0</v>
      </c>
      <c r="H1147" s="20">
        <f t="shared" ca="1" si="580"/>
        <v>0</v>
      </c>
      <c r="I1147" s="13">
        <f t="shared" ca="1" si="580"/>
        <v>0</v>
      </c>
      <c r="J1147" s="16"/>
      <c r="K1147" s="19">
        <f t="shared" ref="K1147:K1149" ca="1" si="581">OFFSET(K1147,-3,0)</f>
        <v>0</v>
      </c>
      <c r="L1147" s="15">
        <f t="shared" ca="1" si="579"/>
        <v>1</v>
      </c>
      <c r="M1147" s="15"/>
      <c r="N1147" s="15">
        <f t="shared" ca="1" si="578"/>
        <v>0</v>
      </c>
    </row>
    <row r="1148" spans="1:14" x14ac:dyDescent="0.4">
      <c r="A1148" s="11" t="s">
        <v>6</v>
      </c>
      <c r="B1148" s="41">
        <f t="shared" ca="1" si="580"/>
        <v>0</v>
      </c>
      <c r="C1148" s="41"/>
      <c r="D1148" s="41"/>
      <c r="E1148" s="41"/>
      <c r="F1148" s="19">
        <f t="shared" ca="1" si="580"/>
        <v>0</v>
      </c>
      <c r="G1148" s="20">
        <f t="shared" ca="1" si="580"/>
        <v>0</v>
      </c>
      <c r="H1148" s="20">
        <f t="shared" ca="1" si="580"/>
        <v>0</v>
      </c>
      <c r="I1148" s="13">
        <f t="shared" ca="1" si="580"/>
        <v>0</v>
      </c>
      <c r="J1148" s="16"/>
      <c r="K1148" s="19">
        <f t="shared" ca="1" si="581"/>
        <v>0</v>
      </c>
      <c r="L1148" s="15">
        <f t="shared" ca="1" si="579"/>
        <v>1</v>
      </c>
      <c r="M1148" s="15"/>
      <c r="N1148" s="15">
        <f t="shared" ca="1" si="578"/>
        <v>0</v>
      </c>
    </row>
    <row r="1149" spans="1:14" x14ac:dyDescent="0.4">
      <c r="A1149" s="11" t="s">
        <v>6</v>
      </c>
      <c r="B1149" s="41">
        <f t="shared" ca="1" si="580"/>
        <v>0</v>
      </c>
      <c r="C1149" s="41"/>
      <c r="D1149" s="41"/>
      <c r="E1149" s="41"/>
      <c r="F1149" s="19">
        <f t="shared" ca="1" si="580"/>
        <v>0</v>
      </c>
      <c r="G1149" s="20">
        <f t="shared" ca="1" si="580"/>
        <v>0</v>
      </c>
      <c r="H1149" s="20">
        <f t="shared" ca="1" si="580"/>
        <v>0</v>
      </c>
      <c r="I1149" s="13">
        <f t="shared" ca="1" si="580"/>
        <v>0</v>
      </c>
      <c r="J1149" s="16"/>
      <c r="K1149" s="19">
        <f t="shared" ca="1" si="581"/>
        <v>0</v>
      </c>
      <c r="L1149" s="15">
        <f t="shared" ca="1" si="579"/>
        <v>1</v>
      </c>
      <c r="M1149" s="15"/>
      <c r="N1149" s="15">
        <f t="shared" ca="1" si="578"/>
        <v>0</v>
      </c>
    </row>
    <row r="1150" spans="1:14" x14ac:dyDescent="0.4">
      <c r="A1150" s="11" t="s">
        <v>10</v>
      </c>
      <c r="B1150" s="40">
        <f t="shared" ref="B1150:I1152" ca="1" si="582">OFFSET(B1150,-6,0)</f>
        <v>0</v>
      </c>
      <c r="C1150" s="40"/>
      <c r="D1150" s="40"/>
      <c r="E1150" s="40"/>
      <c r="F1150" s="13">
        <f t="shared" ca="1" si="582"/>
        <v>0</v>
      </c>
      <c r="G1150" s="17">
        <f t="shared" ca="1" si="582"/>
        <v>0</v>
      </c>
      <c r="H1150" s="17">
        <f t="shared" ca="1" si="582"/>
        <v>0</v>
      </c>
      <c r="I1150" s="13">
        <f t="shared" ca="1" si="582"/>
        <v>0</v>
      </c>
      <c r="J1150" s="16"/>
      <c r="K1150" s="13">
        <f t="shared" ref="K1150:K1152" ca="1" si="583">OFFSET(K1150,-6,0)</f>
        <v>0</v>
      </c>
      <c r="L1150" s="15">
        <f t="shared" ca="1" si="579"/>
        <v>1</v>
      </c>
      <c r="M1150" s="15"/>
      <c r="N1150" s="15">
        <f t="shared" ca="1" si="578"/>
        <v>0</v>
      </c>
    </row>
    <row r="1151" spans="1:14" x14ac:dyDescent="0.4">
      <c r="A1151" s="11" t="s">
        <v>10</v>
      </c>
      <c r="B1151" s="40">
        <f t="shared" ca="1" si="582"/>
        <v>0</v>
      </c>
      <c r="C1151" s="40"/>
      <c r="D1151" s="40"/>
      <c r="E1151" s="40"/>
      <c r="F1151" s="13">
        <f t="shared" ca="1" si="582"/>
        <v>0</v>
      </c>
      <c r="G1151" s="17">
        <f t="shared" ca="1" si="582"/>
        <v>0</v>
      </c>
      <c r="H1151" s="17">
        <f t="shared" ca="1" si="582"/>
        <v>0</v>
      </c>
      <c r="I1151" s="13">
        <f t="shared" ca="1" si="582"/>
        <v>0</v>
      </c>
      <c r="J1151" s="16"/>
      <c r="K1151" s="13">
        <f t="shared" ca="1" si="583"/>
        <v>0</v>
      </c>
      <c r="L1151" s="15">
        <f t="shared" ca="1" si="579"/>
        <v>1</v>
      </c>
      <c r="M1151" s="15"/>
      <c r="N1151" s="15">
        <f t="shared" ca="1" si="578"/>
        <v>0</v>
      </c>
    </row>
    <row r="1152" spans="1:14" x14ac:dyDescent="0.4">
      <c r="A1152" s="11" t="s">
        <v>10</v>
      </c>
      <c r="B1152" s="40">
        <f t="shared" ca="1" si="582"/>
        <v>0</v>
      </c>
      <c r="C1152" s="40"/>
      <c r="D1152" s="40"/>
      <c r="E1152" s="40"/>
      <c r="F1152" s="13">
        <f t="shared" ca="1" si="582"/>
        <v>0</v>
      </c>
      <c r="G1152" s="17">
        <f t="shared" ca="1" si="582"/>
        <v>0</v>
      </c>
      <c r="H1152" s="17">
        <f t="shared" ca="1" si="582"/>
        <v>0</v>
      </c>
      <c r="I1152" s="13">
        <f t="shared" ca="1" si="582"/>
        <v>0</v>
      </c>
      <c r="J1152" s="16"/>
      <c r="K1152" s="13">
        <f t="shared" ca="1" si="583"/>
        <v>0</v>
      </c>
      <c r="L1152" s="15">
        <f t="shared" ca="1" si="579"/>
        <v>1</v>
      </c>
      <c r="M1152" s="15"/>
      <c r="N1152" s="15">
        <f t="shared" ca="1" si="578"/>
        <v>0</v>
      </c>
    </row>
    <row r="1153" spans="1:14" x14ac:dyDescent="0.4">
      <c r="A1153" s="11" t="s">
        <v>7</v>
      </c>
      <c r="B1153" s="40">
        <f t="shared" ref="B1153:I1155" ca="1" si="584">OFFSET(B1153,-9,0)</f>
        <v>0</v>
      </c>
      <c r="C1153" s="40"/>
      <c r="D1153" s="40"/>
      <c r="E1153" s="40"/>
      <c r="F1153" s="13">
        <f t="shared" ca="1" si="584"/>
        <v>0</v>
      </c>
      <c r="G1153" s="17">
        <f t="shared" ca="1" si="584"/>
        <v>0</v>
      </c>
      <c r="H1153" s="17">
        <f t="shared" ca="1" si="584"/>
        <v>0</v>
      </c>
      <c r="I1153" s="13">
        <f t="shared" ca="1" si="584"/>
        <v>0</v>
      </c>
      <c r="J1153" s="16"/>
      <c r="K1153" s="13">
        <f t="shared" ref="K1153:K1155" ca="1" si="585">OFFSET(K1153,-9,0)</f>
        <v>0</v>
      </c>
      <c r="L1153" s="15">
        <f t="shared" ca="1" si="579"/>
        <v>1</v>
      </c>
      <c r="M1153" s="15"/>
      <c r="N1153" s="15">
        <f t="shared" ca="1" si="578"/>
        <v>0</v>
      </c>
    </row>
    <row r="1154" spans="1:14" x14ac:dyDescent="0.4">
      <c r="A1154" s="11" t="s">
        <v>7</v>
      </c>
      <c r="B1154" s="40">
        <f t="shared" ca="1" si="584"/>
        <v>0</v>
      </c>
      <c r="C1154" s="40"/>
      <c r="D1154" s="40"/>
      <c r="E1154" s="40"/>
      <c r="F1154" s="13">
        <f t="shared" ca="1" si="584"/>
        <v>0</v>
      </c>
      <c r="G1154" s="17">
        <f t="shared" ca="1" si="584"/>
        <v>0</v>
      </c>
      <c r="H1154" s="17">
        <f t="shared" ca="1" si="584"/>
        <v>0</v>
      </c>
      <c r="I1154" s="13">
        <f t="shared" ca="1" si="584"/>
        <v>0</v>
      </c>
      <c r="J1154" s="16"/>
      <c r="K1154" s="13">
        <f t="shared" ca="1" si="585"/>
        <v>0</v>
      </c>
      <c r="L1154" s="15">
        <f t="shared" ca="1" si="579"/>
        <v>1</v>
      </c>
      <c r="M1154" s="15"/>
      <c r="N1154" s="15">
        <f t="shared" ca="1" si="578"/>
        <v>0</v>
      </c>
    </row>
    <row r="1155" spans="1:14" x14ac:dyDescent="0.4">
      <c r="A1155" s="11" t="s">
        <v>7</v>
      </c>
      <c r="B1155" s="40">
        <f t="shared" ca="1" si="584"/>
        <v>0</v>
      </c>
      <c r="C1155" s="40"/>
      <c r="D1155" s="40"/>
      <c r="E1155" s="40"/>
      <c r="F1155" s="13">
        <f t="shared" ca="1" si="584"/>
        <v>0</v>
      </c>
      <c r="G1155" s="17">
        <f t="shared" ca="1" si="584"/>
        <v>0</v>
      </c>
      <c r="H1155" s="17">
        <f t="shared" ca="1" si="584"/>
        <v>0</v>
      </c>
      <c r="I1155" s="13">
        <f t="shared" ca="1" si="584"/>
        <v>0</v>
      </c>
      <c r="J1155" s="16"/>
      <c r="K1155" s="13">
        <f t="shared" ca="1" si="585"/>
        <v>0</v>
      </c>
      <c r="L1155" s="15">
        <f t="shared" ca="1" si="579"/>
        <v>1</v>
      </c>
      <c r="M1155" s="15"/>
      <c r="N1155" s="15">
        <f t="shared" ca="1" si="578"/>
        <v>0</v>
      </c>
    </row>
    <row r="1156" spans="1:14" x14ac:dyDescent="0.4">
      <c r="A1156" s="11" t="s">
        <v>8</v>
      </c>
      <c r="B1156" s="40">
        <f t="shared" ref="B1156:I1158" ca="1" si="586">OFFSET(B1156,-12,0)</f>
        <v>0</v>
      </c>
      <c r="C1156" s="40"/>
      <c r="D1156" s="40"/>
      <c r="E1156" s="40"/>
      <c r="F1156" s="13">
        <f t="shared" ca="1" si="586"/>
        <v>0</v>
      </c>
      <c r="G1156" s="17">
        <f t="shared" ca="1" si="586"/>
        <v>0</v>
      </c>
      <c r="H1156" s="17">
        <f t="shared" ca="1" si="586"/>
        <v>0</v>
      </c>
      <c r="I1156" s="13">
        <f t="shared" ca="1" si="586"/>
        <v>0</v>
      </c>
      <c r="J1156" s="16"/>
      <c r="K1156" s="13">
        <f t="shared" ref="K1156:K1158" ca="1" si="587">OFFSET(K1156,-12,0)</f>
        <v>0</v>
      </c>
      <c r="L1156" s="15">
        <f t="shared" ca="1" si="579"/>
        <v>1</v>
      </c>
      <c r="M1156" s="15"/>
      <c r="N1156" s="15">
        <f t="shared" ca="1" si="578"/>
        <v>0</v>
      </c>
    </row>
    <row r="1157" spans="1:14" x14ac:dyDescent="0.4">
      <c r="A1157" s="11" t="s">
        <v>8</v>
      </c>
      <c r="B1157" s="40">
        <f t="shared" ca="1" si="586"/>
        <v>0</v>
      </c>
      <c r="C1157" s="40"/>
      <c r="D1157" s="40"/>
      <c r="E1157" s="40"/>
      <c r="F1157" s="13">
        <f t="shared" ca="1" si="586"/>
        <v>0</v>
      </c>
      <c r="G1157" s="17">
        <f t="shared" ca="1" si="586"/>
        <v>0</v>
      </c>
      <c r="H1157" s="17">
        <f t="shared" ca="1" si="586"/>
        <v>0</v>
      </c>
      <c r="I1157" s="13">
        <f t="shared" ca="1" si="586"/>
        <v>0</v>
      </c>
      <c r="J1157" s="16"/>
      <c r="K1157" s="13">
        <f t="shared" ca="1" si="587"/>
        <v>0</v>
      </c>
      <c r="L1157" s="15">
        <f t="shared" ca="1" si="579"/>
        <v>1</v>
      </c>
      <c r="M1157" s="15"/>
      <c r="N1157" s="15">
        <f t="shared" ca="1" si="578"/>
        <v>0</v>
      </c>
    </row>
    <row r="1158" spans="1:14" x14ac:dyDescent="0.4">
      <c r="A1158" s="11" t="s">
        <v>8</v>
      </c>
      <c r="B1158" s="40">
        <f t="shared" ca="1" si="586"/>
        <v>0</v>
      </c>
      <c r="C1158" s="40"/>
      <c r="D1158" s="40"/>
      <c r="E1158" s="40"/>
      <c r="F1158" s="13">
        <f t="shared" ca="1" si="586"/>
        <v>0</v>
      </c>
      <c r="G1158" s="17">
        <f t="shared" ca="1" si="586"/>
        <v>0</v>
      </c>
      <c r="H1158" s="17">
        <f t="shared" ca="1" si="586"/>
        <v>0</v>
      </c>
      <c r="I1158" s="13">
        <f t="shared" ca="1" si="586"/>
        <v>0</v>
      </c>
      <c r="J1158" s="16"/>
      <c r="K1158" s="13">
        <f t="shared" ca="1" si="587"/>
        <v>0</v>
      </c>
      <c r="L1158" s="15">
        <f t="shared" ca="1" si="579"/>
        <v>1</v>
      </c>
      <c r="M1158" s="15"/>
      <c r="N1158" s="15">
        <f t="shared" ca="1" si="578"/>
        <v>0</v>
      </c>
    </row>
    <row r="1159" spans="1:14" x14ac:dyDescent="0.4">
      <c r="A1159" s="11" t="s">
        <v>9</v>
      </c>
      <c r="B1159" s="41">
        <f t="shared" ref="B1159:H1161" ca="1" si="588">OFFSET(B1159,-15,0)</f>
        <v>0</v>
      </c>
      <c r="C1159" s="41"/>
      <c r="D1159" s="41"/>
      <c r="E1159" s="41"/>
      <c r="F1159" s="19">
        <f t="shared" ca="1" si="588"/>
        <v>0</v>
      </c>
      <c r="G1159" s="20">
        <f t="shared" ca="1" si="588"/>
        <v>0</v>
      </c>
      <c r="H1159" s="20">
        <f ca="1">OFFSET(H1159,-15,0)</f>
        <v>0</v>
      </c>
      <c r="I1159" s="13">
        <f t="shared" ref="I1159:I1161" ca="1" si="589">OFFSET(I1159,-15,0)</f>
        <v>0</v>
      </c>
      <c r="J1159" s="16"/>
      <c r="K1159" s="19">
        <f t="shared" ref="K1159:K1161" ca="1" si="590">OFFSET(K1159,-15,0)</f>
        <v>0</v>
      </c>
      <c r="L1159" s="15">
        <f t="shared" ca="1" si="579"/>
        <v>1</v>
      </c>
      <c r="M1159" s="15"/>
      <c r="N1159" s="15">
        <f t="shared" ca="1" si="578"/>
        <v>0</v>
      </c>
    </row>
    <row r="1160" spans="1:14" x14ac:dyDescent="0.4">
      <c r="A1160" s="11" t="s">
        <v>9</v>
      </c>
      <c r="B1160" s="41">
        <f t="shared" ca="1" si="588"/>
        <v>0</v>
      </c>
      <c r="C1160" s="41"/>
      <c r="D1160" s="41"/>
      <c r="E1160" s="41"/>
      <c r="F1160" s="19">
        <f t="shared" ca="1" si="588"/>
        <v>0</v>
      </c>
      <c r="G1160" s="20">
        <f t="shared" ca="1" si="588"/>
        <v>0</v>
      </c>
      <c r="H1160" s="20">
        <f t="shared" ca="1" si="588"/>
        <v>0</v>
      </c>
      <c r="I1160" s="13">
        <f t="shared" ca="1" si="589"/>
        <v>0</v>
      </c>
      <c r="J1160" s="16"/>
      <c r="K1160" s="19">
        <f t="shared" ca="1" si="590"/>
        <v>0</v>
      </c>
      <c r="L1160" s="15">
        <f t="shared" ca="1" si="579"/>
        <v>1</v>
      </c>
      <c r="M1160" s="15"/>
      <c r="N1160" s="15">
        <f t="shared" ca="1" si="578"/>
        <v>0</v>
      </c>
    </row>
    <row r="1161" spans="1:14" x14ac:dyDescent="0.4">
      <c r="A1161" s="11" t="s">
        <v>9</v>
      </c>
      <c r="B1161" s="41">
        <f t="shared" ca="1" si="588"/>
        <v>0</v>
      </c>
      <c r="C1161" s="41"/>
      <c r="D1161" s="41"/>
      <c r="E1161" s="41"/>
      <c r="F1161" s="19">
        <f t="shared" ca="1" si="588"/>
        <v>0</v>
      </c>
      <c r="G1161" s="20">
        <f t="shared" ca="1" si="588"/>
        <v>0</v>
      </c>
      <c r="H1161" s="20">
        <f t="shared" ca="1" si="588"/>
        <v>0</v>
      </c>
      <c r="I1161" s="13">
        <f t="shared" ca="1" si="589"/>
        <v>0</v>
      </c>
      <c r="J1161" s="16"/>
      <c r="K1161" s="19">
        <f t="shared" ca="1" si="590"/>
        <v>0</v>
      </c>
      <c r="L1161" s="15">
        <f t="shared" ca="1" si="579"/>
        <v>1</v>
      </c>
      <c r="M1161" s="15"/>
      <c r="N1161" s="15">
        <f t="shared" ca="1" si="578"/>
        <v>0</v>
      </c>
    </row>
    <row r="1162" spans="1:14" ht="17.399999999999999" x14ac:dyDescent="0.4">
      <c r="A1162" s="74" t="s">
        <v>25</v>
      </c>
      <c r="B1162" s="75"/>
      <c r="C1162" s="75"/>
      <c r="D1162" s="75"/>
      <c r="E1162" s="75"/>
      <c r="F1162" s="75"/>
      <c r="G1162" s="75"/>
      <c r="H1162" s="75"/>
      <c r="I1162" s="75"/>
      <c r="J1162" s="75"/>
      <c r="K1162" s="75"/>
      <c r="L1162" s="75"/>
      <c r="M1162" s="75"/>
      <c r="N1162" s="76"/>
    </row>
    <row r="1163" spans="1:14" x14ac:dyDescent="0.4">
      <c r="A1163" s="11" t="s">
        <v>5</v>
      </c>
      <c r="B1163" s="40"/>
      <c r="C1163" s="40"/>
      <c r="D1163" s="40"/>
      <c r="E1163" s="40"/>
      <c r="F1163" s="13"/>
      <c r="G1163" s="11"/>
      <c r="H1163" s="17"/>
      <c r="I1163" s="13"/>
      <c r="J1163" s="16"/>
      <c r="K1163" s="13"/>
      <c r="L1163" s="15">
        <f>ROUND((10^(K1163/10))/(10^(I1163/10)),3)</f>
        <v>1</v>
      </c>
      <c r="M1163" s="15"/>
      <c r="N1163" s="15">
        <f t="shared" ref="N1163:N1180" si="591">J1163*L1163</f>
        <v>0</v>
      </c>
    </row>
    <row r="1164" spans="1:14" x14ac:dyDescent="0.4">
      <c r="A1164" s="11" t="s">
        <v>5</v>
      </c>
      <c r="B1164" s="40"/>
      <c r="C1164" s="40"/>
      <c r="D1164" s="40"/>
      <c r="E1164" s="40"/>
      <c r="F1164" s="13"/>
      <c r="G1164" s="11"/>
      <c r="H1164" s="17"/>
      <c r="I1164" s="13"/>
      <c r="J1164" s="16"/>
      <c r="K1164" s="13"/>
      <c r="L1164" s="15">
        <f t="shared" ref="L1164:L1180" si="592">ROUND((10^(K1164/10))/(10^(I1164/10)),3)</f>
        <v>1</v>
      </c>
      <c r="M1164" s="15"/>
      <c r="N1164" s="15">
        <f t="shared" si="591"/>
        <v>0</v>
      </c>
    </row>
    <row r="1165" spans="1:14" x14ac:dyDescent="0.4">
      <c r="A1165" s="11" t="s">
        <v>5</v>
      </c>
      <c r="B1165" s="40"/>
      <c r="C1165" s="40"/>
      <c r="D1165" s="40"/>
      <c r="E1165" s="40"/>
      <c r="F1165" s="13"/>
      <c r="G1165" s="11"/>
      <c r="H1165" s="17"/>
      <c r="I1165" s="13"/>
      <c r="J1165" s="16"/>
      <c r="K1165" s="13"/>
      <c r="L1165" s="15">
        <f t="shared" si="592"/>
        <v>1</v>
      </c>
      <c r="M1165" s="15"/>
      <c r="N1165" s="15">
        <f t="shared" si="591"/>
        <v>0</v>
      </c>
    </row>
    <row r="1166" spans="1:14" x14ac:dyDescent="0.4">
      <c r="A1166" s="11" t="s">
        <v>6</v>
      </c>
      <c r="B1166" s="41">
        <f t="shared" ref="B1166:I1168" ca="1" si="593">OFFSET(B1166,-3,0)</f>
        <v>0</v>
      </c>
      <c r="C1166" s="41"/>
      <c r="D1166" s="41"/>
      <c r="E1166" s="41"/>
      <c r="F1166" s="19">
        <f t="shared" ca="1" si="593"/>
        <v>0</v>
      </c>
      <c r="G1166" s="20">
        <f t="shared" ca="1" si="593"/>
        <v>0</v>
      </c>
      <c r="H1166" s="20">
        <f t="shared" ca="1" si="593"/>
        <v>0</v>
      </c>
      <c r="I1166" s="13">
        <f t="shared" ca="1" si="593"/>
        <v>0</v>
      </c>
      <c r="J1166" s="16"/>
      <c r="K1166" s="19">
        <f t="shared" ref="K1166:K1168" ca="1" si="594">OFFSET(K1166,-3,0)</f>
        <v>0</v>
      </c>
      <c r="L1166" s="15">
        <f t="shared" ca="1" si="592"/>
        <v>1</v>
      </c>
      <c r="M1166" s="15"/>
      <c r="N1166" s="15">
        <f t="shared" ca="1" si="591"/>
        <v>0</v>
      </c>
    </row>
    <row r="1167" spans="1:14" x14ac:dyDescent="0.4">
      <c r="A1167" s="11" t="s">
        <v>6</v>
      </c>
      <c r="B1167" s="41">
        <f t="shared" ca="1" si="593"/>
        <v>0</v>
      </c>
      <c r="C1167" s="41"/>
      <c r="D1167" s="41"/>
      <c r="E1167" s="41"/>
      <c r="F1167" s="19">
        <f t="shared" ca="1" si="593"/>
        <v>0</v>
      </c>
      <c r="G1167" s="20">
        <f t="shared" ca="1" si="593"/>
        <v>0</v>
      </c>
      <c r="H1167" s="20">
        <f t="shared" ca="1" si="593"/>
        <v>0</v>
      </c>
      <c r="I1167" s="13">
        <f t="shared" ca="1" si="593"/>
        <v>0</v>
      </c>
      <c r="J1167" s="16"/>
      <c r="K1167" s="19">
        <f t="shared" ca="1" si="594"/>
        <v>0</v>
      </c>
      <c r="L1167" s="15">
        <f t="shared" ca="1" si="592"/>
        <v>1</v>
      </c>
      <c r="M1167" s="15"/>
      <c r="N1167" s="15">
        <f t="shared" ca="1" si="591"/>
        <v>0</v>
      </c>
    </row>
    <row r="1168" spans="1:14" x14ac:dyDescent="0.4">
      <c r="A1168" s="11" t="s">
        <v>6</v>
      </c>
      <c r="B1168" s="41">
        <f t="shared" ca="1" si="593"/>
        <v>0</v>
      </c>
      <c r="C1168" s="41"/>
      <c r="D1168" s="41"/>
      <c r="E1168" s="41"/>
      <c r="F1168" s="19">
        <f t="shared" ca="1" si="593"/>
        <v>0</v>
      </c>
      <c r="G1168" s="20">
        <f t="shared" ca="1" si="593"/>
        <v>0</v>
      </c>
      <c r="H1168" s="20">
        <f t="shared" ca="1" si="593"/>
        <v>0</v>
      </c>
      <c r="I1168" s="13">
        <f t="shared" ca="1" si="593"/>
        <v>0</v>
      </c>
      <c r="J1168" s="16"/>
      <c r="K1168" s="19">
        <f t="shared" ca="1" si="594"/>
        <v>0</v>
      </c>
      <c r="L1168" s="15">
        <f t="shared" ca="1" si="592"/>
        <v>1</v>
      </c>
      <c r="M1168" s="15"/>
      <c r="N1168" s="15">
        <f t="shared" ca="1" si="591"/>
        <v>0</v>
      </c>
    </row>
    <row r="1169" spans="1:14" x14ac:dyDescent="0.4">
      <c r="A1169" s="11" t="s">
        <v>10</v>
      </c>
      <c r="B1169" s="40">
        <f t="shared" ref="B1169:I1171" ca="1" si="595">OFFSET(B1169,-6,0)</f>
        <v>0</v>
      </c>
      <c r="C1169" s="40"/>
      <c r="D1169" s="40"/>
      <c r="E1169" s="40"/>
      <c r="F1169" s="13">
        <f t="shared" ca="1" si="595"/>
        <v>0</v>
      </c>
      <c r="G1169" s="17">
        <f t="shared" ca="1" si="595"/>
        <v>0</v>
      </c>
      <c r="H1169" s="17">
        <f t="shared" ca="1" si="595"/>
        <v>0</v>
      </c>
      <c r="I1169" s="13">
        <f t="shared" ca="1" si="595"/>
        <v>0</v>
      </c>
      <c r="J1169" s="16"/>
      <c r="K1169" s="13">
        <f t="shared" ref="K1169:K1171" ca="1" si="596">OFFSET(K1169,-6,0)</f>
        <v>0</v>
      </c>
      <c r="L1169" s="15">
        <f t="shared" ca="1" si="592"/>
        <v>1</v>
      </c>
      <c r="M1169" s="15"/>
      <c r="N1169" s="15">
        <f t="shared" ca="1" si="591"/>
        <v>0</v>
      </c>
    </row>
    <row r="1170" spans="1:14" x14ac:dyDescent="0.4">
      <c r="A1170" s="11" t="s">
        <v>10</v>
      </c>
      <c r="B1170" s="40">
        <f t="shared" ca="1" si="595"/>
        <v>0</v>
      </c>
      <c r="C1170" s="40"/>
      <c r="D1170" s="40"/>
      <c r="E1170" s="40"/>
      <c r="F1170" s="13">
        <f t="shared" ca="1" si="595"/>
        <v>0</v>
      </c>
      <c r="G1170" s="17">
        <f t="shared" ca="1" si="595"/>
        <v>0</v>
      </c>
      <c r="H1170" s="17">
        <f t="shared" ca="1" si="595"/>
        <v>0</v>
      </c>
      <c r="I1170" s="13">
        <f t="shared" ca="1" si="595"/>
        <v>0</v>
      </c>
      <c r="J1170" s="16"/>
      <c r="K1170" s="13">
        <f t="shared" ca="1" si="596"/>
        <v>0</v>
      </c>
      <c r="L1170" s="15">
        <f t="shared" ca="1" si="592"/>
        <v>1</v>
      </c>
      <c r="M1170" s="15"/>
      <c r="N1170" s="15">
        <f t="shared" ca="1" si="591"/>
        <v>0</v>
      </c>
    </row>
    <row r="1171" spans="1:14" x14ac:dyDescent="0.4">
      <c r="A1171" s="11" t="s">
        <v>10</v>
      </c>
      <c r="B1171" s="40">
        <f t="shared" ca="1" si="595"/>
        <v>0</v>
      </c>
      <c r="C1171" s="40"/>
      <c r="D1171" s="40"/>
      <c r="E1171" s="40"/>
      <c r="F1171" s="13">
        <f t="shared" ca="1" si="595"/>
        <v>0</v>
      </c>
      <c r="G1171" s="17">
        <f t="shared" ca="1" si="595"/>
        <v>0</v>
      </c>
      <c r="H1171" s="17">
        <f t="shared" ca="1" si="595"/>
        <v>0</v>
      </c>
      <c r="I1171" s="13">
        <f t="shared" ca="1" si="595"/>
        <v>0</v>
      </c>
      <c r="J1171" s="16"/>
      <c r="K1171" s="13">
        <f t="shared" ca="1" si="596"/>
        <v>0</v>
      </c>
      <c r="L1171" s="15">
        <f t="shared" ca="1" si="592"/>
        <v>1</v>
      </c>
      <c r="M1171" s="15"/>
      <c r="N1171" s="15">
        <f t="shared" ca="1" si="591"/>
        <v>0</v>
      </c>
    </row>
    <row r="1172" spans="1:14" x14ac:dyDescent="0.4">
      <c r="A1172" s="11" t="s">
        <v>7</v>
      </c>
      <c r="B1172" s="40">
        <f t="shared" ref="B1172:I1174" ca="1" si="597">OFFSET(B1172,-9,0)</f>
        <v>0</v>
      </c>
      <c r="C1172" s="40"/>
      <c r="D1172" s="40"/>
      <c r="E1172" s="40"/>
      <c r="F1172" s="13">
        <f t="shared" ca="1" si="597"/>
        <v>0</v>
      </c>
      <c r="G1172" s="17">
        <f t="shared" ca="1" si="597"/>
        <v>0</v>
      </c>
      <c r="H1172" s="17">
        <f t="shared" ca="1" si="597"/>
        <v>0</v>
      </c>
      <c r="I1172" s="13">
        <f t="shared" ca="1" si="597"/>
        <v>0</v>
      </c>
      <c r="J1172" s="16"/>
      <c r="K1172" s="13">
        <f t="shared" ref="K1172:K1174" ca="1" si="598">OFFSET(K1172,-9,0)</f>
        <v>0</v>
      </c>
      <c r="L1172" s="15">
        <f t="shared" ca="1" si="592"/>
        <v>1</v>
      </c>
      <c r="M1172" s="15"/>
      <c r="N1172" s="15">
        <f t="shared" ca="1" si="591"/>
        <v>0</v>
      </c>
    </row>
    <row r="1173" spans="1:14" x14ac:dyDescent="0.4">
      <c r="A1173" s="11" t="s">
        <v>7</v>
      </c>
      <c r="B1173" s="40">
        <f t="shared" ca="1" si="597"/>
        <v>0</v>
      </c>
      <c r="C1173" s="40"/>
      <c r="D1173" s="40"/>
      <c r="E1173" s="40"/>
      <c r="F1173" s="13">
        <f t="shared" ca="1" si="597"/>
        <v>0</v>
      </c>
      <c r="G1173" s="17">
        <f t="shared" ca="1" si="597"/>
        <v>0</v>
      </c>
      <c r="H1173" s="17">
        <f t="shared" ca="1" si="597"/>
        <v>0</v>
      </c>
      <c r="I1173" s="13">
        <f t="shared" ca="1" si="597"/>
        <v>0</v>
      </c>
      <c r="J1173" s="16"/>
      <c r="K1173" s="13">
        <f t="shared" ca="1" si="598"/>
        <v>0</v>
      </c>
      <c r="L1173" s="15">
        <f t="shared" ca="1" si="592"/>
        <v>1</v>
      </c>
      <c r="M1173" s="15"/>
      <c r="N1173" s="15">
        <f t="shared" ca="1" si="591"/>
        <v>0</v>
      </c>
    </row>
    <row r="1174" spans="1:14" x14ac:dyDescent="0.4">
      <c r="A1174" s="11" t="s">
        <v>7</v>
      </c>
      <c r="B1174" s="40">
        <f t="shared" ca="1" si="597"/>
        <v>0</v>
      </c>
      <c r="C1174" s="40"/>
      <c r="D1174" s="40"/>
      <c r="E1174" s="40"/>
      <c r="F1174" s="13">
        <f t="shared" ca="1" si="597"/>
        <v>0</v>
      </c>
      <c r="G1174" s="17">
        <f t="shared" ca="1" si="597"/>
        <v>0</v>
      </c>
      <c r="H1174" s="17">
        <f t="shared" ca="1" si="597"/>
        <v>0</v>
      </c>
      <c r="I1174" s="13">
        <f t="shared" ca="1" si="597"/>
        <v>0</v>
      </c>
      <c r="J1174" s="16"/>
      <c r="K1174" s="13">
        <f t="shared" ca="1" si="598"/>
        <v>0</v>
      </c>
      <c r="L1174" s="15">
        <f t="shared" ca="1" si="592"/>
        <v>1</v>
      </c>
      <c r="M1174" s="15"/>
      <c r="N1174" s="15">
        <f t="shared" ca="1" si="591"/>
        <v>0</v>
      </c>
    </row>
    <row r="1175" spans="1:14" x14ac:dyDescent="0.4">
      <c r="A1175" s="11" t="s">
        <v>8</v>
      </c>
      <c r="B1175" s="40">
        <f t="shared" ref="B1175:I1177" ca="1" si="599">OFFSET(B1175,-12,0)</f>
        <v>0</v>
      </c>
      <c r="C1175" s="40"/>
      <c r="D1175" s="40"/>
      <c r="E1175" s="40"/>
      <c r="F1175" s="13">
        <f t="shared" ca="1" si="599"/>
        <v>0</v>
      </c>
      <c r="G1175" s="17">
        <f t="shared" ca="1" si="599"/>
        <v>0</v>
      </c>
      <c r="H1175" s="17">
        <f t="shared" ca="1" si="599"/>
        <v>0</v>
      </c>
      <c r="I1175" s="13">
        <f t="shared" ca="1" si="599"/>
        <v>0</v>
      </c>
      <c r="J1175" s="16"/>
      <c r="K1175" s="13">
        <f t="shared" ref="K1175:K1177" ca="1" si="600">OFFSET(K1175,-12,0)</f>
        <v>0</v>
      </c>
      <c r="L1175" s="15">
        <f t="shared" ca="1" si="592"/>
        <v>1</v>
      </c>
      <c r="M1175" s="15"/>
      <c r="N1175" s="15">
        <f t="shared" ca="1" si="591"/>
        <v>0</v>
      </c>
    </row>
    <row r="1176" spans="1:14" x14ac:dyDescent="0.4">
      <c r="A1176" s="11" t="s">
        <v>8</v>
      </c>
      <c r="B1176" s="40">
        <f t="shared" ca="1" si="599"/>
        <v>0</v>
      </c>
      <c r="C1176" s="40"/>
      <c r="D1176" s="40"/>
      <c r="E1176" s="40"/>
      <c r="F1176" s="13">
        <f t="shared" ca="1" si="599"/>
        <v>0</v>
      </c>
      <c r="G1176" s="17">
        <f t="shared" ca="1" si="599"/>
        <v>0</v>
      </c>
      <c r="H1176" s="17">
        <f t="shared" ca="1" si="599"/>
        <v>0</v>
      </c>
      <c r="I1176" s="13">
        <f t="shared" ca="1" si="599"/>
        <v>0</v>
      </c>
      <c r="J1176" s="16"/>
      <c r="K1176" s="13">
        <f t="shared" ca="1" si="600"/>
        <v>0</v>
      </c>
      <c r="L1176" s="15">
        <f t="shared" ca="1" si="592"/>
        <v>1</v>
      </c>
      <c r="M1176" s="15"/>
      <c r="N1176" s="15">
        <f t="shared" ca="1" si="591"/>
        <v>0</v>
      </c>
    </row>
    <row r="1177" spans="1:14" x14ac:dyDescent="0.4">
      <c r="A1177" s="11" t="s">
        <v>8</v>
      </c>
      <c r="B1177" s="40">
        <f t="shared" ca="1" si="599"/>
        <v>0</v>
      </c>
      <c r="C1177" s="40"/>
      <c r="D1177" s="40"/>
      <c r="E1177" s="40"/>
      <c r="F1177" s="13">
        <f t="shared" ca="1" si="599"/>
        <v>0</v>
      </c>
      <c r="G1177" s="17">
        <f t="shared" ca="1" si="599"/>
        <v>0</v>
      </c>
      <c r="H1177" s="17">
        <f t="shared" ca="1" si="599"/>
        <v>0</v>
      </c>
      <c r="I1177" s="13">
        <f t="shared" ca="1" si="599"/>
        <v>0</v>
      </c>
      <c r="J1177" s="16"/>
      <c r="K1177" s="13">
        <f t="shared" ca="1" si="600"/>
        <v>0</v>
      </c>
      <c r="L1177" s="15">
        <f t="shared" ca="1" si="592"/>
        <v>1</v>
      </c>
      <c r="M1177" s="15"/>
      <c r="N1177" s="15">
        <f t="shared" ca="1" si="591"/>
        <v>0</v>
      </c>
    </row>
    <row r="1178" spans="1:14" x14ac:dyDescent="0.4">
      <c r="A1178" s="11" t="s">
        <v>9</v>
      </c>
      <c r="B1178" s="41">
        <f t="shared" ref="B1178:I1180" ca="1" si="601">OFFSET(B1178,-15,0)</f>
        <v>0</v>
      </c>
      <c r="C1178" s="41"/>
      <c r="D1178" s="41"/>
      <c r="E1178" s="41"/>
      <c r="F1178" s="19">
        <f t="shared" ca="1" si="601"/>
        <v>0</v>
      </c>
      <c r="G1178" s="20">
        <f t="shared" ca="1" si="601"/>
        <v>0</v>
      </c>
      <c r="H1178" s="20">
        <f t="shared" ca="1" si="601"/>
        <v>0</v>
      </c>
      <c r="I1178" s="13">
        <f t="shared" ca="1" si="601"/>
        <v>0</v>
      </c>
      <c r="J1178" s="16"/>
      <c r="K1178" s="19">
        <f t="shared" ref="K1178:K1180" ca="1" si="602">OFFSET(K1178,-15,0)</f>
        <v>0</v>
      </c>
      <c r="L1178" s="15">
        <f t="shared" ca="1" si="592"/>
        <v>1</v>
      </c>
      <c r="M1178" s="15"/>
      <c r="N1178" s="15">
        <f t="shared" ca="1" si="591"/>
        <v>0</v>
      </c>
    </row>
    <row r="1179" spans="1:14" x14ac:dyDescent="0.4">
      <c r="A1179" s="11" t="s">
        <v>9</v>
      </c>
      <c r="B1179" s="41">
        <f t="shared" ca="1" si="601"/>
        <v>0</v>
      </c>
      <c r="C1179" s="41"/>
      <c r="D1179" s="41"/>
      <c r="E1179" s="41"/>
      <c r="F1179" s="19">
        <f t="shared" ca="1" si="601"/>
        <v>0</v>
      </c>
      <c r="G1179" s="20">
        <f t="shared" ca="1" si="601"/>
        <v>0</v>
      </c>
      <c r="H1179" s="20">
        <f t="shared" ca="1" si="601"/>
        <v>0</v>
      </c>
      <c r="I1179" s="13">
        <f t="shared" ca="1" si="601"/>
        <v>0</v>
      </c>
      <c r="J1179" s="16"/>
      <c r="K1179" s="19">
        <f t="shared" ca="1" si="602"/>
        <v>0</v>
      </c>
      <c r="L1179" s="15">
        <f t="shared" ca="1" si="592"/>
        <v>1</v>
      </c>
      <c r="M1179" s="15"/>
      <c r="N1179" s="15">
        <f t="shared" ca="1" si="591"/>
        <v>0</v>
      </c>
    </row>
    <row r="1180" spans="1:14" x14ac:dyDescent="0.4">
      <c r="A1180" s="11" t="s">
        <v>9</v>
      </c>
      <c r="B1180" s="41">
        <f t="shared" ca="1" si="601"/>
        <v>0</v>
      </c>
      <c r="C1180" s="41"/>
      <c r="D1180" s="41"/>
      <c r="E1180" s="41"/>
      <c r="F1180" s="19">
        <f t="shared" ca="1" si="601"/>
        <v>0</v>
      </c>
      <c r="G1180" s="20">
        <f t="shared" ca="1" si="601"/>
        <v>0</v>
      </c>
      <c r="H1180" s="20">
        <f t="shared" ca="1" si="601"/>
        <v>0</v>
      </c>
      <c r="I1180" s="13">
        <f t="shared" ca="1" si="601"/>
        <v>0</v>
      </c>
      <c r="J1180" s="16"/>
      <c r="K1180" s="19">
        <f t="shared" ca="1" si="602"/>
        <v>0</v>
      </c>
      <c r="L1180" s="15">
        <f t="shared" ca="1" si="592"/>
        <v>1</v>
      </c>
      <c r="M1180" s="15"/>
      <c r="N1180" s="15">
        <f t="shared" ca="1" si="591"/>
        <v>0</v>
      </c>
    </row>
    <row r="1181" spans="1:14" ht="17.399999999999999" x14ac:dyDescent="0.4">
      <c r="A1181" s="74" t="s">
        <v>29</v>
      </c>
      <c r="B1181" s="75"/>
      <c r="C1181" s="75"/>
      <c r="D1181" s="75"/>
      <c r="E1181" s="75"/>
      <c r="F1181" s="75"/>
      <c r="G1181" s="75"/>
      <c r="H1181" s="75"/>
      <c r="I1181" s="75"/>
      <c r="J1181" s="75"/>
      <c r="K1181" s="75"/>
      <c r="L1181" s="75"/>
      <c r="M1181" s="75"/>
      <c r="N1181" s="76"/>
    </row>
    <row r="1182" spans="1:14" x14ac:dyDescent="0.4">
      <c r="A1182" s="11" t="s">
        <v>5</v>
      </c>
      <c r="B1182" s="40"/>
      <c r="C1182" s="40"/>
      <c r="D1182" s="40"/>
      <c r="E1182" s="40"/>
      <c r="F1182" s="13"/>
      <c r="G1182" s="11"/>
      <c r="H1182" s="17"/>
      <c r="I1182" s="13"/>
      <c r="J1182" s="16"/>
      <c r="K1182" s="13"/>
      <c r="L1182" s="15">
        <f>ROUND((10^(K1182/10))/(10^(I1182/10)),3)</f>
        <v>1</v>
      </c>
      <c r="M1182" s="15"/>
      <c r="N1182" s="15">
        <f t="shared" ref="N1182:N1199" si="603">J1182*L1182</f>
        <v>0</v>
      </c>
    </row>
    <row r="1183" spans="1:14" x14ac:dyDescent="0.4">
      <c r="A1183" s="11" t="s">
        <v>5</v>
      </c>
      <c r="B1183" s="40"/>
      <c r="C1183" s="40"/>
      <c r="D1183" s="40"/>
      <c r="E1183" s="40"/>
      <c r="F1183" s="13"/>
      <c r="G1183" s="11"/>
      <c r="H1183" s="17"/>
      <c r="I1183" s="13"/>
      <c r="J1183" s="16"/>
      <c r="K1183" s="13"/>
      <c r="L1183" s="15">
        <f t="shared" ref="L1183:L1199" si="604">ROUND((10^(K1183/10))/(10^(I1183/10)),3)</f>
        <v>1</v>
      </c>
      <c r="M1183" s="15"/>
      <c r="N1183" s="15">
        <f t="shared" si="603"/>
        <v>0</v>
      </c>
    </row>
    <row r="1184" spans="1:14" x14ac:dyDescent="0.4">
      <c r="A1184" s="11" t="s">
        <v>5</v>
      </c>
      <c r="B1184" s="40"/>
      <c r="C1184" s="40"/>
      <c r="D1184" s="40"/>
      <c r="E1184" s="40"/>
      <c r="F1184" s="13"/>
      <c r="G1184" s="11"/>
      <c r="H1184" s="17"/>
      <c r="I1184" s="13"/>
      <c r="J1184" s="16"/>
      <c r="K1184" s="13"/>
      <c r="L1184" s="15">
        <f t="shared" si="604"/>
        <v>1</v>
      </c>
      <c r="M1184" s="15"/>
      <c r="N1184" s="15">
        <f t="shared" si="603"/>
        <v>0</v>
      </c>
    </row>
    <row r="1185" spans="1:14" x14ac:dyDescent="0.4">
      <c r="A1185" s="11" t="s">
        <v>6</v>
      </c>
      <c r="B1185" s="41">
        <f t="shared" ref="B1185:I1187" ca="1" si="605">OFFSET(B1185,-3,0)</f>
        <v>0</v>
      </c>
      <c r="C1185" s="41"/>
      <c r="D1185" s="41"/>
      <c r="E1185" s="41"/>
      <c r="F1185" s="19">
        <f t="shared" ca="1" si="605"/>
        <v>0</v>
      </c>
      <c r="G1185" s="20">
        <f t="shared" ca="1" si="605"/>
        <v>0</v>
      </c>
      <c r="H1185" s="20">
        <f t="shared" ca="1" si="605"/>
        <v>0</v>
      </c>
      <c r="I1185" s="13">
        <f t="shared" ca="1" si="605"/>
        <v>0</v>
      </c>
      <c r="J1185" s="16"/>
      <c r="K1185" s="19">
        <f t="shared" ref="K1185:K1187" ca="1" si="606">OFFSET(K1185,-3,0)</f>
        <v>0</v>
      </c>
      <c r="L1185" s="15">
        <f t="shared" ca="1" si="604"/>
        <v>1</v>
      </c>
      <c r="M1185" s="15"/>
      <c r="N1185" s="15">
        <f t="shared" ca="1" si="603"/>
        <v>0</v>
      </c>
    </row>
    <row r="1186" spans="1:14" x14ac:dyDescent="0.4">
      <c r="A1186" s="11" t="s">
        <v>6</v>
      </c>
      <c r="B1186" s="41">
        <f t="shared" ca="1" si="605"/>
        <v>0</v>
      </c>
      <c r="C1186" s="41"/>
      <c r="D1186" s="41"/>
      <c r="E1186" s="41"/>
      <c r="F1186" s="19">
        <f t="shared" ca="1" si="605"/>
        <v>0</v>
      </c>
      <c r="G1186" s="20">
        <f t="shared" ca="1" si="605"/>
        <v>0</v>
      </c>
      <c r="H1186" s="20">
        <f t="shared" ca="1" si="605"/>
        <v>0</v>
      </c>
      <c r="I1186" s="13">
        <f t="shared" ca="1" si="605"/>
        <v>0</v>
      </c>
      <c r="J1186" s="16"/>
      <c r="K1186" s="19">
        <f t="shared" ca="1" si="606"/>
        <v>0</v>
      </c>
      <c r="L1186" s="15">
        <f t="shared" ca="1" si="604"/>
        <v>1</v>
      </c>
      <c r="M1186" s="15"/>
      <c r="N1186" s="15">
        <f t="shared" ca="1" si="603"/>
        <v>0</v>
      </c>
    </row>
    <row r="1187" spans="1:14" x14ac:dyDescent="0.4">
      <c r="A1187" s="11" t="s">
        <v>6</v>
      </c>
      <c r="B1187" s="41">
        <f t="shared" ca="1" si="605"/>
        <v>0</v>
      </c>
      <c r="C1187" s="41"/>
      <c r="D1187" s="41"/>
      <c r="E1187" s="41"/>
      <c r="F1187" s="19">
        <f t="shared" ca="1" si="605"/>
        <v>0</v>
      </c>
      <c r="G1187" s="20">
        <f t="shared" ca="1" si="605"/>
        <v>0</v>
      </c>
      <c r="H1187" s="20">
        <f t="shared" ca="1" si="605"/>
        <v>0</v>
      </c>
      <c r="I1187" s="13">
        <f t="shared" ca="1" si="605"/>
        <v>0</v>
      </c>
      <c r="J1187" s="16"/>
      <c r="K1187" s="19">
        <f t="shared" ca="1" si="606"/>
        <v>0</v>
      </c>
      <c r="L1187" s="15">
        <f t="shared" ca="1" si="604"/>
        <v>1</v>
      </c>
      <c r="M1187" s="15"/>
      <c r="N1187" s="15">
        <f t="shared" ca="1" si="603"/>
        <v>0</v>
      </c>
    </row>
    <row r="1188" spans="1:14" x14ac:dyDescent="0.4">
      <c r="A1188" s="11" t="s">
        <v>10</v>
      </c>
      <c r="B1188" s="40">
        <f t="shared" ref="B1188:I1190" ca="1" si="607">OFFSET(B1188,-6,0)</f>
        <v>0</v>
      </c>
      <c r="C1188" s="40"/>
      <c r="D1188" s="40"/>
      <c r="E1188" s="40"/>
      <c r="F1188" s="13">
        <f t="shared" ca="1" si="607"/>
        <v>0</v>
      </c>
      <c r="G1188" s="17">
        <f t="shared" ca="1" si="607"/>
        <v>0</v>
      </c>
      <c r="H1188" s="17">
        <f t="shared" ca="1" si="607"/>
        <v>0</v>
      </c>
      <c r="I1188" s="13">
        <f t="shared" ca="1" si="607"/>
        <v>0</v>
      </c>
      <c r="J1188" s="16"/>
      <c r="K1188" s="13">
        <f t="shared" ref="K1188:K1190" ca="1" si="608">OFFSET(K1188,-6,0)</f>
        <v>0</v>
      </c>
      <c r="L1188" s="15">
        <f t="shared" ca="1" si="604"/>
        <v>1</v>
      </c>
      <c r="M1188" s="15"/>
      <c r="N1188" s="15">
        <f t="shared" ca="1" si="603"/>
        <v>0</v>
      </c>
    </row>
    <row r="1189" spans="1:14" x14ac:dyDescent="0.4">
      <c r="A1189" s="11" t="s">
        <v>10</v>
      </c>
      <c r="B1189" s="40">
        <f t="shared" ca="1" si="607"/>
        <v>0</v>
      </c>
      <c r="C1189" s="40"/>
      <c r="D1189" s="40"/>
      <c r="E1189" s="40"/>
      <c r="F1189" s="13">
        <f t="shared" ca="1" si="607"/>
        <v>0</v>
      </c>
      <c r="G1189" s="17">
        <f t="shared" ca="1" si="607"/>
        <v>0</v>
      </c>
      <c r="H1189" s="17">
        <f t="shared" ca="1" si="607"/>
        <v>0</v>
      </c>
      <c r="I1189" s="13">
        <f t="shared" ca="1" si="607"/>
        <v>0</v>
      </c>
      <c r="J1189" s="16"/>
      <c r="K1189" s="13">
        <f t="shared" ca="1" si="608"/>
        <v>0</v>
      </c>
      <c r="L1189" s="15">
        <f t="shared" ca="1" si="604"/>
        <v>1</v>
      </c>
      <c r="M1189" s="15"/>
      <c r="N1189" s="15">
        <f t="shared" ca="1" si="603"/>
        <v>0</v>
      </c>
    </row>
    <row r="1190" spans="1:14" x14ac:dyDescent="0.4">
      <c r="A1190" s="11" t="s">
        <v>10</v>
      </c>
      <c r="B1190" s="40">
        <f t="shared" ca="1" si="607"/>
        <v>0</v>
      </c>
      <c r="C1190" s="40"/>
      <c r="D1190" s="40"/>
      <c r="E1190" s="40"/>
      <c r="F1190" s="13">
        <f t="shared" ca="1" si="607"/>
        <v>0</v>
      </c>
      <c r="G1190" s="17">
        <f t="shared" ca="1" si="607"/>
        <v>0</v>
      </c>
      <c r="H1190" s="17">
        <f t="shared" ca="1" si="607"/>
        <v>0</v>
      </c>
      <c r="I1190" s="13">
        <f t="shared" ca="1" si="607"/>
        <v>0</v>
      </c>
      <c r="J1190" s="16"/>
      <c r="K1190" s="13">
        <f t="shared" ca="1" si="608"/>
        <v>0</v>
      </c>
      <c r="L1190" s="15">
        <f t="shared" ca="1" si="604"/>
        <v>1</v>
      </c>
      <c r="M1190" s="15"/>
      <c r="N1190" s="15">
        <f t="shared" ca="1" si="603"/>
        <v>0</v>
      </c>
    </row>
    <row r="1191" spans="1:14" x14ac:dyDescent="0.4">
      <c r="A1191" s="11" t="s">
        <v>7</v>
      </c>
      <c r="B1191" s="40">
        <f t="shared" ref="B1191:I1193" ca="1" si="609">OFFSET(B1191,-9,0)</f>
        <v>0</v>
      </c>
      <c r="C1191" s="40"/>
      <c r="D1191" s="40"/>
      <c r="E1191" s="40"/>
      <c r="F1191" s="13">
        <f t="shared" ca="1" si="609"/>
        <v>0</v>
      </c>
      <c r="G1191" s="17">
        <f t="shared" ca="1" si="609"/>
        <v>0</v>
      </c>
      <c r="H1191" s="17">
        <f t="shared" ca="1" si="609"/>
        <v>0</v>
      </c>
      <c r="I1191" s="13">
        <f t="shared" ca="1" si="609"/>
        <v>0</v>
      </c>
      <c r="J1191" s="16"/>
      <c r="K1191" s="13">
        <f t="shared" ref="K1191:K1193" ca="1" si="610">OFFSET(K1191,-9,0)</f>
        <v>0</v>
      </c>
      <c r="L1191" s="15">
        <f t="shared" ca="1" si="604"/>
        <v>1</v>
      </c>
      <c r="M1191" s="15"/>
      <c r="N1191" s="15">
        <f t="shared" ca="1" si="603"/>
        <v>0</v>
      </c>
    </row>
    <row r="1192" spans="1:14" x14ac:dyDescent="0.4">
      <c r="A1192" s="11" t="s">
        <v>7</v>
      </c>
      <c r="B1192" s="40">
        <f t="shared" ca="1" si="609"/>
        <v>0</v>
      </c>
      <c r="C1192" s="40"/>
      <c r="D1192" s="40"/>
      <c r="E1192" s="40"/>
      <c r="F1192" s="13">
        <f t="shared" ca="1" si="609"/>
        <v>0</v>
      </c>
      <c r="G1192" s="17">
        <f t="shared" ca="1" si="609"/>
        <v>0</v>
      </c>
      <c r="H1192" s="17">
        <f t="shared" ca="1" si="609"/>
        <v>0</v>
      </c>
      <c r="I1192" s="13">
        <f t="shared" ca="1" si="609"/>
        <v>0</v>
      </c>
      <c r="J1192" s="16"/>
      <c r="K1192" s="13">
        <f t="shared" ca="1" si="610"/>
        <v>0</v>
      </c>
      <c r="L1192" s="15">
        <f t="shared" ca="1" si="604"/>
        <v>1</v>
      </c>
      <c r="M1192" s="15"/>
      <c r="N1192" s="15">
        <f t="shared" ca="1" si="603"/>
        <v>0</v>
      </c>
    </row>
    <row r="1193" spans="1:14" x14ac:dyDescent="0.4">
      <c r="A1193" s="11" t="s">
        <v>7</v>
      </c>
      <c r="B1193" s="40">
        <f t="shared" ca="1" si="609"/>
        <v>0</v>
      </c>
      <c r="C1193" s="40"/>
      <c r="D1193" s="40"/>
      <c r="E1193" s="40"/>
      <c r="F1193" s="13">
        <f t="shared" ca="1" si="609"/>
        <v>0</v>
      </c>
      <c r="G1193" s="17">
        <f t="shared" ca="1" si="609"/>
        <v>0</v>
      </c>
      <c r="H1193" s="17">
        <f t="shared" ca="1" si="609"/>
        <v>0</v>
      </c>
      <c r="I1193" s="13">
        <f t="shared" ca="1" si="609"/>
        <v>0</v>
      </c>
      <c r="J1193" s="16"/>
      <c r="K1193" s="13">
        <f t="shared" ca="1" si="610"/>
        <v>0</v>
      </c>
      <c r="L1193" s="15">
        <f t="shared" ca="1" si="604"/>
        <v>1</v>
      </c>
      <c r="M1193" s="15"/>
      <c r="N1193" s="15">
        <f t="shared" ca="1" si="603"/>
        <v>0</v>
      </c>
    </row>
    <row r="1194" spans="1:14" x14ac:dyDescent="0.4">
      <c r="A1194" s="11" t="s">
        <v>8</v>
      </c>
      <c r="B1194" s="40">
        <f t="shared" ref="B1194:I1196" ca="1" si="611">OFFSET(B1194,-12,0)</f>
        <v>0</v>
      </c>
      <c r="C1194" s="40"/>
      <c r="D1194" s="40"/>
      <c r="E1194" s="40"/>
      <c r="F1194" s="13">
        <f t="shared" ca="1" si="611"/>
        <v>0</v>
      </c>
      <c r="G1194" s="17">
        <f t="shared" ca="1" si="611"/>
        <v>0</v>
      </c>
      <c r="H1194" s="17">
        <f t="shared" ca="1" si="611"/>
        <v>0</v>
      </c>
      <c r="I1194" s="13">
        <f t="shared" ca="1" si="611"/>
        <v>0</v>
      </c>
      <c r="J1194" s="16"/>
      <c r="K1194" s="13">
        <f t="shared" ref="K1194:K1196" ca="1" si="612">OFFSET(K1194,-12,0)</f>
        <v>0</v>
      </c>
      <c r="L1194" s="15">
        <f t="shared" ca="1" si="604"/>
        <v>1</v>
      </c>
      <c r="M1194" s="15"/>
      <c r="N1194" s="15">
        <f t="shared" ca="1" si="603"/>
        <v>0</v>
      </c>
    </row>
    <row r="1195" spans="1:14" x14ac:dyDescent="0.4">
      <c r="A1195" s="11" t="s">
        <v>8</v>
      </c>
      <c r="B1195" s="40">
        <f t="shared" ca="1" si="611"/>
        <v>0</v>
      </c>
      <c r="C1195" s="40"/>
      <c r="D1195" s="40"/>
      <c r="E1195" s="40"/>
      <c r="F1195" s="13">
        <f t="shared" ca="1" si="611"/>
        <v>0</v>
      </c>
      <c r="G1195" s="17">
        <f t="shared" ca="1" si="611"/>
        <v>0</v>
      </c>
      <c r="H1195" s="17">
        <f t="shared" ca="1" si="611"/>
        <v>0</v>
      </c>
      <c r="I1195" s="13">
        <f t="shared" ca="1" si="611"/>
        <v>0</v>
      </c>
      <c r="J1195" s="16"/>
      <c r="K1195" s="13">
        <f t="shared" ca="1" si="612"/>
        <v>0</v>
      </c>
      <c r="L1195" s="15">
        <f t="shared" ca="1" si="604"/>
        <v>1</v>
      </c>
      <c r="M1195" s="15"/>
      <c r="N1195" s="15">
        <f t="shared" ca="1" si="603"/>
        <v>0</v>
      </c>
    </row>
    <row r="1196" spans="1:14" x14ac:dyDescent="0.4">
      <c r="A1196" s="11" t="s">
        <v>8</v>
      </c>
      <c r="B1196" s="40">
        <f t="shared" ca="1" si="611"/>
        <v>0</v>
      </c>
      <c r="C1196" s="40"/>
      <c r="D1196" s="40"/>
      <c r="E1196" s="40"/>
      <c r="F1196" s="13">
        <f t="shared" ca="1" si="611"/>
        <v>0</v>
      </c>
      <c r="G1196" s="17">
        <f t="shared" ca="1" si="611"/>
        <v>0</v>
      </c>
      <c r="H1196" s="17">
        <f t="shared" ca="1" si="611"/>
        <v>0</v>
      </c>
      <c r="I1196" s="13">
        <f t="shared" ca="1" si="611"/>
        <v>0</v>
      </c>
      <c r="J1196" s="16"/>
      <c r="K1196" s="13">
        <f t="shared" ca="1" si="612"/>
        <v>0</v>
      </c>
      <c r="L1196" s="15">
        <f t="shared" ca="1" si="604"/>
        <v>1</v>
      </c>
      <c r="M1196" s="15"/>
      <c r="N1196" s="15">
        <f t="shared" ca="1" si="603"/>
        <v>0</v>
      </c>
    </row>
    <row r="1197" spans="1:14" x14ac:dyDescent="0.4">
      <c r="A1197" s="11" t="s">
        <v>9</v>
      </c>
      <c r="B1197" s="41">
        <f t="shared" ref="B1197:I1199" ca="1" si="613">OFFSET(B1197,-15,0)</f>
        <v>0</v>
      </c>
      <c r="C1197" s="41"/>
      <c r="D1197" s="41"/>
      <c r="E1197" s="41"/>
      <c r="F1197" s="19">
        <f t="shared" ca="1" si="613"/>
        <v>0</v>
      </c>
      <c r="G1197" s="20">
        <f t="shared" ca="1" si="613"/>
        <v>0</v>
      </c>
      <c r="H1197" s="20">
        <f t="shared" ca="1" si="613"/>
        <v>0</v>
      </c>
      <c r="I1197" s="13">
        <f t="shared" ca="1" si="613"/>
        <v>0</v>
      </c>
      <c r="J1197" s="16"/>
      <c r="K1197" s="19">
        <f t="shared" ref="K1197:K1199" ca="1" si="614">OFFSET(K1197,-15,0)</f>
        <v>0</v>
      </c>
      <c r="L1197" s="15">
        <f t="shared" ca="1" si="604"/>
        <v>1</v>
      </c>
      <c r="M1197" s="15"/>
      <c r="N1197" s="15">
        <f t="shared" ca="1" si="603"/>
        <v>0</v>
      </c>
    </row>
    <row r="1198" spans="1:14" x14ac:dyDescent="0.4">
      <c r="A1198" s="11" t="s">
        <v>9</v>
      </c>
      <c r="B1198" s="41">
        <f t="shared" ca="1" si="613"/>
        <v>0</v>
      </c>
      <c r="C1198" s="41"/>
      <c r="D1198" s="41"/>
      <c r="E1198" s="41"/>
      <c r="F1198" s="19">
        <f t="shared" ca="1" si="613"/>
        <v>0</v>
      </c>
      <c r="G1198" s="20">
        <f t="shared" ca="1" si="613"/>
        <v>0</v>
      </c>
      <c r="H1198" s="20">
        <f t="shared" ca="1" si="613"/>
        <v>0</v>
      </c>
      <c r="I1198" s="13">
        <f t="shared" ca="1" si="613"/>
        <v>0</v>
      </c>
      <c r="J1198" s="16"/>
      <c r="K1198" s="19">
        <f t="shared" ca="1" si="614"/>
        <v>0</v>
      </c>
      <c r="L1198" s="15">
        <f t="shared" ca="1" si="604"/>
        <v>1</v>
      </c>
      <c r="M1198" s="15"/>
      <c r="N1198" s="15">
        <f t="shared" ca="1" si="603"/>
        <v>0</v>
      </c>
    </row>
    <row r="1199" spans="1:14" x14ac:dyDescent="0.4">
      <c r="A1199" s="11" t="s">
        <v>9</v>
      </c>
      <c r="B1199" s="41">
        <f t="shared" ca="1" si="613"/>
        <v>0</v>
      </c>
      <c r="C1199" s="41"/>
      <c r="D1199" s="41"/>
      <c r="E1199" s="41"/>
      <c r="F1199" s="19">
        <f t="shared" ca="1" si="613"/>
        <v>0</v>
      </c>
      <c r="G1199" s="20">
        <f t="shared" ca="1" si="613"/>
        <v>0</v>
      </c>
      <c r="H1199" s="20">
        <f t="shared" ca="1" si="613"/>
        <v>0</v>
      </c>
      <c r="I1199" s="13">
        <f t="shared" ca="1" si="613"/>
        <v>0</v>
      </c>
      <c r="J1199" s="16"/>
      <c r="K1199" s="19">
        <f t="shared" ca="1" si="614"/>
        <v>0</v>
      </c>
      <c r="L1199" s="15">
        <f t="shared" ca="1" si="604"/>
        <v>1</v>
      </c>
      <c r="M1199" s="15"/>
      <c r="N1199" s="15">
        <f t="shared" ca="1" si="603"/>
        <v>0</v>
      </c>
    </row>
    <row r="1200" spans="1:14" ht="17.399999999999999" x14ac:dyDescent="0.4">
      <c r="A1200" s="74" t="s">
        <v>32</v>
      </c>
      <c r="B1200" s="75"/>
      <c r="C1200" s="75"/>
      <c r="D1200" s="75"/>
      <c r="E1200" s="75"/>
      <c r="F1200" s="75"/>
      <c r="G1200" s="75"/>
      <c r="H1200" s="75"/>
      <c r="I1200" s="75"/>
      <c r="J1200" s="75"/>
      <c r="K1200" s="75"/>
      <c r="L1200" s="75"/>
      <c r="M1200" s="75"/>
      <c r="N1200" s="76"/>
    </row>
    <row r="1201" spans="1:14" x14ac:dyDescent="0.4">
      <c r="A1201" s="11" t="s">
        <v>5</v>
      </c>
      <c r="B1201" s="40"/>
      <c r="C1201" s="40"/>
      <c r="D1201" s="40"/>
      <c r="E1201" s="40"/>
      <c r="F1201" s="13"/>
      <c r="G1201" s="11"/>
      <c r="H1201" s="17"/>
      <c r="I1201" s="13"/>
      <c r="J1201" s="16"/>
      <c r="K1201" s="13"/>
      <c r="L1201" s="15">
        <f>ROUND((10^(K1201/10))/(10^(I1201/10)),3)</f>
        <v>1</v>
      </c>
      <c r="M1201" s="15"/>
      <c r="N1201" s="15">
        <f t="shared" ref="N1201:N1218" si="615">J1201*L1201</f>
        <v>0</v>
      </c>
    </row>
    <row r="1202" spans="1:14" x14ac:dyDescent="0.4">
      <c r="A1202" s="11" t="s">
        <v>5</v>
      </c>
      <c r="B1202" s="40"/>
      <c r="C1202" s="40"/>
      <c r="D1202" s="40"/>
      <c r="E1202" s="40"/>
      <c r="F1202" s="13"/>
      <c r="G1202" s="11"/>
      <c r="H1202" s="17"/>
      <c r="I1202" s="13"/>
      <c r="J1202" s="16"/>
      <c r="K1202" s="13"/>
      <c r="L1202" s="15">
        <f t="shared" ref="L1202:L1218" si="616">ROUND((10^(K1202/10))/(10^(I1202/10)),3)</f>
        <v>1</v>
      </c>
      <c r="M1202" s="15"/>
      <c r="N1202" s="15">
        <f t="shared" si="615"/>
        <v>0</v>
      </c>
    </row>
    <row r="1203" spans="1:14" x14ac:dyDescent="0.4">
      <c r="A1203" s="11" t="s">
        <v>5</v>
      </c>
      <c r="B1203" s="40"/>
      <c r="C1203" s="40"/>
      <c r="D1203" s="40"/>
      <c r="E1203" s="40"/>
      <c r="F1203" s="13"/>
      <c r="G1203" s="11"/>
      <c r="H1203" s="17"/>
      <c r="I1203" s="13"/>
      <c r="J1203" s="16"/>
      <c r="K1203" s="13"/>
      <c r="L1203" s="15">
        <f t="shared" si="616"/>
        <v>1</v>
      </c>
      <c r="M1203" s="15"/>
      <c r="N1203" s="15">
        <f t="shared" si="615"/>
        <v>0</v>
      </c>
    </row>
    <row r="1204" spans="1:14" x14ac:dyDescent="0.4">
      <c r="A1204" s="11" t="s">
        <v>6</v>
      </c>
      <c r="B1204" s="41">
        <f t="shared" ref="B1204:I1206" ca="1" si="617">OFFSET(B1204,-3,0)</f>
        <v>0</v>
      </c>
      <c r="C1204" s="41"/>
      <c r="D1204" s="41"/>
      <c r="E1204" s="41"/>
      <c r="F1204" s="19">
        <f t="shared" ca="1" si="617"/>
        <v>0</v>
      </c>
      <c r="G1204" s="20">
        <f t="shared" ca="1" si="617"/>
        <v>0</v>
      </c>
      <c r="H1204" s="20">
        <f t="shared" ca="1" si="617"/>
        <v>0</v>
      </c>
      <c r="I1204" s="13">
        <f t="shared" ca="1" si="617"/>
        <v>0</v>
      </c>
      <c r="J1204" s="16"/>
      <c r="K1204" s="19">
        <f t="shared" ref="K1204:K1206" ca="1" si="618">OFFSET(K1204,-3,0)</f>
        <v>0</v>
      </c>
      <c r="L1204" s="15">
        <f t="shared" ca="1" si="616"/>
        <v>1</v>
      </c>
      <c r="M1204" s="15"/>
      <c r="N1204" s="15">
        <f t="shared" ca="1" si="615"/>
        <v>0</v>
      </c>
    </row>
    <row r="1205" spans="1:14" x14ac:dyDescent="0.4">
      <c r="A1205" s="11" t="s">
        <v>6</v>
      </c>
      <c r="B1205" s="41">
        <f t="shared" ca="1" si="617"/>
        <v>0</v>
      </c>
      <c r="C1205" s="41"/>
      <c r="D1205" s="41"/>
      <c r="E1205" s="41"/>
      <c r="F1205" s="19">
        <f t="shared" ca="1" si="617"/>
        <v>0</v>
      </c>
      <c r="G1205" s="20">
        <f t="shared" ca="1" si="617"/>
        <v>0</v>
      </c>
      <c r="H1205" s="20">
        <f t="shared" ca="1" si="617"/>
        <v>0</v>
      </c>
      <c r="I1205" s="13">
        <f t="shared" ca="1" si="617"/>
        <v>0</v>
      </c>
      <c r="J1205" s="16"/>
      <c r="K1205" s="19">
        <f t="shared" ca="1" si="618"/>
        <v>0</v>
      </c>
      <c r="L1205" s="15">
        <f t="shared" ca="1" si="616"/>
        <v>1</v>
      </c>
      <c r="M1205" s="15"/>
      <c r="N1205" s="15">
        <f t="shared" ca="1" si="615"/>
        <v>0</v>
      </c>
    </row>
    <row r="1206" spans="1:14" x14ac:dyDescent="0.4">
      <c r="A1206" s="11" t="s">
        <v>6</v>
      </c>
      <c r="B1206" s="41">
        <f t="shared" ca="1" si="617"/>
        <v>0</v>
      </c>
      <c r="C1206" s="41"/>
      <c r="D1206" s="41"/>
      <c r="E1206" s="41"/>
      <c r="F1206" s="19">
        <f t="shared" ca="1" si="617"/>
        <v>0</v>
      </c>
      <c r="G1206" s="20">
        <f t="shared" ca="1" si="617"/>
        <v>0</v>
      </c>
      <c r="H1206" s="20">
        <f t="shared" ca="1" si="617"/>
        <v>0</v>
      </c>
      <c r="I1206" s="13">
        <f t="shared" ca="1" si="617"/>
        <v>0</v>
      </c>
      <c r="J1206" s="16"/>
      <c r="K1206" s="19">
        <f t="shared" ca="1" si="618"/>
        <v>0</v>
      </c>
      <c r="L1206" s="15">
        <f t="shared" ca="1" si="616"/>
        <v>1</v>
      </c>
      <c r="M1206" s="15"/>
      <c r="N1206" s="15">
        <f t="shared" ca="1" si="615"/>
        <v>0</v>
      </c>
    </row>
    <row r="1207" spans="1:14" x14ac:dyDescent="0.4">
      <c r="A1207" s="11" t="s">
        <v>10</v>
      </c>
      <c r="B1207" s="40">
        <f t="shared" ref="B1207:I1209" ca="1" si="619">OFFSET(B1207,-6,0)</f>
        <v>0</v>
      </c>
      <c r="C1207" s="40"/>
      <c r="D1207" s="40"/>
      <c r="E1207" s="40"/>
      <c r="F1207" s="13">
        <f t="shared" ca="1" si="619"/>
        <v>0</v>
      </c>
      <c r="G1207" s="17">
        <f t="shared" ca="1" si="619"/>
        <v>0</v>
      </c>
      <c r="H1207" s="17">
        <f t="shared" ca="1" si="619"/>
        <v>0</v>
      </c>
      <c r="I1207" s="13">
        <f t="shared" ca="1" si="619"/>
        <v>0</v>
      </c>
      <c r="J1207" s="16"/>
      <c r="K1207" s="13">
        <f t="shared" ref="K1207:K1209" ca="1" si="620">OFFSET(K1207,-6,0)</f>
        <v>0</v>
      </c>
      <c r="L1207" s="15">
        <f t="shared" ca="1" si="616"/>
        <v>1</v>
      </c>
      <c r="M1207" s="15"/>
      <c r="N1207" s="15">
        <f t="shared" ca="1" si="615"/>
        <v>0</v>
      </c>
    </row>
    <row r="1208" spans="1:14" x14ac:dyDescent="0.4">
      <c r="A1208" s="11" t="s">
        <v>10</v>
      </c>
      <c r="B1208" s="40">
        <f t="shared" ca="1" si="619"/>
        <v>0</v>
      </c>
      <c r="C1208" s="40"/>
      <c r="D1208" s="40"/>
      <c r="E1208" s="40"/>
      <c r="F1208" s="13">
        <f t="shared" ca="1" si="619"/>
        <v>0</v>
      </c>
      <c r="G1208" s="17">
        <f t="shared" ca="1" si="619"/>
        <v>0</v>
      </c>
      <c r="H1208" s="17">
        <f t="shared" ca="1" si="619"/>
        <v>0</v>
      </c>
      <c r="I1208" s="13">
        <f t="shared" ca="1" si="619"/>
        <v>0</v>
      </c>
      <c r="J1208" s="16"/>
      <c r="K1208" s="13">
        <f t="shared" ca="1" si="620"/>
        <v>0</v>
      </c>
      <c r="L1208" s="15">
        <f t="shared" ca="1" si="616"/>
        <v>1</v>
      </c>
      <c r="M1208" s="15"/>
      <c r="N1208" s="15">
        <f t="shared" ca="1" si="615"/>
        <v>0</v>
      </c>
    </row>
    <row r="1209" spans="1:14" x14ac:dyDescent="0.4">
      <c r="A1209" s="11" t="s">
        <v>10</v>
      </c>
      <c r="B1209" s="40">
        <f t="shared" ca="1" si="619"/>
        <v>0</v>
      </c>
      <c r="C1209" s="40"/>
      <c r="D1209" s="40"/>
      <c r="E1209" s="40"/>
      <c r="F1209" s="13">
        <f t="shared" ca="1" si="619"/>
        <v>0</v>
      </c>
      <c r="G1209" s="17">
        <f t="shared" ca="1" si="619"/>
        <v>0</v>
      </c>
      <c r="H1209" s="17">
        <f t="shared" ca="1" si="619"/>
        <v>0</v>
      </c>
      <c r="I1209" s="13">
        <f t="shared" ca="1" si="619"/>
        <v>0</v>
      </c>
      <c r="J1209" s="16"/>
      <c r="K1209" s="13">
        <f t="shared" ca="1" si="620"/>
        <v>0</v>
      </c>
      <c r="L1209" s="15">
        <f t="shared" ca="1" si="616"/>
        <v>1</v>
      </c>
      <c r="M1209" s="15"/>
      <c r="N1209" s="15">
        <f t="shared" ca="1" si="615"/>
        <v>0</v>
      </c>
    </row>
    <row r="1210" spans="1:14" x14ac:dyDescent="0.4">
      <c r="A1210" s="11" t="s">
        <v>7</v>
      </c>
      <c r="B1210" s="40">
        <f t="shared" ref="B1210:I1212" ca="1" si="621">OFFSET(B1210,-9,0)</f>
        <v>0</v>
      </c>
      <c r="C1210" s="40"/>
      <c r="D1210" s="40"/>
      <c r="E1210" s="40"/>
      <c r="F1210" s="13">
        <f t="shared" ca="1" si="621"/>
        <v>0</v>
      </c>
      <c r="G1210" s="17">
        <f t="shared" ca="1" si="621"/>
        <v>0</v>
      </c>
      <c r="H1210" s="17">
        <f t="shared" ca="1" si="621"/>
        <v>0</v>
      </c>
      <c r="I1210" s="13">
        <f t="shared" ca="1" si="621"/>
        <v>0</v>
      </c>
      <c r="J1210" s="16"/>
      <c r="K1210" s="13">
        <f t="shared" ref="K1210:K1212" ca="1" si="622">OFFSET(K1210,-9,0)</f>
        <v>0</v>
      </c>
      <c r="L1210" s="15">
        <f t="shared" ca="1" si="616"/>
        <v>1</v>
      </c>
      <c r="M1210" s="15"/>
      <c r="N1210" s="15">
        <f t="shared" ca="1" si="615"/>
        <v>0</v>
      </c>
    </row>
    <row r="1211" spans="1:14" x14ac:dyDescent="0.4">
      <c r="A1211" s="11" t="s">
        <v>7</v>
      </c>
      <c r="B1211" s="40">
        <f t="shared" ca="1" si="621"/>
        <v>0</v>
      </c>
      <c r="C1211" s="40"/>
      <c r="D1211" s="40"/>
      <c r="E1211" s="40"/>
      <c r="F1211" s="13">
        <f t="shared" ca="1" si="621"/>
        <v>0</v>
      </c>
      <c r="G1211" s="17">
        <f t="shared" ca="1" si="621"/>
        <v>0</v>
      </c>
      <c r="H1211" s="17">
        <f t="shared" ca="1" si="621"/>
        <v>0</v>
      </c>
      <c r="I1211" s="13">
        <f t="shared" ca="1" si="621"/>
        <v>0</v>
      </c>
      <c r="J1211" s="16"/>
      <c r="K1211" s="13">
        <f t="shared" ca="1" si="622"/>
        <v>0</v>
      </c>
      <c r="L1211" s="15">
        <f t="shared" ca="1" si="616"/>
        <v>1</v>
      </c>
      <c r="M1211" s="15"/>
      <c r="N1211" s="15">
        <f t="shared" ca="1" si="615"/>
        <v>0</v>
      </c>
    </row>
    <row r="1212" spans="1:14" x14ac:dyDescent="0.4">
      <c r="A1212" s="11" t="s">
        <v>7</v>
      </c>
      <c r="B1212" s="40">
        <f t="shared" ca="1" si="621"/>
        <v>0</v>
      </c>
      <c r="C1212" s="40"/>
      <c r="D1212" s="40"/>
      <c r="E1212" s="40"/>
      <c r="F1212" s="13">
        <f t="shared" ca="1" si="621"/>
        <v>0</v>
      </c>
      <c r="G1212" s="17">
        <f t="shared" ca="1" si="621"/>
        <v>0</v>
      </c>
      <c r="H1212" s="17">
        <f t="shared" ca="1" si="621"/>
        <v>0</v>
      </c>
      <c r="I1212" s="13">
        <f t="shared" ca="1" si="621"/>
        <v>0</v>
      </c>
      <c r="J1212" s="16"/>
      <c r="K1212" s="13">
        <f t="shared" ca="1" si="622"/>
        <v>0</v>
      </c>
      <c r="L1212" s="15">
        <f t="shared" ca="1" si="616"/>
        <v>1</v>
      </c>
      <c r="M1212" s="15"/>
      <c r="N1212" s="15">
        <f t="shared" ca="1" si="615"/>
        <v>0</v>
      </c>
    </row>
    <row r="1213" spans="1:14" x14ac:dyDescent="0.4">
      <c r="A1213" s="11" t="s">
        <v>8</v>
      </c>
      <c r="B1213" s="40">
        <f t="shared" ref="B1213:I1215" ca="1" si="623">OFFSET(B1213,-12,0)</f>
        <v>0</v>
      </c>
      <c r="C1213" s="40"/>
      <c r="D1213" s="40"/>
      <c r="E1213" s="40"/>
      <c r="F1213" s="13">
        <f t="shared" ca="1" si="623"/>
        <v>0</v>
      </c>
      <c r="G1213" s="17">
        <f t="shared" ca="1" si="623"/>
        <v>0</v>
      </c>
      <c r="H1213" s="17">
        <f t="shared" ca="1" si="623"/>
        <v>0</v>
      </c>
      <c r="I1213" s="13">
        <f t="shared" ca="1" si="623"/>
        <v>0</v>
      </c>
      <c r="J1213" s="16"/>
      <c r="K1213" s="13">
        <f t="shared" ref="K1213:K1215" ca="1" si="624">OFFSET(K1213,-12,0)</f>
        <v>0</v>
      </c>
      <c r="L1213" s="15">
        <f t="shared" ca="1" si="616"/>
        <v>1</v>
      </c>
      <c r="M1213" s="15"/>
      <c r="N1213" s="15">
        <f t="shared" ca="1" si="615"/>
        <v>0</v>
      </c>
    </row>
    <row r="1214" spans="1:14" x14ac:dyDescent="0.4">
      <c r="A1214" s="11" t="s">
        <v>8</v>
      </c>
      <c r="B1214" s="40">
        <f t="shared" ca="1" si="623"/>
        <v>0</v>
      </c>
      <c r="C1214" s="40"/>
      <c r="D1214" s="40"/>
      <c r="E1214" s="40"/>
      <c r="F1214" s="13">
        <f t="shared" ca="1" si="623"/>
        <v>0</v>
      </c>
      <c r="G1214" s="17">
        <f t="shared" ca="1" si="623"/>
        <v>0</v>
      </c>
      <c r="H1214" s="17">
        <f t="shared" ca="1" si="623"/>
        <v>0</v>
      </c>
      <c r="I1214" s="13">
        <f t="shared" ca="1" si="623"/>
        <v>0</v>
      </c>
      <c r="J1214" s="16"/>
      <c r="K1214" s="13">
        <f t="shared" ca="1" si="624"/>
        <v>0</v>
      </c>
      <c r="L1214" s="15">
        <f t="shared" ca="1" si="616"/>
        <v>1</v>
      </c>
      <c r="M1214" s="15"/>
      <c r="N1214" s="15">
        <f t="shared" ca="1" si="615"/>
        <v>0</v>
      </c>
    </row>
    <row r="1215" spans="1:14" x14ac:dyDescent="0.4">
      <c r="A1215" s="11" t="s">
        <v>8</v>
      </c>
      <c r="B1215" s="40">
        <f t="shared" ca="1" si="623"/>
        <v>0</v>
      </c>
      <c r="C1215" s="40"/>
      <c r="D1215" s="40"/>
      <c r="E1215" s="40"/>
      <c r="F1215" s="13">
        <f t="shared" ca="1" si="623"/>
        <v>0</v>
      </c>
      <c r="G1215" s="17">
        <f t="shared" ca="1" si="623"/>
        <v>0</v>
      </c>
      <c r="H1215" s="17">
        <f t="shared" ca="1" si="623"/>
        <v>0</v>
      </c>
      <c r="I1215" s="13">
        <f t="shared" ca="1" si="623"/>
        <v>0</v>
      </c>
      <c r="J1215" s="16"/>
      <c r="K1215" s="13">
        <f t="shared" ca="1" si="624"/>
        <v>0</v>
      </c>
      <c r="L1215" s="15">
        <f t="shared" ca="1" si="616"/>
        <v>1</v>
      </c>
      <c r="M1215" s="15"/>
      <c r="N1215" s="15">
        <f t="shared" ca="1" si="615"/>
        <v>0</v>
      </c>
    </row>
    <row r="1216" spans="1:14" x14ac:dyDescent="0.4">
      <c r="A1216" s="11" t="s">
        <v>9</v>
      </c>
      <c r="B1216" s="41">
        <f t="shared" ref="B1216:H1218" ca="1" si="625">OFFSET(B1216,-15,0)</f>
        <v>0</v>
      </c>
      <c r="C1216" s="41"/>
      <c r="D1216" s="41"/>
      <c r="E1216" s="41"/>
      <c r="F1216" s="19">
        <f t="shared" ca="1" si="625"/>
        <v>0</v>
      </c>
      <c r="G1216" s="20">
        <f t="shared" ca="1" si="625"/>
        <v>0</v>
      </c>
      <c r="H1216" s="20">
        <f ca="1">OFFSET(H1216,-15,0)</f>
        <v>0</v>
      </c>
      <c r="I1216" s="13">
        <f t="shared" ref="I1216:I1218" ca="1" si="626">OFFSET(I1216,-15,0)</f>
        <v>0</v>
      </c>
      <c r="J1216" s="16"/>
      <c r="K1216" s="19">
        <f t="shared" ref="K1216:K1218" ca="1" si="627">OFFSET(K1216,-15,0)</f>
        <v>0</v>
      </c>
      <c r="L1216" s="15">
        <f t="shared" ca="1" si="616"/>
        <v>1</v>
      </c>
      <c r="M1216" s="15"/>
      <c r="N1216" s="15">
        <f t="shared" ca="1" si="615"/>
        <v>0</v>
      </c>
    </row>
    <row r="1217" spans="1:14" x14ac:dyDescent="0.4">
      <c r="A1217" s="11" t="s">
        <v>9</v>
      </c>
      <c r="B1217" s="41">
        <f t="shared" ca="1" si="625"/>
        <v>0</v>
      </c>
      <c r="C1217" s="41"/>
      <c r="D1217" s="41"/>
      <c r="E1217" s="41"/>
      <c r="F1217" s="19">
        <f t="shared" ca="1" si="625"/>
        <v>0</v>
      </c>
      <c r="G1217" s="20">
        <f t="shared" ca="1" si="625"/>
        <v>0</v>
      </c>
      <c r="H1217" s="20">
        <f t="shared" ca="1" si="625"/>
        <v>0</v>
      </c>
      <c r="I1217" s="13">
        <f t="shared" ca="1" si="626"/>
        <v>0</v>
      </c>
      <c r="J1217" s="16"/>
      <c r="K1217" s="19">
        <f t="shared" ca="1" si="627"/>
        <v>0</v>
      </c>
      <c r="L1217" s="15">
        <f t="shared" ca="1" si="616"/>
        <v>1</v>
      </c>
      <c r="M1217" s="15"/>
      <c r="N1217" s="15">
        <f t="shared" ca="1" si="615"/>
        <v>0</v>
      </c>
    </row>
    <row r="1218" spans="1:14" x14ac:dyDescent="0.4">
      <c r="A1218" s="11" t="s">
        <v>9</v>
      </c>
      <c r="B1218" s="41">
        <f t="shared" ca="1" si="625"/>
        <v>0</v>
      </c>
      <c r="C1218" s="41"/>
      <c r="D1218" s="41"/>
      <c r="E1218" s="41"/>
      <c r="F1218" s="19">
        <f t="shared" ca="1" si="625"/>
        <v>0</v>
      </c>
      <c r="G1218" s="20">
        <f t="shared" ca="1" si="625"/>
        <v>0</v>
      </c>
      <c r="H1218" s="20">
        <f t="shared" ca="1" si="625"/>
        <v>0</v>
      </c>
      <c r="I1218" s="13">
        <f t="shared" ca="1" si="626"/>
        <v>0</v>
      </c>
      <c r="J1218" s="16"/>
      <c r="K1218" s="19">
        <f t="shared" ca="1" si="627"/>
        <v>0</v>
      </c>
      <c r="L1218" s="15">
        <f t="shared" ca="1" si="616"/>
        <v>1</v>
      </c>
      <c r="M1218" s="15"/>
      <c r="N1218" s="15">
        <f t="shared" ca="1" si="615"/>
        <v>0</v>
      </c>
    </row>
    <row r="1219" spans="1:14" ht="17.399999999999999" x14ac:dyDescent="0.4">
      <c r="A1219" s="74" t="s">
        <v>30</v>
      </c>
      <c r="B1219" s="75"/>
      <c r="C1219" s="75"/>
      <c r="D1219" s="75"/>
      <c r="E1219" s="75"/>
      <c r="F1219" s="75"/>
      <c r="G1219" s="75"/>
      <c r="H1219" s="75"/>
      <c r="I1219" s="75"/>
      <c r="J1219" s="75"/>
      <c r="K1219" s="75"/>
      <c r="L1219" s="75"/>
      <c r="M1219" s="75"/>
      <c r="N1219" s="76"/>
    </row>
    <row r="1220" spans="1:14" x14ac:dyDescent="0.4">
      <c r="A1220" s="11" t="s">
        <v>5</v>
      </c>
      <c r="B1220" s="40"/>
      <c r="C1220" s="40"/>
      <c r="D1220" s="40"/>
      <c r="E1220" s="40"/>
      <c r="F1220" s="13"/>
      <c r="G1220" s="11"/>
      <c r="H1220" s="17"/>
      <c r="I1220" s="13"/>
      <c r="J1220" s="16"/>
      <c r="K1220" s="13"/>
      <c r="L1220" s="15">
        <f>ROUND((10^(K1220/10))/(10^(I1220/10)),3)</f>
        <v>1</v>
      </c>
      <c r="M1220" s="15"/>
      <c r="N1220" s="15">
        <f t="shared" ref="N1220:N1237" si="628">J1220*L1220</f>
        <v>0</v>
      </c>
    </row>
    <row r="1221" spans="1:14" x14ac:dyDescent="0.4">
      <c r="A1221" s="11" t="s">
        <v>5</v>
      </c>
      <c r="B1221" s="40"/>
      <c r="C1221" s="40"/>
      <c r="D1221" s="40"/>
      <c r="E1221" s="40"/>
      <c r="F1221" s="13"/>
      <c r="G1221" s="11"/>
      <c r="H1221" s="17"/>
      <c r="I1221" s="13"/>
      <c r="J1221" s="16"/>
      <c r="K1221" s="13"/>
      <c r="L1221" s="15">
        <f t="shared" ref="L1221:L1237" si="629">ROUND((10^(K1221/10))/(10^(I1221/10)),3)</f>
        <v>1</v>
      </c>
      <c r="M1221" s="15"/>
      <c r="N1221" s="15">
        <f t="shared" si="628"/>
        <v>0</v>
      </c>
    </row>
    <row r="1222" spans="1:14" x14ac:dyDescent="0.4">
      <c r="A1222" s="11" t="s">
        <v>5</v>
      </c>
      <c r="B1222" s="40"/>
      <c r="C1222" s="40"/>
      <c r="D1222" s="40"/>
      <c r="E1222" s="40"/>
      <c r="F1222" s="13"/>
      <c r="G1222" s="11"/>
      <c r="H1222" s="17"/>
      <c r="I1222" s="13"/>
      <c r="J1222" s="16"/>
      <c r="K1222" s="13"/>
      <c r="L1222" s="15">
        <f t="shared" si="629"/>
        <v>1</v>
      </c>
      <c r="M1222" s="15"/>
      <c r="N1222" s="15">
        <f t="shared" si="628"/>
        <v>0</v>
      </c>
    </row>
    <row r="1223" spans="1:14" x14ac:dyDescent="0.4">
      <c r="A1223" s="11" t="s">
        <v>6</v>
      </c>
      <c r="B1223" s="41">
        <f t="shared" ref="B1223:I1225" ca="1" si="630">OFFSET(B1223,-3,0)</f>
        <v>0</v>
      </c>
      <c r="C1223" s="41"/>
      <c r="D1223" s="41"/>
      <c r="E1223" s="41"/>
      <c r="F1223" s="19">
        <f t="shared" ca="1" si="630"/>
        <v>0</v>
      </c>
      <c r="G1223" s="20">
        <f t="shared" ca="1" si="630"/>
        <v>0</v>
      </c>
      <c r="H1223" s="20">
        <f t="shared" ca="1" si="630"/>
        <v>0</v>
      </c>
      <c r="I1223" s="13">
        <f t="shared" ca="1" si="630"/>
        <v>0</v>
      </c>
      <c r="J1223" s="16"/>
      <c r="K1223" s="19">
        <f t="shared" ref="K1223:K1225" ca="1" si="631">OFFSET(K1223,-3,0)</f>
        <v>0</v>
      </c>
      <c r="L1223" s="15">
        <f t="shared" ca="1" si="629"/>
        <v>1</v>
      </c>
      <c r="M1223" s="15"/>
      <c r="N1223" s="15">
        <f t="shared" ca="1" si="628"/>
        <v>0</v>
      </c>
    </row>
    <row r="1224" spans="1:14" x14ac:dyDescent="0.4">
      <c r="A1224" s="11" t="s">
        <v>6</v>
      </c>
      <c r="B1224" s="41">
        <f t="shared" ca="1" si="630"/>
        <v>0</v>
      </c>
      <c r="C1224" s="41"/>
      <c r="D1224" s="41"/>
      <c r="E1224" s="41"/>
      <c r="F1224" s="19">
        <f t="shared" ca="1" si="630"/>
        <v>0</v>
      </c>
      <c r="G1224" s="20">
        <f t="shared" ca="1" si="630"/>
        <v>0</v>
      </c>
      <c r="H1224" s="20">
        <f t="shared" ca="1" si="630"/>
        <v>0</v>
      </c>
      <c r="I1224" s="13">
        <f t="shared" ca="1" si="630"/>
        <v>0</v>
      </c>
      <c r="J1224" s="16"/>
      <c r="K1224" s="19">
        <f t="shared" ca="1" si="631"/>
        <v>0</v>
      </c>
      <c r="L1224" s="15">
        <f t="shared" ca="1" si="629"/>
        <v>1</v>
      </c>
      <c r="M1224" s="15"/>
      <c r="N1224" s="15">
        <f t="shared" ca="1" si="628"/>
        <v>0</v>
      </c>
    </row>
    <row r="1225" spans="1:14" x14ac:dyDescent="0.4">
      <c r="A1225" s="11" t="s">
        <v>6</v>
      </c>
      <c r="B1225" s="41">
        <f t="shared" ca="1" si="630"/>
        <v>0</v>
      </c>
      <c r="C1225" s="41"/>
      <c r="D1225" s="41"/>
      <c r="E1225" s="41"/>
      <c r="F1225" s="19">
        <f t="shared" ca="1" si="630"/>
        <v>0</v>
      </c>
      <c r="G1225" s="20">
        <f t="shared" ca="1" si="630"/>
        <v>0</v>
      </c>
      <c r="H1225" s="20">
        <f t="shared" ca="1" si="630"/>
        <v>0</v>
      </c>
      <c r="I1225" s="13">
        <f t="shared" ca="1" si="630"/>
        <v>0</v>
      </c>
      <c r="J1225" s="16"/>
      <c r="K1225" s="19">
        <f t="shared" ca="1" si="631"/>
        <v>0</v>
      </c>
      <c r="L1225" s="15">
        <f t="shared" ca="1" si="629"/>
        <v>1</v>
      </c>
      <c r="M1225" s="15"/>
      <c r="N1225" s="15">
        <f t="shared" ca="1" si="628"/>
        <v>0</v>
      </c>
    </row>
    <row r="1226" spans="1:14" x14ac:dyDescent="0.4">
      <c r="A1226" s="11" t="s">
        <v>57</v>
      </c>
      <c r="B1226" s="40">
        <f t="shared" ref="B1226:I1228" ca="1" si="632">OFFSET(B1226,-6,0)</f>
        <v>0</v>
      </c>
      <c r="C1226" s="40"/>
      <c r="D1226" s="40"/>
      <c r="E1226" s="40"/>
      <c r="F1226" s="13">
        <f t="shared" ca="1" si="632"/>
        <v>0</v>
      </c>
      <c r="G1226" s="17">
        <f t="shared" ca="1" si="632"/>
        <v>0</v>
      </c>
      <c r="H1226" s="17">
        <f t="shared" ca="1" si="632"/>
        <v>0</v>
      </c>
      <c r="I1226" s="13">
        <f t="shared" ca="1" si="632"/>
        <v>0</v>
      </c>
      <c r="J1226" s="16"/>
      <c r="K1226" s="13">
        <f t="shared" ref="K1226:K1228" ca="1" si="633">OFFSET(K1226,-6,0)</f>
        <v>0</v>
      </c>
      <c r="L1226" s="15">
        <f t="shared" ca="1" si="629"/>
        <v>1</v>
      </c>
      <c r="M1226" s="15"/>
      <c r="N1226" s="15">
        <f t="shared" ca="1" si="628"/>
        <v>0</v>
      </c>
    </row>
    <row r="1227" spans="1:14" x14ac:dyDescent="0.4">
      <c r="A1227" s="11" t="s">
        <v>57</v>
      </c>
      <c r="B1227" s="40">
        <f t="shared" ca="1" si="632"/>
        <v>0</v>
      </c>
      <c r="C1227" s="40"/>
      <c r="D1227" s="40"/>
      <c r="E1227" s="40"/>
      <c r="F1227" s="13">
        <f t="shared" ca="1" si="632"/>
        <v>0</v>
      </c>
      <c r="G1227" s="17">
        <f t="shared" ca="1" si="632"/>
        <v>0</v>
      </c>
      <c r="H1227" s="17">
        <f t="shared" ca="1" si="632"/>
        <v>0</v>
      </c>
      <c r="I1227" s="13">
        <f t="shared" ca="1" si="632"/>
        <v>0</v>
      </c>
      <c r="J1227" s="16"/>
      <c r="K1227" s="13">
        <f t="shared" ca="1" si="633"/>
        <v>0</v>
      </c>
      <c r="L1227" s="15">
        <f t="shared" ca="1" si="629"/>
        <v>1</v>
      </c>
      <c r="M1227" s="15"/>
      <c r="N1227" s="15">
        <f t="shared" ca="1" si="628"/>
        <v>0</v>
      </c>
    </row>
    <row r="1228" spans="1:14" x14ac:dyDescent="0.4">
      <c r="A1228" s="11" t="s">
        <v>57</v>
      </c>
      <c r="B1228" s="40">
        <f t="shared" ca="1" si="632"/>
        <v>0</v>
      </c>
      <c r="C1228" s="40"/>
      <c r="D1228" s="40"/>
      <c r="E1228" s="40"/>
      <c r="F1228" s="13">
        <f t="shared" ca="1" si="632"/>
        <v>0</v>
      </c>
      <c r="G1228" s="17">
        <f t="shared" ca="1" si="632"/>
        <v>0</v>
      </c>
      <c r="H1228" s="17">
        <f t="shared" ca="1" si="632"/>
        <v>0</v>
      </c>
      <c r="I1228" s="13">
        <f t="shared" ca="1" si="632"/>
        <v>0</v>
      </c>
      <c r="J1228" s="16"/>
      <c r="K1228" s="13">
        <f t="shared" ca="1" si="633"/>
        <v>0</v>
      </c>
      <c r="L1228" s="15">
        <f t="shared" ca="1" si="629"/>
        <v>1</v>
      </c>
      <c r="M1228" s="15"/>
      <c r="N1228" s="15">
        <f t="shared" ca="1" si="628"/>
        <v>0</v>
      </c>
    </row>
    <row r="1229" spans="1:14" x14ac:dyDescent="0.4">
      <c r="A1229" s="11" t="s">
        <v>7</v>
      </c>
      <c r="B1229" s="40">
        <f t="shared" ref="B1229:I1231" ca="1" si="634">OFFSET(B1229,-9,0)</f>
        <v>0</v>
      </c>
      <c r="C1229" s="40"/>
      <c r="D1229" s="40"/>
      <c r="E1229" s="40"/>
      <c r="F1229" s="13">
        <f t="shared" ca="1" si="634"/>
        <v>0</v>
      </c>
      <c r="G1229" s="17">
        <f t="shared" ca="1" si="634"/>
        <v>0</v>
      </c>
      <c r="H1229" s="17">
        <f t="shared" ca="1" si="634"/>
        <v>0</v>
      </c>
      <c r="I1229" s="13">
        <f t="shared" ca="1" si="634"/>
        <v>0</v>
      </c>
      <c r="J1229" s="16"/>
      <c r="K1229" s="13">
        <f t="shared" ref="K1229:K1231" ca="1" si="635">OFFSET(K1229,-9,0)</f>
        <v>0</v>
      </c>
      <c r="L1229" s="15">
        <f t="shared" ca="1" si="629"/>
        <v>1</v>
      </c>
      <c r="M1229" s="15"/>
      <c r="N1229" s="15">
        <f t="shared" ca="1" si="628"/>
        <v>0</v>
      </c>
    </row>
    <row r="1230" spans="1:14" x14ac:dyDescent="0.4">
      <c r="A1230" s="11" t="s">
        <v>7</v>
      </c>
      <c r="B1230" s="40">
        <f t="shared" ca="1" si="634"/>
        <v>0</v>
      </c>
      <c r="C1230" s="40"/>
      <c r="D1230" s="40"/>
      <c r="E1230" s="40"/>
      <c r="F1230" s="13">
        <f t="shared" ca="1" si="634"/>
        <v>0</v>
      </c>
      <c r="G1230" s="17">
        <f t="shared" ca="1" si="634"/>
        <v>0</v>
      </c>
      <c r="H1230" s="17">
        <f t="shared" ca="1" si="634"/>
        <v>0</v>
      </c>
      <c r="I1230" s="13">
        <f t="shared" ca="1" si="634"/>
        <v>0</v>
      </c>
      <c r="J1230" s="16"/>
      <c r="K1230" s="13">
        <f t="shared" ca="1" si="635"/>
        <v>0</v>
      </c>
      <c r="L1230" s="15">
        <f t="shared" ca="1" si="629"/>
        <v>1</v>
      </c>
      <c r="M1230" s="15"/>
      <c r="N1230" s="15">
        <f t="shared" ca="1" si="628"/>
        <v>0</v>
      </c>
    </row>
    <row r="1231" spans="1:14" x14ac:dyDescent="0.4">
      <c r="A1231" s="11" t="s">
        <v>7</v>
      </c>
      <c r="B1231" s="40">
        <f t="shared" ca="1" si="634"/>
        <v>0</v>
      </c>
      <c r="C1231" s="40"/>
      <c r="D1231" s="40"/>
      <c r="E1231" s="40"/>
      <c r="F1231" s="13">
        <f t="shared" ca="1" si="634"/>
        <v>0</v>
      </c>
      <c r="G1231" s="17">
        <f t="shared" ca="1" si="634"/>
        <v>0</v>
      </c>
      <c r="H1231" s="17">
        <f t="shared" ca="1" si="634"/>
        <v>0</v>
      </c>
      <c r="I1231" s="13">
        <f t="shared" ca="1" si="634"/>
        <v>0</v>
      </c>
      <c r="J1231" s="16"/>
      <c r="K1231" s="13">
        <f t="shared" ca="1" si="635"/>
        <v>0</v>
      </c>
      <c r="L1231" s="15">
        <f t="shared" ca="1" si="629"/>
        <v>1</v>
      </c>
      <c r="M1231" s="15"/>
      <c r="N1231" s="15">
        <f t="shared" ca="1" si="628"/>
        <v>0</v>
      </c>
    </row>
    <row r="1232" spans="1:14" x14ac:dyDescent="0.4">
      <c r="A1232" s="11" t="s">
        <v>8</v>
      </c>
      <c r="B1232" s="40">
        <f t="shared" ref="B1232:I1234" ca="1" si="636">OFFSET(B1232,-12,0)</f>
        <v>0</v>
      </c>
      <c r="C1232" s="40"/>
      <c r="D1232" s="40"/>
      <c r="E1232" s="40"/>
      <c r="F1232" s="13">
        <f t="shared" ca="1" si="636"/>
        <v>0</v>
      </c>
      <c r="G1232" s="17">
        <f t="shared" ca="1" si="636"/>
        <v>0</v>
      </c>
      <c r="H1232" s="17">
        <f t="shared" ca="1" si="636"/>
        <v>0</v>
      </c>
      <c r="I1232" s="13">
        <f t="shared" ca="1" si="636"/>
        <v>0</v>
      </c>
      <c r="J1232" s="16"/>
      <c r="K1232" s="13">
        <f t="shared" ref="K1232:K1234" ca="1" si="637">OFFSET(K1232,-12,0)</f>
        <v>0</v>
      </c>
      <c r="L1232" s="15">
        <f t="shared" ca="1" si="629"/>
        <v>1</v>
      </c>
      <c r="M1232" s="15"/>
      <c r="N1232" s="15">
        <f t="shared" ca="1" si="628"/>
        <v>0</v>
      </c>
    </row>
    <row r="1233" spans="1:14" x14ac:dyDescent="0.4">
      <c r="A1233" s="11" t="s">
        <v>8</v>
      </c>
      <c r="B1233" s="40">
        <f t="shared" ca="1" si="636"/>
        <v>0</v>
      </c>
      <c r="C1233" s="40"/>
      <c r="D1233" s="40"/>
      <c r="E1233" s="40"/>
      <c r="F1233" s="13">
        <f t="shared" ca="1" si="636"/>
        <v>0</v>
      </c>
      <c r="G1233" s="17">
        <f t="shared" ca="1" si="636"/>
        <v>0</v>
      </c>
      <c r="H1233" s="17">
        <f t="shared" ca="1" si="636"/>
        <v>0</v>
      </c>
      <c r="I1233" s="13">
        <f t="shared" ca="1" si="636"/>
        <v>0</v>
      </c>
      <c r="J1233" s="16"/>
      <c r="K1233" s="13">
        <f t="shared" ca="1" si="637"/>
        <v>0</v>
      </c>
      <c r="L1233" s="15">
        <f t="shared" ca="1" si="629"/>
        <v>1</v>
      </c>
      <c r="M1233" s="15"/>
      <c r="N1233" s="15">
        <f t="shared" ca="1" si="628"/>
        <v>0</v>
      </c>
    </row>
    <row r="1234" spans="1:14" x14ac:dyDescent="0.4">
      <c r="A1234" s="11" t="s">
        <v>8</v>
      </c>
      <c r="B1234" s="40">
        <f t="shared" ca="1" si="636"/>
        <v>0</v>
      </c>
      <c r="C1234" s="40"/>
      <c r="D1234" s="40"/>
      <c r="E1234" s="40"/>
      <c r="F1234" s="13">
        <f t="shared" ca="1" si="636"/>
        <v>0</v>
      </c>
      <c r="G1234" s="17">
        <f t="shared" ca="1" si="636"/>
        <v>0</v>
      </c>
      <c r="H1234" s="17">
        <f t="shared" ca="1" si="636"/>
        <v>0</v>
      </c>
      <c r="I1234" s="13">
        <f t="shared" ca="1" si="636"/>
        <v>0</v>
      </c>
      <c r="J1234" s="16"/>
      <c r="K1234" s="13">
        <f t="shared" ca="1" si="637"/>
        <v>0</v>
      </c>
      <c r="L1234" s="15">
        <f t="shared" ca="1" si="629"/>
        <v>1</v>
      </c>
      <c r="M1234" s="15"/>
      <c r="N1234" s="15">
        <f t="shared" ca="1" si="628"/>
        <v>0</v>
      </c>
    </row>
    <row r="1235" spans="1:14" x14ac:dyDescent="0.4">
      <c r="A1235" s="11" t="s">
        <v>9</v>
      </c>
      <c r="B1235" s="41">
        <f t="shared" ref="B1235:I1237" ca="1" si="638">OFFSET(B1235,-15,0)</f>
        <v>0</v>
      </c>
      <c r="C1235" s="41"/>
      <c r="D1235" s="41"/>
      <c r="E1235" s="41"/>
      <c r="F1235" s="19">
        <f t="shared" ca="1" si="638"/>
        <v>0</v>
      </c>
      <c r="G1235" s="20">
        <f t="shared" ca="1" si="638"/>
        <v>0</v>
      </c>
      <c r="H1235" s="20">
        <f t="shared" ca="1" si="638"/>
        <v>0</v>
      </c>
      <c r="I1235" s="13">
        <f t="shared" ca="1" si="638"/>
        <v>0</v>
      </c>
      <c r="J1235" s="16"/>
      <c r="K1235" s="19">
        <f t="shared" ref="K1235:K1237" ca="1" si="639">OFFSET(K1235,-15,0)</f>
        <v>0</v>
      </c>
      <c r="L1235" s="15">
        <f t="shared" ca="1" si="629"/>
        <v>1</v>
      </c>
      <c r="M1235" s="15"/>
      <c r="N1235" s="15">
        <f t="shared" ca="1" si="628"/>
        <v>0</v>
      </c>
    </row>
    <row r="1236" spans="1:14" x14ac:dyDescent="0.4">
      <c r="A1236" s="11" t="s">
        <v>9</v>
      </c>
      <c r="B1236" s="41">
        <f t="shared" ca="1" si="638"/>
        <v>0</v>
      </c>
      <c r="C1236" s="41"/>
      <c r="D1236" s="41"/>
      <c r="E1236" s="41"/>
      <c r="F1236" s="19">
        <f t="shared" ca="1" si="638"/>
        <v>0</v>
      </c>
      <c r="G1236" s="20">
        <f t="shared" ca="1" si="638"/>
        <v>0</v>
      </c>
      <c r="H1236" s="20">
        <f t="shared" ca="1" si="638"/>
        <v>0</v>
      </c>
      <c r="I1236" s="13">
        <f t="shared" ca="1" si="638"/>
        <v>0</v>
      </c>
      <c r="J1236" s="16"/>
      <c r="K1236" s="19">
        <f t="shared" ca="1" si="639"/>
        <v>0</v>
      </c>
      <c r="L1236" s="15">
        <f t="shared" ca="1" si="629"/>
        <v>1</v>
      </c>
      <c r="M1236" s="15"/>
      <c r="N1236" s="15">
        <f t="shared" ca="1" si="628"/>
        <v>0</v>
      </c>
    </row>
    <row r="1237" spans="1:14" x14ac:dyDescent="0.4">
      <c r="A1237" s="11" t="s">
        <v>9</v>
      </c>
      <c r="B1237" s="41">
        <f t="shared" ca="1" si="638"/>
        <v>0</v>
      </c>
      <c r="C1237" s="41"/>
      <c r="D1237" s="41"/>
      <c r="E1237" s="41"/>
      <c r="F1237" s="19">
        <f t="shared" ca="1" si="638"/>
        <v>0</v>
      </c>
      <c r="G1237" s="20">
        <f t="shared" ca="1" si="638"/>
        <v>0</v>
      </c>
      <c r="H1237" s="20">
        <f t="shared" ca="1" si="638"/>
        <v>0</v>
      </c>
      <c r="I1237" s="13">
        <f t="shared" ca="1" si="638"/>
        <v>0</v>
      </c>
      <c r="J1237" s="16"/>
      <c r="K1237" s="19">
        <f t="shared" ca="1" si="639"/>
        <v>0</v>
      </c>
      <c r="L1237" s="15">
        <f t="shared" ca="1" si="629"/>
        <v>1</v>
      </c>
      <c r="M1237" s="15"/>
      <c r="N1237" s="15">
        <f t="shared" ca="1" si="628"/>
        <v>0</v>
      </c>
    </row>
    <row r="1238" spans="1:14" ht="17.399999999999999" x14ac:dyDescent="0.4">
      <c r="A1238" s="77" t="s">
        <v>27</v>
      </c>
      <c r="B1238" s="75"/>
      <c r="C1238" s="75"/>
      <c r="D1238" s="75"/>
      <c r="E1238" s="75"/>
      <c r="F1238" s="75"/>
      <c r="G1238" s="75"/>
      <c r="H1238" s="75"/>
      <c r="I1238" s="75"/>
      <c r="J1238" s="75"/>
      <c r="K1238" s="75"/>
      <c r="L1238" s="75"/>
      <c r="M1238" s="75"/>
      <c r="N1238" s="76"/>
    </row>
    <row r="1239" spans="1:14" x14ac:dyDescent="0.4">
      <c r="A1239" s="11" t="s">
        <v>5</v>
      </c>
      <c r="B1239" s="40"/>
      <c r="C1239" s="40"/>
      <c r="D1239" s="40"/>
      <c r="E1239" s="40"/>
      <c r="F1239" s="13"/>
      <c r="G1239" s="11"/>
      <c r="H1239" s="17"/>
      <c r="I1239" s="13"/>
      <c r="J1239" s="16"/>
      <c r="K1239" s="13"/>
      <c r="L1239" s="15">
        <f>ROUND((10^(K1239/10))/(10^(I1239/10)),3)</f>
        <v>1</v>
      </c>
      <c r="M1239" s="15"/>
      <c r="N1239" s="15">
        <f t="shared" ref="N1239:N1256" si="640">J1239*L1239</f>
        <v>0</v>
      </c>
    </row>
    <row r="1240" spans="1:14" x14ac:dyDescent="0.4">
      <c r="A1240" s="11" t="s">
        <v>5</v>
      </c>
      <c r="B1240" s="40"/>
      <c r="C1240" s="40"/>
      <c r="D1240" s="40"/>
      <c r="E1240" s="40"/>
      <c r="F1240" s="13"/>
      <c r="G1240" s="11"/>
      <c r="H1240" s="17"/>
      <c r="I1240" s="13"/>
      <c r="J1240" s="16"/>
      <c r="K1240" s="13"/>
      <c r="L1240" s="15">
        <f t="shared" ref="L1240:L1256" si="641">ROUND((10^(K1240/10))/(10^(I1240/10)),3)</f>
        <v>1</v>
      </c>
      <c r="M1240" s="15"/>
      <c r="N1240" s="15">
        <f t="shared" si="640"/>
        <v>0</v>
      </c>
    </row>
    <row r="1241" spans="1:14" x14ac:dyDescent="0.4">
      <c r="A1241" s="11" t="s">
        <v>5</v>
      </c>
      <c r="B1241" s="40"/>
      <c r="C1241" s="40"/>
      <c r="D1241" s="40"/>
      <c r="E1241" s="40"/>
      <c r="F1241" s="13"/>
      <c r="G1241" s="11"/>
      <c r="H1241" s="17"/>
      <c r="I1241" s="13"/>
      <c r="J1241" s="16"/>
      <c r="K1241" s="13"/>
      <c r="L1241" s="15">
        <f t="shared" si="641"/>
        <v>1</v>
      </c>
      <c r="M1241" s="15"/>
      <c r="N1241" s="15">
        <f t="shared" si="640"/>
        <v>0</v>
      </c>
    </row>
    <row r="1242" spans="1:14" x14ac:dyDescent="0.4">
      <c r="A1242" s="11" t="s">
        <v>6</v>
      </c>
      <c r="B1242" s="41">
        <f t="shared" ref="B1242:I1244" ca="1" si="642">OFFSET(B1242,-3,0)</f>
        <v>0</v>
      </c>
      <c r="C1242" s="41"/>
      <c r="D1242" s="41"/>
      <c r="E1242" s="41"/>
      <c r="F1242" s="19">
        <f t="shared" ca="1" si="642"/>
        <v>0</v>
      </c>
      <c r="G1242" s="20">
        <f t="shared" ca="1" si="642"/>
        <v>0</v>
      </c>
      <c r="H1242" s="20">
        <f t="shared" ca="1" si="642"/>
        <v>0</v>
      </c>
      <c r="I1242" s="13">
        <f t="shared" ca="1" si="642"/>
        <v>0</v>
      </c>
      <c r="J1242" s="16"/>
      <c r="K1242" s="19">
        <f t="shared" ref="K1242:K1244" ca="1" si="643">OFFSET(K1242,-3,0)</f>
        <v>0</v>
      </c>
      <c r="L1242" s="15">
        <f t="shared" ca="1" si="641"/>
        <v>1</v>
      </c>
      <c r="M1242" s="15"/>
      <c r="N1242" s="15">
        <f t="shared" ca="1" si="640"/>
        <v>0</v>
      </c>
    </row>
    <row r="1243" spans="1:14" x14ac:dyDescent="0.4">
      <c r="A1243" s="11" t="s">
        <v>6</v>
      </c>
      <c r="B1243" s="41">
        <f t="shared" ca="1" si="642"/>
        <v>0</v>
      </c>
      <c r="C1243" s="41"/>
      <c r="D1243" s="41"/>
      <c r="E1243" s="41"/>
      <c r="F1243" s="19">
        <f t="shared" ca="1" si="642"/>
        <v>0</v>
      </c>
      <c r="G1243" s="20">
        <f t="shared" ca="1" si="642"/>
        <v>0</v>
      </c>
      <c r="H1243" s="20">
        <f t="shared" ca="1" si="642"/>
        <v>0</v>
      </c>
      <c r="I1243" s="13">
        <f t="shared" ca="1" si="642"/>
        <v>0</v>
      </c>
      <c r="J1243" s="16"/>
      <c r="K1243" s="19">
        <f t="shared" ca="1" si="643"/>
        <v>0</v>
      </c>
      <c r="L1243" s="15">
        <f t="shared" ca="1" si="641"/>
        <v>1</v>
      </c>
      <c r="M1243" s="15"/>
      <c r="N1243" s="15">
        <f t="shared" ca="1" si="640"/>
        <v>0</v>
      </c>
    </row>
    <row r="1244" spans="1:14" x14ac:dyDescent="0.4">
      <c r="A1244" s="11" t="s">
        <v>6</v>
      </c>
      <c r="B1244" s="41">
        <f t="shared" ca="1" si="642"/>
        <v>0</v>
      </c>
      <c r="C1244" s="41"/>
      <c r="D1244" s="41"/>
      <c r="E1244" s="41"/>
      <c r="F1244" s="19">
        <f t="shared" ca="1" si="642"/>
        <v>0</v>
      </c>
      <c r="G1244" s="20">
        <f t="shared" ca="1" si="642"/>
        <v>0</v>
      </c>
      <c r="H1244" s="20">
        <f t="shared" ca="1" si="642"/>
        <v>0</v>
      </c>
      <c r="I1244" s="13">
        <f t="shared" ca="1" si="642"/>
        <v>0</v>
      </c>
      <c r="J1244" s="16"/>
      <c r="K1244" s="19">
        <f t="shared" ca="1" si="643"/>
        <v>0</v>
      </c>
      <c r="L1244" s="15">
        <f t="shared" ca="1" si="641"/>
        <v>1</v>
      </c>
      <c r="M1244" s="15"/>
      <c r="N1244" s="15">
        <f t="shared" ca="1" si="640"/>
        <v>0</v>
      </c>
    </row>
    <row r="1245" spans="1:14" x14ac:dyDescent="0.4">
      <c r="A1245" s="11" t="s">
        <v>57</v>
      </c>
      <c r="B1245" s="40">
        <f t="shared" ref="B1245:I1247" ca="1" si="644">OFFSET(B1245,-6,0)</f>
        <v>0</v>
      </c>
      <c r="C1245" s="40"/>
      <c r="D1245" s="40"/>
      <c r="E1245" s="40"/>
      <c r="F1245" s="13">
        <f t="shared" ca="1" si="644"/>
        <v>0</v>
      </c>
      <c r="G1245" s="17">
        <f t="shared" ca="1" si="644"/>
        <v>0</v>
      </c>
      <c r="H1245" s="17">
        <f t="shared" ca="1" si="644"/>
        <v>0</v>
      </c>
      <c r="I1245" s="13">
        <f t="shared" ca="1" si="644"/>
        <v>0</v>
      </c>
      <c r="J1245" s="16"/>
      <c r="K1245" s="13">
        <f t="shared" ref="K1245:K1247" ca="1" si="645">OFFSET(K1245,-6,0)</f>
        <v>0</v>
      </c>
      <c r="L1245" s="15">
        <f t="shared" ca="1" si="641"/>
        <v>1</v>
      </c>
      <c r="M1245" s="15"/>
      <c r="N1245" s="15">
        <f t="shared" ca="1" si="640"/>
        <v>0</v>
      </c>
    </row>
    <row r="1246" spans="1:14" x14ac:dyDescent="0.4">
      <c r="A1246" s="11" t="s">
        <v>57</v>
      </c>
      <c r="B1246" s="40">
        <f t="shared" ca="1" si="644"/>
        <v>0</v>
      </c>
      <c r="C1246" s="40"/>
      <c r="D1246" s="40"/>
      <c r="E1246" s="40"/>
      <c r="F1246" s="13">
        <f t="shared" ca="1" si="644"/>
        <v>0</v>
      </c>
      <c r="G1246" s="17">
        <f t="shared" ca="1" si="644"/>
        <v>0</v>
      </c>
      <c r="H1246" s="17">
        <f t="shared" ca="1" si="644"/>
        <v>0</v>
      </c>
      <c r="I1246" s="13">
        <f t="shared" ca="1" si="644"/>
        <v>0</v>
      </c>
      <c r="J1246" s="16"/>
      <c r="K1246" s="13">
        <f t="shared" ca="1" si="645"/>
        <v>0</v>
      </c>
      <c r="L1246" s="15">
        <f t="shared" ca="1" si="641"/>
        <v>1</v>
      </c>
      <c r="M1246" s="15"/>
      <c r="N1246" s="15">
        <f t="shared" ca="1" si="640"/>
        <v>0</v>
      </c>
    </row>
    <row r="1247" spans="1:14" x14ac:dyDescent="0.4">
      <c r="A1247" s="11" t="s">
        <v>57</v>
      </c>
      <c r="B1247" s="40">
        <f t="shared" ca="1" si="644"/>
        <v>0</v>
      </c>
      <c r="C1247" s="40"/>
      <c r="D1247" s="40"/>
      <c r="E1247" s="40"/>
      <c r="F1247" s="13">
        <f t="shared" ca="1" si="644"/>
        <v>0</v>
      </c>
      <c r="G1247" s="17">
        <f t="shared" ca="1" si="644"/>
        <v>0</v>
      </c>
      <c r="H1247" s="17">
        <f t="shared" ca="1" si="644"/>
        <v>0</v>
      </c>
      <c r="I1247" s="13">
        <f t="shared" ca="1" si="644"/>
        <v>0</v>
      </c>
      <c r="J1247" s="16"/>
      <c r="K1247" s="13">
        <f t="shared" ca="1" si="645"/>
        <v>0</v>
      </c>
      <c r="L1247" s="15">
        <f t="shared" ca="1" si="641"/>
        <v>1</v>
      </c>
      <c r="M1247" s="15"/>
      <c r="N1247" s="15">
        <f t="shared" ca="1" si="640"/>
        <v>0</v>
      </c>
    </row>
    <row r="1248" spans="1:14" x14ac:dyDescent="0.4">
      <c r="A1248" s="11" t="s">
        <v>7</v>
      </c>
      <c r="B1248" s="40">
        <f t="shared" ref="B1248:I1250" ca="1" si="646">OFFSET(B1248,-9,0)</f>
        <v>0</v>
      </c>
      <c r="C1248" s="40"/>
      <c r="D1248" s="40"/>
      <c r="E1248" s="40"/>
      <c r="F1248" s="13">
        <f t="shared" ca="1" si="646"/>
        <v>0</v>
      </c>
      <c r="G1248" s="17">
        <f t="shared" ca="1" si="646"/>
        <v>0</v>
      </c>
      <c r="H1248" s="17">
        <f t="shared" ca="1" si="646"/>
        <v>0</v>
      </c>
      <c r="I1248" s="13">
        <f t="shared" ca="1" si="646"/>
        <v>0</v>
      </c>
      <c r="J1248" s="16"/>
      <c r="K1248" s="13">
        <f t="shared" ref="K1248:K1250" ca="1" si="647">OFFSET(K1248,-9,0)</f>
        <v>0</v>
      </c>
      <c r="L1248" s="15">
        <f t="shared" ca="1" si="641"/>
        <v>1</v>
      </c>
      <c r="M1248" s="15"/>
      <c r="N1248" s="15">
        <f t="shared" ca="1" si="640"/>
        <v>0</v>
      </c>
    </row>
    <row r="1249" spans="1:14" x14ac:dyDescent="0.4">
      <c r="A1249" s="11" t="s">
        <v>7</v>
      </c>
      <c r="B1249" s="40">
        <f t="shared" ca="1" si="646"/>
        <v>0</v>
      </c>
      <c r="C1249" s="40"/>
      <c r="D1249" s="40"/>
      <c r="E1249" s="40"/>
      <c r="F1249" s="13">
        <f t="shared" ca="1" si="646"/>
        <v>0</v>
      </c>
      <c r="G1249" s="17">
        <f t="shared" ca="1" si="646"/>
        <v>0</v>
      </c>
      <c r="H1249" s="17">
        <f t="shared" ca="1" si="646"/>
        <v>0</v>
      </c>
      <c r="I1249" s="13">
        <f t="shared" ca="1" si="646"/>
        <v>0</v>
      </c>
      <c r="J1249" s="16"/>
      <c r="K1249" s="13">
        <f t="shared" ca="1" si="647"/>
        <v>0</v>
      </c>
      <c r="L1249" s="15">
        <f t="shared" ca="1" si="641"/>
        <v>1</v>
      </c>
      <c r="M1249" s="15"/>
      <c r="N1249" s="15">
        <f t="shared" ca="1" si="640"/>
        <v>0</v>
      </c>
    </row>
    <row r="1250" spans="1:14" x14ac:dyDescent="0.4">
      <c r="A1250" s="11" t="s">
        <v>7</v>
      </c>
      <c r="B1250" s="40">
        <f t="shared" ca="1" si="646"/>
        <v>0</v>
      </c>
      <c r="C1250" s="40"/>
      <c r="D1250" s="40"/>
      <c r="E1250" s="40"/>
      <c r="F1250" s="13">
        <f t="shared" ca="1" si="646"/>
        <v>0</v>
      </c>
      <c r="G1250" s="17">
        <f t="shared" ca="1" si="646"/>
        <v>0</v>
      </c>
      <c r="H1250" s="17">
        <f t="shared" ca="1" si="646"/>
        <v>0</v>
      </c>
      <c r="I1250" s="13">
        <f t="shared" ca="1" si="646"/>
        <v>0</v>
      </c>
      <c r="J1250" s="16"/>
      <c r="K1250" s="13">
        <f t="shared" ca="1" si="647"/>
        <v>0</v>
      </c>
      <c r="L1250" s="15">
        <f t="shared" ca="1" si="641"/>
        <v>1</v>
      </c>
      <c r="M1250" s="15"/>
      <c r="N1250" s="15">
        <f t="shared" ca="1" si="640"/>
        <v>0</v>
      </c>
    </row>
    <row r="1251" spans="1:14" x14ac:dyDescent="0.4">
      <c r="A1251" s="11" t="s">
        <v>8</v>
      </c>
      <c r="B1251" s="40">
        <f t="shared" ref="B1251:I1253" ca="1" si="648">OFFSET(B1251,-12,0)</f>
        <v>0</v>
      </c>
      <c r="C1251" s="40"/>
      <c r="D1251" s="40"/>
      <c r="E1251" s="40"/>
      <c r="F1251" s="13">
        <f t="shared" ca="1" si="648"/>
        <v>0</v>
      </c>
      <c r="G1251" s="17">
        <f t="shared" ca="1" si="648"/>
        <v>0</v>
      </c>
      <c r="H1251" s="17">
        <f t="shared" ca="1" si="648"/>
        <v>0</v>
      </c>
      <c r="I1251" s="13">
        <f t="shared" ca="1" si="648"/>
        <v>0</v>
      </c>
      <c r="J1251" s="16"/>
      <c r="K1251" s="13">
        <f t="shared" ref="K1251:K1253" ca="1" si="649">OFFSET(K1251,-12,0)</f>
        <v>0</v>
      </c>
      <c r="L1251" s="15">
        <f t="shared" ca="1" si="641"/>
        <v>1</v>
      </c>
      <c r="M1251" s="15"/>
      <c r="N1251" s="15">
        <f t="shared" ca="1" si="640"/>
        <v>0</v>
      </c>
    </row>
    <row r="1252" spans="1:14" x14ac:dyDescent="0.4">
      <c r="A1252" s="11" t="s">
        <v>8</v>
      </c>
      <c r="B1252" s="40">
        <f t="shared" ca="1" si="648"/>
        <v>0</v>
      </c>
      <c r="C1252" s="40"/>
      <c r="D1252" s="40"/>
      <c r="E1252" s="40"/>
      <c r="F1252" s="13">
        <f t="shared" ca="1" si="648"/>
        <v>0</v>
      </c>
      <c r="G1252" s="17">
        <f t="shared" ca="1" si="648"/>
        <v>0</v>
      </c>
      <c r="H1252" s="17">
        <f t="shared" ca="1" si="648"/>
        <v>0</v>
      </c>
      <c r="I1252" s="13">
        <f t="shared" ca="1" si="648"/>
        <v>0</v>
      </c>
      <c r="J1252" s="16"/>
      <c r="K1252" s="13">
        <f t="shared" ca="1" si="649"/>
        <v>0</v>
      </c>
      <c r="L1252" s="15">
        <f t="shared" ca="1" si="641"/>
        <v>1</v>
      </c>
      <c r="M1252" s="15"/>
      <c r="N1252" s="15">
        <f t="shared" ca="1" si="640"/>
        <v>0</v>
      </c>
    </row>
    <row r="1253" spans="1:14" x14ac:dyDescent="0.4">
      <c r="A1253" s="11" t="s">
        <v>8</v>
      </c>
      <c r="B1253" s="40">
        <f t="shared" ca="1" si="648"/>
        <v>0</v>
      </c>
      <c r="C1253" s="40"/>
      <c r="D1253" s="40"/>
      <c r="E1253" s="40"/>
      <c r="F1253" s="13">
        <f t="shared" ca="1" si="648"/>
        <v>0</v>
      </c>
      <c r="G1253" s="17">
        <f t="shared" ca="1" si="648"/>
        <v>0</v>
      </c>
      <c r="H1253" s="17">
        <f t="shared" ca="1" si="648"/>
        <v>0</v>
      </c>
      <c r="I1253" s="13">
        <f t="shared" ca="1" si="648"/>
        <v>0</v>
      </c>
      <c r="J1253" s="16"/>
      <c r="K1253" s="13">
        <f t="shared" ca="1" si="649"/>
        <v>0</v>
      </c>
      <c r="L1253" s="15">
        <f t="shared" ca="1" si="641"/>
        <v>1</v>
      </c>
      <c r="M1253" s="15"/>
      <c r="N1253" s="15">
        <f t="shared" ca="1" si="640"/>
        <v>0</v>
      </c>
    </row>
    <row r="1254" spans="1:14" x14ac:dyDescent="0.4">
      <c r="A1254" s="11" t="s">
        <v>9</v>
      </c>
      <c r="B1254" s="41">
        <f t="shared" ref="B1254:I1256" ca="1" si="650">OFFSET(B1254,-15,0)</f>
        <v>0</v>
      </c>
      <c r="C1254" s="41"/>
      <c r="D1254" s="41"/>
      <c r="E1254" s="41"/>
      <c r="F1254" s="19">
        <f t="shared" ca="1" si="650"/>
        <v>0</v>
      </c>
      <c r="G1254" s="20">
        <f t="shared" ca="1" si="650"/>
        <v>0</v>
      </c>
      <c r="H1254" s="20">
        <f t="shared" ca="1" si="650"/>
        <v>0</v>
      </c>
      <c r="I1254" s="13">
        <f t="shared" ca="1" si="650"/>
        <v>0</v>
      </c>
      <c r="J1254" s="16"/>
      <c r="K1254" s="19">
        <f t="shared" ref="K1254:K1256" ca="1" si="651">OFFSET(K1254,-15,0)</f>
        <v>0</v>
      </c>
      <c r="L1254" s="15">
        <f t="shared" ca="1" si="641"/>
        <v>1</v>
      </c>
      <c r="M1254" s="15"/>
      <c r="N1254" s="15">
        <f t="shared" ca="1" si="640"/>
        <v>0</v>
      </c>
    </row>
    <row r="1255" spans="1:14" x14ac:dyDescent="0.4">
      <c r="A1255" s="11" t="s">
        <v>9</v>
      </c>
      <c r="B1255" s="41">
        <f t="shared" ca="1" si="650"/>
        <v>0</v>
      </c>
      <c r="C1255" s="41"/>
      <c r="D1255" s="41"/>
      <c r="E1255" s="41"/>
      <c r="F1255" s="19">
        <f t="shared" ca="1" si="650"/>
        <v>0</v>
      </c>
      <c r="G1255" s="20">
        <f t="shared" ca="1" si="650"/>
        <v>0</v>
      </c>
      <c r="H1255" s="20">
        <f t="shared" ca="1" si="650"/>
        <v>0</v>
      </c>
      <c r="I1255" s="13">
        <f t="shared" ca="1" si="650"/>
        <v>0</v>
      </c>
      <c r="J1255" s="16"/>
      <c r="K1255" s="19">
        <f t="shared" ca="1" si="651"/>
        <v>0</v>
      </c>
      <c r="L1255" s="15">
        <f t="shared" ca="1" si="641"/>
        <v>1</v>
      </c>
      <c r="M1255" s="15"/>
      <c r="N1255" s="15">
        <f t="shared" ca="1" si="640"/>
        <v>0</v>
      </c>
    </row>
    <row r="1256" spans="1:14" x14ac:dyDescent="0.4">
      <c r="A1256" s="11" t="s">
        <v>9</v>
      </c>
      <c r="B1256" s="41">
        <f t="shared" ca="1" si="650"/>
        <v>0</v>
      </c>
      <c r="C1256" s="41"/>
      <c r="D1256" s="41"/>
      <c r="E1256" s="41"/>
      <c r="F1256" s="19">
        <f t="shared" ca="1" si="650"/>
        <v>0</v>
      </c>
      <c r="G1256" s="20">
        <f t="shared" ca="1" si="650"/>
        <v>0</v>
      </c>
      <c r="H1256" s="20">
        <f t="shared" ca="1" si="650"/>
        <v>0</v>
      </c>
      <c r="I1256" s="13">
        <f t="shared" ca="1" si="650"/>
        <v>0</v>
      </c>
      <c r="J1256" s="16"/>
      <c r="K1256" s="19">
        <f t="shared" ca="1" si="651"/>
        <v>0</v>
      </c>
      <c r="L1256" s="15">
        <f t="shared" ca="1" si="641"/>
        <v>1</v>
      </c>
      <c r="M1256" s="15"/>
      <c r="N1256" s="15">
        <f t="shared" ca="1" si="640"/>
        <v>0</v>
      </c>
    </row>
    <row r="1257" spans="1:14" ht="17.399999999999999" x14ac:dyDescent="0.4">
      <c r="A1257" s="77" t="s">
        <v>31</v>
      </c>
      <c r="B1257" s="75"/>
      <c r="C1257" s="75"/>
      <c r="D1257" s="75"/>
      <c r="E1257" s="75"/>
      <c r="F1257" s="75"/>
      <c r="G1257" s="75"/>
      <c r="H1257" s="75"/>
      <c r="I1257" s="75"/>
      <c r="J1257" s="75"/>
      <c r="K1257" s="75"/>
      <c r="L1257" s="75"/>
      <c r="M1257" s="75"/>
      <c r="N1257" s="76"/>
    </row>
    <row r="1258" spans="1:14" x14ac:dyDescent="0.4">
      <c r="A1258" s="11" t="s">
        <v>5</v>
      </c>
      <c r="B1258" s="40"/>
      <c r="C1258" s="40"/>
      <c r="D1258" s="40"/>
      <c r="E1258" s="40"/>
      <c r="F1258" s="13"/>
      <c r="G1258" s="11"/>
      <c r="H1258" s="17"/>
      <c r="I1258" s="13"/>
      <c r="J1258" s="16"/>
      <c r="K1258" s="13"/>
      <c r="L1258" s="15">
        <f>ROUND((10^(K1258/10))/(10^(I1258/10)),3)</f>
        <v>1</v>
      </c>
      <c r="M1258" s="15"/>
      <c r="N1258" s="15">
        <f t="shared" ref="N1258:N1275" si="652">J1258*L1258</f>
        <v>0</v>
      </c>
    </row>
    <row r="1259" spans="1:14" x14ac:dyDescent="0.4">
      <c r="A1259" s="11" t="s">
        <v>5</v>
      </c>
      <c r="B1259" s="40"/>
      <c r="C1259" s="40"/>
      <c r="D1259" s="40"/>
      <c r="E1259" s="40"/>
      <c r="F1259" s="13"/>
      <c r="G1259" s="11"/>
      <c r="H1259" s="17"/>
      <c r="I1259" s="13"/>
      <c r="J1259" s="16"/>
      <c r="K1259" s="13"/>
      <c r="L1259" s="15">
        <f t="shared" ref="L1259:L1275" si="653">ROUND((10^(K1259/10))/(10^(I1259/10)),3)</f>
        <v>1</v>
      </c>
      <c r="M1259" s="15"/>
      <c r="N1259" s="15">
        <f t="shared" si="652"/>
        <v>0</v>
      </c>
    </row>
    <row r="1260" spans="1:14" x14ac:dyDescent="0.4">
      <c r="A1260" s="11" t="s">
        <v>5</v>
      </c>
      <c r="B1260" s="40"/>
      <c r="C1260" s="40"/>
      <c r="D1260" s="40"/>
      <c r="E1260" s="40"/>
      <c r="F1260" s="13"/>
      <c r="G1260" s="11"/>
      <c r="H1260" s="17"/>
      <c r="I1260" s="13"/>
      <c r="J1260" s="16"/>
      <c r="K1260" s="13"/>
      <c r="L1260" s="15">
        <f t="shared" si="653"/>
        <v>1</v>
      </c>
      <c r="M1260" s="15"/>
      <c r="N1260" s="15">
        <f t="shared" si="652"/>
        <v>0</v>
      </c>
    </row>
    <row r="1261" spans="1:14" x14ac:dyDescent="0.4">
      <c r="A1261" s="11" t="s">
        <v>6</v>
      </c>
      <c r="B1261" s="41">
        <f t="shared" ref="B1261:I1263" ca="1" si="654">OFFSET(B1261,-3,0)</f>
        <v>0</v>
      </c>
      <c r="C1261" s="41"/>
      <c r="D1261" s="41"/>
      <c r="E1261" s="41"/>
      <c r="F1261" s="19">
        <f t="shared" ca="1" si="654"/>
        <v>0</v>
      </c>
      <c r="G1261" s="20">
        <f t="shared" ca="1" si="654"/>
        <v>0</v>
      </c>
      <c r="H1261" s="20">
        <f t="shared" ca="1" si="654"/>
        <v>0</v>
      </c>
      <c r="I1261" s="13">
        <f t="shared" ca="1" si="654"/>
        <v>0</v>
      </c>
      <c r="J1261" s="16"/>
      <c r="K1261" s="19">
        <f t="shared" ref="K1261:K1263" ca="1" si="655">OFFSET(K1261,-3,0)</f>
        <v>0</v>
      </c>
      <c r="L1261" s="15">
        <f t="shared" ca="1" si="653"/>
        <v>1</v>
      </c>
      <c r="M1261" s="15"/>
      <c r="N1261" s="15">
        <f t="shared" ca="1" si="652"/>
        <v>0</v>
      </c>
    </row>
    <row r="1262" spans="1:14" x14ac:dyDescent="0.4">
      <c r="A1262" s="11" t="s">
        <v>6</v>
      </c>
      <c r="B1262" s="41">
        <f t="shared" ca="1" si="654"/>
        <v>0</v>
      </c>
      <c r="C1262" s="41"/>
      <c r="D1262" s="41"/>
      <c r="E1262" s="41"/>
      <c r="F1262" s="19">
        <f t="shared" ca="1" si="654"/>
        <v>0</v>
      </c>
      <c r="G1262" s="20">
        <f t="shared" ca="1" si="654"/>
        <v>0</v>
      </c>
      <c r="H1262" s="20">
        <f t="shared" ca="1" si="654"/>
        <v>0</v>
      </c>
      <c r="I1262" s="13">
        <f t="shared" ca="1" si="654"/>
        <v>0</v>
      </c>
      <c r="J1262" s="16"/>
      <c r="K1262" s="19">
        <f t="shared" ca="1" si="655"/>
        <v>0</v>
      </c>
      <c r="L1262" s="15">
        <f t="shared" ca="1" si="653"/>
        <v>1</v>
      </c>
      <c r="M1262" s="15"/>
      <c r="N1262" s="15">
        <f t="shared" ca="1" si="652"/>
        <v>0</v>
      </c>
    </row>
    <row r="1263" spans="1:14" x14ac:dyDescent="0.4">
      <c r="A1263" s="11" t="s">
        <v>6</v>
      </c>
      <c r="B1263" s="41">
        <f t="shared" ca="1" si="654"/>
        <v>0</v>
      </c>
      <c r="C1263" s="41"/>
      <c r="D1263" s="41"/>
      <c r="E1263" s="41"/>
      <c r="F1263" s="19">
        <f t="shared" ca="1" si="654"/>
        <v>0</v>
      </c>
      <c r="G1263" s="20">
        <f t="shared" ca="1" si="654"/>
        <v>0</v>
      </c>
      <c r="H1263" s="20">
        <f t="shared" ca="1" si="654"/>
        <v>0</v>
      </c>
      <c r="I1263" s="13">
        <f t="shared" ca="1" si="654"/>
        <v>0</v>
      </c>
      <c r="J1263" s="16"/>
      <c r="K1263" s="19">
        <f t="shared" ca="1" si="655"/>
        <v>0</v>
      </c>
      <c r="L1263" s="15">
        <f t="shared" ca="1" si="653"/>
        <v>1</v>
      </c>
      <c r="M1263" s="15"/>
      <c r="N1263" s="15">
        <f t="shared" ca="1" si="652"/>
        <v>0</v>
      </c>
    </row>
    <row r="1264" spans="1:14" x14ac:dyDescent="0.4">
      <c r="A1264" s="11" t="s">
        <v>10</v>
      </c>
      <c r="B1264" s="40">
        <f t="shared" ref="B1264:I1266" ca="1" si="656">OFFSET(B1264,-6,0)</f>
        <v>0</v>
      </c>
      <c r="C1264" s="40"/>
      <c r="D1264" s="40"/>
      <c r="E1264" s="40"/>
      <c r="F1264" s="13">
        <f t="shared" ca="1" si="656"/>
        <v>0</v>
      </c>
      <c r="G1264" s="17">
        <f t="shared" ca="1" si="656"/>
        <v>0</v>
      </c>
      <c r="H1264" s="17">
        <f t="shared" ca="1" si="656"/>
        <v>0</v>
      </c>
      <c r="I1264" s="13">
        <f t="shared" ca="1" si="656"/>
        <v>0</v>
      </c>
      <c r="J1264" s="16"/>
      <c r="K1264" s="13">
        <f t="shared" ref="K1264:K1266" ca="1" si="657">OFFSET(K1264,-6,0)</f>
        <v>0</v>
      </c>
      <c r="L1264" s="15">
        <f t="shared" ca="1" si="653"/>
        <v>1</v>
      </c>
      <c r="M1264" s="15"/>
      <c r="N1264" s="15">
        <f t="shared" ca="1" si="652"/>
        <v>0</v>
      </c>
    </row>
    <row r="1265" spans="1:14" x14ac:dyDescent="0.4">
      <c r="A1265" s="11" t="s">
        <v>10</v>
      </c>
      <c r="B1265" s="40">
        <f t="shared" ca="1" si="656"/>
        <v>0</v>
      </c>
      <c r="C1265" s="40"/>
      <c r="D1265" s="40"/>
      <c r="E1265" s="40"/>
      <c r="F1265" s="13">
        <f t="shared" ca="1" si="656"/>
        <v>0</v>
      </c>
      <c r="G1265" s="17">
        <f t="shared" ca="1" si="656"/>
        <v>0</v>
      </c>
      <c r="H1265" s="17">
        <f t="shared" ca="1" si="656"/>
        <v>0</v>
      </c>
      <c r="I1265" s="13">
        <f t="shared" ca="1" si="656"/>
        <v>0</v>
      </c>
      <c r="J1265" s="16"/>
      <c r="K1265" s="13">
        <f t="shared" ca="1" si="657"/>
        <v>0</v>
      </c>
      <c r="L1265" s="15">
        <f t="shared" ca="1" si="653"/>
        <v>1</v>
      </c>
      <c r="M1265" s="15"/>
      <c r="N1265" s="15">
        <f t="shared" ca="1" si="652"/>
        <v>0</v>
      </c>
    </row>
    <row r="1266" spans="1:14" x14ac:dyDescent="0.4">
      <c r="A1266" s="11" t="s">
        <v>10</v>
      </c>
      <c r="B1266" s="40">
        <f t="shared" ca="1" si="656"/>
        <v>0</v>
      </c>
      <c r="C1266" s="40"/>
      <c r="D1266" s="40"/>
      <c r="E1266" s="40"/>
      <c r="F1266" s="13">
        <f t="shared" ca="1" si="656"/>
        <v>0</v>
      </c>
      <c r="G1266" s="17">
        <f t="shared" ca="1" si="656"/>
        <v>0</v>
      </c>
      <c r="H1266" s="17">
        <f t="shared" ca="1" si="656"/>
        <v>0</v>
      </c>
      <c r="I1266" s="13">
        <f t="shared" ca="1" si="656"/>
        <v>0</v>
      </c>
      <c r="J1266" s="16"/>
      <c r="K1266" s="13">
        <f t="shared" ca="1" si="657"/>
        <v>0</v>
      </c>
      <c r="L1266" s="15">
        <f t="shared" ca="1" si="653"/>
        <v>1</v>
      </c>
      <c r="M1266" s="15"/>
      <c r="N1266" s="15">
        <f t="shared" ca="1" si="652"/>
        <v>0</v>
      </c>
    </row>
    <row r="1267" spans="1:14" x14ac:dyDescent="0.4">
      <c r="A1267" s="11" t="s">
        <v>7</v>
      </c>
      <c r="B1267" s="40">
        <f t="shared" ref="B1267:I1269" ca="1" si="658">OFFSET(B1267,-9,0)</f>
        <v>0</v>
      </c>
      <c r="C1267" s="40"/>
      <c r="D1267" s="40"/>
      <c r="E1267" s="40"/>
      <c r="F1267" s="13">
        <f t="shared" ca="1" si="658"/>
        <v>0</v>
      </c>
      <c r="G1267" s="17">
        <f t="shared" ca="1" si="658"/>
        <v>0</v>
      </c>
      <c r="H1267" s="17">
        <f t="shared" ca="1" si="658"/>
        <v>0</v>
      </c>
      <c r="I1267" s="13">
        <f t="shared" ca="1" si="658"/>
        <v>0</v>
      </c>
      <c r="J1267" s="16"/>
      <c r="K1267" s="13">
        <f t="shared" ref="K1267:K1269" ca="1" si="659">OFFSET(K1267,-9,0)</f>
        <v>0</v>
      </c>
      <c r="L1267" s="15">
        <f t="shared" ca="1" si="653"/>
        <v>1</v>
      </c>
      <c r="M1267" s="15"/>
      <c r="N1267" s="15">
        <f t="shared" ca="1" si="652"/>
        <v>0</v>
      </c>
    </row>
    <row r="1268" spans="1:14" x14ac:dyDescent="0.4">
      <c r="A1268" s="11" t="s">
        <v>7</v>
      </c>
      <c r="B1268" s="40">
        <f t="shared" ca="1" si="658"/>
        <v>0</v>
      </c>
      <c r="C1268" s="40"/>
      <c r="D1268" s="40"/>
      <c r="E1268" s="40"/>
      <c r="F1268" s="13">
        <f t="shared" ca="1" si="658"/>
        <v>0</v>
      </c>
      <c r="G1268" s="17">
        <f t="shared" ca="1" si="658"/>
        <v>0</v>
      </c>
      <c r="H1268" s="17">
        <f t="shared" ca="1" si="658"/>
        <v>0</v>
      </c>
      <c r="I1268" s="13">
        <f t="shared" ca="1" si="658"/>
        <v>0</v>
      </c>
      <c r="J1268" s="16"/>
      <c r="K1268" s="13">
        <f t="shared" ca="1" si="659"/>
        <v>0</v>
      </c>
      <c r="L1268" s="15">
        <f t="shared" ca="1" si="653"/>
        <v>1</v>
      </c>
      <c r="M1268" s="15"/>
      <c r="N1268" s="15">
        <f t="shared" ca="1" si="652"/>
        <v>0</v>
      </c>
    </row>
    <row r="1269" spans="1:14" x14ac:dyDescent="0.4">
      <c r="A1269" s="11" t="s">
        <v>7</v>
      </c>
      <c r="B1269" s="40">
        <f t="shared" ca="1" si="658"/>
        <v>0</v>
      </c>
      <c r="C1269" s="40"/>
      <c r="D1269" s="40"/>
      <c r="E1269" s="40"/>
      <c r="F1269" s="13">
        <f t="shared" ca="1" si="658"/>
        <v>0</v>
      </c>
      <c r="G1269" s="17">
        <f t="shared" ca="1" si="658"/>
        <v>0</v>
      </c>
      <c r="H1269" s="17">
        <f t="shared" ca="1" si="658"/>
        <v>0</v>
      </c>
      <c r="I1269" s="13">
        <f t="shared" ca="1" si="658"/>
        <v>0</v>
      </c>
      <c r="J1269" s="16"/>
      <c r="K1269" s="13">
        <f t="shared" ca="1" si="659"/>
        <v>0</v>
      </c>
      <c r="L1269" s="15">
        <f t="shared" ca="1" si="653"/>
        <v>1</v>
      </c>
      <c r="M1269" s="15"/>
      <c r="N1269" s="15">
        <f t="shared" ca="1" si="652"/>
        <v>0</v>
      </c>
    </row>
    <row r="1270" spans="1:14" x14ac:dyDescent="0.4">
      <c r="A1270" s="11" t="s">
        <v>8</v>
      </c>
      <c r="B1270" s="40">
        <f t="shared" ref="B1270:I1272" ca="1" si="660">OFFSET(B1270,-12,0)</f>
        <v>0</v>
      </c>
      <c r="C1270" s="40"/>
      <c r="D1270" s="40"/>
      <c r="E1270" s="40"/>
      <c r="F1270" s="13">
        <f t="shared" ca="1" si="660"/>
        <v>0</v>
      </c>
      <c r="G1270" s="17">
        <f t="shared" ca="1" si="660"/>
        <v>0</v>
      </c>
      <c r="H1270" s="17">
        <f t="shared" ca="1" si="660"/>
        <v>0</v>
      </c>
      <c r="I1270" s="13">
        <f t="shared" ca="1" si="660"/>
        <v>0</v>
      </c>
      <c r="J1270" s="16"/>
      <c r="K1270" s="13">
        <f t="shared" ref="K1270:K1272" ca="1" si="661">OFFSET(K1270,-12,0)</f>
        <v>0</v>
      </c>
      <c r="L1270" s="15">
        <f t="shared" ca="1" si="653"/>
        <v>1</v>
      </c>
      <c r="M1270" s="15"/>
      <c r="N1270" s="15">
        <f t="shared" ca="1" si="652"/>
        <v>0</v>
      </c>
    </row>
    <row r="1271" spans="1:14" x14ac:dyDescent="0.4">
      <c r="A1271" s="11" t="s">
        <v>8</v>
      </c>
      <c r="B1271" s="40">
        <f t="shared" ca="1" si="660"/>
        <v>0</v>
      </c>
      <c r="C1271" s="40"/>
      <c r="D1271" s="40"/>
      <c r="E1271" s="40"/>
      <c r="F1271" s="13">
        <f t="shared" ca="1" si="660"/>
        <v>0</v>
      </c>
      <c r="G1271" s="17">
        <f t="shared" ca="1" si="660"/>
        <v>0</v>
      </c>
      <c r="H1271" s="17">
        <f t="shared" ca="1" si="660"/>
        <v>0</v>
      </c>
      <c r="I1271" s="13">
        <f t="shared" ca="1" si="660"/>
        <v>0</v>
      </c>
      <c r="J1271" s="16"/>
      <c r="K1271" s="13">
        <f t="shared" ca="1" si="661"/>
        <v>0</v>
      </c>
      <c r="L1271" s="15">
        <f t="shared" ca="1" si="653"/>
        <v>1</v>
      </c>
      <c r="M1271" s="15"/>
      <c r="N1271" s="15">
        <f t="shared" ca="1" si="652"/>
        <v>0</v>
      </c>
    </row>
    <row r="1272" spans="1:14" x14ac:dyDescent="0.4">
      <c r="A1272" s="11" t="s">
        <v>8</v>
      </c>
      <c r="B1272" s="40">
        <f t="shared" ca="1" si="660"/>
        <v>0</v>
      </c>
      <c r="C1272" s="40"/>
      <c r="D1272" s="40"/>
      <c r="E1272" s="40"/>
      <c r="F1272" s="13">
        <f t="shared" ca="1" si="660"/>
        <v>0</v>
      </c>
      <c r="G1272" s="17">
        <f t="shared" ca="1" si="660"/>
        <v>0</v>
      </c>
      <c r="H1272" s="17">
        <f t="shared" ca="1" si="660"/>
        <v>0</v>
      </c>
      <c r="I1272" s="13">
        <f t="shared" ca="1" si="660"/>
        <v>0</v>
      </c>
      <c r="J1272" s="16"/>
      <c r="K1272" s="13">
        <f t="shared" ca="1" si="661"/>
        <v>0</v>
      </c>
      <c r="L1272" s="15">
        <f t="shared" ca="1" si="653"/>
        <v>1</v>
      </c>
      <c r="M1272" s="15"/>
      <c r="N1272" s="15">
        <f t="shared" ca="1" si="652"/>
        <v>0</v>
      </c>
    </row>
    <row r="1273" spans="1:14" x14ac:dyDescent="0.4">
      <c r="A1273" s="11" t="s">
        <v>9</v>
      </c>
      <c r="B1273" s="41">
        <f t="shared" ref="B1273:I1275" ca="1" si="662">OFFSET(B1273,-15,0)</f>
        <v>0</v>
      </c>
      <c r="C1273" s="41"/>
      <c r="D1273" s="41"/>
      <c r="E1273" s="41"/>
      <c r="F1273" s="19">
        <f t="shared" ca="1" si="662"/>
        <v>0</v>
      </c>
      <c r="G1273" s="20">
        <f t="shared" ca="1" si="662"/>
        <v>0</v>
      </c>
      <c r="H1273" s="20">
        <f t="shared" ca="1" si="662"/>
        <v>0</v>
      </c>
      <c r="I1273" s="13">
        <f t="shared" ca="1" si="662"/>
        <v>0</v>
      </c>
      <c r="J1273" s="16"/>
      <c r="K1273" s="19">
        <f t="shared" ref="K1273:K1275" ca="1" si="663">OFFSET(K1273,-15,0)</f>
        <v>0</v>
      </c>
      <c r="L1273" s="15">
        <f t="shared" ca="1" si="653"/>
        <v>1</v>
      </c>
      <c r="M1273" s="15"/>
      <c r="N1273" s="15">
        <f t="shared" ca="1" si="652"/>
        <v>0</v>
      </c>
    </row>
    <row r="1274" spans="1:14" x14ac:dyDescent="0.4">
      <c r="A1274" s="11" t="s">
        <v>9</v>
      </c>
      <c r="B1274" s="41">
        <f t="shared" ca="1" si="662"/>
        <v>0</v>
      </c>
      <c r="C1274" s="41"/>
      <c r="D1274" s="41"/>
      <c r="E1274" s="41"/>
      <c r="F1274" s="19">
        <f t="shared" ca="1" si="662"/>
        <v>0</v>
      </c>
      <c r="G1274" s="20">
        <f t="shared" ca="1" si="662"/>
        <v>0</v>
      </c>
      <c r="H1274" s="20">
        <f t="shared" ca="1" si="662"/>
        <v>0</v>
      </c>
      <c r="I1274" s="13">
        <f t="shared" ca="1" si="662"/>
        <v>0</v>
      </c>
      <c r="J1274" s="16"/>
      <c r="K1274" s="19">
        <f t="shared" ca="1" si="663"/>
        <v>0</v>
      </c>
      <c r="L1274" s="15">
        <f t="shared" ca="1" si="653"/>
        <v>1</v>
      </c>
      <c r="M1274" s="15"/>
      <c r="N1274" s="15">
        <f t="shared" ca="1" si="652"/>
        <v>0</v>
      </c>
    </row>
    <row r="1275" spans="1:14" x14ac:dyDescent="0.4">
      <c r="A1275" s="11" t="s">
        <v>9</v>
      </c>
      <c r="B1275" s="41">
        <f t="shared" ca="1" si="662"/>
        <v>0</v>
      </c>
      <c r="C1275" s="41"/>
      <c r="D1275" s="41"/>
      <c r="E1275" s="41"/>
      <c r="F1275" s="19">
        <f t="shared" ca="1" si="662"/>
        <v>0</v>
      </c>
      <c r="G1275" s="20">
        <f t="shared" ca="1" si="662"/>
        <v>0</v>
      </c>
      <c r="H1275" s="20">
        <f t="shared" ca="1" si="662"/>
        <v>0</v>
      </c>
      <c r="I1275" s="13">
        <f t="shared" ca="1" si="662"/>
        <v>0</v>
      </c>
      <c r="J1275" s="16"/>
      <c r="K1275" s="19">
        <f t="shared" ca="1" si="663"/>
        <v>0</v>
      </c>
      <c r="L1275" s="15">
        <f t="shared" ca="1" si="653"/>
        <v>1</v>
      </c>
      <c r="M1275" s="15"/>
      <c r="N1275" s="15">
        <f t="shared" ca="1" si="652"/>
        <v>0</v>
      </c>
    </row>
    <row r="1276" spans="1:14" ht="17.399999999999999" x14ac:dyDescent="0.4">
      <c r="A1276" s="77" t="s">
        <v>23</v>
      </c>
      <c r="B1276" s="75"/>
      <c r="C1276" s="75"/>
      <c r="D1276" s="75"/>
      <c r="E1276" s="75"/>
      <c r="F1276" s="75"/>
      <c r="G1276" s="75"/>
      <c r="H1276" s="75"/>
      <c r="I1276" s="75"/>
      <c r="J1276" s="75"/>
      <c r="K1276" s="75"/>
      <c r="L1276" s="75"/>
      <c r="M1276" s="75"/>
      <c r="N1276" s="76"/>
    </row>
    <row r="1277" spans="1:14" x14ac:dyDescent="0.4">
      <c r="A1277" s="11" t="str">
        <f ca="1">INDEX(A1125:A1275, MATCH(MAX(N1125:N1275), N1125:N1275, 0), 0)</f>
        <v>Front</v>
      </c>
      <c r="B1277" s="40">
        <f ca="1">INDEX(B1125:B1275, MATCH(MAX(N1125:N1275), N1125:N1275, 0), 0)</f>
        <v>0</v>
      </c>
      <c r="C1277" s="40"/>
      <c r="D1277" s="40"/>
      <c r="E1277" s="40"/>
      <c r="F1277" s="13">
        <f ca="1">INDEX(F1125:F1275, MATCH(MAX(N1125:N1275), N1125:N1275, 0), 0)</f>
        <v>0</v>
      </c>
      <c r="G1277" s="11">
        <f ca="1">INDEX(G1125:G1275, MATCH(MAX(N1125:N1275), N1125:N1275, 0), 0)</f>
        <v>0</v>
      </c>
      <c r="H1277" s="17">
        <f ca="1">INDEX(H1125:H1275, MATCH(MAX(N1125:N1275), N1125:N1275, 0), 0)</f>
        <v>0</v>
      </c>
      <c r="I1277" s="13">
        <f ca="1">INDEX(I1125:I1275, MATCH(MAX(N1125:N1275), N1125:N1275, 0), 0)</f>
        <v>0</v>
      </c>
      <c r="J1277" s="16"/>
      <c r="K1277" s="13">
        <f ca="1">INDEX(K1125:K1275, MATCH(MAX(N1125:N1275), N1125:N1275, 0), 0)</f>
        <v>0</v>
      </c>
      <c r="L1277" s="15">
        <f ca="1">ROUND((10^(K1277/10))/(10^(I1277/10)),3)</f>
        <v>1</v>
      </c>
      <c r="M1277" s="15"/>
      <c r="N1277" s="15">
        <f t="shared" ref="N1277" ca="1" si="664">J1277*L1277</f>
        <v>0</v>
      </c>
    </row>
    <row r="1278" spans="1:14" x14ac:dyDescent="0.4">
      <c r="A1278" s="11"/>
      <c r="B1278" s="40"/>
      <c r="C1278" s="40"/>
      <c r="D1278" s="40"/>
      <c r="E1278" s="40"/>
      <c r="F1278" s="13"/>
      <c r="G1278" s="11"/>
      <c r="H1278" s="17"/>
      <c r="I1278" s="13"/>
      <c r="J1278" s="16"/>
      <c r="K1278" s="13"/>
      <c r="L1278" s="15"/>
      <c r="M1278" s="15"/>
      <c r="N1278" s="15"/>
    </row>
    <row r="1279" spans="1:14" x14ac:dyDescent="0.4">
      <c r="A1279" s="11"/>
      <c r="B1279" s="40"/>
      <c r="C1279" s="40"/>
      <c r="D1279" s="40"/>
      <c r="E1279" s="40"/>
      <c r="F1279" s="13"/>
      <c r="G1279" s="11"/>
      <c r="H1279" s="17"/>
      <c r="I1279" s="13"/>
      <c r="J1279" s="16"/>
      <c r="K1279" s="13"/>
      <c r="L1279" s="15"/>
      <c r="M1279" s="15"/>
      <c r="N1279" s="15"/>
    </row>
    <row r="1280" spans="1:14" x14ac:dyDescent="0.4">
      <c r="A1280" s="11"/>
      <c r="B1280" s="41"/>
      <c r="C1280" s="41"/>
      <c r="D1280" s="41"/>
      <c r="E1280" s="41"/>
      <c r="F1280" s="19"/>
      <c r="G1280" s="11"/>
      <c r="H1280" s="20"/>
      <c r="I1280" s="19"/>
      <c r="J1280" s="16"/>
      <c r="K1280" s="19"/>
      <c r="L1280" s="15"/>
      <c r="M1280" s="15"/>
      <c r="N1280" s="15"/>
    </row>
    <row r="1281" spans="1:14" x14ac:dyDescent="0.4">
      <c r="A1281" s="11"/>
      <c r="B1281" s="41"/>
      <c r="C1281" s="41"/>
      <c r="D1281" s="41"/>
      <c r="E1281" s="41"/>
      <c r="F1281" s="19"/>
      <c r="G1281" s="11"/>
      <c r="H1281" s="20"/>
      <c r="I1281" s="19"/>
      <c r="J1281" s="16"/>
      <c r="K1281" s="19"/>
      <c r="L1281" s="15"/>
      <c r="M1281" s="15"/>
      <c r="N1281" s="15"/>
    </row>
    <row r="1282" spans="1:14" x14ac:dyDescent="0.4">
      <c r="A1282" s="11"/>
      <c r="B1282" s="41"/>
      <c r="C1282" s="41"/>
      <c r="D1282" s="41"/>
      <c r="E1282" s="41"/>
      <c r="F1282" s="19"/>
      <c r="G1282" s="11"/>
      <c r="H1282" s="20"/>
      <c r="I1282" s="19"/>
      <c r="J1282" s="16"/>
      <c r="K1282" s="19"/>
      <c r="L1282" s="15"/>
      <c r="M1282" s="15"/>
      <c r="N1282" s="15"/>
    </row>
    <row r="1283" spans="1:14" x14ac:dyDescent="0.4">
      <c r="A1283" s="11"/>
      <c r="B1283" s="40"/>
      <c r="C1283" s="40"/>
      <c r="D1283" s="40"/>
      <c r="E1283" s="40"/>
      <c r="F1283" s="13"/>
      <c r="G1283" s="11"/>
      <c r="H1283" s="17"/>
      <c r="I1283" s="13"/>
      <c r="J1283" s="16"/>
      <c r="K1283" s="13"/>
      <c r="L1283" s="15"/>
      <c r="M1283" s="15"/>
      <c r="N1283" s="15"/>
    </row>
    <row r="1284" spans="1:14" x14ac:dyDescent="0.4">
      <c r="A1284" s="11"/>
      <c r="B1284" s="40"/>
      <c r="C1284" s="40"/>
      <c r="D1284" s="40"/>
      <c r="E1284" s="40"/>
      <c r="F1284" s="13"/>
      <c r="G1284" s="11"/>
      <c r="H1284" s="17"/>
      <c r="I1284" s="13"/>
      <c r="J1284" s="16"/>
      <c r="K1284" s="13"/>
      <c r="L1284" s="15"/>
      <c r="M1284" s="15"/>
      <c r="N1284" s="15"/>
    </row>
    <row r="1285" spans="1:14" x14ac:dyDescent="0.4">
      <c r="A1285" s="11"/>
      <c r="B1285" s="40"/>
      <c r="C1285" s="40"/>
      <c r="D1285" s="40"/>
      <c r="E1285" s="40"/>
      <c r="F1285" s="13"/>
      <c r="G1285" s="11"/>
      <c r="H1285" s="17"/>
      <c r="I1285" s="13"/>
      <c r="J1285" s="16"/>
      <c r="K1285" s="13"/>
      <c r="L1285" s="15"/>
      <c r="M1285" s="15"/>
      <c r="N1285" s="15"/>
    </row>
    <row r="1286" spans="1:14" x14ac:dyDescent="0.4">
      <c r="A1286" s="11"/>
      <c r="B1286" s="40"/>
      <c r="C1286" s="40"/>
      <c r="D1286" s="40"/>
      <c r="E1286" s="40"/>
      <c r="F1286" s="13"/>
      <c r="G1286" s="11"/>
      <c r="H1286" s="17"/>
      <c r="I1286" s="13"/>
      <c r="J1286" s="16"/>
      <c r="K1286" s="13"/>
      <c r="L1286" s="15"/>
      <c r="M1286" s="15"/>
      <c r="N1286" s="15"/>
    </row>
    <row r="1287" spans="1:14" x14ac:dyDescent="0.4">
      <c r="A1287" s="11"/>
      <c r="B1287" s="40"/>
      <c r="C1287" s="40"/>
      <c r="D1287" s="40"/>
      <c r="E1287" s="40"/>
      <c r="F1287" s="13"/>
      <c r="G1287" s="11"/>
      <c r="H1287" s="17"/>
      <c r="I1287" s="13"/>
      <c r="J1287" s="16"/>
      <c r="K1287" s="13"/>
      <c r="L1287" s="15"/>
      <c r="M1287" s="15"/>
      <c r="N1287" s="15"/>
    </row>
    <row r="1288" spans="1:14" x14ac:dyDescent="0.4">
      <c r="A1288" s="11"/>
      <c r="B1288" s="40"/>
      <c r="C1288" s="40"/>
      <c r="D1288" s="40"/>
      <c r="E1288" s="40"/>
      <c r="F1288" s="13"/>
      <c r="G1288" s="11"/>
      <c r="H1288" s="17"/>
      <c r="I1288" s="13"/>
      <c r="J1288" s="16"/>
      <c r="K1288" s="13"/>
      <c r="L1288" s="15"/>
      <c r="M1288" s="15"/>
      <c r="N1288" s="15"/>
    </row>
    <row r="1289" spans="1:14" x14ac:dyDescent="0.4">
      <c r="A1289" s="11"/>
      <c r="B1289" s="40"/>
      <c r="C1289" s="40"/>
      <c r="D1289" s="40"/>
      <c r="E1289" s="40"/>
      <c r="F1289" s="13"/>
      <c r="G1289" s="11"/>
      <c r="H1289" s="17"/>
      <c r="I1289" s="13"/>
      <c r="J1289" s="16"/>
      <c r="K1289" s="13"/>
      <c r="L1289" s="15"/>
      <c r="M1289" s="15"/>
      <c r="N1289" s="15"/>
    </row>
    <row r="1290" spans="1:14" x14ac:dyDescent="0.4">
      <c r="A1290" s="11"/>
      <c r="B1290" s="40"/>
      <c r="C1290" s="40"/>
      <c r="D1290" s="40"/>
      <c r="E1290" s="40"/>
      <c r="F1290" s="13"/>
      <c r="G1290" s="11"/>
      <c r="H1290" s="17"/>
      <c r="I1290" s="13"/>
      <c r="J1290" s="16"/>
      <c r="K1290" s="13"/>
      <c r="L1290" s="15"/>
      <c r="M1290" s="15"/>
      <c r="N1290" s="15"/>
    </row>
    <row r="1291" spans="1:14" x14ac:dyDescent="0.4">
      <c r="A1291" s="11"/>
      <c r="B1291" s="40"/>
      <c r="C1291" s="40"/>
      <c r="D1291" s="40"/>
      <c r="E1291" s="40"/>
      <c r="F1291" s="13"/>
      <c r="G1291" s="11"/>
      <c r="H1291" s="17"/>
      <c r="I1291" s="13"/>
      <c r="J1291" s="16"/>
      <c r="K1291" s="13"/>
      <c r="L1291" s="15"/>
      <c r="M1291" s="15"/>
      <c r="N1291" s="15"/>
    </row>
    <row r="1292" spans="1:14" x14ac:dyDescent="0.4">
      <c r="A1292" s="11"/>
      <c r="B1292" s="41"/>
      <c r="C1292" s="41"/>
      <c r="D1292" s="41"/>
      <c r="E1292" s="41"/>
      <c r="F1292" s="19"/>
      <c r="G1292" s="11"/>
      <c r="H1292" s="20"/>
      <c r="I1292" s="19"/>
      <c r="J1292" s="16"/>
      <c r="K1292" s="19"/>
      <c r="L1292" s="15"/>
      <c r="M1292" s="15"/>
      <c r="N1292" s="15"/>
    </row>
    <row r="1293" spans="1:14" x14ac:dyDescent="0.4">
      <c r="A1293" s="11"/>
      <c r="B1293" s="41"/>
      <c r="C1293" s="41"/>
      <c r="D1293" s="41"/>
      <c r="E1293" s="41"/>
      <c r="F1293" s="19"/>
      <c r="G1293" s="11"/>
      <c r="H1293" s="20"/>
      <c r="I1293" s="19"/>
      <c r="J1293" s="16"/>
      <c r="K1293" s="19"/>
      <c r="L1293" s="15"/>
      <c r="M1293" s="15"/>
      <c r="N1293" s="15"/>
    </row>
    <row r="1294" spans="1:14" x14ac:dyDescent="0.4">
      <c r="A1294" s="11"/>
      <c r="B1294" s="41"/>
      <c r="C1294" s="41"/>
      <c r="D1294" s="41"/>
      <c r="E1294" s="41"/>
      <c r="F1294" s="19"/>
      <c r="G1294" s="11"/>
      <c r="H1294" s="20"/>
      <c r="I1294" s="19"/>
      <c r="J1294" s="16"/>
      <c r="K1294" s="19"/>
      <c r="L1294" s="15"/>
      <c r="M1294" s="15"/>
      <c r="N1294" s="15"/>
    </row>
    <row r="1295" spans="1:14" ht="17.399999999999999" x14ac:dyDescent="0.4">
      <c r="A1295" s="77" t="s">
        <v>24</v>
      </c>
      <c r="B1295" s="75"/>
      <c r="C1295" s="75"/>
      <c r="D1295" s="75"/>
      <c r="E1295" s="75"/>
      <c r="F1295" s="75"/>
      <c r="G1295" s="75"/>
      <c r="H1295" s="75"/>
      <c r="I1295" s="75"/>
      <c r="J1295" s="75"/>
      <c r="K1295" s="75"/>
      <c r="L1295" s="75"/>
      <c r="M1295" s="75"/>
      <c r="N1295" s="76"/>
    </row>
    <row r="1296" spans="1:14" x14ac:dyDescent="0.4">
      <c r="A1296" s="11" t="str">
        <f ca="1">INDEX(A1125:A1275, MATCH(MAX(N1125:N1275), N1125:N1275, 0), 0)</f>
        <v>Front</v>
      </c>
      <c r="B1296" s="40">
        <f ca="1">INDEX(B1125:B1275, MATCH(MAX(N1125:N1275), N1125:N1275, 0), 0)</f>
        <v>0</v>
      </c>
      <c r="C1296" s="40"/>
      <c r="D1296" s="40"/>
      <c r="E1296" s="40"/>
      <c r="F1296" s="13">
        <f ca="1">INDEX(F1125:F1275, MATCH(MAX(N1125:N1275), N1125:N1275, 0), 0)</f>
        <v>0</v>
      </c>
      <c r="G1296" s="11">
        <f ca="1">INDEX(G1125:G1275, MATCH(MAX(N1125:N1275), N1125:N1275, 0), 0)</f>
        <v>0</v>
      </c>
      <c r="H1296" s="17">
        <f ca="1">INDEX(H1125:H1275, MATCH(MAX(N1125:N1275), N1125:N1275, 0), 0)</f>
        <v>0</v>
      </c>
      <c r="I1296" s="13">
        <f ca="1">INDEX(I1125:I1275, MATCH(MAX(N1125:N1275), N1125:N1275, 0), 0)</f>
        <v>0</v>
      </c>
      <c r="J1296" s="16"/>
      <c r="K1296" s="13">
        <f ca="1">INDEX(K1125:K1275, MATCH(MAX(N1125:N1275), N1125:N1275, 0), 0)</f>
        <v>0</v>
      </c>
      <c r="L1296" s="15">
        <f ca="1">ROUND((10^(K1296/10))/(10^(I1296/10)),3)</f>
        <v>1</v>
      </c>
      <c r="M1296" s="15"/>
      <c r="N1296" s="15">
        <f t="shared" ref="N1296" ca="1" si="665">J1296*L1296</f>
        <v>0</v>
      </c>
    </row>
    <row r="1297" spans="1:14" x14ac:dyDescent="0.4">
      <c r="A1297" s="11"/>
      <c r="B1297" s="40"/>
      <c r="C1297" s="40"/>
      <c r="D1297" s="40"/>
      <c r="E1297" s="40"/>
      <c r="F1297" s="13"/>
      <c r="G1297" s="11"/>
      <c r="H1297" s="17"/>
      <c r="I1297" s="13"/>
      <c r="J1297" s="16"/>
      <c r="K1297" s="13"/>
      <c r="L1297" s="15"/>
      <c r="M1297" s="15"/>
      <c r="N1297" s="52"/>
    </row>
    <row r="1298" spans="1:14" x14ac:dyDescent="0.4">
      <c r="A1298" s="11"/>
      <c r="B1298" s="40"/>
      <c r="C1298" s="40"/>
      <c r="D1298" s="40"/>
      <c r="E1298" s="40"/>
      <c r="F1298" s="13"/>
      <c r="G1298" s="11"/>
      <c r="H1298" s="17"/>
      <c r="I1298" s="13"/>
      <c r="J1298" s="16"/>
      <c r="K1298" s="13"/>
      <c r="L1298" s="15"/>
      <c r="M1298" s="15"/>
      <c r="N1298" s="52"/>
    </row>
    <row r="1299" spans="1:14" x14ac:dyDescent="0.4">
      <c r="A1299" s="11"/>
      <c r="B1299" s="41"/>
      <c r="C1299" s="41"/>
      <c r="D1299" s="41"/>
      <c r="E1299" s="41"/>
      <c r="F1299" s="19"/>
      <c r="G1299" s="11"/>
      <c r="H1299" s="20"/>
      <c r="I1299" s="19"/>
      <c r="J1299" s="16"/>
      <c r="K1299" s="19"/>
      <c r="L1299" s="15"/>
      <c r="M1299" s="15"/>
      <c r="N1299" s="52"/>
    </row>
    <row r="1300" spans="1:14" x14ac:dyDescent="0.4">
      <c r="A1300" s="11"/>
      <c r="B1300" s="41"/>
      <c r="C1300" s="41"/>
      <c r="D1300" s="41"/>
      <c r="E1300" s="41"/>
      <c r="F1300" s="19"/>
      <c r="G1300" s="11"/>
      <c r="H1300" s="20"/>
      <c r="I1300" s="19"/>
      <c r="J1300" s="16"/>
      <c r="K1300" s="19"/>
      <c r="L1300" s="15"/>
      <c r="M1300" s="15"/>
      <c r="N1300" s="52"/>
    </row>
    <row r="1301" spans="1:14" x14ac:dyDescent="0.4">
      <c r="A1301" s="11"/>
      <c r="B1301" s="41"/>
      <c r="C1301" s="41"/>
      <c r="D1301" s="41"/>
      <c r="E1301" s="41"/>
      <c r="F1301" s="19"/>
      <c r="G1301" s="11"/>
      <c r="H1301" s="20"/>
      <c r="I1301" s="19"/>
      <c r="J1301" s="16"/>
      <c r="K1301" s="19"/>
      <c r="L1301" s="15"/>
      <c r="M1301" s="15"/>
      <c r="N1301" s="52"/>
    </row>
    <row r="1302" spans="1:14" x14ac:dyDescent="0.4">
      <c r="A1302" s="11"/>
      <c r="B1302" s="40"/>
      <c r="C1302" s="40"/>
      <c r="D1302" s="40"/>
      <c r="E1302" s="40"/>
      <c r="F1302" s="13"/>
      <c r="G1302" s="11"/>
      <c r="H1302" s="17"/>
      <c r="I1302" s="13"/>
      <c r="J1302" s="16"/>
      <c r="K1302" s="13"/>
      <c r="L1302" s="15"/>
      <c r="M1302" s="15"/>
      <c r="N1302" s="52"/>
    </row>
    <row r="1303" spans="1:14" x14ac:dyDescent="0.4">
      <c r="A1303" s="11"/>
      <c r="B1303" s="40"/>
      <c r="C1303" s="40"/>
      <c r="D1303" s="40"/>
      <c r="E1303" s="40"/>
      <c r="F1303" s="13"/>
      <c r="G1303" s="11"/>
      <c r="H1303" s="17"/>
      <c r="I1303" s="13"/>
      <c r="J1303" s="16"/>
      <c r="K1303" s="13"/>
      <c r="L1303" s="15"/>
      <c r="M1303" s="15"/>
      <c r="N1303" s="52"/>
    </row>
    <row r="1304" spans="1:14" x14ac:dyDescent="0.4">
      <c r="A1304" s="11"/>
      <c r="B1304" s="40"/>
      <c r="C1304" s="40"/>
      <c r="D1304" s="40"/>
      <c r="E1304" s="40"/>
      <c r="F1304" s="13"/>
      <c r="G1304" s="11"/>
      <c r="H1304" s="17"/>
      <c r="I1304" s="13"/>
      <c r="J1304" s="16"/>
      <c r="K1304" s="13"/>
      <c r="L1304" s="15"/>
      <c r="M1304" s="15"/>
      <c r="N1304" s="52"/>
    </row>
    <row r="1305" spans="1:14" x14ac:dyDescent="0.4">
      <c r="A1305" s="11"/>
      <c r="B1305" s="40"/>
      <c r="C1305" s="40"/>
      <c r="D1305" s="40"/>
      <c r="E1305" s="40"/>
      <c r="F1305" s="13"/>
      <c r="G1305" s="11"/>
      <c r="H1305" s="17"/>
      <c r="I1305" s="13"/>
      <c r="J1305" s="16"/>
      <c r="K1305" s="13"/>
      <c r="L1305" s="15"/>
      <c r="M1305" s="15"/>
      <c r="N1305" s="52"/>
    </row>
    <row r="1306" spans="1:14" x14ac:dyDescent="0.4">
      <c r="A1306" s="11"/>
      <c r="B1306" s="40"/>
      <c r="C1306" s="40"/>
      <c r="D1306" s="40"/>
      <c r="E1306" s="40"/>
      <c r="F1306" s="13"/>
      <c r="G1306" s="11"/>
      <c r="H1306" s="17"/>
      <c r="I1306" s="13"/>
      <c r="J1306" s="16"/>
      <c r="K1306" s="13"/>
      <c r="L1306" s="15"/>
      <c r="M1306" s="15"/>
      <c r="N1306" s="52"/>
    </row>
    <row r="1307" spans="1:14" x14ac:dyDescent="0.4">
      <c r="A1307" s="11"/>
      <c r="B1307" s="40"/>
      <c r="C1307" s="40"/>
      <c r="D1307" s="40"/>
      <c r="E1307" s="40"/>
      <c r="F1307" s="13"/>
      <c r="G1307" s="11"/>
      <c r="H1307" s="17"/>
      <c r="I1307" s="13"/>
      <c r="J1307" s="16"/>
      <c r="K1307" s="13"/>
      <c r="L1307" s="15"/>
      <c r="M1307" s="15"/>
      <c r="N1307" s="52"/>
    </row>
    <row r="1308" spans="1:14" x14ac:dyDescent="0.4">
      <c r="A1308" s="11"/>
      <c r="B1308" s="40"/>
      <c r="C1308" s="40"/>
      <c r="D1308" s="40"/>
      <c r="E1308" s="40"/>
      <c r="F1308" s="13"/>
      <c r="G1308" s="11"/>
      <c r="H1308" s="17"/>
      <c r="I1308" s="13"/>
      <c r="J1308" s="16"/>
      <c r="K1308" s="13"/>
      <c r="L1308" s="15"/>
      <c r="M1308" s="15"/>
      <c r="N1308" s="52"/>
    </row>
    <row r="1309" spans="1:14" x14ac:dyDescent="0.4">
      <c r="A1309" s="11"/>
      <c r="B1309" s="40"/>
      <c r="C1309" s="40"/>
      <c r="D1309" s="40"/>
      <c r="E1309" s="40"/>
      <c r="F1309" s="13"/>
      <c r="G1309" s="11"/>
      <c r="H1309" s="17"/>
      <c r="I1309" s="13"/>
      <c r="J1309" s="16"/>
      <c r="K1309" s="13"/>
      <c r="L1309" s="15"/>
      <c r="M1309" s="15"/>
      <c r="N1309" s="52"/>
    </row>
    <row r="1310" spans="1:14" x14ac:dyDescent="0.4">
      <c r="A1310" s="11"/>
      <c r="B1310" s="40"/>
      <c r="C1310" s="40"/>
      <c r="D1310" s="40"/>
      <c r="E1310" s="40"/>
      <c r="F1310" s="13"/>
      <c r="G1310" s="11"/>
      <c r="H1310" s="17"/>
      <c r="I1310" s="13"/>
      <c r="J1310" s="16"/>
      <c r="K1310" s="13"/>
      <c r="L1310" s="15"/>
      <c r="M1310" s="15"/>
      <c r="N1310" s="52"/>
    </row>
    <row r="1311" spans="1:14" x14ac:dyDescent="0.4">
      <c r="A1311" s="11"/>
      <c r="B1311" s="41"/>
      <c r="C1311" s="41"/>
      <c r="D1311" s="41"/>
      <c r="E1311" s="41"/>
      <c r="F1311" s="19"/>
      <c r="G1311" s="11"/>
      <c r="H1311" s="20"/>
      <c r="I1311" s="19"/>
      <c r="J1311" s="16"/>
      <c r="K1311" s="19"/>
      <c r="L1311" s="15"/>
      <c r="M1311" s="15"/>
      <c r="N1311" s="52"/>
    </row>
    <row r="1312" spans="1:14" x14ac:dyDescent="0.4">
      <c r="A1312" s="11"/>
      <c r="B1312" s="41"/>
      <c r="C1312" s="41"/>
      <c r="D1312" s="41"/>
      <c r="E1312" s="41"/>
      <c r="F1312" s="19"/>
      <c r="G1312" s="11"/>
      <c r="H1312" s="20"/>
      <c r="I1312" s="19"/>
      <c r="J1312" s="16"/>
      <c r="K1312" s="19"/>
      <c r="L1312" s="15"/>
      <c r="M1312" s="15"/>
      <c r="N1312" s="52"/>
    </row>
    <row r="1313" spans="1:14" x14ac:dyDescent="0.4">
      <c r="A1313" s="11"/>
      <c r="B1313" s="41"/>
      <c r="C1313" s="41"/>
      <c r="D1313" s="41"/>
      <c r="E1313" s="41"/>
      <c r="F1313" s="19"/>
      <c r="G1313" s="11"/>
      <c r="H1313" s="20"/>
      <c r="I1313" s="19"/>
      <c r="J1313" s="16"/>
      <c r="K1313" s="19"/>
      <c r="L1313" s="15"/>
      <c r="M1313" s="15"/>
      <c r="N1313" s="52"/>
    </row>
    <row r="1316" spans="1:14" x14ac:dyDescent="0.4">
      <c r="A1316" s="58" t="s">
        <v>170</v>
      </c>
      <c r="B1316" s="59"/>
      <c r="C1316" s="59"/>
      <c r="D1316" s="59"/>
      <c r="E1316" s="59"/>
      <c r="F1316" s="59"/>
      <c r="G1316" s="59"/>
      <c r="H1316" s="60"/>
      <c r="I1316" s="54" t="s">
        <v>3</v>
      </c>
      <c r="J1316" s="54"/>
      <c r="K1316" s="54"/>
      <c r="L1316" s="7"/>
      <c r="M1316" s="7"/>
      <c r="N1316" s="8"/>
    </row>
    <row r="1317" spans="1:14" x14ac:dyDescent="0.4">
      <c r="A1317" s="61"/>
      <c r="B1317" s="62"/>
      <c r="C1317" s="62"/>
      <c r="D1317" s="62"/>
      <c r="E1317" s="62"/>
      <c r="F1317" s="62"/>
      <c r="G1317" s="62"/>
      <c r="H1317" s="63"/>
      <c r="I1317" s="54" t="s">
        <v>4</v>
      </c>
      <c r="J1317" s="54"/>
      <c r="K1317" s="54"/>
      <c r="L1317" s="7"/>
      <c r="M1317" s="7"/>
      <c r="N1317" s="8"/>
    </row>
    <row r="1318" spans="1:14" x14ac:dyDescent="0.4">
      <c r="A1318" s="64"/>
      <c r="B1318" s="65"/>
      <c r="C1318" s="65"/>
      <c r="D1318" s="65"/>
      <c r="E1318" s="65"/>
      <c r="F1318" s="65"/>
      <c r="G1318" s="65"/>
      <c r="H1318" s="66"/>
      <c r="I1318" s="54" t="s">
        <v>0</v>
      </c>
      <c r="J1318" s="54"/>
      <c r="K1318" s="54"/>
      <c r="L1318" s="9"/>
      <c r="M1318" s="9"/>
      <c r="N1318" s="8"/>
    </row>
    <row r="1319" spans="1:14" x14ac:dyDescent="0.4">
      <c r="A1319" s="39"/>
      <c r="B1319" s="39"/>
      <c r="C1319" s="39"/>
      <c r="D1319" s="39"/>
      <c r="E1319" s="39"/>
      <c r="F1319" s="39"/>
      <c r="G1319" s="39"/>
      <c r="H1319" s="39"/>
      <c r="I1319" s="39"/>
      <c r="J1319" s="39"/>
      <c r="K1319" s="39"/>
      <c r="L1319" s="39"/>
    </row>
    <row r="1320" spans="1:14" x14ac:dyDescent="0.4">
      <c r="A1320" s="53" t="s">
        <v>14</v>
      </c>
      <c r="B1320" s="55" t="s">
        <v>34</v>
      </c>
      <c r="C1320" s="71" t="s">
        <v>152</v>
      </c>
      <c r="D1320" s="71" t="s">
        <v>153</v>
      </c>
      <c r="E1320" s="71" t="s">
        <v>145</v>
      </c>
      <c r="F1320" s="53" t="s">
        <v>1</v>
      </c>
      <c r="G1320" s="53"/>
      <c r="H1320" s="57" t="s">
        <v>15</v>
      </c>
      <c r="I1320" s="57" t="s">
        <v>16</v>
      </c>
      <c r="J1320" s="53" t="s">
        <v>17</v>
      </c>
      <c r="K1320" s="67" t="s">
        <v>84</v>
      </c>
      <c r="L1320" s="68"/>
      <c r="M1320" s="53" t="s">
        <v>20</v>
      </c>
      <c r="N1320" s="8"/>
    </row>
    <row r="1321" spans="1:14" x14ac:dyDescent="0.4">
      <c r="A1321" s="53"/>
      <c r="B1321" s="55"/>
      <c r="C1321" s="72"/>
      <c r="D1321" s="72"/>
      <c r="E1321" s="72"/>
      <c r="F1321" s="53" t="s">
        <v>18</v>
      </c>
      <c r="G1321" s="53" t="s">
        <v>2</v>
      </c>
      <c r="H1321" s="57"/>
      <c r="I1321" s="57"/>
      <c r="J1321" s="53"/>
      <c r="K1321" s="69"/>
      <c r="L1321" s="70"/>
      <c r="M1321" s="53"/>
      <c r="N1321" s="8"/>
    </row>
    <row r="1322" spans="1:14" x14ac:dyDescent="0.4">
      <c r="A1322" s="53"/>
      <c r="B1322" s="56"/>
      <c r="C1322" s="73"/>
      <c r="D1322" s="73"/>
      <c r="E1322" s="73"/>
      <c r="F1322" s="53"/>
      <c r="G1322" s="53"/>
      <c r="H1322" s="57"/>
      <c r="I1322" s="57"/>
      <c r="J1322" s="53"/>
      <c r="K1322" s="42" t="s">
        <v>85</v>
      </c>
      <c r="L1322" s="42" t="s">
        <v>86</v>
      </c>
      <c r="M1322" s="53"/>
      <c r="N1322" s="8"/>
    </row>
    <row r="1323" spans="1:14" x14ac:dyDescent="0.4">
      <c r="A1323" s="11" t="s">
        <v>11</v>
      </c>
      <c r="B1323" s="40"/>
      <c r="C1323" s="40"/>
      <c r="D1323" s="40"/>
      <c r="E1323" s="40"/>
      <c r="F1323" s="13"/>
      <c r="G1323" s="11"/>
      <c r="H1323" s="13"/>
      <c r="I1323" s="14"/>
      <c r="J1323" s="13"/>
      <c r="K1323" s="15">
        <f>ROUND((10^(J1323/10))/(10^(H1323/10)),3)</f>
        <v>1</v>
      </c>
      <c r="L1323" s="15"/>
      <c r="M1323" s="15">
        <f t="shared" ref="M1323:M1334" si="666">I1323*K1323</f>
        <v>0</v>
      </c>
      <c r="N1323" s="8"/>
    </row>
    <row r="1324" spans="1:14" x14ac:dyDescent="0.4">
      <c r="A1324" s="11" t="s">
        <v>11</v>
      </c>
      <c r="B1324" s="40"/>
      <c r="C1324" s="40"/>
      <c r="D1324" s="40"/>
      <c r="E1324" s="40"/>
      <c r="F1324" s="13"/>
      <c r="G1324" s="11"/>
      <c r="H1324" s="13"/>
      <c r="I1324" s="14"/>
      <c r="J1324" s="13"/>
      <c r="K1324" s="15">
        <f t="shared" ref="K1324:K1334" si="667">ROUND((10^(J1324/10))/(10^(H1324/10)),3)</f>
        <v>1</v>
      </c>
      <c r="L1324" s="15"/>
      <c r="M1324" s="15">
        <f t="shared" si="666"/>
        <v>0</v>
      </c>
      <c r="N1324" s="8"/>
    </row>
    <row r="1325" spans="1:14" x14ac:dyDescent="0.4">
      <c r="A1325" s="11" t="s">
        <v>11</v>
      </c>
      <c r="B1325" s="40"/>
      <c r="C1325" s="40"/>
      <c r="D1325" s="40"/>
      <c r="E1325" s="40"/>
      <c r="F1325" s="13"/>
      <c r="G1325" s="11"/>
      <c r="H1325" s="13"/>
      <c r="I1325" s="14"/>
      <c r="J1325" s="13"/>
      <c r="K1325" s="15">
        <f t="shared" si="667"/>
        <v>1</v>
      </c>
      <c r="L1325" s="15"/>
      <c r="M1325" s="15">
        <f t="shared" si="666"/>
        <v>0</v>
      </c>
      <c r="N1325" s="8"/>
    </row>
    <row r="1326" spans="1:14" x14ac:dyDescent="0.4">
      <c r="A1326" s="11" t="s">
        <v>13</v>
      </c>
      <c r="B1326" s="40">
        <f t="shared" ref="B1326" si="668">B1323</f>
        <v>0</v>
      </c>
      <c r="C1326" s="40"/>
      <c r="D1326" s="40"/>
      <c r="E1326" s="40">
        <f t="shared" ref="E1326:G1326" si="669">E1323</f>
        <v>0</v>
      </c>
      <c r="F1326" s="13">
        <f t="shared" si="669"/>
        <v>0</v>
      </c>
      <c r="G1326" s="40">
        <f t="shared" si="669"/>
        <v>0</v>
      </c>
      <c r="H1326" s="13">
        <f>H1323</f>
        <v>0</v>
      </c>
      <c r="I1326" s="16"/>
      <c r="J1326" s="13">
        <f t="shared" ref="J1326:J1328" si="670">J1323</f>
        <v>0</v>
      </c>
      <c r="K1326" s="15">
        <f t="shared" si="667"/>
        <v>1</v>
      </c>
      <c r="L1326" s="15"/>
      <c r="M1326" s="15">
        <f t="shared" si="666"/>
        <v>0</v>
      </c>
      <c r="N1326" s="8"/>
    </row>
    <row r="1327" spans="1:14" x14ac:dyDescent="0.4">
      <c r="A1327" s="11" t="s">
        <v>13</v>
      </c>
      <c r="B1327" s="40">
        <f t="shared" ref="B1327" si="671">B1324</f>
        <v>0</v>
      </c>
      <c r="C1327" s="40"/>
      <c r="D1327" s="40"/>
      <c r="E1327" s="40">
        <f t="shared" ref="E1327:H1327" si="672">E1324</f>
        <v>0</v>
      </c>
      <c r="F1327" s="13">
        <f t="shared" si="672"/>
        <v>0</v>
      </c>
      <c r="G1327" s="40">
        <f t="shared" si="672"/>
        <v>0</v>
      </c>
      <c r="H1327" s="13">
        <f t="shared" si="672"/>
        <v>0</v>
      </c>
      <c r="I1327" s="16"/>
      <c r="J1327" s="13">
        <f t="shared" si="670"/>
        <v>0</v>
      </c>
      <c r="K1327" s="15">
        <f t="shared" si="667"/>
        <v>1</v>
      </c>
      <c r="L1327" s="15"/>
      <c r="M1327" s="15">
        <f t="shared" si="666"/>
        <v>0</v>
      </c>
      <c r="N1327" s="8"/>
    </row>
    <row r="1328" spans="1:14" x14ac:dyDescent="0.4">
      <c r="A1328" s="11" t="s">
        <v>13</v>
      </c>
      <c r="B1328" s="40">
        <f t="shared" ref="B1328" si="673">B1325</f>
        <v>0</v>
      </c>
      <c r="C1328" s="40"/>
      <c r="D1328" s="40"/>
      <c r="E1328" s="40">
        <f t="shared" ref="E1328:H1328" si="674">E1325</f>
        <v>0</v>
      </c>
      <c r="F1328" s="13">
        <f t="shared" si="674"/>
        <v>0</v>
      </c>
      <c r="G1328" s="40">
        <f t="shared" si="674"/>
        <v>0</v>
      </c>
      <c r="H1328" s="13">
        <f t="shared" si="674"/>
        <v>0</v>
      </c>
      <c r="I1328" s="16"/>
      <c r="J1328" s="13">
        <f t="shared" si="670"/>
        <v>0</v>
      </c>
      <c r="K1328" s="15">
        <f t="shared" si="667"/>
        <v>1</v>
      </c>
      <c r="L1328" s="15"/>
      <c r="M1328" s="15">
        <f t="shared" si="666"/>
        <v>0</v>
      </c>
      <c r="N1328" s="8"/>
    </row>
    <row r="1329" spans="1:14" x14ac:dyDescent="0.4">
      <c r="A1329" s="11" t="s">
        <v>12</v>
      </c>
      <c r="B1329" s="40">
        <f t="shared" ref="B1329:J1334" ca="1" si="675">OFFSET(B1329,-6,0)</f>
        <v>0</v>
      </c>
      <c r="C1329" s="40"/>
      <c r="D1329" s="40"/>
      <c r="E1329" s="40">
        <f t="shared" ca="1" si="675"/>
        <v>0</v>
      </c>
      <c r="F1329" s="13">
        <f t="shared" ca="1" si="675"/>
        <v>0</v>
      </c>
      <c r="G1329" s="17">
        <f t="shared" ca="1" si="675"/>
        <v>0</v>
      </c>
      <c r="H1329" s="13">
        <f t="shared" ca="1" si="675"/>
        <v>0</v>
      </c>
      <c r="I1329" s="16"/>
      <c r="J1329" s="13">
        <f t="shared" ca="1" si="675"/>
        <v>0</v>
      </c>
      <c r="K1329" s="15">
        <f t="shared" ca="1" si="667"/>
        <v>1</v>
      </c>
      <c r="L1329" s="15"/>
      <c r="M1329" s="15">
        <f t="shared" ca="1" si="666"/>
        <v>0</v>
      </c>
      <c r="N1329" s="8"/>
    </row>
    <row r="1330" spans="1:14" x14ac:dyDescent="0.4">
      <c r="A1330" s="11" t="s">
        <v>12</v>
      </c>
      <c r="B1330" s="40">
        <f t="shared" ca="1" si="675"/>
        <v>0</v>
      </c>
      <c r="C1330" s="40"/>
      <c r="D1330" s="40"/>
      <c r="E1330" s="40">
        <f t="shared" ca="1" si="675"/>
        <v>0</v>
      </c>
      <c r="F1330" s="13">
        <f t="shared" ca="1" si="675"/>
        <v>0</v>
      </c>
      <c r="G1330" s="17">
        <f t="shared" ca="1" si="675"/>
        <v>0</v>
      </c>
      <c r="H1330" s="13">
        <f t="shared" ca="1" si="675"/>
        <v>0</v>
      </c>
      <c r="I1330" s="16"/>
      <c r="J1330" s="13">
        <f t="shared" ca="1" si="675"/>
        <v>0</v>
      </c>
      <c r="K1330" s="15">
        <f t="shared" ca="1" si="667"/>
        <v>1</v>
      </c>
      <c r="L1330" s="15"/>
      <c r="M1330" s="15">
        <f t="shared" ca="1" si="666"/>
        <v>0</v>
      </c>
      <c r="N1330" s="8"/>
    </row>
    <row r="1331" spans="1:14" x14ac:dyDescent="0.4">
      <c r="A1331" s="11" t="s">
        <v>12</v>
      </c>
      <c r="B1331" s="40">
        <f t="shared" ca="1" si="675"/>
        <v>0</v>
      </c>
      <c r="C1331" s="40"/>
      <c r="D1331" s="40"/>
      <c r="E1331" s="40">
        <f t="shared" ca="1" si="675"/>
        <v>0</v>
      </c>
      <c r="F1331" s="13">
        <f t="shared" ca="1" si="675"/>
        <v>0</v>
      </c>
      <c r="G1331" s="17">
        <f t="shared" ca="1" si="675"/>
        <v>0</v>
      </c>
      <c r="H1331" s="13">
        <f t="shared" ca="1" si="675"/>
        <v>0</v>
      </c>
      <c r="I1331" s="16"/>
      <c r="J1331" s="13">
        <f t="shared" ca="1" si="675"/>
        <v>0</v>
      </c>
      <c r="K1331" s="15">
        <f t="shared" ca="1" si="667"/>
        <v>1</v>
      </c>
      <c r="L1331" s="15"/>
      <c r="M1331" s="15">
        <f t="shared" ca="1" si="666"/>
        <v>0</v>
      </c>
      <c r="N1331" s="8"/>
    </row>
    <row r="1332" spans="1:14" x14ac:dyDescent="0.4">
      <c r="A1332" s="11" t="s">
        <v>21</v>
      </c>
      <c r="B1332" s="40">
        <f t="shared" ca="1" si="675"/>
        <v>0</v>
      </c>
      <c r="C1332" s="40"/>
      <c r="D1332" s="40"/>
      <c r="E1332" s="40">
        <f t="shared" ca="1" si="675"/>
        <v>0</v>
      </c>
      <c r="F1332" s="13">
        <f t="shared" ca="1" si="675"/>
        <v>0</v>
      </c>
      <c r="G1332" s="17">
        <f t="shared" ca="1" si="675"/>
        <v>0</v>
      </c>
      <c r="H1332" s="13">
        <f t="shared" ca="1" si="675"/>
        <v>0</v>
      </c>
      <c r="I1332" s="16"/>
      <c r="J1332" s="13">
        <f t="shared" ca="1" si="675"/>
        <v>0</v>
      </c>
      <c r="K1332" s="15">
        <f t="shared" ca="1" si="667"/>
        <v>1</v>
      </c>
      <c r="L1332" s="15"/>
      <c r="M1332" s="15">
        <f t="shared" ca="1" si="666"/>
        <v>0</v>
      </c>
      <c r="N1332" s="8"/>
    </row>
    <row r="1333" spans="1:14" x14ac:dyDescent="0.4">
      <c r="A1333" s="11" t="s">
        <v>21</v>
      </c>
      <c r="B1333" s="40">
        <f t="shared" ca="1" si="675"/>
        <v>0</v>
      </c>
      <c r="C1333" s="40"/>
      <c r="D1333" s="40"/>
      <c r="E1333" s="40">
        <f t="shared" ca="1" si="675"/>
        <v>0</v>
      </c>
      <c r="F1333" s="13">
        <f t="shared" ca="1" si="675"/>
        <v>0</v>
      </c>
      <c r="G1333" s="17">
        <f t="shared" ca="1" si="675"/>
        <v>0</v>
      </c>
      <c r="H1333" s="13">
        <f t="shared" ca="1" si="675"/>
        <v>0</v>
      </c>
      <c r="I1333" s="16"/>
      <c r="J1333" s="13">
        <f t="shared" ca="1" si="675"/>
        <v>0</v>
      </c>
      <c r="K1333" s="15">
        <f t="shared" ca="1" si="667"/>
        <v>1</v>
      </c>
      <c r="L1333" s="15"/>
      <c r="M1333" s="15">
        <f t="shared" ca="1" si="666"/>
        <v>0</v>
      </c>
      <c r="N1333" s="8"/>
    </row>
    <row r="1334" spans="1:14" x14ac:dyDescent="0.4">
      <c r="A1334" s="11" t="s">
        <v>21</v>
      </c>
      <c r="B1334" s="40">
        <f t="shared" ca="1" si="675"/>
        <v>0</v>
      </c>
      <c r="C1334" s="40"/>
      <c r="D1334" s="40"/>
      <c r="E1334" s="40">
        <f t="shared" ca="1" si="675"/>
        <v>0</v>
      </c>
      <c r="F1334" s="13">
        <f t="shared" ca="1" si="675"/>
        <v>0</v>
      </c>
      <c r="G1334" s="17">
        <f t="shared" ca="1" si="675"/>
        <v>0</v>
      </c>
      <c r="H1334" s="13">
        <f t="shared" ca="1" si="675"/>
        <v>0</v>
      </c>
      <c r="I1334" s="16"/>
      <c r="J1334" s="13">
        <f t="shared" ca="1" si="675"/>
        <v>0</v>
      </c>
      <c r="K1334" s="15">
        <f t="shared" ca="1" si="667"/>
        <v>1</v>
      </c>
      <c r="L1334" s="15"/>
      <c r="M1334" s="15">
        <f t="shared" ca="1" si="666"/>
        <v>0</v>
      </c>
      <c r="N1334" s="8"/>
    </row>
    <row r="1335" spans="1:14" x14ac:dyDescent="0.4">
      <c r="A1335" s="36"/>
      <c r="B1335" s="36"/>
      <c r="C1335" s="36"/>
      <c r="D1335" s="36"/>
      <c r="E1335" s="36"/>
      <c r="F1335" s="36"/>
      <c r="G1335" s="36"/>
      <c r="H1335" s="36"/>
      <c r="I1335" s="36"/>
      <c r="J1335" s="36"/>
      <c r="K1335" s="36"/>
      <c r="L1335" s="36"/>
      <c r="M1335" s="37"/>
    </row>
    <row r="1336" spans="1:14" x14ac:dyDescent="0.4">
      <c r="A1336" s="58" t="s">
        <v>175</v>
      </c>
      <c r="B1336" s="59"/>
      <c r="C1336" s="59"/>
      <c r="D1336" s="59"/>
      <c r="E1336" s="59"/>
      <c r="F1336" s="59"/>
      <c r="G1336" s="59"/>
      <c r="H1336" s="59"/>
      <c r="I1336" s="60"/>
      <c r="J1336" s="54" t="s">
        <v>3</v>
      </c>
      <c r="K1336" s="54"/>
      <c r="L1336" s="54"/>
      <c r="M1336" s="7"/>
      <c r="N1336" s="7"/>
    </row>
    <row r="1337" spans="1:14" x14ac:dyDescent="0.4">
      <c r="A1337" s="61"/>
      <c r="B1337" s="62"/>
      <c r="C1337" s="62"/>
      <c r="D1337" s="62"/>
      <c r="E1337" s="62"/>
      <c r="F1337" s="62"/>
      <c r="G1337" s="62"/>
      <c r="H1337" s="62"/>
      <c r="I1337" s="63"/>
      <c r="J1337" s="54" t="s">
        <v>4</v>
      </c>
      <c r="K1337" s="54"/>
      <c r="L1337" s="54"/>
      <c r="M1337" s="7"/>
      <c r="N1337" s="7"/>
    </row>
    <row r="1338" spans="1:14" x14ac:dyDescent="0.4">
      <c r="A1338" s="64"/>
      <c r="B1338" s="65"/>
      <c r="C1338" s="65"/>
      <c r="D1338" s="65"/>
      <c r="E1338" s="65"/>
      <c r="F1338" s="65"/>
      <c r="G1338" s="65"/>
      <c r="H1338" s="65"/>
      <c r="I1338" s="66"/>
      <c r="J1338" s="54" t="s">
        <v>0</v>
      </c>
      <c r="K1338" s="54"/>
      <c r="L1338" s="54"/>
      <c r="M1338" s="9"/>
      <c r="N1338" s="9"/>
    </row>
    <row r="1339" spans="1:14" x14ac:dyDescent="0.4">
      <c r="A1339" s="39"/>
      <c r="B1339" s="39"/>
      <c r="C1339" s="39"/>
      <c r="D1339" s="39"/>
      <c r="E1339" s="39"/>
      <c r="F1339" s="39"/>
      <c r="G1339" s="39"/>
      <c r="H1339" s="39"/>
      <c r="I1339" s="39"/>
      <c r="J1339" s="39"/>
      <c r="K1339" s="39"/>
      <c r="L1339" s="39"/>
      <c r="M1339" s="39"/>
    </row>
    <row r="1340" spans="1:14" x14ac:dyDescent="0.4">
      <c r="A1340" s="53" t="s">
        <v>14</v>
      </c>
      <c r="B1340" s="55" t="s">
        <v>33</v>
      </c>
      <c r="C1340" s="71" t="s">
        <v>152</v>
      </c>
      <c r="D1340" s="71" t="s">
        <v>153</v>
      </c>
      <c r="E1340" s="55" t="s">
        <v>145</v>
      </c>
      <c r="F1340" s="53" t="s">
        <v>1</v>
      </c>
      <c r="G1340" s="53"/>
      <c r="H1340" s="53" t="s">
        <v>19</v>
      </c>
      <c r="I1340" s="57" t="s">
        <v>15</v>
      </c>
      <c r="J1340" s="57" t="s">
        <v>16</v>
      </c>
      <c r="K1340" s="53" t="s">
        <v>17</v>
      </c>
      <c r="L1340" s="53" t="s">
        <v>84</v>
      </c>
      <c r="M1340" s="53"/>
      <c r="N1340" s="53" t="s">
        <v>20</v>
      </c>
    </row>
    <row r="1341" spans="1:14" x14ac:dyDescent="0.4">
      <c r="A1341" s="53"/>
      <c r="B1341" s="55"/>
      <c r="C1341" s="72"/>
      <c r="D1341" s="72"/>
      <c r="E1341" s="55"/>
      <c r="F1341" s="53" t="s">
        <v>18</v>
      </c>
      <c r="G1341" s="53" t="s">
        <v>2</v>
      </c>
      <c r="H1341" s="53"/>
      <c r="I1341" s="57"/>
      <c r="J1341" s="57"/>
      <c r="K1341" s="53"/>
      <c r="L1341" s="53"/>
      <c r="M1341" s="53"/>
      <c r="N1341" s="53"/>
    </row>
    <row r="1342" spans="1:14" x14ac:dyDescent="0.4">
      <c r="A1342" s="53"/>
      <c r="B1342" s="56"/>
      <c r="C1342" s="73"/>
      <c r="D1342" s="73"/>
      <c r="E1342" s="55"/>
      <c r="F1342" s="53"/>
      <c r="G1342" s="53"/>
      <c r="H1342" s="53"/>
      <c r="I1342" s="57"/>
      <c r="J1342" s="57"/>
      <c r="K1342" s="53"/>
      <c r="L1342" s="42" t="s">
        <v>85</v>
      </c>
      <c r="M1342" s="42" t="s">
        <v>86</v>
      </c>
      <c r="N1342" s="53"/>
    </row>
    <row r="1343" spans="1:14" x14ac:dyDescent="0.4">
      <c r="A1343" s="74" t="s">
        <v>26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9"/>
    </row>
    <row r="1344" spans="1:14" x14ac:dyDescent="0.4">
      <c r="A1344" s="11" t="s">
        <v>5</v>
      </c>
      <c r="B1344" s="40"/>
      <c r="C1344" s="40"/>
      <c r="D1344" s="40"/>
      <c r="E1344" s="40"/>
      <c r="F1344" s="13"/>
      <c r="G1344" s="11"/>
      <c r="H1344" s="17"/>
      <c r="I1344" s="13"/>
      <c r="J1344" s="16"/>
      <c r="K1344" s="13"/>
      <c r="L1344" s="15">
        <f>ROUND((10^(K1344/10))/(10^(I1344/10)),3)</f>
        <v>1</v>
      </c>
      <c r="M1344" s="15"/>
      <c r="N1344" s="15">
        <f t="shared" ref="N1344:N1361" si="676">J1344*L1344</f>
        <v>0</v>
      </c>
    </row>
    <row r="1345" spans="1:14" x14ac:dyDescent="0.4">
      <c r="A1345" s="11" t="s">
        <v>5</v>
      </c>
      <c r="B1345" s="40"/>
      <c r="C1345" s="40"/>
      <c r="D1345" s="40"/>
      <c r="E1345" s="40"/>
      <c r="F1345" s="13"/>
      <c r="G1345" s="11"/>
      <c r="H1345" s="17"/>
      <c r="I1345" s="13"/>
      <c r="J1345" s="16"/>
      <c r="K1345" s="13"/>
      <c r="L1345" s="15">
        <f t="shared" ref="L1345:L1361" si="677">ROUND((10^(K1345/10))/(10^(I1345/10)),3)</f>
        <v>1</v>
      </c>
      <c r="M1345" s="15"/>
      <c r="N1345" s="15">
        <f t="shared" si="676"/>
        <v>0</v>
      </c>
    </row>
    <row r="1346" spans="1:14" x14ac:dyDescent="0.4">
      <c r="A1346" s="11" t="s">
        <v>5</v>
      </c>
      <c r="B1346" s="40"/>
      <c r="C1346" s="40"/>
      <c r="D1346" s="40"/>
      <c r="E1346" s="40"/>
      <c r="F1346" s="13"/>
      <c r="G1346" s="11"/>
      <c r="H1346" s="17"/>
      <c r="I1346" s="13"/>
      <c r="J1346" s="16"/>
      <c r="K1346" s="13"/>
      <c r="L1346" s="15">
        <f t="shared" si="677"/>
        <v>1</v>
      </c>
      <c r="M1346" s="15"/>
      <c r="N1346" s="15">
        <f t="shared" si="676"/>
        <v>0</v>
      </c>
    </row>
    <row r="1347" spans="1:14" x14ac:dyDescent="0.4">
      <c r="A1347" s="11" t="s">
        <v>6</v>
      </c>
      <c r="B1347" s="41">
        <f t="shared" ref="B1347:I1349" ca="1" si="678">OFFSET(B1347,-3,0)</f>
        <v>0</v>
      </c>
      <c r="C1347" s="41"/>
      <c r="D1347" s="41"/>
      <c r="E1347" s="41"/>
      <c r="F1347" s="19">
        <f t="shared" ca="1" si="678"/>
        <v>0</v>
      </c>
      <c r="G1347" s="20">
        <f t="shared" ca="1" si="678"/>
        <v>0</v>
      </c>
      <c r="H1347" s="20">
        <f t="shared" ca="1" si="678"/>
        <v>0</v>
      </c>
      <c r="I1347" s="13">
        <f t="shared" ca="1" si="678"/>
        <v>0</v>
      </c>
      <c r="J1347" s="16"/>
      <c r="K1347" s="19">
        <f t="shared" ref="K1347:K1349" ca="1" si="679">OFFSET(K1347,-3,0)</f>
        <v>0</v>
      </c>
      <c r="L1347" s="15">
        <f t="shared" ca="1" si="677"/>
        <v>1</v>
      </c>
      <c r="M1347" s="15"/>
      <c r="N1347" s="15">
        <f t="shared" ca="1" si="676"/>
        <v>0</v>
      </c>
    </row>
    <row r="1348" spans="1:14" x14ac:dyDescent="0.4">
      <c r="A1348" s="11" t="s">
        <v>6</v>
      </c>
      <c r="B1348" s="41">
        <f t="shared" ca="1" si="678"/>
        <v>0</v>
      </c>
      <c r="C1348" s="41"/>
      <c r="D1348" s="41"/>
      <c r="E1348" s="41"/>
      <c r="F1348" s="19">
        <f t="shared" ca="1" si="678"/>
        <v>0</v>
      </c>
      <c r="G1348" s="20">
        <f t="shared" ca="1" si="678"/>
        <v>0</v>
      </c>
      <c r="H1348" s="20">
        <f t="shared" ca="1" si="678"/>
        <v>0</v>
      </c>
      <c r="I1348" s="13">
        <f t="shared" ca="1" si="678"/>
        <v>0</v>
      </c>
      <c r="J1348" s="16"/>
      <c r="K1348" s="19">
        <f t="shared" ca="1" si="679"/>
        <v>0</v>
      </c>
      <c r="L1348" s="15">
        <f t="shared" ca="1" si="677"/>
        <v>1</v>
      </c>
      <c r="M1348" s="15"/>
      <c r="N1348" s="15">
        <f t="shared" ca="1" si="676"/>
        <v>0</v>
      </c>
    </row>
    <row r="1349" spans="1:14" x14ac:dyDescent="0.4">
      <c r="A1349" s="11" t="s">
        <v>6</v>
      </c>
      <c r="B1349" s="41">
        <f t="shared" ca="1" si="678"/>
        <v>0</v>
      </c>
      <c r="C1349" s="41"/>
      <c r="D1349" s="41"/>
      <c r="E1349" s="41"/>
      <c r="F1349" s="19">
        <f t="shared" ca="1" si="678"/>
        <v>0</v>
      </c>
      <c r="G1349" s="20">
        <f t="shared" ca="1" si="678"/>
        <v>0</v>
      </c>
      <c r="H1349" s="20">
        <f t="shared" ca="1" si="678"/>
        <v>0</v>
      </c>
      <c r="I1349" s="13">
        <f t="shared" ca="1" si="678"/>
        <v>0</v>
      </c>
      <c r="J1349" s="16"/>
      <c r="K1349" s="19">
        <f t="shared" ca="1" si="679"/>
        <v>0</v>
      </c>
      <c r="L1349" s="15">
        <f t="shared" ca="1" si="677"/>
        <v>1</v>
      </c>
      <c r="M1349" s="15"/>
      <c r="N1349" s="15">
        <f t="shared" ca="1" si="676"/>
        <v>0</v>
      </c>
    </row>
    <row r="1350" spans="1:14" x14ac:dyDescent="0.4">
      <c r="A1350" s="11" t="s">
        <v>10</v>
      </c>
      <c r="B1350" s="40">
        <f t="shared" ref="B1350:I1352" ca="1" si="680">OFFSET(B1350,-6,0)</f>
        <v>0</v>
      </c>
      <c r="C1350" s="40"/>
      <c r="D1350" s="40"/>
      <c r="E1350" s="40"/>
      <c r="F1350" s="13">
        <f t="shared" ca="1" si="680"/>
        <v>0</v>
      </c>
      <c r="G1350" s="17">
        <f t="shared" ca="1" si="680"/>
        <v>0</v>
      </c>
      <c r="H1350" s="17">
        <f t="shared" ca="1" si="680"/>
        <v>0</v>
      </c>
      <c r="I1350" s="13">
        <f t="shared" ca="1" si="680"/>
        <v>0</v>
      </c>
      <c r="J1350" s="16"/>
      <c r="K1350" s="13">
        <f t="shared" ref="K1350:K1352" ca="1" si="681">OFFSET(K1350,-6,0)</f>
        <v>0</v>
      </c>
      <c r="L1350" s="15">
        <f t="shared" ca="1" si="677"/>
        <v>1</v>
      </c>
      <c r="M1350" s="15"/>
      <c r="N1350" s="15">
        <f t="shared" ca="1" si="676"/>
        <v>0</v>
      </c>
    </row>
    <row r="1351" spans="1:14" x14ac:dyDescent="0.4">
      <c r="A1351" s="11" t="s">
        <v>10</v>
      </c>
      <c r="B1351" s="40">
        <f t="shared" ca="1" si="680"/>
        <v>0</v>
      </c>
      <c r="C1351" s="40"/>
      <c r="D1351" s="40"/>
      <c r="E1351" s="40"/>
      <c r="F1351" s="13">
        <f t="shared" ca="1" si="680"/>
        <v>0</v>
      </c>
      <c r="G1351" s="17">
        <f t="shared" ca="1" si="680"/>
        <v>0</v>
      </c>
      <c r="H1351" s="17">
        <f t="shared" ca="1" si="680"/>
        <v>0</v>
      </c>
      <c r="I1351" s="13">
        <f t="shared" ca="1" si="680"/>
        <v>0</v>
      </c>
      <c r="J1351" s="16"/>
      <c r="K1351" s="13">
        <f t="shared" ca="1" si="681"/>
        <v>0</v>
      </c>
      <c r="L1351" s="15">
        <f t="shared" ca="1" si="677"/>
        <v>1</v>
      </c>
      <c r="M1351" s="15"/>
      <c r="N1351" s="15">
        <f t="shared" ca="1" si="676"/>
        <v>0</v>
      </c>
    </row>
    <row r="1352" spans="1:14" x14ac:dyDescent="0.4">
      <c r="A1352" s="11" t="s">
        <v>10</v>
      </c>
      <c r="B1352" s="40">
        <f t="shared" ca="1" si="680"/>
        <v>0</v>
      </c>
      <c r="C1352" s="40"/>
      <c r="D1352" s="40"/>
      <c r="E1352" s="40"/>
      <c r="F1352" s="13">
        <f t="shared" ca="1" si="680"/>
        <v>0</v>
      </c>
      <c r="G1352" s="17">
        <f t="shared" ca="1" si="680"/>
        <v>0</v>
      </c>
      <c r="H1352" s="17">
        <f t="shared" ca="1" si="680"/>
        <v>0</v>
      </c>
      <c r="I1352" s="13">
        <f t="shared" ca="1" si="680"/>
        <v>0</v>
      </c>
      <c r="J1352" s="16"/>
      <c r="K1352" s="13">
        <f t="shared" ca="1" si="681"/>
        <v>0</v>
      </c>
      <c r="L1352" s="15">
        <f t="shared" ca="1" si="677"/>
        <v>1</v>
      </c>
      <c r="M1352" s="15"/>
      <c r="N1352" s="15">
        <f t="shared" ca="1" si="676"/>
        <v>0</v>
      </c>
    </row>
    <row r="1353" spans="1:14" x14ac:dyDescent="0.4">
      <c r="A1353" s="11" t="s">
        <v>7</v>
      </c>
      <c r="B1353" s="40">
        <f t="shared" ref="B1353:I1355" ca="1" si="682">OFFSET(B1353,-9,0)</f>
        <v>0</v>
      </c>
      <c r="C1353" s="40"/>
      <c r="D1353" s="40"/>
      <c r="E1353" s="40"/>
      <c r="F1353" s="13">
        <f t="shared" ca="1" si="682"/>
        <v>0</v>
      </c>
      <c r="G1353" s="17">
        <f t="shared" ca="1" si="682"/>
        <v>0</v>
      </c>
      <c r="H1353" s="17">
        <f t="shared" ca="1" si="682"/>
        <v>0</v>
      </c>
      <c r="I1353" s="13">
        <f t="shared" ca="1" si="682"/>
        <v>0</v>
      </c>
      <c r="J1353" s="16"/>
      <c r="K1353" s="13">
        <f t="shared" ref="K1353:K1355" ca="1" si="683">OFFSET(K1353,-9,0)</f>
        <v>0</v>
      </c>
      <c r="L1353" s="15">
        <f t="shared" ca="1" si="677"/>
        <v>1</v>
      </c>
      <c r="M1353" s="15"/>
      <c r="N1353" s="15">
        <f t="shared" ca="1" si="676"/>
        <v>0</v>
      </c>
    </row>
    <row r="1354" spans="1:14" x14ac:dyDescent="0.4">
      <c r="A1354" s="11" t="s">
        <v>7</v>
      </c>
      <c r="B1354" s="40">
        <f t="shared" ca="1" si="682"/>
        <v>0</v>
      </c>
      <c r="C1354" s="40"/>
      <c r="D1354" s="40"/>
      <c r="E1354" s="40"/>
      <c r="F1354" s="13">
        <f t="shared" ca="1" si="682"/>
        <v>0</v>
      </c>
      <c r="G1354" s="17">
        <f t="shared" ca="1" si="682"/>
        <v>0</v>
      </c>
      <c r="H1354" s="17">
        <f t="shared" ca="1" si="682"/>
        <v>0</v>
      </c>
      <c r="I1354" s="13">
        <f t="shared" ca="1" si="682"/>
        <v>0</v>
      </c>
      <c r="J1354" s="16"/>
      <c r="K1354" s="13">
        <f t="shared" ca="1" si="683"/>
        <v>0</v>
      </c>
      <c r="L1354" s="15">
        <f t="shared" ca="1" si="677"/>
        <v>1</v>
      </c>
      <c r="M1354" s="15"/>
      <c r="N1354" s="15">
        <f t="shared" ca="1" si="676"/>
        <v>0</v>
      </c>
    </row>
    <row r="1355" spans="1:14" x14ac:dyDescent="0.4">
      <c r="A1355" s="11" t="s">
        <v>7</v>
      </c>
      <c r="B1355" s="40">
        <f t="shared" ca="1" si="682"/>
        <v>0</v>
      </c>
      <c r="C1355" s="40"/>
      <c r="D1355" s="40"/>
      <c r="E1355" s="40"/>
      <c r="F1355" s="13">
        <f t="shared" ca="1" si="682"/>
        <v>0</v>
      </c>
      <c r="G1355" s="17">
        <f t="shared" ca="1" si="682"/>
        <v>0</v>
      </c>
      <c r="H1355" s="17">
        <f t="shared" ca="1" si="682"/>
        <v>0</v>
      </c>
      <c r="I1355" s="13">
        <f t="shared" ca="1" si="682"/>
        <v>0</v>
      </c>
      <c r="J1355" s="16"/>
      <c r="K1355" s="13">
        <f t="shared" ca="1" si="683"/>
        <v>0</v>
      </c>
      <c r="L1355" s="15">
        <f t="shared" ca="1" si="677"/>
        <v>1</v>
      </c>
      <c r="M1355" s="15"/>
      <c r="N1355" s="15">
        <f t="shared" ca="1" si="676"/>
        <v>0</v>
      </c>
    </row>
    <row r="1356" spans="1:14" x14ac:dyDescent="0.4">
      <c r="A1356" s="11" t="s">
        <v>8</v>
      </c>
      <c r="B1356" s="40">
        <f t="shared" ref="B1356:I1358" ca="1" si="684">OFFSET(B1356,-12,0)</f>
        <v>0</v>
      </c>
      <c r="C1356" s="40"/>
      <c r="D1356" s="40"/>
      <c r="E1356" s="40"/>
      <c r="F1356" s="13">
        <f t="shared" ca="1" si="684"/>
        <v>0</v>
      </c>
      <c r="G1356" s="17">
        <f t="shared" ca="1" si="684"/>
        <v>0</v>
      </c>
      <c r="H1356" s="17">
        <f t="shared" ca="1" si="684"/>
        <v>0</v>
      </c>
      <c r="I1356" s="13">
        <f t="shared" ca="1" si="684"/>
        <v>0</v>
      </c>
      <c r="J1356" s="16"/>
      <c r="K1356" s="13">
        <f t="shared" ref="K1356:K1358" ca="1" si="685">OFFSET(K1356,-12,0)</f>
        <v>0</v>
      </c>
      <c r="L1356" s="15">
        <f t="shared" ca="1" si="677"/>
        <v>1</v>
      </c>
      <c r="M1356" s="15"/>
      <c r="N1356" s="15">
        <f t="shared" ca="1" si="676"/>
        <v>0</v>
      </c>
    </row>
    <row r="1357" spans="1:14" x14ac:dyDescent="0.4">
      <c r="A1357" s="11" t="s">
        <v>8</v>
      </c>
      <c r="B1357" s="40">
        <f t="shared" ca="1" si="684"/>
        <v>0</v>
      </c>
      <c r="C1357" s="40"/>
      <c r="D1357" s="40"/>
      <c r="E1357" s="40"/>
      <c r="F1357" s="13">
        <f t="shared" ca="1" si="684"/>
        <v>0</v>
      </c>
      <c r="G1357" s="17">
        <f t="shared" ca="1" si="684"/>
        <v>0</v>
      </c>
      <c r="H1357" s="17">
        <f t="shared" ca="1" si="684"/>
        <v>0</v>
      </c>
      <c r="I1357" s="13">
        <f t="shared" ca="1" si="684"/>
        <v>0</v>
      </c>
      <c r="J1357" s="16"/>
      <c r="K1357" s="13">
        <f t="shared" ca="1" si="685"/>
        <v>0</v>
      </c>
      <c r="L1357" s="15">
        <f t="shared" ca="1" si="677"/>
        <v>1</v>
      </c>
      <c r="M1357" s="15"/>
      <c r="N1357" s="15">
        <f t="shared" ca="1" si="676"/>
        <v>0</v>
      </c>
    </row>
    <row r="1358" spans="1:14" x14ac:dyDescent="0.4">
      <c r="A1358" s="11" t="s">
        <v>8</v>
      </c>
      <c r="B1358" s="40">
        <f t="shared" ca="1" si="684"/>
        <v>0</v>
      </c>
      <c r="C1358" s="40"/>
      <c r="D1358" s="40"/>
      <c r="E1358" s="40"/>
      <c r="F1358" s="13">
        <f t="shared" ca="1" si="684"/>
        <v>0</v>
      </c>
      <c r="G1358" s="17">
        <f t="shared" ca="1" si="684"/>
        <v>0</v>
      </c>
      <c r="H1358" s="17">
        <f t="shared" ca="1" si="684"/>
        <v>0</v>
      </c>
      <c r="I1358" s="13">
        <f t="shared" ca="1" si="684"/>
        <v>0</v>
      </c>
      <c r="J1358" s="16"/>
      <c r="K1358" s="13">
        <f t="shared" ca="1" si="685"/>
        <v>0</v>
      </c>
      <c r="L1358" s="15">
        <f t="shared" ca="1" si="677"/>
        <v>1</v>
      </c>
      <c r="M1358" s="15"/>
      <c r="N1358" s="15">
        <f t="shared" ca="1" si="676"/>
        <v>0</v>
      </c>
    </row>
    <row r="1359" spans="1:14" x14ac:dyDescent="0.4">
      <c r="A1359" s="11" t="s">
        <v>9</v>
      </c>
      <c r="B1359" s="41">
        <f t="shared" ref="B1359:G1361" ca="1" si="686">OFFSET(B1359,-15,0)</f>
        <v>0</v>
      </c>
      <c r="C1359" s="41"/>
      <c r="D1359" s="41"/>
      <c r="E1359" s="41"/>
      <c r="F1359" s="19">
        <f t="shared" ca="1" si="686"/>
        <v>0</v>
      </c>
      <c r="G1359" s="20">
        <f t="shared" ca="1" si="686"/>
        <v>0</v>
      </c>
      <c r="H1359" s="20">
        <f ca="1">OFFSET(H1359,-15,0)</f>
        <v>0</v>
      </c>
      <c r="I1359" s="13">
        <f t="shared" ref="H1359:I1361" ca="1" si="687">OFFSET(I1359,-15,0)</f>
        <v>0</v>
      </c>
      <c r="J1359" s="16"/>
      <c r="K1359" s="19">
        <f t="shared" ref="K1359:K1361" ca="1" si="688">OFFSET(K1359,-15,0)</f>
        <v>0</v>
      </c>
      <c r="L1359" s="15">
        <f t="shared" ca="1" si="677"/>
        <v>1</v>
      </c>
      <c r="M1359" s="15"/>
      <c r="N1359" s="15">
        <f t="shared" ca="1" si="676"/>
        <v>0</v>
      </c>
    </row>
    <row r="1360" spans="1:14" x14ac:dyDescent="0.4">
      <c r="A1360" s="11" t="s">
        <v>9</v>
      </c>
      <c r="B1360" s="41">
        <f t="shared" ca="1" si="686"/>
        <v>0</v>
      </c>
      <c r="C1360" s="41"/>
      <c r="D1360" s="41"/>
      <c r="E1360" s="41"/>
      <c r="F1360" s="19">
        <f t="shared" ca="1" si="686"/>
        <v>0</v>
      </c>
      <c r="G1360" s="20">
        <f t="shared" ca="1" si="686"/>
        <v>0</v>
      </c>
      <c r="H1360" s="20">
        <f t="shared" ca="1" si="687"/>
        <v>0</v>
      </c>
      <c r="I1360" s="13">
        <f t="shared" ca="1" si="687"/>
        <v>0</v>
      </c>
      <c r="J1360" s="16"/>
      <c r="K1360" s="19">
        <f t="shared" ca="1" si="688"/>
        <v>0</v>
      </c>
      <c r="L1360" s="15">
        <f t="shared" ca="1" si="677"/>
        <v>1</v>
      </c>
      <c r="M1360" s="15"/>
      <c r="N1360" s="15">
        <f t="shared" ca="1" si="676"/>
        <v>0</v>
      </c>
    </row>
    <row r="1361" spans="1:14" x14ac:dyDescent="0.4">
      <c r="A1361" s="11" t="s">
        <v>9</v>
      </c>
      <c r="B1361" s="41">
        <f t="shared" ca="1" si="686"/>
        <v>0</v>
      </c>
      <c r="C1361" s="41"/>
      <c r="D1361" s="41"/>
      <c r="E1361" s="41"/>
      <c r="F1361" s="19">
        <f t="shared" ca="1" si="686"/>
        <v>0</v>
      </c>
      <c r="G1361" s="20">
        <f t="shared" ca="1" si="686"/>
        <v>0</v>
      </c>
      <c r="H1361" s="20">
        <f t="shared" ca="1" si="687"/>
        <v>0</v>
      </c>
      <c r="I1361" s="13">
        <f t="shared" ca="1" si="687"/>
        <v>0</v>
      </c>
      <c r="J1361" s="16"/>
      <c r="K1361" s="19">
        <f t="shared" ca="1" si="688"/>
        <v>0</v>
      </c>
      <c r="L1361" s="15">
        <f t="shared" ca="1" si="677"/>
        <v>1</v>
      </c>
      <c r="M1361" s="15"/>
      <c r="N1361" s="15">
        <f t="shared" ca="1" si="676"/>
        <v>0</v>
      </c>
    </row>
    <row r="1362" spans="1:14" ht="17.399999999999999" x14ac:dyDescent="0.4">
      <c r="A1362" s="74" t="s">
        <v>28</v>
      </c>
      <c r="B1362" s="75"/>
      <c r="C1362" s="75"/>
      <c r="D1362" s="75"/>
      <c r="E1362" s="75"/>
      <c r="F1362" s="75"/>
      <c r="G1362" s="75"/>
      <c r="H1362" s="75"/>
      <c r="I1362" s="75"/>
      <c r="J1362" s="75"/>
      <c r="K1362" s="75"/>
      <c r="L1362" s="75"/>
      <c r="M1362" s="75"/>
      <c r="N1362" s="76"/>
    </row>
    <row r="1363" spans="1:14" x14ac:dyDescent="0.4">
      <c r="A1363" s="11" t="s">
        <v>5</v>
      </c>
      <c r="B1363" s="40"/>
      <c r="C1363" s="40"/>
      <c r="D1363" s="40"/>
      <c r="E1363" s="40"/>
      <c r="F1363" s="13"/>
      <c r="G1363" s="11"/>
      <c r="H1363" s="17"/>
      <c r="I1363" s="13"/>
      <c r="J1363" s="16"/>
      <c r="K1363" s="13"/>
      <c r="L1363" s="15">
        <f>ROUND((10^(K1363/10))/(10^(I1363/10)),3)</f>
        <v>1</v>
      </c>
      <c r="M1363" s="15"/>
      <c r="N1363" s="15">
        <f t="shared" ref="N1363:N1380" si="689">J1363*L1363</f>
        <v>0</v>
      </c>
    </row>
    <row r="1364" spans="1:14" x14ac:dyDescent="0.4">
      <c r="A1364" s="11" t="s">
        <v>5</v>
      </c>
      <c r="B1364" s="40"/>
      <c r="C1364" s="40"/>
      <c r="D1364" s="40"/>
      <c r="E1364" s="40"/>
      <c r="F1364" s="13"/>
      <c r="G1364" s="11"/>
      <c r="H1364" s="17"/>
      <c r="I1364" s="13"/>
      <c r="J1364" s="16"/>
      <c r="K1364" s="13"/>
      <c r="L1364" s="15">
        <f t="shared" ref="L1364:L1380" si="690">ROUND((10^(K1364/10))/(10^(I1364/10)),3)</f>
        <v>1</v>
      </c>
      <c r="M1364" s="15"/>
      <c r="N1364" s="15">
        <f t="shared" si="689"/>
        <v>0</v>
      </c>
    </row>
    <row r="1365" spans="1:14" x14ac:dyDescent="0.4">
      <c r="A1365" s="11" t="s">
        <v>5</v>
      </c>
      <c r="B1365" s="40"/>
      <c r="C1365" s="40"/>
      <c r="D1365" s="40"/>
      <c r="E1365" s="40"/>
      <c r="F1365" s="13"/>
      <c r="G1365" s="11"/>
      <c r="H1365" s="17"/>
      <c r="I1365" s="13"/>
      <c r="J1365" s="16"/>
      <c r="K1365" s="13"/>
      <c r="L1365" s="15">
        <f t="shared" si="690"/>
        <v>1</v>
      </c>
      <c r="M1365" s="15"/>
      <c r="N1365" s="15">
        <f t="shared" si="689"/>
        <v>0</v>
      </c>
    </row>
    <row r="1366" spans="1:14" x14ac:dyDescent="0.4">
      <c r="A1366" s="11" t="s">
        <v>6</v>
      </c>
      <c r="B1366" s="41">
        <f t="shared" ref="B1366:I1368" ca="1" si="691">OFFSET(B1366,-3,0)</f>
        <v>0</v>
      </c>
      <c r="C1366" s="41"/>
      <c r="D1366" s="41"/>
      <c r="E1366" s="41"/>
      <c r="F1366" s="19">
        <f t="shared" ca="1" si="691"/>
        <v>0</v>
      </c>
      <c r="G1366" s="20">
        <f t="shared" ca="1" si="691"/>
        <v>0</v>
      </c>
      <c r="H1366" s="20">
        <f t="shared" ca="1" si="691"/>
        <v>0</v>
      </c>
      <c r="I1366" s="13">
        <f t="shared" ca="1" si="691"/>
        <v>0</v>
      </c>
      <c r="J1366" s="16"/>
      <c r="K1366" s="19">
        <f t="shared" ref="K1366:K1368" ca="1" si="692">OFFSET(K1366,-3,0)</f>
        <v>0</v>
      </c>
      <c r="L1366" s="15">
        <f t="shared" ca="1" si="690"/>
        <v>1</v>
      </c>
      <c r="M1366" s="15"/>
      <c r="N1366" s="15">
        <f t="shared" ca="1" si="689"/>
        <v>0</v>
      </c>
    </row>
    <row r="1367" spans="1:14" x14ac:dyDescent="0.4">
      <c r="A1367" s="11" t="s">
        <v>6</v>
      </c>
      <c r="B1367" s="41">
        <f t="shared" ca="1" si="691"/>
        <v>0</v>
      </c>
      <c r="C1367" s="41"/>
      <c r="D1367" s="41"/>
      <c r="E1367" s="41"/>
      <c r="F1367" s="19">
        <f t="shared" ca="1" si="691"/>
        <v>0</v>
      </c>
      <c r="G1367" s="20">
        <f t="shared" ca="1" si="691"/>
        <v>0</v>
      </c>
      <c r="H1367" s="20">
        <f t="shared" ca="1" si="691"/>
        <v>0</v>
      </c>
      <c r="I1367" s="13">
        <f t="shared" ca="1" si="691"/>
        <v>0</v>
      </c>
      <c r="J1367" s="16"/>
      <c r="K1367" s="19">
        <f t="shared" ca="1" si="692"/>
        <v>0</v>
      </c>
      <c r="L1367" s="15">
        <f t="shared" ca="1" si="690"/>
        <v>1</v>
      </c>
      <c r="M1367" s="15"/>
      <c r="N1367" s="15">
        <f t="shared" ca="1" si="689"/>
        <v>0</v>
      </c>
    </row>
    <row r="1368" spans="1:14" x14ac:dyDescent="0.4">
      <c r="A1368" s="11" t="s">
        <v>6</v>
      </c>
      <c r="B1368" s="41">
        <f t="shared" ca="1" si="691"/>
        <v>0</v>
      </c>
      <c r="C1368" s="41"/>
      <c r="D1368" s="41"/>
      <c r="E1368" s="41"/>
      <c r="F1368" s="19">
        <f t="shared" ca="1" si="691"/>
        <v>0</v>
      </c>
      <c r="G1368" s="20">
        <f t="shared" ca="1" si="691"/>
        <v>0</v>
      </c>
      <c r="H1368" s="20">
        <f t="shared" ca="1" si="691"/>
        <v>0</v>
      </c>
      <c r="I1368" s="13">
        <f t="shared" ca="1" si="691"/>
        <v>0</v>
      </c>
      <c r="J1368" s="16"/>
      <c r="K1368" s="19">
        <f t="shared" ca="1" si="692"/>
        <v>0</v>
      </c>
      <c r="L1368" s="15">
        <f t="shared" ca="1" si="690"/>
        <v>1</v>
      </c>
      <c r="M1368" s="15"/>
      <c r="N1368" s="15">
        <f t="shared" ca="1" si="689"/>
        <v>0</v>
      </c>
    </row>
    <row r="1369" spans="1:14" x14ac:dyDescent="0.4">
      <c r="A1369" s="11" t="s">
        <v>10</v>
      </c>
      <c r="B1369" s="40">
        <f t="shared" ref="B1369:I1371" ca="1" si="693">OFFSET(B1369,-6,0)</f>
        <v>0</v>
      </c>
      <c r="C1369" s="40"/>
      <c r="D1369" s="40"/>
      <c r="E1369" s="40"/>
      <c r="F1369" s="13">
        <f t="shared" ca="1" si="693"/>
        <v>0</v>
      </c>
      <c r="G1369" s="17">
        <f t="shared" ca="1" si="693"/>
        <v>0</v>
      </c>
      <c r="H1369" s="17">
        <f t="shared" ca="1" si="693"/>
        <v>0</v>
      </c>
      <c r="I1369" s="13">
        <f t="shared" ca="1" si="693"/>
        <v>0</v>
      </c>
      <c r="J1369" s="16"/>
      <c r="K1369" s="13">
        <f t="shared" ref="K1369:K1371" ca="1" si="694">OFFSET(K1369,-6,0)</f>
        <v>0</v>
      </c>
      <c r="L1369" s="15">
        <f t="shared" ca="1" si="690"/>
        <v>1</v>
      </c>
      <c r="M1369" s="15"/>
      <c r="N1369" s="15">
        <f t="shared" ca="1" si="689"/>
        <v>0</v>
      </c>
    </row>
    <row r="1370" spans="1:14" x14ac:dyDescent="0.4">
      <c r="A1370" s="11" t="s">
        <v>10</v>
      </c>
      <c r="B1370" s="40">
        <f t="shared" ca="1" si="693"/>
        <v>0</v>
      </c>
      <c r="C1370" s="40"/>
      <c r="D1370" s="40"/>
      <c r="E1370" s="40"/>
      <c r="F1370" s="13">
        <f t="shared" ca="1" si="693"/>
        <v>0</v>
      </c>
      <c r="G1370" s="17">
        <f t="shared" ca="1" si="693"/>
        <v>0</v>
      </c>
      <c r="H1370" s="17">
        <f t="shared" ca="1" si="693"/>
        <v>0</v>
      </c>
      <c r="I1370" s="13">
        <f t="shared" ca="1" si="693"/>
        <v>0</v>
      </c>
      <c r="J1370" s="16"/>
      <c r="K1370" s="13">
        <f t="shared" ca="1" si="694"/>
        <v>0</v>
      </c>
      <c r="L1370" s="15">
        <f t="shared" ca="1" si="690"/>
        <v>1</v>
      </c>
      <c r="M1370" s="15"/>
      <c r="N1370" s="15">
        <f t="shared" ca="1" si="689"/>
        <v>0</v>
      </c>
    </row>
    <row r="1371" spans="1:14" x14ac:dyDescent="0.4">
      <c r="A1371" s="11" t="s">
        <v>10</v>
      </c>
      <c r="B1371" s="40">
        <f t="shared" ca="1" si="693"/>
        <v>0</v>
      </c>
      <c r="C1371" s="40"/>
      <c r="D1371" s="40"/>
      <c r="E1371" s="40"/>
      <c r="F1371" s="13">
        <f t="shared" ca="1" si="693"/>
        <v>0</v>
      </c>
      <c r="G1371" s="17">
        <f t="shared" ca="1" si="693"/>
        <v>0</v>
      </c>
      <c r="H1371" s="17">
        <f t="shared" ca="1" si="693"/>
        <v>0</v>
      </c>
      <c r="I1371" s="13">
        <f t="shared" ca="1" si="693"/>
        <v>0</v>
      </c>
      <c r="J1371" s="16"/>
      <c r="K1371" s="13">
        <f t="shared" ca="1" si="694"/>
        <v>0</v>
      </c>
      <c r="L1371" s="15">
        <f t="shared" ca="1" si="690"/>
        <v>1</v>
      </c>
      <c r="M1371" s="15"/>
      <c r="N1371" s="15">
        <f t="shared" ca="1" si="689"/>
        <v>0</v>
      </c>
    </row>
    <row r="1372" spans="1:14" x14ac:dyDescent="0.4">
      <c r="A1372" s="11" t="s">
        <v>7</v>
      </c>
      <c r="B1372" s="40">
        <f t="shared" ref="B1372:I1374" ca="1" si="695">OFFSET(B1372,-9,0)</f>
        <v>0</v>
      </c>
      <c r="C1372" s="40"/>
      <c r="D1372" s="40"/>
      <c r="E1372" s="40"/>
      <c r="F1372" s="13">
        <f t="shared" ca="1" si="695"/>
        <v>0</v>
      </c>
      <c r="G1372" s="17">
        <f t="shared" ca="1" si="695"/>
        <v>0</v>
      </c>
      <c r="H1372" s="17">
        <f t="shared" ca="1" si="695"/>
        <v>0</v>
      </c>
      <c r="I1372" s="13">
        <f t="shared" ca="1" si="695"/>
        <v>0</v>
      </c>
      <c r="J1372" s="16"/>
      <c r="K1372" s="13">
        <f t="shared" ref="K1372:K1374" ca="1" si="696">OFFSET(K1372,-9,0)</f>
        <v>0</v>
      </c>
      <c r="L1372" s="15">
        <f t="shared" ca="1" si="690"/>
        <v>1</v>
      </c>
      <c r="M1372" s="15"/>
      <c r="N1372" s="15">
        <f t="shared" ca="1" si="689"/>
        <v>0</v>
      </c>
    </row>
    <row r="1373" spans="1:14" x14ac:dyDescent="0.4">
      <c r="A1373" s="11" t="s">
        <v>7</v>
      </c>
      <c r="B1373" s="40">
        <f t="shared" ca="1" si="695"/>
        <v>0</v>
      </c>
      <c r="C1373" s="40"/>
      <c r="D1373" s="40"/>
      <c r="E1373" s="40"/>
      <c r="F1373" s="13">
        <f t="shared" ca="1" si="695"/>
        <v>0</v>
      </c>
      <c r="G1373" s="17">
        <f t="shared" ca="1" si="695"/>
        <v>0</v>
      </c>
      <c r="H1373" s="17">
        <f t="shared" ca="1" si="695"/>
        <v>0</v>
      </c>
      <c r="I1373" s="13">
        <f t="shared" ca="1" si="695"/>
        <v>0</v>
      </c>
      <c r="J1373" s="16"/>
      <c r="K1373" s="13">
        <f t="shared" ca="1" si="696"/>
        <v>0</v>
      </c>
      <c r="L1373" s="15">
        <f t="shared" ca="1" si="690"/>
        <v>1</v>
      </c>
      <c r="M1373" s="15"/>
      <c r="N1373" s="15">
        <f t="shared" ca="1" si="689"/>
        <v>0</v>
      </c>
    </row>
    <row r="1374" spans="1:14" x14ac:dyDescent="0.4">
      <c r="A1374" s="11" t="s">
        <v>7</v>
      </c>
      <c r="B1374" s="40">
        <f t="shared" ca="1" si="695"/>
        <v>0</v>
      </c>
      <c r="C1374" s="40"/>
      <c r="D1374" s="40"/>
      <c r="E1374" s="40"/>
      <c r="F1374" s="13">
        <f t="shared" ca="1" si="695"/>
        <v>0</v>
      </c>
      <c r="G1374" s="17">
        <f t="shared" ca="1" si="695"/>
        <v>0</v>
      </c>
      <c r="H1374" s="17">
        <f t="shared" ca="1" si="695"/>
        <v>0</v>
      </c>
      <c r="I1374" s="13">
        <f t="shared" ca="1" si="695"/>
        <v>0</v>
      </c>
      <c r="J1374" s="16"/>
      <c r="K1374" s="13">
        <f t="shared" ca="1" si="696"/>
        <v>0</v>
      </c>
      <c r="L1374" s="15">
        <f t="shared" ca="1" si="690"/>
        <v>1</v>
      </c>
      <c r="M1374" s="15"/>
      <c r="N1374" s="15">
        <f t="shared" ca="1" si="689"/>
        <v>0</v>
      </c>
    </row>
    <row r="1375" spans="1:14" x14ac:dyDescent="0.4">
      <c r="A1375" s="11" t="s">
        <v>8</v>
      </c>
      <c r="B1375" s="40">
        <f t="shared" ref="B1375:I1377" ca="1" si="697">OFFSET(B1375,-12,0)</f>
        <v>0</v>
      </c>
      <c r="C1375" s="40"/>
      <c r="D1375" s="40"/>
      <c r="E1375" s="40"/>
      <c r="F1375" s="13">
        <f t="shared" ca="1" si="697"/>
        <v>0</v>
      </c>
      <c r="G1375" s="17">
        <f t="shared" ca="1" si="697"/>
        <v>0</v>
      </c>
      <c r="H1375" s="17">
        <f t="shared" ca="1" si="697"/>
        <v>0</v>
      </c>
      <c r="I1375" s="13">
        <f t="shared" ca="1" si="697"/>
        <v>0</v>
      </c>
      <c r="J1375" s="16"/>
      <c r="K1375" s="13">
        <f t="shared" ref="K1375:K1377" ca="1" si="698">OFFSET(K1375,-12,0)</f>
        <v>0</v>
      </c>
      <c r="L1375" s="15">
        <f t="shared" ca="1" si="690"/>
        <v>1</v>
      </c>
      <c r="M1375" s="15"/>
      <c r="N1375" s="15">
        <f t="shared" ca="1" si="689"/>
        <v>0</v>
      </c>
    </row>
    <row r="1376" spans="1:14" x14ac:dyDescent="0.4">
      <c r="A1376" s="11" t="s">
        <v>8</v>
      </c>
      <c r="B1376" s="40">
        <f t="shared" ca="1" si="697"/>
        <v>0</v>
      </c>
      <c r="C1376" s="40"/>
      <c r="D1376" s="40"/>
      <c r="E1376" s="40"/>
      <c r="F1376" s="13">
        <f t="shared" ca="1" si="697"/>
        <v>0</v>
      </c>
      <c r="G1376" s="17">
        <f t="shared" ca="1" si="697"/>
        <v>0</v>
      </c>
      <c r="H1376" s="17">
        <f t="shared" ca="1" si="697"/>
        <v>0</v>
      </c>
      <c r="I1376" s="13">
        <f t="shared" ca="1" si="697"/>
        <v>0</v>
      </c>
      <c r="J1376" s="16"/>
      <c r="K1376" s="13">
        <f t="shared" ca="1" si="698"/>
        <v>0</v>
      </c>
      <c r="L1376" s="15">
        <f t="shared" ca="1" si="690"/>
        <v>1</v>
      </c>
      <c r="M1376" s="15"/>
      <c r="N1376" s="15">
        <f t="shared" ca="1" si="689"/>
        <v>0</v>
      </c>
    </row>
    <row r="1377" spans="1:14" x14ac:dyDescent="0.4">
      <c r="A1377" s="11" t="s">
        <v>8</v>
      </c>
      <c r="B1377" s="40">
        <f t="shared" ca="1" si="697"/>
        <v>0</v>
      </c>
      <c r="C1377" s="40"/>
      <c r="D1377" s="40"/>
      <c r="E1377" s="40"/>
      <c r="F1377" s="13">
        <f t="shared" ca="1" si="697"/>
        <v>0</v>
      </c>
      <c r="G1377" s="17">
        <f t="shared" ca="1" si="697"/>
        <v>0</v>
      </c>
      <c r="H1377" s="17">
        <f t="shared" ca="1" si="697"/>
        <v>0</v>
      </c>
      <c r="I1377" s="13">
        <f t="shared" ca="1" si="697"/>
        <v>0</v>
      </c>
      <c r="J1377" s="16"/>
      <c r="K1377" s="13">
        <f t="shared" ca="1" si="698"/>
        <v>0</v>
      </c>
      <c r="L1377" s="15">
        <f t="shared" ca="1" si="690"/>
        <v>1</v>
      </c>
      <c r="M1377" s="15"/>
      <c r="N1377" s="15">
        <f t="shared" ca="1" si="689"/>
        <v>0</v>
      </c>
    </row>
    <row r="1378" spans="1:14" x14ac:dyDescent="0.4">
      <c r="A1378" s="11" t="s">
        <v>9</v>
      </c>
      <c r="B1378" s="41">
        <f t="shared" ref="B1378:H1380" ca="1" si="699">OFFSET(B1378,-15,0)</f>
        <v>0</v>
      </c>
      <c r="C1378" s="41"/>
      <c r="D1378" s="41"/>
      <c r="E1378" s="41"/>
      <c r="F1378" s="19">
        <f t="shared" ca="1" si="699"/>
        <v>0</v>
      </c>
      <c r="G1378" s="20">
        <f t="shared" ca="1" si="699"/>
        <v>0</v>
      </c>
      <c r="H1378" s="20">
        <f ca="1">OFFSET(H1378,-15,0)</f>
        <v>0</v>
      </c>
      <c r="I1378" s="13">
        <f t="shared" ref="I1378:I1380" ca="1" si="700">OFFSET(I1378,-15,0)</f>
        <v>0</v>
      </c>
      <c r="J1378" s="16"/>
      <c r="K1378" s="19">
        <f t="shared" ref="K1378:K1380" ca="1" si="701">OFFSET(K1378,-15,0)</f>
        <v>0</v>
      </c>
      <c r="L1378" s="15">
        <f t="shared" ca="1" si="690"/>
        <v>1</v>
      </c>
      <c r="M1378" s="15"/>
      <c r="N1378" s="15">
        <f t="shared" ca="1" si="689"/>
        <v>0</v>
      </c>
    </row>
    <row r="1379" spans="1:14" x14ac:dyDescent="0.4">
      <c r="A1379" s="11" t="s">
        <v>9</v>
      </c>
      <c r="B1379" s="41">
        <f t="shared" ca="1" si="699"/>
        <v>0</v>
      </c>
      <c r="C1379" s="41"/>
      <c r="D1379" s="41"/>
      <c r="E1379" s="41"/>
      <c r="F1379" s="19">
        <f t="shared" ca="1" si="699"/>
        <v>0</v>
      </c>
      <c r="G1379" s="20">
        <f t="shared" ca="1" si="699"/>
        <v>0</v>
      </c>
      <c r="H1379" s="20">
        <f t="shared" ca="1" si="699"/>
        <v>0</v>
      </c>
      <c r="I1379" s="13">
        <f t="shared" ca="1" si="700"/>
        <v>0</v>
      </c>
      <c r="J1379" s="16"/>
      <c r="K1379" s="19">
        <f t="shared" ca="1" si="701"/>
        <v>0</v>
      </c>
      <c r="L1379" s="15">
        <f t="shared" ca="1" si="690"/>
        <v>1</v>
      </c>
      <c r="M1379" s="15"/>
      <c r="N1379" s="15">
        <f t="shared" ca="1" si="689"/>
        <v>0</v>
      </c>
    </row>
    <row r="1380" spans="1:14" x14ac:dyDescent="0.4">
      <c r="A1380" s="11" t="s">
        <v>9</v>
      </c>
      <c r="B1380" s="41">
        <f t="shared" ca="1" si="699"/>
        <v>0</v>
      </c>
      <c r="C1380" s="41"/>
      <c r="D1380" s="41"/>
      <c r="E1380" s="41"/>
      <c r="F1380" s="19">
        <f t="shared" ca="1" si="699"/>
        <v>0</v>
      </c>
      <c r="G1380" s="20">
        <f t="shared" ca="1" si="699"/>
        <v>0</v>
      </c>
      <c r="H1380" s="20">
        <f t="shared" ca="1" si="699"/>
        <v>0</v>
      </c>
      <c r="I1380" s="13">
        <f t="shared" ca="1" si="700"/>
        <v>0</v>
      </c>
      <c r="J1380" s="16"/>
      <c r="K1380" s="19">
        <f t="shared" ca="1" si="701"/>
        <v>0</v>
      </c>
      <c r="L1380" s="15">
        <f t="shared" ca="1" si="690"/>
        <v>1</v>
      </c>
      <c r="M1380" s="15"/>
      <c r="N1380" s="15">
        <f t="shared" ca="1" si="689"/>
        <v>0</v>
      </c>
    </row>
    <row r="1381" spans="1:14" ht="17.399999999999999" x14ac:dyDescent="0.4">
      <c r="A1381" s="74" t="s">
        <v>25</v>
      </c>
      <c r="B1381" s="75"/>
      <c r="C1381" s="75"/>
      <c r="D1381" s="75"/>
      <c r="E1381" s="75"/>
      <c r="F1381" s="75"/>
      <c r="G1381" s="75"/>
      <c r="H1381" s="75"/>
      <c r="I1381" s="75"/>
      <c r="J1381" s="75"/>
      <c r="K1381" s="75"/>
      <c r="L1381" s="75"/>
      <c r="M1381" s="75"/>
      <c r="N1381" s="76"/>
    </row>
    <row r="1382" spans="1:14" x14ac:dyDescent="0.4">
      <c r="A1382" s="11" t="s">
        <v>5</v>
      </c>
      <c r="B1382" s="40"/>
      <c r="C1382" s="40"/>
      <c r="D1382" s="40"/>
      <c r="E1382" s="40"/>
      <c r="F1382" s="13"/>
      <c r="G1382" s="11"/>
      <c r="H1382" s="17"/>
      <c r="I1382" s="13"/>
      <c r="J1382" s="16"/>
      <c r="K1382" s="13"/>
      <c r="L1382" s="15">
        <f>ROUND((10^(K1382/10))/(10^(I1382/10)),3)</f>
        <v>1</v>
      </c>
      <c r="M1382" s="15"/>
      <c r="N1382" s="15">
        <f t="shared" ref="N1382:N1399" si="702">J1382*L1382</f>
        <v>0</v>
      </c>
    </row>
    <row r="1383" spans="1:14" x14ac:dyDescent="0.4">
      <c r="A1383" s="11" t="s">
        <v>5</v>
      </c>
      <c r="B1383" s="40"/>
      <c r="C1383" s="40"/>
      <c r="D1383" s="40"/>
      <c r="E1383" s="40"/>
      <c r="F1383" s="13"/>
      <c r="G1383" s="11"/>
      <c r="H1383" s="17"/>
      <c r="I1383" s="13"/>
      <c r="J1383" s="16"/>
      <c r="K1383" s="13"/>
      <c r="L1383" s="15">
        <f t="shared" ref="L1383:L1399" si="703">ROUND((10^(K1383/10))/(10^(I1383/10)),3)</f>
        <v>1</v>
      </c>
      <c r="M1383" s="15"/>
      <c r="N1383" s="15">
        <f t="shared" si="702"/>
        <v>0</v>
      </c>
    </row>
    <row r="1384" spans="1:14" x14ac:dyDescent="0.4">
      <c r="A1384" s="11" t="s">
        <v>5</v>
      </c>
      <c r="B1384" s="40"/>
      <c r="C1384" s="40"/>
      <c r="D1384" s="40"/>
      <c r="E1384" s="40"/>
      <c r="F1384" s="13"/>
      <c r="G1384" s="11"/>
      <c r="H1384" s="17"/>
      <c r="I1384" s="13"/>
      <c r="J1384" s="16"/>
      <c r="K1384" s="13"/>
      <c r="L1384" s="15">
        <f t="shared" si="703"/>
        <v>1</v>
      </c>
      <c r="M1384" s="15"/>
      <c r="N1384" s="15">
        <f t="shared" si="702"/>
        <v>0</v>
      </c>
    </row>
    <row r="1385" spans="1:14" x14ac:dyDescent="0.4">
      <c r="A1385" s="11" t="s">
        <v>6</v>
      </c>
      <c r="B1385" s="41">
        <f t="shared" ref="B1385:I1387" ca="1" si="704">OFFSET(B1385,-3,0)</f>
        <v>0</v>
      </c>
      <c r="C1385" s="41"/>
      <c r="D1385" s="41"/>
      <c r="E1385" s="41"/>
      <c r="F1385" s="19">
        <f t="shared" ca="1" si="704"/>
        <v>0</v>
      </c>
      <c r="G1385" s="20">
        <f t="shared" ca="1" si="704"/>
        <v>0</v>
      </c>
      <c r="H1385" s="20">
        <f t="shared" ca="1" si="704"/>
        <v>0</v>
      </c>
      <c r="I1385" s="13">
        <f t="shared" ca="1" si="704"/>
        <v>0</v>
      </c>
      <c r="J1385" s="16"/>
      <c r="K1385" s="19">
        <f t="shared" ref="K1385:K1387" ca="1" si="705">OFFSET(K1385,-3,0)</f>
        <v>0</v>
      </c>
      <c r="L1385" s="15">
        <f t="shared" ca="1" si="703"/>
        <v>1</v>
      </c>
      <c r="M1385" s="15"/>
      <c r="N1385" s="15">
        <f t="shared" ca="1" si="702"/>
        <v>0</v>
      </c>
    </row>
    <row r="1386" spans="1:14" x14ac:dyDescent="0.4">
      <c r="A1386" s="11" t="s">
        <v>6</v>
      </c>
      <c r="B1386" s="41">
        <f t="shared" ca="1" si="704"/>
        <v>0</v>
      </c>
      <c r="C1386" s="41"/>
      <c r="D1386" s="41"/>
      <c r="E1386" s="41"/>
      <c r="F1386" s="19">
        <f t="shared" ca="1" si="704"/>
        <v>0</v>
      </c>
      <c r="G1386" s="20">
        <f t="shared" ca="1" si="704"/>
        <v>0</v>
      </c>
      <c r="H1386" s="20">
        <f t="shared" ca="1" si="704"/>
        <v>0</v>
      </c>
      <c r="I1386" s="13">
        <f t="shared" ca="1" si="704"/>
        <v>0</v>
      </c>
      <c r="J1386" s="16"/>
      <c r="K1386" s="19">
        <f t="shared" ca="1" si="705"/>
        <v>0</v>
      </c>
      <c r="L1386" s="15">
        <f t="shared" ca="1" si="703"/>
        <v>1</v>
      </c>
      <c r="M1386" s="15"/>
      <c r="N1386" s="15">
        <f t="shared" ca="1" si="702"/>
        <v>0</v>
      </c>
    </row>
    <row r="1387" spans="1:14" x14ac:dyDescent="0.4">
      <c r="A1387" s="11" t="s">
        <v>6</v>
      </c>
      <c r="B1387" s="41">
        <f t="shared" ca="1" si="704"/>
        <v>0</v>
      </c>
      <c r="C1387" s="41"/>
      <c r="D1387" s="41"/>
      <c r="E1387" s="41"/>
      <c r="F1387" s="19">
        <f t="shared" ca="1" si="704"/>
        <v>0</v>
      </c>
      <c r="G1387" s="20">
        <f t="shared" ca="1" si="704"/>
        <v>0</v>
      </c>
      <c r="H1387" s="20">
        <f t="shared" ca="1" si="704"/>
        <v>0</v>
      </c>
      <c r="I1387" s="13">
        <f t="shared" ca="1" si="704"/>
        <v>0</v>
      </c>
      <c r="J1387" s="16"/>
      <c r="K1387" s="19">
        <f t="shared" ca="1" si="705"/>
        <v>0</v>
      </c>
      <c r="L1387" s="15">
        <f t="shared" ca="1" si="703"/>
        <v>1</v>
      </c>
      <c r="M1387" s="15"/>
      <c r="N1387" s="15">
        <f t="shared" ca="1" si="702"/>
        <v>0</v>
      </c>
    </row>
    <row r="1388" spans="1:14" x14ac:dyDescent="0.4">
      <c r="A1388" s="11" t="s">
        <v>10</v>
      </c>
      <c r="B1388" s="40">
        <f t="shared" ref="B1388:I1390" ca="1" si="706">OFFSET(B1388,-6,0)</f>
        <v>0</v>
      </c>
      <c r="C1388" s="40"/>
      <c r="D1388" s="40"/>
      <c r="E1388" s="40"/>
      <c r="F1388" s="13">
        <f t="shared" ca="1" si="706"/>
        <v>0</v>
      </c>
      <c r="G1388" s="17">
        <f t="shared" ca="1" si="706"/>
        <v>0</v>
      </c>
      <c r="H1388" s="17">
        <f t="shared" ca="1" si="706"/>
        <v>0</v>
      </c>
      <c r="I1388" s="13">
        <f t="shared" ca="1" si="706"/>
        <v>0</v>
      </c>
      <c r="J1388" s="16"/>
      <c r="K1388" s="13">
        <f t="shared" ref="K1388:K1390" ca="1" si="707">OFFSET(K1388,-6,0)</f>
        <v>0</v>
      </c>
      <c r="L1388" s="15">
        <f t="shared" ca="1" si="703"/>
        <v>1</v>
      </c>
      <c r="M1388" s="15"/>
      <c r="N1388" s="15">
        <f t="shared" ca="1" si="702"/>
        <v>0</v>
      </c>
    </row>
    <row r="1389" spans="1:14" x14ac:dyDescent="0.4">
      <c r="A1389" s="11" t="s">
        <v>10</v>
      </c>
      <c r="B1389" s="40">
        <f t="shared" ca="1" si="706"/>
        <v>0</v>
      </c>
      <c r="C1389" s="40"/>
      <c r="D1389" s="40"/>
      <c r="E1389" s="40"/>
      <c r="F1389" s="13">
        <f t="shared" ca="1" si="706"/>
        <v>0</v>
      </c>
      <c r="G1389" s="17">
        <f t="shared" ca="1" si="706"/>
        <v>0</v>
      </c>
      <c r="H1389" s="17">
        <f t="shared" ca="1" si="706"/>
        <v>0</v>
      </c>
      <c r="I1389" s="13">
        <f t="shared" ca="1" si="706"/>
        <v>0</v>
      </c>
      <c r="J1389" s="16"/>
      <c r="K1389" s="13">
        <f t="shared" ca="1" si="707"/>
        <v>0</v>
      </c>
      <c r="L1389" s="15">
        <f t="shared" ca="1" si="703"/>
        <v>1</v>
      </c>
      <c r="M1389" s="15"/>
      <c r="N1389" s="15">
        <f t="shared" ca="1" si="702"/>
        <v>0</v>
      </c>
    </row>
    <row r="1390" spans="1:14" x14ac:dyDescent="0.4">
      <c r="A1390" s="11" t="s">
        <v>10</v>
      </c>
      <c r="B1390" s="40">
        <f t="shared" ca="1" si="706"/>
        <v>0</v>
      </c>
      <c r="C1390" s="40"/>
      <c r="D1390" s="40"/>
      <c r="E1390" s="40"/>
      <c r="F1390" s="13">
        <f t="shared" ca="1" si="706"/>
        <v>0</v>
      </c>
      <c r="G1390" s="17">
        <f t="shared" ca="1" si="706"/>
        <v>0</v>
      </c>
      <c r="H1390" s="17">
        <f t="shared" ca="1" si="706"/>
        <v>0</v>
      </c>
      <c r="I1390" s="13">
        <f t="shared" ca="1" si="706"/>
        <v>0</v>
      </c>
      <c r="J1390" s="16"/>
      <c r="K1390" s="13">
        <f t="shared" ca="1" si="707"/>
        <v>0</v>
      </c>
      <c r="L1390" s="15">
        <f t="shared" ca="1" si="703"/>
        <v>1</v>
      </c>
      <c r="M1390" s="15"/>
      <c r="N1390" s="15">
        <f t="shared" ca="1" si="702"/>
        <v>0</v>
      </c>
    </row>
    <row r="1391" spans="1:14" x14ac:dyDescent="0.4">
      <c r="A1391" s="11" t="s">
        <v>7</v>
      </c>
      <c r="B1391" s="40">
        <f t="shared" ref="B1391:I1393" ca="1" si="708">OFFSET(B1391,-9,0)</f>
        <v>0</v>
      </c>
      <c r="C1391" s="40"/>
      <c r="D1391" s="40"/>
      <c r="E1391" s="40"/>
      <c r="F1391" s="13">
        <f t="shared" ca="1" si="708"/>
        <v>0</v>
      </c>
      <c r="G1391" s="17">
        <f t="shared" ca="1" si="708"/>
        <v>0</v>
      </c>
      <c r="H1391" s="17">
        <f t="shared" ca="1" si="708"/>
        <v>0</v>
      </c>
      <c r="I1391" s="13">
        <f t="shared" ca="1" si="708"/>
        <v>0</v>
      </c>
      <c r="J1391" s="16"/>
      <c r="K1391" s="13">
        <f t="shared" ref="K1391:K1393" ca="1" si="709">OFFSET(K1391,-9,0)</f>
        <v>0</v>
      </c>
      <c r="L1391" s="15">
        <f t="shared" ca="1" si="703"/>
        <v>1</v>
      </c>
      <c r="M1391" s="15"/>
      <c r="N1391" s="15">
        <f t="shared" ca="1" si="702"/>
        <v>0</v>
      </c>
    </row>
    <row r="1392" spans="1:14" x14ac:dyDescent="0.4">
      <c r="A1392" s="11" t="s">
        <v>7</v>
      </c>
      <c r="B1392" s="40">
        <f t="shared" ca="1" si="708"/>
        <v>0</v>
      </c>
      <c r="C1392" s="40"/>
      <c r="D1392" s="40"/>
      <c r="E1392" s="40"/>
      <c r="F1392" s="13">
        <f t="shared" ca="1" si="708"/>
        <v>0</v>
      </c>
      <c r="G1392" s="17">
        <f t="shared" ca="1" si="708"/>
        <v>0</v>
      </c>
      <c r="H1392" s="17">
        <f t="shared" ca="1" si="708"/>
        <v>0</v>
      </c>
      <c r="I1392" s="13">
        <f t="shared" ca="1" si="708"/>
        <v>0</v>
      </c>
      <c r="J1392" s="16"/>
      <c r="K1392" s="13">
        <f t="shared" ca="1" si="709"/>
        <v>0</v>
      </c>
      <c r="L1392" s="15">
        <f t="shared" ca="1" si="703"/>
        <v>1</v>
      </c>
      <c r="M1392" s="15"/>
      <c r="N1392" s="15">
        <f t="shared" ca="1" si="702"/>
        <v>0</v>
      </c>
    </row>
    <row r="1393" spans="1:14" x14ac:dyDescent="0.4">
      <c r="A1393" s="11" t="s">
        <v>7</v>
      </c>
      <c r="B1393" s="40">
        <f t="shared" ca="1" si="708"/>
        <v>0</v>
      </c>
      <c r="C1393" s="40"/>
      <c r="D1393" s="40"/>
      <c r="E1393" s="40"/>
      <c r="F1393" s="13">
        <f t="shared" ca="1" si="708"/>
        <v>0</v>
      </c>
      <c r="G1393" s="17">
        <f t="shared" ca="1" si="708"/>
        <v>0</v>
      </c>
      <c r="H1393" s="17">
        <f t="shared" ca="1" si="708"/>
        <v>0</v>
      </c>
      <c r="I1393" s="13">
        <f t="shared" ca="1" si="708"/>
        <v>0</v>
      </c>
      <c r="J1393" s="16"/>
      <c r="K1393" s="13">
        <f t="shared" ca="1" si="709"/>
        <v>0</v>
      </c>
      <c r="L1393" s="15">
        <f t="shared" ca="1" si="703"/>
        <v>1</v>
      </c>
      <c r="M1393" s="15"/>
      <c r="N1393" s="15">
        <f t="shared" ca="1" si="702"/>
        <v>0</v>
      </c>
    </row>
    <row r="1394" spans="1:14" x14ac:dyDescent="0.4">
      <c r="A1394" s="11" t="s">
        <v>8</v>
      </c>
      <c r="B1394" s="40">
        <f t="shared" ref="B1394:I1396" ca="1" si="710">OFFSET(B1394,-12,0)</f>
        <v>0</v>
      </c>
      <c r="C1394" s="40"/>
      <c r="D1394" s="40"/>
      <c r="E1394" s="40"/>
      <c r="F1394" s="13">
        <f t="shared" ca="1" si="710"/>
        <v>0</v>
      </c>
      <c r="G1394" s="17">
        <f t="shared" ca="1" si="710"/>
        <v>0</v>
      </c>
      <c r="H1394" s="17">
        <f t="shared" ca="1" si="710"/>
        <v>0</v>
      </c>
      <c r="I1394" s="13">
        <f t="shared" ca="1" si="710"/>
        <v>0</v>
      </c>
      <c r="J1394" s="16"/>
      <c r="K1394" s="13">
        <f t="shared" ref="K1394:K1396" ca="1" si="711">OFFSET(K1394,-12,0)</f>
        <v>0</v>
      </c>
      <c r="L1394" s="15">
        <f t="shared" ca="1" si="703"/>
        <v>1</v>
      </c>
      <c r="M1394" s="15"/>
      <c r="N1394" s="15">
        <f t="shared" ca="1" si="702"/>
        <v>0</v>
      </c>
    </row>
    <row r="1395" spans="1:14" x14ac:dyDescent="0.4">
      <c r="A1395" s="11" t="s">
        <v>8</v>
      </c>
      <c r="B1395" s="40">
        <f t="shared" ca="1" si="710"/>
        <v>0</v>
      </c>
      <c r="C1395" s="40"/>
      <c r="D1395" s="40"/>
      <c r="E1395" s="40"/>
      <c r="F1395" s="13">
        <f t="shared" ca="1" si="710"/>
        <v>0</v>
      </c>
      <c r="G1395" s="17">
        <f t="shared" ca="1" si="710"/>
        <v>0</v>
      </c>
      <c r="H1395" s="17">
        <f t="shared" ca="1" si="710"/>
        <v>0</v>
      </c>
      <c r="I1395" s="13">
        <f t="shared" ca="1" si="710"/>
        <v>0</v>
      </c>
      <c r="J1395" s="16"/>
      <c r="K1395" s="13">
        <f t="shared" ca="1" si="711"/>
        <v>0</v>
      </c>
      <c r="L1395" s="15">
        <f t="shared" ca="1" si="703"/>
        <v>1</v>
      </c>
      <c r="M1395" s="15"/>
      <c r="N1395" s="15">
        <f t="shared" ca="1" si="702"/>
        <v>0</v>
      </c>
    </row>
    <row r="1396" spans="1:14" x14ac:dyDescent="0.4">
      <c r="A1396" s="11" t="s">
        <v>8</v>
      </c>
      <c r="B1396" s="40">
        <f t="shared" ca="1" si="710"/>
        <v>0</v>
      </c>
      <c r="C1396" s="40"/>
      <c r="D1396" s="40"/>
      <c r="E1396" s="40"/>
      <c r="F1396" s="13">
        <f t="shared" ca="1" si="710"/>
        <v>0</v>
      </c>
      <c r="G1396" s="17">
        <f t="shared" ca="1" si="710"/>
        <v>0</v>
      </c>
      <c r="H1396" s="17">
        <f t="shared" ca="1" si="710"/>
        <v>0</v>
      </c>
      <c r="I1396" s="13">
        <f t="shared" ca="1" si="710"/>
        <v>0</v>
      </c>
      <c r="J1396" s="16"/>
      <c r="K1396" s="13">
        <f t="shared" ca="1" si="711"/>
        <v>0</v>
      </c>
      <c r="L1396" s="15">
        <f t="shared" ca="1" si="703"/>
        <v>1</v>
      </c>
      <c r="M1396" s="15"/>
      <c r="N1396" s="15">
        <f t="shared" ca="1" si="702"/>
        <v>0</v>
      </c>
    </row>
    <row r="1397" spans="1:14" x14ac:dyDescent="0.4">
      <c r="A1397" s="11" t="s">
        <v>9</v>
      </c>
      <c r="B1397" s="41">
        <f t="shared" ref="B1397:I1399" ca="1" si="712">OFFSET(B1397,-15,0)</f>
        <v>0</v>
      </c>
      <c r="C1397" s="41"/>
      <c r="D1397" s="41"/>
      <c r="E1397" s="41"/>
      <c r="F1397" s="19">
        <f t="shared" ca="1" si="712"/>
        <v>0</v>
      </c>
      <c r="G1397" s="20">
        <f t="shared" ca="1" si="712"/>
        <v>0</v>
      </c>
      <c r="H1397" s="20">
        <f t="shared" ca="1" si="712"/>
        <v>0</v>
      </c>
      <c r="I1397" s="13">
        <f t="shared" ca="1" si="712"/>
        <v>0</v>
      </c>
      <c r="J1397" s="16"/>
      <c r="K1397" s="19">
        <f t="shared" ref="K1397:K1399" ca="1" si="713">OFFSET(K1397,-15,0)</f>
        <v>0</v>
      </c>
      <c r="L1397" s="15">
        <f t="shared" ca="1" si="703"/>
        <v>1</v>
      </c>
      <c r="M1397" s="15"/>
      <c r="N1397" s="15">
        <f t="shared" ca="1" si="702"/>
        <v>0</v>
      </c>
    </row>
    <row r="1398" spans="1:14" x14ac:dyDescent="0.4">
      <c r="A1398" s="11" t="s">
        <v>9</v>
      </c>
      <c r="B1398" s="41">
        <f t="shared" ca="1" si="712"/>
        <v>0</v>
      </c>
      <c r="C1398" s="41"/>
      <c r="D1398" s="41"/>
      <c r="E1398" s="41"/>
      <c r="F1398" s="19">
        <f t="shared" ca="1" si="712"/>
        <v>0</v>
      </c>
      <c r="G1398" s="20">
        <f t="shared" ca="1" si="712"/>
        <v>0</v>
      </c>
      <c r="H1398" s="20">
        <f t="shared" ca="1" si="712"/>
        <v>0</v>
      </c>
      <c r="I1398" s="13">
        <f t="shared" ca="1" si="712"/>
        <v>0</v>
      </c>
      <c r="J1398" s="16"/>
      <c r="K1398" s="19">
        <f t="shared" ca="1" si="713"/>
        <v>0</v>
      </c>
      <c r="L1398" s="15">
        <f t="shared" ca="1" si="703"/>
        <v>1</v>
      </c>
      <c r="M1398" s="15"/>
      <c r="N1398" s="15">
        <f t="shared" ca="1" si="702"/>
        <v>0</v>
      </c>
    </row>
    <row r="1399" spans="1:14" x14ac:dyDescent="0.4">
      <c r="A1399" s="11" t="s">
        <v>9</v>
      </c>
      <c r="B1399" s="41">
        <f t="shared" ca="1" si="712"/>
        <v>0</v>
      </c>
      <c r="C1399" s="41"/>
      <c r="D1399" s="41"/>
      <c r="E1399" s="41"/>
      <c r="F1399" s="19">
        <f t="shared" ca="1" si="712"/>
        <v>0</v>
      </c>
      <c r="G1399" s="20">
        <f t="shared" ca="1" si="712"/>
        <v>0</v>
      </c>
      <c r="H1399" s="20">
        <f t="shared" ca="1" si="712"/>
        <v>0</v>
      </c>
      <c r="I1399" s="13">
        <f t="shared" ca="1" si="712"/>
        <v>0</v>
      </c>
      <c r="J1399" s="16"/>
      <c r="K1399" s="19">
        <f t="shared" ca="1" si="713"/>
        <v>0</v>
      </c>
      <c r="L1399" s="15">
        <f t="shared" ca="1" si="703"/>
        <v>1</v>
      </c>
      <c r="M1399" s="15"/>
      <c r="N1399" s="15">
        <f t="shared" ca="1" si="702"/>
        <v>0</v>
      </c>
    </row>
    <row r="1400" spans="1:14" ht="17.399999999999999" x14ac:dyDescent="0.4">
      <c r="A1400" s="74" t="s">
        <v>29</v>
      </c>
      <c r="B1400" s="75"/>
      <c r="C1400" s="75"/>
      <c r="D1400" s="75"/>
      <c r="E1400" s="75"/>
      <c r="F1400" s="75"/>
      <c r="G1400" s="75"/>
      <c r="H1400" s="75"/>
      <c r="I1400" s="75"/>
      <c r="J1400" s="75"/>
      <c r="K1400" s="75"/>
      <c r="L1400" s="75"/>
      <c r="M1400" s="75"/>
      <c r="N1400" s="76"/>
    </row>
    <row r="1401" spans="1:14" x14ac:dyDescent="0.4">
      <c r="A1401" s="11" t="s">
        <v>5</v>
      </c>
      <c r="B1401" s="40"/>
      <c r="C1401" s="40"/>
      <c r="D1401" s="40"/>
      <c r="E1401" s="40"/>
      <c r="F1401" s="13"/>
      <c r="G1401" s="11"/>
      <c r="H1401" s="17"/>
      <c r="I1401" s="13"/>
      <c r="J1401" s="16"/>
      <c r="K1401" s="13"/>
      <c r="L1401" s="15">
        <f>ROUND((10^(K1401/10))/(10^(I1401/10)),3)</f>
        <v>1</v>
      </c>
      <c r="M1401" s="15"/>
      <c r="N1401" s="15">
        <f t="shared" ref="N1401:N1418" si="714">J1401*L1401</f>
        <v>0</v>
      </c>
    </row>
    <row r="1402" spans="1:14" x14ac:dyDescent="0.4">
      <c r="A1402" s="11" t="s">
        <v>5</v>
      </c>
      <c r="B1402" s="40"/>
      <c r="C1402" s="40"/>
      <c r="D1402" s="40"/>
      <c r="E1402" s="40"/>
      <c r="F1402" s="13"/>
      <c r="G1402" s="11"/>
      <c r="H1402" s="17"/>
      <c r="I1402" s="13"/>
      <c r="J1402" s="16"/>
      <c r="K1402" s="13"/>
      <c r="L1402" s="15">
        <f t="shared" ref="L1402:L1418" si="715">ROUND((10^(K1402/10))/(10^(I1402/10)),3)</f>
        <v>1</v>
      </c>
      <c r="M1402" s="15"/>
      <c r="N1402" s="15">
        <f t="shared" si="714"/>
        <v>0</v>
      </c>
    </row>
    <row r="1403" spans="1:14" x14ac:dyDescent="0.4">
      <c r="A1403" s="11" t="s">
        <v>5</v>
      </c>
      <c r="B1403" s="40"/>
      <c r="C1403" s="40"/>
      <c r="D1403" s="40"/>
      <c r="E1403" s="40"/>
      <c r="F1403" s="13"/>
      <c r="G1403" s="11"/>
      <c r="H1403" s="17"/>
      <c r="I1403" s="13"/>
      <c r="J1403" s="16"/>
      <c r="K1403" s="13"/>
      <c r="L1403" s="15">
        <f t="shared" si="715"/>
        <v>1</v>
      </c>
      <c r="M1403" s="15"/>
      <c r="N1403" s="15">
        <f t="shared" si="714"/>
        <v>0</v>
      </c>
    </row>
    <row r="1404" spans="1:14" x14ac:dyDescent="0.4">
      <c r="A1404" s="11" t="s">
        <v>6</v>
      </c>
      <c r="B1404" s="41">
        <f t="shared" ref="B1404:I1406" ca="1" si="716">OFFSET(B1404,-3,0)</f>
        <v>0</v>
      </c>
      <c r="C1404" s="41"/>
      <c r="D1404" s="41"/>
      <c r="E1404" s="41"/>
      <c r="F1404" s="19">
        <f t="shared" ca="1" si="716"/>
        <v>0</v>
      </c>
      <c r="G1404" s="20">
        <f t="shared" ca="1" si="716"/>
        <v>0</v>
      </c>
      <c r="H1404" s="20">
        <f t="shared" ca="1" si="716"/>
        <v>0</v>
      </c>
      <c r="I1404" s="13">
        <f t="shared" ca="1" si="716"/>
        <v>0</v>
      </c>
      <c r="J1404" s="16"/>
      <c r="K1404" s="19">
        <f t="shared" ref="K1404:K1406" ca="1" si="717">OFFSET(K1404,-3,0)</f>
        <v>0</v>
      </c>
      <c r="L1404" s="15">
        <f t="shared" ca="1" si="715"/>
        <v>1</v>
      </c>
      <c r="M1404" s="15"/>
      <c r="N1404" s="15">
        <f t="shared" ca="1" si="714"/>
        <v>0</v>
      </c>
    </row>
    <row r="1405" spans="1:14" x14ac:dyDescent="0.4">
      <c r="A1405" s="11" t="s">
        <v>6</v>
      </c>
      <c r="B1405" s="41">
        <f t="shared" ca="1" si="716"/>
        <v>0</v>
      </c>
      <c r="C1405" s="41"/>
      <c r="D1405" s="41"/>
      <c r="E1405" s="41"/>
      <c r="F1405" s="19">
        <f t="shared" ca="1" si="716"/>
        <v>0</v>
      </c>
      <c r="G1405" s="20">
        <f t="shared" ca="1" si="716"/>
        <v>0</v>
      </c>
      <c r="H1405" s="20">
        <f t="shared" ca="1" si="716"/>
        <v>0</v>
      </c>
      <c r="I1405" s="13">
        <f t="shared" ca="1" si="716"/>
        <v>0</v>
      </c>
      <c r="J1405" s="16"/>
      <c r="K1405" s="19">
        <f t="shared" ca="1" si="717"/>
        <v>0</v>
      </c>
      <c r="L1405" s="15">
        <f t="shared" ca="1" si="715"/>
        <v>1</v>
      </c>
      <c r="M1405" s="15"/>
      <c r="N1405" s="15">
        <f t="shared" ca="1" si="714"/>
        <v>0</v>
      </c>
    </row>
    <row r="1406" spans="1:14" x14ac:dyDescent="0.4">
      <c r="A1406" s="11" t="s">
        <v>6</v>
      </c>
      <c r="B1406" s="41">
        <f t="shared" ca="1" si="716"/>
        <v>0</v>
      </c>
      <c r="C1406" s="41"/>
      <c r="D1406" s="41"/>
      <c r="E1406" s="41"/>
      <c r="F1406" s="19">
        <f t="shared" ca="1" si="716"/>
        <v>0</v>
      </c>
      <c r="G1406" s="20">
        <f t="shared" ca="1" si="716"/>
        <v>0</v>
      </c>
      <c r="H1406" s="20">
        <f t="shared" ca="1" si="716"/>
        <v>0</v>
      </c>
      <c r="I1406" s="13">
        <f t="shared" ca="1" si="716"/>
        <v>0</v>
      </c>
      <c r="J1406" s="16"/>
      <c r="K1406" s="19">
        <f t="shared" ca="1" si="717"/>
        <v>0</v>
      </c>
      <c r="L1406" s="15">
        <f t="shared" ca="1" si="715"/>
        <v>1</v>
      </c>
      <c r="M1406" s="15"/>
      <c r="N1406" s="15">
        <f t="shared" ca="1" si="714"/>
        <v>0</v>
      </c>
    </row>
    <row r="1407" spans="1:14" x14ac:dyDescent="0.4">
      <c r="A1407" s="11" t="s">
        <v>10</v>
      </c>
      <c r="B1407" s="40">
        <f t="shared" ref="B1407:I1409" ca="1" si="718">OFFSET(B1407,-6,0)</f>
        <v>0</v>
      </c>
      <c r="C1407" s="40"/>
      <c r="D1407" s="40"/>
      <c r="E1407" s="40"/>
      <c r="F1407" s="13">
        <f t="shared" ca="1" si="718"/>
        <v>0</v>
      </c>
      <c r="G1407" s="17">
        <f t="shared" ca="1" si="718"/>
        <v>0</v>
      </c>
      <c r="H1407" s="17">
        <f t="shared" ca="1" si="718"/>
        <v>0</v>
      </c>
      <c r="I1407" s="13">
        <f t="shared" ca="1" si="718"/>
        <v>0</v>
      </c>
      <c r="J1407" s="16"/>
      <c r="K1407" s="13">
        <f t="shared" ref="K1407:K1409" ca="1" si="719">OFFSET(K1407,-6,0)</f>
        <v>0</v>
      </c>
      <c r="L1407" s="15">
        <f t="shared" ca="1" si="715"/>
        <v>1</v>
      </c>
      <c r="M1407" s="15"/>
      <c r="N1407" s="15">
        <f t="shared" ca="1" si="714"/>
        <v>0</v>
      </c>
    </row>
    <row r="1408" spans="1:14" x14ac:dyDescent="0.4">
      <c r="A1408" s="11" t="s">
        <v>10</v>
      </c>
      <c r="B1408" s="40">
        <f t="shared" ca="1" si="718"/>
        <v>0</v>
      </c>
      <c r="C1408" s="40"/>
      <c r="D1408" s="40"/>
      <c r="E1408" s="40"/>
      <c r="F1408" s="13">
        <f t="shared" ca="1" si="718"/>
        <v>0</v>
      </c>
      <c r="G1408" s="17">
        <f t="shared" ca="1" si="718"/>
        <v>0</v>
      </c>
      <c r="H1408" s="17">
        <f t="shared" ca="1" si="718"/>
        <v>0</v>
      </c>
      <c r="I1408" s="13">
        <f t="shared" ca="1" si="718"/>
        <v>0</v>
      </c>
      <c r="J1408" s="16"/>
      <c r="K1408" s="13">
        <f t="shared" ca="1" si="719"/>
        <v>0</v>
      </c>
      <c r="L1408" s="15">
        <f t="shared" ca="1" si="715"/>
        <v>1</v>
      </c>
      <c r="M1408" s="15"/>
      <c r="N1408" s="15">
        <f t="shared" ca="1" si="714"/>
        <v>0</v>
      </c>
    </row>
    <row r="1409" spans="1:14" x14ac:dyDescent="0.4">
      <c r="A1409" s="11" t="s">
        <v>10</v>
      </c>
      <c r="B1409" s="40">
        <f t="shared" ca="1" si="718"/>
        <v>0</v>
      </c>
      <c r="C1409" s="40"/>
      <c r="D1409" s="40"/>
      <c r="E1409" s="40"/>
      <c r="F1409" s="13">
        <f t="shared" ca="1" si="718"/>
        <v>0</v>
      </c>
      <c r="G1409" s="17">
        <f t="shared" ca="1" si="718"/>
        <v>0</v>
      </c>
      <c r="H1409" s="17">
        <f t="shared" ca="1" si="718"/>
        <v>0</v>
      </c>
      <c r="I1409" s="13">
        <f t="shared" ca="1" si="718"/>
        <v>0</v>
      </c>
      <c r="J1409" s="16"/>
      <c r="K1409" s="13">
        <f t="shared" ca="1" si="719"/>
        <v>0</v>
      </c>
      <c r="L1409" s="15">
        <f t="shared" ca="1" si="715"/>
        <v>1</v>
      </c>
      <c r="M1409" s="15"/>
      <c r="N1409" s="15">
        <f t="shared" ca="1" si="714"/>
        <v>0</v>
      </c>
    </row>
    <row r="1410" spans="1:14" x14ac:dyDescent="0.4">
      <c r="A1410" s="11" t="s">
        <v>7</v>
      </c>
      <c r="B1410" s="40">
        <f t="shared" ref="B1410:I1412" ca="1" si="720">OFFSET(B1410,-9,0)</f>
        <v>0</v>
      </c>
      <c r="C1410" s="40"/>
      <c r="D1410" s="40"/>
      <c r="E1410" s="40"/>
      <c r="F1410" s="13">
        <f t="shared" ca="1" si="720"/>
        <v>0</v>
      </c>
      <c r="G1410" s="17">
        <f t="shared" ca="1" si="720"/>
        <v>0</v>
      </c>
      <c r="H1410" s="17">
        <f t="shared" ca="1" si="720"/>
        <v>0</v>
      </c>
      <c r="I1410" s="13">
        <f t="shared" ca="1" si="720"/>
        <v>0</v>
      </c>
      <c r="J1410" s="16"/>
      <c r="K1410" s="13">
        <f t="shared" ref="K1410:K1412" ca="1" si="721">OFFSET(K1410,-9,0)</f>
        <v>0</v>
      </c>
      <c r="L1410" s="15">
        <f t="shared" ca="1" si="715"/>
        <v>1</v>
      </c>
      <c r="M1410" s="15"/>
      <c r="N1410" s="15">
        <f t="shared" ca="1" si="714"/>
        <v>0</v>
      </c>
    </row>
    <row r="1411" spans="1:14" x14ac:dyDescent="0.4">
      <c r="A1411" s="11" t="s">
        <v>7</v>
      </c>
      <c r="B1411" s="40">
        <f t="shared" ca="1" si="720"/>
        <v>0</v>
      </c>
      <c r="C1411" s="40"/>
      <c r="D1411" s="40"/>
      <c r="E1411" s="40"/>
      <c r="F1411" s="13">
        <f t="shared" ca="1" si="720"/>
        <v>0</v>
      </c>
      <c r="G1411" s="17">
        <f t="shared" ca="1" si="720"/>
        <v>0</v>
      </c>
      <c r="H1411" s="17">
        <f t="shared" ca="1" si="720"/>
        <v>0</v>
      </c>
      <c r="I1411" s="13">
        <f t="shared" ca="1" si="720"/>
        <v>0</v>
      </c>
      <c r="J1411" s="16"/>
      <c r="K1411" s="13">
        <f t="shared" ca="1" si="721"/>
        <v>0</v>
      </c>
      <c r="L1411" s="15">
        <f t="shared" ca="1" si="715"/>
        <v>1</v>
      </c>
      <c r="M1411" s="15"/>
      <c r="N1411" s="15">
        <f t="shared" ca="1" si="714"/>
        <v>0</v>
      </c>
    </row>
    <row r="1412" spans="1:14" x14ac:dyDescent="0.4">
      <c r="A1412" s="11" t="s">
        <v>7</v>
      </c>
      <c r="B1412" s="40">
        <f t="shared" ca="1" si="720"/>
        <v>0</v>
      </c>
      <c r="C1412" s="40"/>
      <c r="D1412" s="40"/>
      <c r="E1412" s="40"/>
      <c r="F1412" s="13">
        <f t="shared" ca="1" si="720"/>
        <v>0</v>
      </c>
      <c r="G1412" s="17">
        <f t="shared" ca="1" si="720"/>
        <v>0</v>
      </c>
      <c r="H1412" s="17">
        <f t="shared" ca="1" si="720"/>
        <v>0</v>
      </c>
      <c r="I1412" s="13">
        <f t="shared" ca="1" si="720"/>
        <v>0</v>
      </c>
      <c r="J1412" s="16"/>
      <c r="K1412" s="13">
        <f t="shared" ca="1" si="721"/>
        <v>0</v>
      </c>
      <c r="L1412" s="15">
        <f t="shared" ca="1" si="715"/>
        <v>1</v>
      </c>
      <c r="M1412" s="15"/>
      <c r="N1412" s="15">
        <f t="shared" ca="1" si="714"/>
        <v>0</v>
      </c>
    </row>
    <row r="1413" spans="1:14" x14ac:dyDescent="0.4">
      <c r="A1413" s="11" t="s">
        <v>8</v>
      </c>
      <c r="B1413" s="40">
        <f t="shared" ref="B1413:I1415" ca="1" si="722">OFFSET(B1413,-12,0)</f>
        <v>0</v>
      </c>
      <c r="C1413" s="40"/>
      <c r="D1413" s="40"/>
      <c r="E1413" s="40"/>
      <c r="F1413" s="13">
        <f t="shared" ca="1" si="722"/>
        <v>0</v>
      </c>
      <c r="G1413" s="17">
        <f t="shared" ca="1" si="722"/>
        <v>0</v>
      </c>
      <c r="H1413" s="17">
        <f t="shared" ca="1" si="722"/>
        <v>0</v>
      </c>
      <c r="I1413" s="13">
        <f t="shared" ca="1" si="722"/>
        <v>0</v>
      </c>
      <c r="J1413" s="16"/>
      <c r="K1413" s="13">
        <f t="shared" ref="K1413:K1415" ca="1" si="723">OFFSET(K1413,-12,0)</f>
        <v>0</v>
      </c>
      <c r="L1413" s="15">
        <f t="shared" ca="1" si="715"/>
        <v>1</v>
      </c>
      <c r="M1413" s="15"/>
      <c r="N1413" s="15">
        <f t="shared" ca="1" si="714"/>
        <v>0</v>
      </c>
    </row>
    <row r="1414" spans="1:14" x14ac:dyDescent="0.4">
      <c r="A1414" s="11" t="s">
        <v>8</v>
      </c>
      <c r="B1414" s="40">
        <f t="shared" ca="1" si="722"/>
        <v>0</v>
      </c>
      <c r="C1414" s="40"/>
      <c r="D1414" s="40"/>
      <c r="E1414" s="40"/>
      <c r="F1414" s="13">
        <f t="shared" ca="1" si="722"/>
        <v>0</v>
      </c>
      <c r="G1414" s="17">
        <f t="shared" ca="1" si="722"/>
        <v>0</v>
      </c>
      <c r="H1414" s="17">
        <f t="shared" ca="1" si="722"/>
        <v>0</v>
      </c>
      <c r="I1414" s="13">
        <f t="shared" ca="1" si="722"/>
        <v>0</v>
      </c>
      <c r="J1414" s="16"/>
      <c r="K1414" s="13">
        <f t="shared" ca="1" si="723"/>
        <v>0</v>
      </c>
      <c r="L1414" s="15">
        <f t="shared" ca="1" si="715"/>
        <v>1</v>
      </c>
      <c r="M1414" s="15"/>
      <c r="N1414" s="15">
        <f t="shared" ca="1" si="714"/>
        <v>0</v>
      </c>
    </row>
    <row r="1415" spans="1:14" x14ac:dyDescent="0.4">
      <c r="A1415" s="11" t="s">
        <v>8</v>
      </c>
      <c r="B1415" s="40">
        <f t="shared" ca="1" si="722"/>
        <v>0</v>
      </c>
      <c r="C1415" s="40"/>
      <c r="D1415" s="40"/>
      <c r="E1415" s="40"/>
      <c r="F1415" s="13">
        <f t="shared" ca="1" si="722"/>
        <v>0</v>
      </c>
      <c r="G1415" s="17">
        <f t="shared" ca="1" si="722"/>
        <v>0</v>
      </c>
      <c r="H1415" s="17">
        <f t="shared" ca="1" si="722"/>
        <v>0</v>
      </c>
      <c r="I1415" s="13">
        <f t="shared" ca="1" si="722"/>
        <v>0</v>
      </c>
      <c r="J1415" s="16"/>
      <c r="K1415" s="13">
        <f t="shared" ca="1" si="723"/>
        <v>0</v>
      </c>
      <c r="L1415" s="15">
        <f t="shared" ca="1" si="715"/>
        <v>1</v>
      </c>
      <c r="M1415" s="15"/>
      <c r="N1415" s="15">
        <f t="shared" ca="1" si="714"/>
        <v>0</v>
      </c>
    </row>
    <row r="1416" spans="1:14" x14ac:dyDescent="0.4">
      <c r="A1416" s="11" t="s">
        <v>9</v>
      </c>
      <c r="B1416" s="41">
        <f t="shared" ref="B1416:I1418" ca="1" si="724">OFFSET(B1416,-15,0)</f>
        <v>0</v>
      </c>
      <c r="C1416" s="41"/>
      <c r="D1416" s="41"/>
      <c r="E1416" s="41"/>
      <c r="F1416" s="19">
        <f t="shared" ca="1" si="724"/>
        <v>0</v>
      </c>
      <c r="G1416" s="20">
        <f t="shared" ca="1" si="724"/>
        <v>0</v>
      </c>
      <c r="H1416" s="20">
        <f t="shared" ca="1" si="724"/>
        <v>0</v>
      </c>
      <c r="I1416" s="13">
        <f t="shared" ca="1" si="724"/>
        <v>0</v>
      </c>
      <c r="J1416" s="16"/>
      <c r="K1416" s="19">
        <f t="shared" ref="K1416:K1418" ca="1" si="725">OFFSET(K1416,-15,0)</f>
        <v>0</v>
      </c>
      <c r="L1416" s="15">
        <f t="shared" ca="1" si="715"/>
        <v>1</v>
      </c>
      <c r="M1416" s="15"/>
      <c r="N1416" s="15">
        <f t="shared" ca="1" si="714"/>
        <v>0</v>
      </c>
    </row>
    <row r="1417" spans="1:14" x14ac:dyDescent="0.4">
      <c r="A1417" s="11" t="s">
        <v>9</v>
      </c>
      <c r="B1417" s="41">
        <f t="shared" ca="1" si="724"/>
        <v>0</v>
      </c>
      <c r="C1417" s="41"/>
      <c r="D1417" s="41"/>
      <c r="E1417" s="41"/>
      <c r="F1417" s="19">
        <f t="shared" ca="1" si="724"/>
        <v>0</v>
      </c>
      <c r="G1417" s="20">
        <f t="shared" ca="1" si="724"/>
        <v>0</v>
      </c>
      <c r="H1417" s="20">
        <f t="shared" ca="1" si="724"/>
        <v>0</v>
      </c>
      <c r="I1417" s="13">
        <f t="shared" ca="1" si="724"/>
        <v>0</v>
      </c>
      <c r="J1417" s="16"/>
      <c r="K1417" s="19">
        <f t="shared" ca="1" si="725"/>
        <v>0</v>
      </c>
      <c r="L1417" s="15">
        <f t="shared" ca="1" si="715"/>
        <v>1</v>
      </c>
      <c r="M1417" s="15"/>
      <c r="N1417" s="15">
        <f t="shared" ca="1" si="714"/>
        <v>0</v>
      </c>
    </row>
    <row r="1418" spans="1:14" x14ac:dyDescent="0.4">
      <c r="A1418" s="11" t="s">
        <v>9</v>
      </c>
      <c r="B1418" s="41">
        <f t="shared" ca="1" si="724"/>
        <v>0</v>
      </c>
      <c r="C1418" s="41"/>
      <c r="D1418" s="41"/>
      <c r="E1418" s="41"/>
      <c r="F1418" s="19">
        <f t="shared" ca="1" si="724"/>
        <v>0</v>
      </c>
      <c r="G1418" s="20">
        <f t="shared" ca="1" si="724"/>
        <v>0</v>
      </c>
      <c r="H1418" s="20">
        <f t="shared" ca="1" si="724"/>
        <v>0</v>
      </c>
      <c r="I1418" s="13">
        <f t="shared" ca="1" si="724"/>
        <v>0</v>
      </c>
      <c r="J1418" s="16"/>
      <c r="K1418" s="19">
        <f t="shared" ca="1" si="725"/>
        <v>0</v>
      </c>
      <c r="L1418" s="15">
        <f t="shared" ca="1" si="715"/>
        <v>1</v>
      </c>
      <c r="M1418" s="15"/>
      <c r="N1418" s="15">
        <f t="shared" ca="1" si="714"/>
        <v>0</v>
      </c>
    </row>
    <row r="1419" spans="1:14" ht="17.399999999999999" x14ac:dyDescent="0.4">
      <c r="A1419" s="74" t="s">
        <v>32</v>
      </c>
      <c r="B1419" s="75"/>
      <c r="C1419" s="75"/>
      <c r="D1419" s="75"/>
      <c r="E1419" s="75"/>
      <c r="F1419" s="75"/>
      <c r="G1419" s="75"/>
      <c r="H1419" s="75"/>
      <c r="I1419" s="75"/>
      <c r="J1419" s="75"/>
      <c r="K1419" s="75"/>
      <c r="L1419" s="75"/>
      <c r="M1419" s="75"/>
      <c r="N1419" s="76"/>
    </row>
    <row r="1420" spans="1:14" x14ac:dyDescent="0.4">
      <c r="A1420" s="11" t="s">
        <v>5</v>
      </c>
      <c r="B1420" s="40"/>
      <c r="C1420" s="40"/>
      <c r="D1420" s="40"/>
      <c r="E1420" s="40"/>
      <c r="F1420" s="13"/>
      <c r="G1420" s="11"/>
      <c r="H1420" s="17"/>
      <c r="I1420" s="13"/>
      <c r="J1420" s="16"/>
      <c r="K1420" s="13"/>
      <c r="L1420" s="15">
        <f>ROUND((10^(K1420/10))/(10^(I1420/10)),3)</f>
        <v>1</v>
      </c>
      <c r="M1420" s="15"/>
      <c r="N1420" s="15">
        <f t="shared" ref="N1420:N1437" si="726">J1420*L1420</f>
        <v>0</v>
      </c>
    </row>
    <row r="1421" spans="1:14" x14ac:dyDescent="0.4">
      <c r="A1421" s="11" t="s">
        <v>5</v>
      </c>
      <c r="B1421" s="40"/>
      <c r="C1421" s="40"/>
      <c r="D1421" s="40"/>
      <c r="E1421" s="40"/>
      <c r="F1421" s="13"/>
      <c r="G1421" s="11"/>
      <c r="H1421" s="17"/>
      <c r="I1421" s="13"/>
      <c r="J1421" s="16"/>
      <c r="K1421" s="13"/>
      <c r="L1421" s="15">
        <f t="shared" ref="L1421:L1437" si="727">ROUND((10^(K1421/10))/(10^(I1421/10)),3)</f>
        <v>1</v>
      </c>
      <c r="M1421" s="15"/>
      <c r="N1421" s="15">
        <f t="shared" si="726"/>
        <v>0</v>
      </c>
    </row>
    <row r="1422" spans="1:14" x14ac:dyDescent="0.4">
      <c r="A1422" s="11" t="s">
        <v>5</v>
      </c>
      <c r="B1422" s="40"/>
      <c r="C1422" s="40"/>
      <c r="D1422" s="40"/>
      <c r="E1422" s="40"/>
      <c r="F1422" s="13"/>
      <c r="G1422" s="11"/>
      <c r="H1422" s="17"/>
      <c r="I1422" s="13"/>
      <c r="J1422" s="16"/>
      <c r="K1422" s="13"/>
      <c r="L1422" s="15">
        <f t="shared" si="727"/>
        <v>1</v>
      </c>
      <c r="M1422" s="15"/>
      <c r="N1422" s="15">
        <f t="shared" si="726"/>
        <v>0</v>
      </c>
    </row>
    <row r="1423" spans="1:14" x14ac:dyDescent="0.4">
      <c r="A1423" s="11" t="s">
        <v>6</v>
      </c>
      <c r="B1423" s="41">
        <f t="shared" ref="B1423:I1425" ca="1" si="728">OFFSET(B1423,-3,0)</f>
        <v>0</v>
      </c>
      <c r="C1423" s="41"/>
      <c r="D1423" s="41"/>
      <c r="E1423" s="41"/>
      <c r="F1423" s="19">
        <f t="shared" ca="1" si="728"/>
        <v>0</v>
      </c>
      <c r="G1423" s="20">
        <f t="shared" ca="1" si="728"/>
        <v>0</v>
      </c>
      <c r="H1423" s="20">
        <f t="shared" ca="1" si="728"/>
        <v>0</v>
      </c>
      <c r="I1423" s="13">
        <f t="shared" ca="1" si="728"/>
        <v>0</v>
      </c>
      <c r="J1423" s="16"/>
      <c r="K1423" s="19">
        <f t="shared" ref="K1423:K1425" ca="1" si="729">OFFSET(K1423,-3,0)</f>
        <v>0</v>
      </c>
      <c r="L1423" s="15">
        <f t="shared" ca="1" si="727"/>
        <v>1</v>
      </c>
      <c r="M1423" s="15"/>
      <c r="N1423" s="15">
        <f t="shared" ca="1" si="726"/>
        <v>0</v>
      </c>
    </row>
    <row r="1424" spans="1:14" x14ac:dyDescent="0.4">
      <c r="A1424" s="11" t="s">
        <v>6</v>
      </c>
      <c r="B1424" s="41">
        <f t="shared" ca="1" si="728"/>
        <v>0</v>
      </c>
      <c r="C1424" s="41"/>
      <c r="D1424" s="41"/>
      <c r="E1424" s="41"/>
      <c r="F1424" s="19">
        <f t="shared" ca="1" si="728"/>
        <v>0</v>
      </c>
      <c r="G1424" s="20">
        <f t="shared" ca="1" si="728"/>
        <v>0</v>
      </c>
      <c r="H1424" s="20">
        <f t="shared" ca="1" si="728"/>
        <v>0</v>
      </c>
      <c r="I1424" s="13">
        <f t="shared" ca="1" si="728"/>
        <v>0</v>
      </c>
      <c r="J1424" s="16"/>
      <c r="K1424" s="19">
        <f t="shared" ca="1" si="729"/>
        <v>0</v>
      </c>
      <c r="L1424" s="15">
        <f t="shared" ca="1" si="727"/>
        <v>1</v>
      </c>
      <c r="M1424" s="15"/>
      <c r="N1424" s="15">
        <f t="shared" ca="1" si="726"/>
        <v>0</v>
      </c>
    </row>
    <row r="1425" spans="1:14" x14ac:dyDescent="0.4">
      <c r="A1425" s="11" t="s">
        <v>6</v>
      </c>
      <c r="B1425" s="41">
        <f t="shared" ca="1" si="728"/>
        <v>0</v>
      </c>
      <c r="C1425" s="41"/>
      <c r="D1425" s="41"/>
      <c r="E1425" s="41"/>
      <c r="F1425" s="19">
        <f t="shared" ca="1" si="728"/>
        <v>0</v>
      </c>
      <c r="G1425" s="20">
        <f t="shared" ca="1" si="728"/>
        <v>0</v>
      </c>
      <c r="H1425" s="20">
        <f t="shared" ca="1" si="728"/>
        <v>0</v>
      </c>
      <c r="I1425" s="13">
        <f t="shared" ca="1" si="728"/>
        <v>0</v>
      </c>
      <c r="J1425" s="16"/>
      <c r="K1425" s="19">
        <f t="shared" ca="1" si="729"/>
        <v>0</v>
      </c>
      <c r="L1425" s="15">
        <f t="shared" ca="1" si="727"/>
        <v>1</v>
      </c>
      <c r="M1425" s="15"/>
      <c r="N1425" s="15">
        <f t="shared" ca="1" si="726"/>
        <v>0</v>
      </c>
    </row>
    <row r="1426" spans="1:14" x14ac:dyDescent="0.4">
      <c r="A1426" s="11" t="s">
        <v>10</v>
      </c>
      <c r="B1426" s="40">
        <f t="shared" ref="B1426:I1428" ca="1" si="730">OFFSET(B1426,-6,0)</f>
        <v>0</v>
      </c>
      <c r="C1426" s="40"/>
      <c r="D1426" s="40"/>
      <c r="E1426" s="40"/>
      <c r="F1426" s="13">
        <f t="shared" ca="1" si="730"/>
        <v>0</v>
      </c>
      <c r="G1426" s="17">
        <f t="shared" ca="1" si="730"/>
        <v>0</v>
      </c>
      <c r="H1426" s="17">
        <f t="shared" ca="1" si="730"/>
        <v>0</v>
      </c>
      <c r="I1426" s="13">
        <f t="shared" ca="1" si="730"/>
        <v>0</v>
      </c>
      <c r="J1426" s="16"/>
      <c r="K1426" s="13">
        <f t="shared" ref="K1426:K1428" ca="1" si="731">OFFSET(K1426,-6,0)</f>
        <v>0</v>
      </c>
      <c r="L1426" s="15">
        <f t="shared" ca="1" si="727"/>
        <v>1</v>
      </c>
      <c r="M1426" s="15"/>
      <c r="N1426" s="15">
        <f t="shared" ca="1" si="726"/>
        <v>0</v>
      </c>
    </row>
    <row r="1427" spans="1:14" x14ac:dyDescent="0.4">
      <c r="A1427" s="11" t="s">
        <v>10</v>
      </c>
      <c r="B1427" s="40">
        <f t="shared" ca="1" si="730"/>
        <v>0</v>
      </c>
      <c r="C1427" s="40"/>
      <c r="D1427" s="40"/>
      <c r="E1427" s="40"/>
      <c r="F1427" s="13">
        <f t="shared" ca="1" si="730"/>
        <v>0</v>
      </c>
      <c r="G1427" s="17">
        <f t="shared" ca="1" si="730"/>
        <v>0</v>
      </c>
      <c r="H1427" s="17">
        <f t="shared" ca="1" si="730"/>
        <v>0</v>
      </c>
      <c r="I1427" s="13">
        <f t="shared" ca="1" si="730"/>
        <v>0</v>
      </c>
      <c r="J1427" s="16"/>
      <c r="K1427" s="13">
        <f t="shared" ca="1" si="731"/>
        <v>0</v>
      </c>
      <c r="L1427" s="15">
        <f t="shared" ca="1" si="727"/>
        <v>1</v>
      </c>
      <c r="M1427" s="15"/>
      <c r="N1427" s="15">
        <f t="shared" ca="1" si="726"/>
        <v>0</v>
      </c>
    </row>
    <row r="1428" spans="1:14" x14ac:dyDescent="0.4">
      <c r="A1428" s="11" t="s">
        <v>10</v>
      </c>
      <c r="B1428" s="40">
        <f t="shared" ca="1" si="730"/>
        <v>0</v>
      </c>
      <c r="C1428" s="40"/>
      <c r="D1428" s="40"/>
      <c r="E1428" s="40"/>
      <c r="F1428" s="13">
        <f t="shared" ca="1" si="730"/>
        <v>0</v>
      </c>
      <c r="G1428" s="17">
        <f t="shared" ca="1" si="730"/>
        <v>0</v>
      </c>
      <c r="H1428" s="17">
        <f t="shared" ca="1" si="730"/>
        <v>0</v>
      </c>
      <c r="I1428" s="13">
        <f t="shared" ca="1" si="730"/>
        <v>0</v>
      </c>
      <c r="J1428" s="16"/>
      <c r="K1428" s="13">
        <f t="shared" ca="1" si="731"/>
        <v>0</v>
      </c>
      <c r="L1428" s="15">
        <f t="shared" ca="1" si="727"/>
        <v>1</v>
      </c>
      <c r="M1428" s="15"/>
      <c r="N1428" s="15">
        <f t="shared" ca="1" si="726"/>
        <v>0</v>
      </c>
    </row>
    <row r="1429" spans="1:14" x14ac:dyDescent="0.4">
      <c r="A1429" s="11" t="s">
        <v>7</v>
      </c>
      <c r="B1429" s="40">
        <f t="shared" ref="B1429:I1431" ca="1" si="732">OFFSET(B1429,-9,0)</f>
        <v>0</v>
      </c>
      <c r="C1429" s="40"/>
      <c r="D1429" s="40"/>
      <c r="E1429" s="40"/>
      <c r="F1429" s="13">
        <f t="shared" ca="1" si="732"/>
        <v>0</v>
      </c>
      <c r="G1429" s="17">
        <f t="shared" ca="1" si="732"/>
        <v>0</v>
      </c>
      <c r="H1429" s="17">
        <f t="shared" ca="1" si="732"/>
        <v>0</v>
      </c>
      <c r="I1429" s="13">
        <f t="shared" ca="1" si="732"/>
        <v>0</v>
      </c>
      <c r="J1429" s="16"/>
      <c r="K1429" s="13">
        <f t="shared" ref="K1429:K1431" ca="1" si="733">OFFSET(K1429,-9,0)</f>
        <v>0</v>
      </c>
      <c r="L1429" s="15">
        <f t="shared" ca="1" si="727"/>
        <v>1</v>
      </c>
      <c r="M1429" s="15"/>
      <c r="N1429" s="15">
        <f t="shared" ca="1" si="726"/>
        <v>0</v>
      </c>
    </row>
    <row r="1430" spans="1:14" x14ac:dyDescent="0.4">
      <c r="A1430" s="11" t="s">
        <v>7</v>
      </c>
      <c r="B1430" s="40">
        <f t="shared" ca="1" si="732"/>
        <v>0</v>
      </c>
      <c r="C1430" s="40"/>
      <c r="D1430" s="40"/>
      <c r="E1430" s="40"/>
      <c r="F1430" s="13">
        <f t="shared" ca="1" si="732"/>
        <v>0</v>
      </c>
      <c r="G1430" s="17">
        <f t="shared" ca="1" si="732"/>
        <v>0</v>
      </c>
      <c r="H1430" s="17">
        <f t="shared" ca="1" si="732"/>
        <v>0</v>
      </c>
      <c r="I1430" s="13">
        <f t="shared" ca="1" si="732"/>
        <v>0</v>
      </c>
      <c r="J1430" s="16"/>
      <c r="K1430" s="13">
        <f t="shared" ca="1" si="733"/>
        <v>0</v>
      </c>
      <c r="L1430" s="15">
        <f t="shared" ca="1" si="727"/>
        <v>1</v>
      </c>
      <c r="M1430" s="15"/>
      <c r="N1430" s="15">
        <f t="shared" ca="1" si="726"/>
        <v>0</v>
      </c>
    </row>
    <row r="1431" spans="1:14" x14ac:dyDescent="0.4">
      <c r="A1431" s="11" t="s">
        <v>7</v>
      </c>
      <c r="B1431" s="40">
        <f t="shared" ca="1" si="732"/>
        <v>0</v>
      </c>
      <c r="C1431" s="40"/>
      <c r="D1431" s="40"/>
      <c r="E1431" s="40"/>
      <c r="F1431" s="13">
        <f t="shared" ca="1" si="732"/>
        <v>0</v>
      </c>
      <c r="G1431" s="17">
        <f t="shared" ca="1" si="732"/>
        <v>0</v>
      </c>
      <c r="H1431" s="17">
        <f t="shared" ca="1" si="732"/>
        <v>0</v>
      </c>
      <c r="I1431" s="13">
        <f t="shared" ca="1" si="732"/>
        <v>0</v>
      </c>
      <c r="J1431" s="16"/>
      <c r="K1431" s="13">
        <f t="shared" ca="1" si="733"/>
        <v>0</v>
      </c>
      <c r="L1431" s="15">
        <f t="shared" ca="1" si="727"/>
        <v>1</v>
      </c>
      <c r="M1431" s="15"/>
      <c r="N1431" s="15">
        <f t="shared" ca="1" si="726"/>
        <v>0</v>
      </c>
    </row>
    <row r="1432" spans="1:14" x14ac:dyDescent="0.4">
      <c r="A1432" s="11" t="s">
        <v>8</v>
      </c>
      <c r="B1432" s="40">
        <f t="shared" ref="B1432:I1434" ca="1" si="734">OFFSET(B1432,-12,0)</f>
        <v>0</v>
      </c>
      <c r="C1432" s="40"/>
      <c r="D1432" s="40"/>
      <c r="E1432" s="40"/>
      <c r="F1432" s="13">
        <f t="shared" ca="1" si="734"/>
        <v>0</v>
      </c>
      <c r="G1432" s="17">
        <f t="shared" ca="1" si="734"/>
        <v>0</v>
      </c>
      <c r="H1432" s="17">
        <f t="shared" ca="1" si="734"/>
        <v>0</v>
      </c>
      <c r="I1432" s="13">
        <f t="shared" ca="1" si="734"/>
        <v>0</v>
      </c>
      <c r="J1432" s="16"/>
      <c r="K1432" s="13">
        <f t="shared" ref="K1432:K1434" ca="1" si="735">OFFSET(K1432,-12,0)</f>
        <v>0</v>
      </c>
      <c r="L1432" s="15">
        <f t="shared" ca="1" si="727"/>
        <v>1</v>
      </c>
      <c r="M1432" s="15"/>
      <c r="N1432" s="15">
        <f t="shared" ca="1" si="726"/>
        <v>0</v>
      </c>
    </row>
    <row r="1433" spans="1:14" x14ac:dyDescent="0.4">
      <c r="A1433" s="11" t="s">
        <v>8</v>
      </c>
      <c r="B1433" s="40">
        <f t="shared" ca="1" si="734"/>
        <v>0</v>
      </c>
      <c r="C1433" s="40"/>
      <c r="D1433" s="40"/>
      <c r="E1433" s="40"/>
      <c r="F1433" s="13">
        <f t="shared" ca="1" si="734"/>
        <v>0</v>
      </c>
      <c r="G1433" s="17">
        <f t="shared" ca="1" si="734"/>
        <v>0</v>
      </c>
      <c r="H1433" s="17">
        <f t="shared" ca="1" si="734"/>
        <v>0</v>
      </c>
      <c r="I1433" s="13">
        <f t="shared" ca="1" si="734"/>
        <v>0</v>
      </c>
      <c r="J1433" s="16"/>
      <c r="K1433" s="13">
        <f t="shared" ca="1" si="735"/>
        <v>0</v>
      </c>
      <c r="L1433" s="15">
        <f t="shared" ca="1" si="727"/>
        <v>1</v>
      </c>
      <c r="M1433" s="15"/>
      <c r="N1433" s="15">
        <f t="shared" ca="1" si="726"/>
        <v>0</v>
      </c>
    </row>
    <row r="1434" spans="1:14" x14ac:dyDescent="0.4">
      <c r="A1434" s="11" t="s">
        <v>8</v>
      </c>
      <c r="B1434" s="40">
        <f t="shared" ca="1" si="734"/>
        <v>0</v>
      </c>
      <c r="C1434" s="40"/>
      <c r="D1434" s="40"/>
      <c r="E1434" s="40"/>
      <c r="F1434" s="13">
        <f t="shared" ca="1" si="734"/>
        <v>0</v>
      </c>
      <c r="G1434" s="17">
        <f t="shared" ca="1" si="734"/>
        <v>0</v>
      </c>
      <c r="H1434" s="17">
        <f t="shared" ca="1" si="734"/>
        <v>0</v>
      </c>
      <c r="I1434" s="13">
        <f t="shared" ca="1" si="734"/>
        <v>0</v>
      </c>
      <c r="J1434" s="16"/>
      <c r="K1434" s="13">
        <f t="shared" ca="1" si="735"/>
        <v>0</v>
      </c>
      <c r="L1434" s="15">
        <f t="shared" ca="1" si="727"/>
        <v>1</v>
      </c>
      <c r="M1434" s="15"/>
      <c r="N1434" s="15">
        <f t="shared" ca="1" si="726"/>
        <v>0</v>
      </c>
    </row>
    <row r="1435" spans="1:14" x14ac:dyDescent="0.4">
      <c r="A1435" s="11" t="s">
        <v>9</v>
      </c>
      <c r="B1435" s="41">
        <f t="shared" ref="B1435:H1437" ca="1" si="736">OFFSET(B1435,-15,0)</f>
        <v>0</v>
      </c>
      <c r="C1435" s="41"/>
      <c r="D1435" s="41"/>
      <c r="E1435" s="41"/>
      <c r="F1435" s="19">
        <f t="shared" ca="1" si="736"/>
        <v>0</v>
      </c>
      <c r="G1435" s="20">
        <f t="shared" ca="1" si="736"/>
        <v>0</v>
      </c>
      <c r="H1435" s="20">
        <f ca="1">OFFSET(H1435,-15,0)</f>
        <v>0</v>
      </c>
      <c r="I1435" s="13">
        <f t="shared" ref="I1435:I1437" ca="1" si="737">OFFSET(I1435,-15,0)</f>
        <v>0</v>
      </c>
      <c r="J1435" s="16"/>
      <c r="K1435" s="19">
        <f t="shared" ref="K1435:K1437" ca="1" si="738">OFFSET(K1435,-15,0)</f>
        <v>0</v>
      </c>
      <c r="L1435" s="15">
        <f t="shared" ca="1" si="727"/>
        <v>1</v>
      </c>
      <c r="M1435" s="15"/>
      <c r="N1435" s="15">
        <f t="shared" ca="1" si="726"/>
        <v>0</v>
      </c>
    </row>
    <row r="1436" spans="1:14" x14ac:dyDescent="0.4">
      <c r="A1436" s="11" t="s">
        <v>9</v>
      </c>
      <c r="B1436" s="41">
        <f t="shared" ca="1" si="736"/>
        <v>0</v>
      </c>
      <c r="C1436" s="41"/>
      <c r="D1436" s="41"/>
      <c r="E1436" s="41"/>
      <c r="F1436" s="19">
        <f t="shared" ca="1" si="736"/>
        <v>0</v>
      </c>
      <c r="G1436" s="20">
        <f t="shared" ca="1" si="736"/>
        <v>0</v>
      </c>
      <c r="H1436" s="20">
        <f t="shared" ca="1" si="736"/>
        <v>0</v>
      </c>
      <c r="I1436" s="13">
        <f t="shared" ca="1" si="737"/>
        <v>0</v>
      </c>
      <c r="J1436" s="16"/>
      <c r="K1436" s="19">
        <f t="shared" ca="1" si="738"/>
        <v>0</v>
      </c>
      <c r="L1436" s="15">
        <f t="shared" ca="1" si="727"/>
        <v>1</v>
      </c>
      <c r="M1436" s="15"/>
      <c r="N1436" s="15">
        <f t="shared" ca="1" si="726"/>
        <v>0</v>
      </c>
    </row>
    <row r="1437" spans="1:14" x14ac:dyDescent="0.4">
      <c r="A1437" s="11" t="s">
        <v>9</v>
      </c>
      <c r="B1437" s="41">
        <f t="shared" ca="1" si="736"/>
        <v>0</v>
      </c>
      <c r="C1437" s="41"/>
      <c r="D1437" s="41"/>
      <c r="E1437" s="41"/>
      <c r="F1437" s="19">
        <f t="shared" ca="1" si="736"/>
        <v>0</v>
      </c>
      <c r="G1437" s="20">
        <f t="shared" ca="1" si="736"/>
        <v>0</v>
      </c>
      <c r="H1437" s="20">
        <f t="shared" ca="1" si="736"/>
        <v>0</v>
      </c>
      <c r="I1437" s="13">
        <f t="shared" ca="1" si="737"/>
        <v>0</v>
      </c>
      <c r="J1437" s="16"/>
      <c r="K1437" s="19">
        <f t="shared" ca="1" si="738"/>
        <v>0</v>
      </c>
      <c r="L1437" s="15">
        <f t="shared" ca="1" si="727"/>
        <v>1</v>
      </c>
      <c r="M1437" s="15"/>
      <c r="N1437" s="15">
        <f t="shared" ca="1" si="726"/>
        <v>0</v>
      </c>
    </row>
    <row r="1438" spans="1:14" ht="17.399999999999999" x14ac:dyDescent="0.4">
      <c r="A1438" s="74" t="s">
        <v>30</v>
      </c>
      <c r="B1438" s="75"/>
      <c r="C1438" s="75"/>
      <c r="D1438" s="75"/>
      <c r="E1438" s="75"/>
      <c r="F1438" s="75"/>
      <c r="G1438" s="75"/>
      <c r="H1438" s="75"/>
      <c r="I1438" s="75"/>
      <c r="J1438" s="75"/>
      <c r="K1438" s="75"/>
      <c r="L1438" s="75"/>
      <c r="M1438" s="75"/>
      <c r="N1438" s="76"/>
    </row>
    <row r="1439" spans="1:14" x14ac:dyDescent="0.4">
      <c r="A1439" s="11" t="s">
        <v>5</v>
      </c>
      <c r="B1439" s="40"/>
      <c r="C1439" s="40"/>
      <c r="D1439" s="40"/>
      <c r="E1439" s="40"/>
      <c r="F1439" s="13"/>
      <c r="G1439" s="11"/>
      <c r="H1439" s="17"/>
      <c r="I1439" s="13"/>
      <c r="J1439" s="16"/>
      <c r="K1439" s="13"/>
      <c r="L1439" s="15">
        <f>ROUND((10^(K1439/10))/(10^(I1439/10)),3)</f>
        <v>1</v>
      </c>
      <c r="M1439" s="15"/>
      <c r="N1439" s="15">
        <f t="shared" ref="N1439:N1456" si="739">J1439*L1439</f>
        <v>0</v>
      </c>
    </row>
    <row r="1440" spans="1:14" x14ac:dyDescent="0.4">
      <c r="A1440" s="11" t="s">
        <v>5</v>
      </c>
      <c r="B1440" s="40"/>
      <c r="C1440" s="40"/>
      <c r="D1440" s="40"/>
      <c r="E1440" s="40"/>
      <c r="F1440" s="13"/>
      <c r="G1440" s="11"/>
      <c r="H1440" s="17"/>
      <c r="I1440" s="13"/>
      <c r="J1440" s="16"/>
      <c r="K1440" s="13"/>
      <c r="L1440" s="15">
        <f t="shared" ref="L1440:L1456" si="740">ROUND((10^(K1440/10))/(10^(I1440/10)),3)</f>
        <v>1</v>
      </c>
      <c r="M1440" s="15"/>
      <c r="N1440" s="15">
        <f t="shared" si="739"/>
        <v>0</v>
      </c>
    </row>
    <row r="1441" spans="1:14" x14ac:dyDescent="0.4">
      <c r="A1441" s="11" t="s">
        <v>5</v>
      </c>
      <c r="B1441" s="40"/>
      <c r="C1441" s="40"/>
      <c r="D1441" s="40"/>
      <c r="E1441" s="40"/>
      <c r="F1441" s="13"/>
      <c r="G1441" s="11"/>
      <c r="H1441" s="17"/>
      <c r="I1441" s="13"/>
      <c r="J1441" s="16"/>
      <c r="K1441" s="13"/>
      <c r="L1441" s="15">
        <f t="shared" si="740"/>
        <v>1</v>
      </c>
      <c r="M1441" s="15"/>
      <c r="N1441" s="15">
        <f t="shared" si="739"/>
        <v>0</v>
      </c>
    </row>
    <row r="1442" spans="1:14" x14ac:dyDescent="0.4">
      <c r="A1442" s="11" t="s">
        <v>6</v>
      </c>
      <c r="B1442" s="41">
        <f t="shared" ref="B1442:I1444" ca="1" si="741">OFFSET(B1442,-3,0)</f>
        <v>0</v>
      </c>
      <c r="C1442" s="41"/>
      <c r="D1442" s="41"/>
      <c r="E1442" s="41"/>
      <c r="F1442" s="19">
        <f t="shared" ca="1" si="741"/>
        <v>0</v>
      </c>
      <c r="G1442" s="20">
        <f t="shared" ca="1" si="741"/>
        <v>0</v>
      </c>
      <c r="H1442" s="20">
        <f t="shared" ca="1" si="741"/>
        <v>0</v>
      </c>
      <c r="I1442" s="13">
        <f t="shared" ca="1" si="741"/>
        <v>0</v>
      </c>
      <c r="J1442" s="16"/>
      <c r="K1442" s="19">
        <f t="shared" ref="K1442:K1444" ca="1" si="742">OFFSET(K1442,-3,0)</f>
        <v>0</v>
      </c>
      <c r="L1442" s="15">
        <f t="shared" ca="1" si="740"/>
        <v>1</v>
      </c>
      <c r="M1442" s="15"/>
      <c r="N1442" s="15">
        <f t="shared" ca="1" si="739"/>
        <v>0</v>
      </c>
    </row>
    <row r="1443" spans="1:14" x14ac:dyDescent="0.4">
      <c r="A1443" s="11" t="s">
        <v>6</v>
      </c>
      <c r="B1443" s="41">
        <f t="shared" ca="1" si="741"/>
        <v>0</v>
      </c>
      <c r="C1443" s="41"/>
      <c r="D1443" s="41"/>
      <c r="E1443" s="41"/>
      <c r="F1443" s="19">
        <f t="shared" ca="1" si="741"/>
        <v>0</v>
      </c>
      <c r="G1443" s="20">
        <f t="shared" ca="1" si="741"/>
        <v>0</v>
      </c>
      <c r="H1443" s="20">
        <f t="shared" ca="1" si="741"/>
        <v>0</v>
      </c>
      <c r="I1443" s="13">
        <f t="shared" ca="1" si="741"/>
        <v>0</v>
      </c>
      <c r="J1443" s="16"/>
      <c r="K1443" s="19">
        <f t="shared" ca="1" si="742"/>
        <v>0</v>
      </c>
      <c r="L1443" s="15">
        <f t="shared" ca="1" si="740"/>
        <v>1</v>
      </c>
      <c r="M1443" s="15"/>
      <c r="N1443" s="15">
        <f t="shared" ca="1" si="739"/>
        <v>0</v>
      </c>
    </row>
    <row r="1444" spans="1:14" x14ac:dyDescent="0.4">
      <c r="A1444" s="11" t="s">
        <v>6</v>
      </c>
      <c r="B1444" s="41">
        <f t="shared" ca="1" si="741"/>
        <v>0</v>
      </c>
      <c r="C1444" s="41"/>
      <c r="D1444" s="41"/>
      <c r="E1444" s="41"/>
      <c r="F1444" s="19">
        <f t="shared" ca="1" si="741"/>
        <v>0</v>
      </c>
      <c r="G1444" s="20">
        <f t="shared" ca="1" si="741"/>
        <v>0</v>
      </c>
      <c r="H1444" s="20">
        <f t="shared" ca="1" si="741"/>
        <v>0</v>
      </c>
      <c r="I1444" s="13">
        <f t="shared" ca="1" si="741"/>
        <v>0</v>
      </c>
      <c r="J1444" s="16"/>
      <c r="K1444" s="19">
        <f t="shared" ca="1" si="742"/>
        <v>0</v>
      </c>
      <c r="L1444" s="15">
        <f t="shared" ca="1" si="740"/>
        <v>1</v>
      </c>
      <c r="M1444" s="15"/>
      <c r="N1444" s="15">
        <f t="shared" ca="1" si="739"/>
        <v>0</v>
      </c>
    </row>
    <row r="1445" spans="1:14" x14ac:dyDescent="0.4">
      <c r="A1445" s="11" t="s">
        <v>57</v>
      </c>
      <c r="B1445" s="40">
        <f t="shared" ref="B1445:I1447" ca="1" si="743">OFFSET(B1445,-6,0)</f>
        <v>0</v>
      </c>
      <c r="C1445" s="40"/>
      <c r="D1445" s="40"/>
      <c r="E1445" s="40"/>
      <c r="F1445" s="13">
        <f t="shared" ca="1" si="743"/>
        <v>0</v>
      </c>
      <c r="G1445" s="17">
        <f t="shared" ca="1" si="743"/>
        <v>0</v>
      </c>
      <c r="H1445" s="17">
        <f t="shared" ca="1" si="743"/>
        <v>0</v>
      </c>
      <c r="I1445" s="13">
        <f t="shared" ca="1" si="743"/>
        <v>0</v>
      </c>
      <c r="J1445" s="16"/>
      <c r="K1445" s="13">
        <f t="shared" ref="K1445:K1447" ca="1" si="744">OFFSET(K1445,-6,0)</f>
        <v>0</v>
      </c>
      <c r="L1445" s="15">
        <f t="shared" ca="1" si="740"/>
        <v>1</v>
      </c>
      <c r="M1445" s="15"/>
      <c r="N1445" s="15">
        <f t="shared" ca="1" si="739"/>
        <v>0</v>
      </c>
    </row>
    <row r="1446" spans="1:14" x14ac:dyDescent="0.4">
      <c r="A1446" s="11" t="s">
        <v>57</v>
      </c>
      <c r="B1446" s="40">
        <f t="shared" ca="1" si="743"/>
        <v>0</v>
      </c>
      <c r="C1446" s="40"/>
      <c r="D1446" s="40"/>
      <c r="E1446" s="40"/>
      <c r="F1446" s="13">
        <f t="shared" ca="1" si="743"/>
        <v>0</v>
      </c>
      <c r="G1446" s="17">
        <f t="shared" ca="1" si="743"/>
        <v>0</v>
      </c>
      <c r="H1446" s="17">
        <f t="shared" ca="1" si="743"/>
        <v>0</v>
      </c>
      <c r="I1446" s="13">
        <f t="shared" ca="1" si="743"/>
        <v>0</v>
      </c>
      <c r="J1446" s="16"/>
      <c r="K1446" s="13">
        <f t="shared" ca="1" si="744"/>
        <v>0</v>
      </c>
      <c r="L1446" s="15">
        <f t="shared" ca="1" si="740"/>
        <v>1</v>
      </c>
      <c r="M1446" s="15"/>
      <c r="N1446" s="15">
        <f t="shared" ca="1" si="739"/>
        <v>0</v>
      </c>
    </row>
    <row r="1447" spans="1:14" x14ac:dyDescent="0.4">
      <c r="A1447" s="11" t="s">
        <v>57</v>
      </c>
      <c r="B1447" s="40">
        <f t="shared" ca="1" si="743"/>
        <v>0</v>
      </c>
      <c r="C1447" s="40"/>
      <c r="D1447" s="40"/>
      <c r="E1447" s="40"/>
      <c r="F1447" s="13">
        <f t="shared" ca="1" si="743"/>
        <v>0</v>
      </c>
      <c r="G1447" s="17">
        <f t="shared" ca="1" si="743"/>
        <v>0</v>
      </c>
      <c r="H1447" s="17">
        <f t="shared" ca="1" si="743"/>
        <v>0</v>
      </c>
      <c r="I1447" s="13">
        <f t="shared" ca="1" si="743"/>
        <v>0</v>
      </c>
      <c r="J1447" s="16"/>
      <c r="K1447" s="13">
        <f t="shared" ca="1" si="744"/>
        <v>0</v>
      </c>
      <c r="L1447" s="15">
        <f t="shared" ca="1" si="740"/>
        <v>1</v>
      </c>
      <c r="M1447" s="15"/>
      <c r="N1447" s="15">
        <f t="shared" ca="1" si="739"/>
        <v>0</v>
      </c>
    </row>
    <row r="1448" spans="1:14" x14ac:dyDescent="0.4">
      <c r="A1448" s="11" t="s">
        <v>7</v>
      </c>
      <c r="B1448" s="40">
        <f t="shared" ref="B1448:I1450" ca="1" si="745">OFFSET(B1448,-9,0)</f>
        <v>0</v>
      </c>
      <c r="C1448" s="40"/>
      <c r="D1448" s="40"/>
      <c r="E1448" s="40"/>
      <c r="F1448" s="13">
        <f t="shared" ca="1" si="745"/>
        <v>0</v>
      </c>
      <c r="G1448" s="17">
        <f t="shared" ca="1" si="745"/>
        <v>0</v>
      </c>
      <c r="H1448" s="17">
        <f t="shared" ca="1" si="745"/>
        <v>0</v>
      </c>
      <c r="I1448" s="13">
        <f t="shared" ca="1" si="745"/>
        <v>0</v>
      </c>
      <c r="J1448" s="16"/>
      <c r="K1448" s="13">
        <f t="shared" ref="K1448:K1450" ca="1" si="746">OFFSET(K1448,-9,0)</f>
        <v>0</v>
      </c>
      <c r="L1448" s="15">
        <f t="shared" ca="1" si="740"/>
        <v>1</v>
      </c>
      <c r="M1448" s="15"/>
      <c r="N1448" s="15">
        <f t="shared" ca="1" si="739"/>
        <v>0</v>
      </c>
    </row>
    <row r="1449" spans="1:14" x14ac:dyDescent="0.4">
      <c r="A1449" s="11" t="s">
        <v>7</v>
      </c>
      <c r="B1449" s="40">
        <f t="shared" ca="1" si="745"/>
        <v>0</v>
      </c>
      <c r="C1449" s="40"/>
      <c r="D1449" s="40"/>
      <c r="E1449" s="40"/>
      <c r="F1449" s="13">
        <f t="shared" ca="1" si="745"/>
        <v>0</v>
      </c>
      <c r="G1449" s="17">
        <f t="shared" ca="1" si="745"/>
        <v>0</v>
      </c>
      <c r="H1449" s="17">
        <f t="shared" ca="1" si="745"/>
        <v>0</v>
      </c>
      <c r="I1449" s="13">
        <f t="shared" ca="1" si="745"/>
        <v>0</v>
      </c>
      <c r="J1449" s="16"/>
      <c r="K1449" s="13">
        <f t="shared" ca="1" si="746"/>
        <v>0</v>
      </c>
      <c r="L1449" s="15">
        <f t="shared" ca="1" si="740"/>
        <v>1</v>
      </c>
      <c r="M1449" s="15"/>
      <c r="N1449" s="15">
        <f t="shared" ca="1" si="739"/>
        <v>0</v>
      </c>
    </row>
    <row r="1450" spans="1:14" x14ac:dyDescent="0.4">
      <c r="A1450" s="11" t="s">
        <v>7</v>
      </c>
      <c r="B1450" s="40">
        <f t="shared" ca="1" si="745"/>
        <v>0</v>
      </c>
      <c r="C1450" s="40"/>
      <c r="D1450" s="40"/>
      <c r="E1450" s="40"/>
      <c r="F1450" s="13">
        <f t="shared" ca="1" si="745"/>
        <v>0</v>
      </c>
      <c r="G1450" s="17">
        <f t="shared" ca="1" si="745"/>
        <v>0</v>
      </c>
      <c r="H1450" s="17">
        <f t="shared" ca="1" si="745"/>
        <v>0</v>
      </c>
      <c r="I1450" s="13">
        <f t="shared" ca="1" si="745"/>
        <v>0</v>
      </c>
      <c r="J1450" s="16"/>
      <c r="K1450" s="13">
        <f t="shared" ca="1" si="746"/>
        <v>0</v>
      </c>
      <c r="L1450" s="15">
        <f t="shared" ca="1" si="740"/>
        <v>1</v>
      </c>
      <c r="M1450" s="15"/>
      <c r="N1450" s="15">
        <f t="shared" ca="1" si="739"/>
        <v>0</v>
      </c>
    </row>
    <row r="1451" spans="1:14" x14ac:dyDescent="0.4">
      <c r="A1451" s="11" t="s">
        <v>8</v>
      </c>
      <c r="B1451" s="40">
        <f t="shared" ref="B1451:I1453" ca="1" si="747">OFFSET(B1451,-12,0)</f>
        <v>0</v>
      </c>
      <c r="C1451" s="40"/>
      <c r="D1451" s="40"/>
      <c r="E1451" s="40"/>
      <c r="F1451" s="13">
        <f t="shared" ca="1" si="747"/>
        <v>0</v>
      </c>
      <c r="G1451" s="17">
        <f t="shared" ca="1" si="747"/>
        <v>0</v>
      </c>
      <c r="H1451" s="17">
        <f t="shared" ca="1" si="747"/>
        <v>0</v>
      </c>
      <c r="I1451" s="13">
        <f t="shared" ca="1" si="747"/>
        <v>0</v>
      </c>
      <c r="J1451" s="16"/>
      <c r="K1451" s="13">
        <f t="shared" ref="K1451:K1453" ca="1" si="748">OFFSET(K1451,-12,0)</f>
        <v>0</v>
      </c>
      <c r="L1451" s="15">
        <f t="shared" ca="1" si="740"/>
        <v>1</v>
      </c>
      <c r="M1451" s="15"/>
      <c r="N1451" s="15">
        <f t="shared" ca="1" si="739"/>
        <v>0</v>
      </c>
    </row>
    <row r="1452" spans="1:14" x14ac:dyDescent="0.4">
      <c r="A1452" s="11" t="s">
        <v>8</v>
      </c>
      <c r="B1452" s="40">
        <f t="shared" ca="1" si="747"/>
        <v>0</v>
      </c>
      <c r="C1452" s="40"/>
      <c r="D1452" s="40"/>
      <c r="E1452" s="40"/>
      <c r="F1452" s="13">
        <f t="shared" ca="1" si="747"/>
        <v>0</v>
      </c>
      <c r="G1452" s="17">
        <f t="shared" ca="1" si="747"/>
        <v>0</v>
      </c>
      <c r="H1452" s="17">
        <f t="shared" ca="1" si="747"/>
        <v>0</v>
      </c>
      <c r="I1452" s="13">
        <f t="shared" ca="1" si="747"/>
        <v>0</v>
      </c>
      <c r="J1452" s="16"/>
      <c r="K1452" s="13">
        <f t="shared" ca="1" si="748"/>
        <v>0</v>
      </c>
      <c r="L1452" s="15">
        <f t="shared" ca="1" si="740"/>
        <v>1</v>
      </c>
      <c r="M1452" s="15"/>
      <c r="N1452" s="15">
        <f t="shared" ca="1" si="739"/>
        <v>0</v>
      </c>
    </row>
    <row r="1453" spans="1:14" x14ac:dyDescent="0.4">
      <c r="A1453" s="11" t="s">
        <v>8</v>
      </c>
      <c r="B1453" s="40">
        <f t="shared" ca="1" si="747"/>
        <v>0</v>
      </c>
      <c r="C1453" s="40"/>
      <c r="D1453" s="40"/>
      <c r="E1453" s="40"/>
      <c r="F1453" s="13">
        <f t="shared" ca="1" si="747"/>
        <v>0</v>
      </c>
      <c r="G1453" s="17">
        <f t="shared" ca="1" si="747"/>
        <v>0</v>
      </c>
      <c r="H1453" s="17">
        <f t="shared" ca="1" si="747"/>
        <v>0</v>
      </c>
      <c r="I1453" s="13">
        <f t="shared" ca="1" si="747"/>
        <v>0</v>
      </c>
      <c r="J1453" s="16"/>
      <c r="K1453" s="13">
        <f t="shared" ca="1" si="748"/>
        <v>0</v>
      </c>
      <c r="L1453" s="15">
        <f t="shared" ca="1" si="740"/>
        <v>1</v>
      </c>
      <c r="M1453" s="15"/>
      <c r="N1453" s="15">
        <f t="shared" ca="1" si="739"/>
        <v>0</v>
      </c>
    </row>
    <row r="1454" spans="1:14" x14ac:dyDescent="0.4">
      <c r="A1454" s="11" t="s">
        <v>9</v>
      </c>
      <c r="B1454" s="41">
        <f t="shared" ref="B1454:I1456" ca="1" si="749">OFFSET(B1454,-15,0)</f>
        <v>0</v>
      </c>
      <c r="C1454" s="41"/>
      <c r="D1454" s="41"/>
      <c r="E1454" s="41"/>
      <c r="F1454" s="19">
        <f t="shared" ca="1" si="749"/>
        <v>0</v>
      </c>
      <c r="G1454" s="20">
        <f t="shared" ca="1" si="749"/>
        <v>0</v>
      </c>
      <c r="H1454" s="20">
        <f t="shared" ca="1" si="749"/>
        <v>0</v>
      </c>
      <c r="I1454" s="13">
        <f t="shared" ca="1" si="749"/>
        <v>0</v>
      </c>
      <c r="J1454" s="16"/>
      <c r="K1454" s="19">
        <f t="shared" ref="K1454:K1456" ca="1" si="750">OFFSET(K1454,-15,0)</f>
        <v>0</v>
      </c>
      <c r="L1454" s="15">
        <f t="shared" ca="1" si="740"/>
        <v>1</v>
      </c>
      <c r="M1454" s="15"/>
      <c r="N1454" s="15">
        <f t="shared" ca="1" si="739"/>
        <v>0</v>
      </c>
    </row>
    <row r="1455" spans="1:14" x14ac:dyDescent="0.4">
      <c r="A1455" s="11" t="s">
        <v>9</v>
      </c>
      <c r="B1455" s="41">
        <f t="shared" ca="1" si="749"/>
        <v>0</v>
      </c>
      <c r="C1455" s="41"/>
      <c r="D1455" s="41"/>
      <c r="E1455" s="41"/>
      <c r="F1455" s="19">
        <f t="shared" ca="1" si="749"/>
        <v>0</v>
      </c>
      <c r="G1455" s="20">
        <f t="shared" ca="1" si="749"/>
        <v>0</v>
      </c>
      <c r="H1455" s="20">
        <f t="shared" ca="1" si="749"/>
        <v>0</v>
      </c>
      <c r="I1455" s="13">
        <f t="shared" ca="1" si="749"/>
        <v>0</v>
      </c>
      <c r="J1455" s="16"/>
      <c r="K1455" s="19">
        <f t="shared" ca="1" si="750"/>
        <v>0</v>
      </c>
      <c r="L1455" s="15">
        <f t="shared" ca="1" si="740"/>
        <v>1</v>
      </c>
      <c r="M1455" s="15"/>
      <c r="N1455" s="15">
        <f t="shared" ca="1" si="739"/>
        <v>0</v>
      </c>
    </row>
    <row r="1456" spans="1:14" x14ac:dyDescent="0.4">
      <c r="A1456" s="11" t="s">
        <v>9</v>
      </c>
      <c r="B1456" s="41">
        <f t="shared" ca="1" si="749"/>
        <v>0</v>
      </c>
      <c r="C1456" s="41"/>
      <c r="D1456" s="41"/>
      <c r="E1456" s="41"/>
      <c r="F1456" s="19">
        <f t="shared" ca="1" si="749"/>
        <v>0</v>
      </c>
      <c r="G1456" s="20">
        <f t="shared" ca="1" si="749"/>
        <v>0</v>
      </c>
      <c r="H1456" s="20">
        <f t="shared" ca="1" si="749"/>
        <v>0</v>
      </c>
      <c r="I1456" s="13">
        <f t="shared" ca="1" si="749"/>
        <v>0</v>
      </c>
      <c r="J1456" s="16"/>
      <c r="K1456" s="19">
        <f t="shared" ca="1" si="750"/>
        <v>0</v>
      </c>
      <c r="L1456" s="15">
        <f t="shared" ca="1" si="740"/>
        <v>1</v>
      </c>
      <c r="M1456" s="15"/>
      <c r="N1456" s="15">
        <f t="shared" ca="1" si="739"/>
        <v>0</v>
      </c>
    </row>
    <row r="1457" spans="1:14" ht="17.399999999999999" x14ac:dyDescent="0.4">
      <c r="A1457" s="77" t="s">
        <v>27</v>
      </c>
      <c r="B1457" s="75"/>
      <c r="C1457" s="75"/>
      <c r="D1457" s="75"/>
      <c r="E1457" s="75"/>
      <c r="F1457" s="75"/>
      <c r="G1457" s="75"/>
      <c r="H1457" s="75"/>
      <c r="I1457" s="75"/>
      <c r="J1457" s="75"/>
      <c r="K1457" s="75"/>
      <c r="L1457" s="75"/>
      <c r="M1457" s="75"/>
      <c r="N1457" s="76"/>
    </row>
    <row r="1458" spans="1:14" x14ac:dyDescent="0.4">
      <c r="A1458" s="11" t="s">
        <v>5</v>
      </c>
      <c r="B1458" s="40"/>
      <c r="C1458" s="40"/>
      <c r="D1458" s="40"/>
      <c r="E1458" s="40"/>
      <c r="F1458" s="13"/>
      <c r="G1458" s="11"/>
      <c r="H1458" s="17"/>
      <c r="I1458" s="13"/>
      <c r="J1458" s="16"/>
      <c r="K1458" s="13"/>
      <c r="L1458" s="15">
        <f>ROUND((10^(K1458/10))/(10^(I1458/10)),3)</f>
        <v>1</v>
      </c>
      <c r="M1458" s="15"/>
      <c r="N1458" s="15">
        <f t="shared" ref="N1458:N1475" si="751">J1458*L1458</f>
        <v>0</v>
      </c>
    </row>
    <row r="1459" spans="1:14" x14ac:dyDescent="0.4">
      <c r="A1459" s="11" t="s">
        <v>5</v>
      </c>
      <c r="B1459" s="40"/>
      <c r="C1459" s="40"/>
      <c r="D1459" s="40"/>
      <c r="E1459" s="40"/>
      <c r="F1459" s="13"/>
      <c r="G1459" s="11"/>
      <c r="H1459" s="17"/>
      <c r="I1459" s="13"/>
      <c r="J1459" s="16"/>
      <c r="K1459" s="13"/>
      <c r="L1459" s="15">
        <f t="shared" ref="L1459:L1475" si="752">ROUND((10^(K1459/10))/(10^(I1459/10)),3)</f>
        <v>1</v>
      </c>
      <c r="M1459" s="15"/>
      <c r="N1459" s="15">
        <f t="shared" si="751"/>
        <v>0</v>
      </c>
    </row>
    <row r="1460" spans="1:14" x14ac:dyDescent="0.4">
      <c r="A1460" s="11" t="s">
        <v>5</v>
      </c>
      <c r="B1460" s="40"/>
      <c r="C1460" s="40"/>
      <c r="D1460" s="40"/>
      <c r="E1460" s="40"/>
      <c r="F1460" s="13"/>
      <c r="G1460" s="11"/>
      <c r="H1460" s="17"/>
      <c r="I1460" s="13"/>
      <c r="J1460" s="16"/>
      <c r="K1460" s="13"/>
      <c r="L1460" s="15">
        <f t="shared" si="752"/>
        <v>1</v>
      </c>
      <c r="M1460" s="15"/>
      <c r="N1460" s="15">
        <f t="shared" si="751"/>
        <v>0</v>
      </c>
    </row>
    <row r="1461" spans="1:14" x14ac:dyDescent="0.4">
      <c r="A1461" s="11" t="s">
        <v>6</v>
      </c>
      <c r="B1461" s="41">
        <f t="shared" ref="B1461:I1463" ca="1" si="753">OFFSET(B1461,-3,0)</f>
        <v>0</v>
      </c>
      <c r="C1461" s="41"/>
      <c r="D1461" s="41"/>
      <c r="E1461" s="41"/>
      <c r="F1461" s="19">
        <f t="shared" ca="1" si="753"/>
        <v>0</v>
      </c>
      <c r="G1461" s="20">
        <f t="shared" ca="1" si="753"/>
        <v>0</v>
      </c>
      <c r="H1461" s="20">
        <f t="shared" ca="1" si="753"/>
        <v>0</v>
      </c>
      <c r="I1461" s="13">
        <f t="shared" ca="1" si="753"/>
        <v>0</v>
      </c>
      <c r="J1461" s="16"/>
      <c r="K1461" s="19">
        <f t="shared" ref="K1461:K1463" ca="1" si="754">OFFSET(K1461,-3,0)</f>
        <v>0</v>
      </c>
      <c r="L1461" s="15">
        <f t="shared" ca="1" si="752"/>
        <v>1</v>
      </c>
      <c r="M1461" s="15"/>
      <c r="N1461" s="15">
        <f t="shared" ca="1" si="751"/>
        <v>0</v>
      </c>
    </row>
    <row r="1462" spans="1:14" x14ac:dyDescent="0.4">
      <c r="A1462" s="11" t="s">
        <v>6</v>
      </c>
      <c r="B1462" s="41">
        <f t="shared" ca="1" si="753"/>
        <v>0</v>
      </c>
      <c r="C1462" s="41"/>
      <c r="D1462" s="41"/>
      <c r="E1462" s="41"/>
      <c r="F1462" s="19">
        <f t="shared" ca="1" si="753"/>
        <v>0</v>
      </c>
      <c r="G1462" s="20">
        <f t="shared" ca="1" si="753"/>
        <v>0</v>
      </c>
      <c r="H1462" s="20">
        <f t="shared" ca="1" si="753"/>
        <v>0</v>
      </c>
      <c r="I1462" s="13">
        <f t="shared" ca="1" si="753"/>
        <v>0</v>
      </c>
      <c r="J1462" s="16"/>
      <c r="K1462" s="19">
        <f t="shared" ca="1" si="754"/>
        <v>0</v>
      </c>
      <c r="L1462" s="15">
        <f t="shared" ca="1" si="752"/>
        <v>1</v>
      </c>
      <c r="M1462" s="15"/>
      <c r="N1462" s="15">
        <f t="shared" ca="1" si="751"/>
        <v>0</v>
      </c>
    </row>
    <row r="1463" spans="1:14" x14ac:dyDescent="0.4">
      <c r="A1463" s="11" t="s">
        <v>6</v>
      </c>
      <c r="B1463" s="41">
        <f t="shared" ca="1" si="753"/>
        <v>0</v>
      </c>
      <c r="C1463" s="41"/>
      <c r="D1463" s="41"/>
      <c r="E1463" s="41"/>
      <c r="F1463" s="19">
        <f t="shared" ca="1" si="753"/>
        <v>0</v>
      </c>
      <c r="G1463" s="20">
        <f t="shared" ca="1" si="753"/>
        <v>0</v>
      </c>
      <c r="H1463" s="20">
        <f t="shared" ca="1" si="753"/>
        <v>0</v>
      </c>
      <c r="I1463" s="13">
        <f t="shared" ca="1" si="753"/>
        <v>0</v>
      </c>
      <c r="J1463" s="16"/>
      <c r="K1463" s="19">
        <f t="shared" ca="1" si="754"/>
        <v>0</v>
      </c>
      <c r="L1463" s="15">
        <f t="shared" ca="1" si="752"/>
        <v>1</v>
      </c>
      <c r="M1463" s="15"/>
      <c r="N1463" s="15">
        <f t="shared" ca="1" si="751"/>
        <v>0</v>
      </c>
    </row>
    <row r="1464" spans="1:14" x14ac:dyDescent="0.4">
      <c r="A1464" s="11" t="s">
        <v>57</v>
      </c>
      <c r="B1464" s="40">
        <f t="shared" ref="B1464:I1466" ca="1" si="755">OFFSET(B1464,-6,0)</f>
        <v>0</v>
      </c>
      <c r="C1464" s="40"/>
      <c r="D1464" s="40"/>
      <c r="E1464" s="40"/>
      <c r="F1464" s="13">
        <f t="shared" ca="1" si="755"/>
        <v>0</v>
      </c>
      <c r="G1464" s="17">
        <f t="shared" ca="1" si="755"/>
        <v>0</v>
      </c>
      <c r="H1464" s="17">
        <f t="shared" ca="1" si="755"/>
        <v>0</v>
      </c>
      <c r="I1464" s="13">
        <f t="shared" ca="1" si="755"/>
        <v>0</v>
      </c>
      <c r="J1464" s="16"/>
      <c r="K1464" s="13">
        <f t="shared" ref="K1464:K1466" ca="1" si="756">OFFSET(K1464,-6,0)</f>
        <v>0</v>
      </c>
      <c r="L1464" s="15">
        <f t="shared" ca="1" si="752"/>
        <v>1</v>
      </c>
      <c r="M1464" s="15"/>
      <c r="N1464" s="15">
        <f t="shared" ca="1" si="751"/>
        <v>0</v>
      </c>
    </row>
    <row r="1465" spans="1:14" x14ac:dyDescent="0.4">
      <c r="A1465" s="11" t="s">
        <v>57</v>
      </c>
      <c r="B1465" s="40">
        <f t="shared" ca="1" si="755"/>
        <v>0</v>
      </c>
      <c r="C1465" s="40"/>
      <c r="D1465" s="40"/>
      <c r="E1465" s="40"/>
      <c r="F1465" s="13">
        <f t="shared" ca="1" si="755"/>
        <v>0</v>
      </c>
      <c r="G1465" s="17">
        <f t="shared" ca="1" si="755"/>
        <v>0</v>
      </c>
      <c r="H1465" s="17">
        <f t="shared" ca="1" si="755"/>
        <v>0</v>
      </c>
      <c r="I1465" s="13">
        <f t="shared" ca="1" si="755"/>
        <v>0</v>
      </c>
      <c r="J1465" s="16"/>
      <c r="K1465" s="13">
        <f t="shared" ca="1" si="756"/>
        <v>0</v>
      </c>
      <c r="L1465" s="15">
        <f t="shared" ca="1" si="752"/>
        <v>1</v>
      </c>
      <c r="M1465" s="15"/>
      <c r="N1465" s="15">
        <f t="shared" ca="1" si="751"/>
        <v>0</v>
      </c>
    </row>
    <row r="1466" spans="1:14" x14ac:dyDescent="0.4">
      <c r="A1466" s="11" t="s">
        <v>57</v>
      </c>
      <c r="B1466" s="40">
        <f t="shared" ca="1" si="755"/>
        <v>0</v>
      </c>
      <c r="C1466" s="40"/>
      <c r="D1466" s="40"/>
      <c r="E1466" s="40"/>
      <c r="F1466" s="13">
        <f t="shared" ca="1" si="755"/>
        <v>0</v>
      </c>
      <c r="G1466" s="17">
        <f t="shared" ca="1" si="755"/>
        <v>0</v>
      </c>
      <c r="H1466" s="17">
        <f t="shared" ca="1" si="755"/>
        <v>0</v>
      </c>
      <c r="I1466" s="13">
        <f t="shared" ca="1" si="755"/>
        <v>0</v>
      </c>
      <c r="J1466" s="16"/>
      <c r="K1466" s="13">
        <f t="shared" ca="1" si="756"/>
        <v>0</v>
      </c>
      <c r="L1466" s="15">
        <f t="shared" ca="1" si="752"/>
        <v>1</v>
      </c>
      <c r="M1466" s="15"/>
      <c r="N1466" s="15">
        <f t="shared" ca="1" si="751"/>
        <v>0</v>
      </c>
    </row>
    <row r="1467" spans="1:14" x14ac:dyDescent="0.4">
      <c r="A1467" s="11" t="s">
        <v>7</v>
      </c>
      <c r="B1467" s="40">
        <f t="shared" ref="B1467:I1469" ca="1" si="757">OFFSET(B1467,-9,0)</f>
        <v>0</v>
      </c>
      <c r="C1467" s="40"/>
      <c r="D1467" s="40"/>
      <c r="E1467" s="40"/>
      <c r="F1467" s="13">
        <f t="shared" ca="1" si="757"/>
        <v>0</v>
      </c>
      <c r="G1467" s="17">
        <f t="shared" ca="1" si="757"/>
        <v>0</v>
      </c>
      <c r="H1467" s="17">
        <f t="shared" ca="1" si="757"/>
        <v>0</v>
      </c>
      <c r="I1467" s="13">
        <f t="shared" ca="1" si="757"/>
        <v>0</v>
      </c>
      <c r="J1467" s="16"/>
      <c r="K1467" s="13">
        <f t="shared" ref="K1467:K1469" ca="1" si="758">OFFSET(K1467,-9,0)</f>
        <v>0</v>
      </c>
      <c r="L1467" s="15">
        <f t="shared" ca="1" si="752"/>
        <v>1</v>
      </c>
      <c r="M1467" s="15"/>
      <c r="N1467" s="15">
        <f t="shared" ca="1" si="751"/>
        <v>0</v>
      </c>
    </row>
    <row r="1468" spans="1:14" x14ac:dyDescent="0.4">
      <c r="A1468" s="11" t="s">
        <v>7</v>
      </c>
      <c r="B1468" s="40">
        <f t="shared" ca="1" si="757"/>
        <v>0</v>
      </c>
      <c r="C1468" s="40"/>
      <c r="D1468" s="40"/>
      <c r="E1468" s="40"/>
      <c r="F1468" s="13">
        <f t="shared" ca="1" si="757"/>
        <v>0</v>
      </c>
      <c r="G1468" s="17">
        <f t="shared" ca="1" si="757"/>
        <v>0</v>
      </c>
      <c r="H1468" s="17">
        <f t="shared" ca="1" si="757"/>
        <v>0</v>
      </c>
      <c r="I1468" s="13">
        <f t="shared" ca="1" si="757"/>
        <v>0</v>
      </c>
      <c r="J1468" s="16"/>
      <c r="K1468" s="13">
        <f t="shared" ca="1" si="758"/>
        <v>0</v>
      </c>
      <c r="L1468" s="15">
        <f t="shared" ca="1" si="752"/>
        <v>1</v>
      </c>
      <c r="M1468" s="15"/>
      <c r="N1468" s="15">
        <f t="shared" ca="1" si="751"/>
        <v>0</v>
      </c>
    </row>
    <row r="1469" spans="1:14" x14ac:dyDescent="0.4">
      <c r="A1469" s="11" t="s">
        <v>7</v>
      </c>
      <c r="B1469" s="40">
        <f t="shared" ca="1" si="757"/>
        <v>0</v>
      </c>
      <c r="C1469" s="40"/>
      <c r="D1469" s="40"/>
      <c r="E1469" s="40"/>
      <c r="F1469" s="13">
        <f t="shared" ca="1" si="757"/>
        <v>0</v>
      </c>
      <c r="G1469" s="17">
        <f t="shared" ca="1" si="757"/>
        <v>0</v>
      </c>
      <c r="H1469" s="17">
        <f t="shared" ca="1" si="757"/>
        <v>0</v>
      </c>
      <c r="I1469" s="13">
        <f t="shared" ca="1" si="757"/>
        <v>0</v>
      </c>
      <c r="J1469" s="16"/>
      <c r="K1469" s="13">
        <f t="shared" ca="1" si="758"/>
        <v>0</v>
      </c>
      <c r="L1469" s="15">
        <f t="shared" ca="1" si="752"/>
        <v>1</v>
      </c>
      <c r="M1469" s="15"/>
      <c r="N1469" s="15">
        <f t="shared" ca="1" si="751"/>
        <v>0</v>
      </c>
    </row>
    <row r="1470" spans="1:14" x14ac:dyDescent="0.4">
      <c r="A1470" s="11" t="s">
        <v>8</v>
      </c>
      <c r="B1470" s="40">
        <f t="shared" ref="B1470:I1472" ca="1" si="759">OFFSET(B1470,-12,0)</f>
        <v>0</v>
      </c>
      <c r="C1470" s="40"/>
      <c r="D1470" s="40"/>
      <c r="E1470" s="40"/>
      <c r="F1470" s="13">
        <f t="shared" ca="1" si="759"/>
        <v>0</v>
      </c>
      <c r="G1470" s="17">
        <f t="shared" ca="1" si="759"/>
        <v>0</v>
      </c>
      <c r="H1470" s="17">
        <f t="shared" ca="1" si="759"/>
        <v>0</v>
      </c>
      <c r="I1470" s="13">
        <f t="shared" ca="1" si="759"/>
        <v>0</v>
      </c>
      <c r="J1470" s="16"/>
      <c r="K1470" s="13">
        <f t="shared" ref="K1470:K1472" ca="1" si="760">OFFSET(K1470,-12,0)</f>
        <v>0</v>
      </c>
      <c r="L1470" s="15">
        <f t="shared" ca="1" si="752"/>
        <v>1</v>
      </c>
      <c r="M1470" s="15"/>
      <c r="N1470" s="15">
        <f t="shared" ca="1" si="751"/>
        <v>0</v>
      </c>
    </row>
    <row r="1471" spans="1:14" x14ac:dyDescent="0.4">
      <c r="A1471" s="11" t="s">
        <v>8</v>
      </c>
      <c r="B1471" s="40">
        <f t="shared" ca="1" si="759"/>
        <v>0</v>
      </c>
      <c r="C1471" s="40"/>
      <c r="D1471" s="40"/>
      <c r="E1471" s="40"/>
      <c r="F1471" s="13">
        <f t="shared" ca="1" si="759"/>
        <v>0</v>
      </c>
      <c r="G1471" s="17">
        <f t="shared" ca="1" si="759"/>
        <v>0</v>
      </c>
      <c r="H1471" s="17">
        <f t="shared" ca="1" si="759"/>
        <v>0</v>
      </c>
      <c r="I1471" s="13">
        <f t="shared" ca="1" si="759"/>
        <v>0</v>
      </c>
      <c r="J1471" s="16"/>
      <c r="K1471" s="13">
        <f t="shared" ca="1" si="760"/>
        <v>0</v>
      </c>
      <c r="L1471" s="15">
        <f t="shared" ca="1" si="752"/>
        <v>1</v>
      </c>
      <c r="M1471" s="15"/>
      <c r="N1471" s="15">
        <f t="shared" ca="1" si="751"/>
        <v>0</v>
      </c>
    </row>
    <row r="1472" spans="1:14" x14ac:dyDescent="0.4">
      <c r="A1472" s="11" t="s">
        <v>8</v>
      </c>
      <c r="B1472" s="40">
        <f t="shared" ca="1" si="759"/>
        <v>0</v>
      </c>
      <c r="C1472" s="40"/>
      <c r="D1472" s="40"/>
      <c r="E1472" s="40"/>
      <c r="F1472" s="13">
        <f t="shared" ca="1" si="759"/>
        <v>0</v>
      </c>
      <c r="G1472" s="17">
        <f t="shared" ca="1" si="759"/>
        <v>0</v>
      </c>
      <c r="H1472" s="17">
        <f t="shared" ca="1" si="759"/>
        <v>0</v>
      </c>
      <c r="I1472" s="13">
        <f t="shared" ca="1" si="759"/>
        <v>0</v>
      </c>
      <c r="J1472" s="16"/>
      <c r="K1472" s="13">
        <f t="shared" ca="1" si="760"/>
        <v>0</v>
      </c>
      <c r="L1472" s="15">
        <f t="shared" ca="1" si="752"/>
        <v>1</v>
      </c>
      <c r="M1472" s="15"/>
      <c r="N1472" s="15">
        <f t="shared" ca="1" si="751"/>
        <v>0</v>
      </c>
    </row>
    <row r="1473" spans="1:14" x14ac:dyDescent="0.4">
      <c r="A1473" s="11" t="s">
        <v>9</v>
      </c>
      <c r="B1473" s="41">
        <f t="shared" ref="B1473:I1475" ca="1" si="761">OFFSET(B1473,-15,0)</f>
        <v>0</v>
      </c>
      <c r="C1473" s="41"/>
      <c r="D1473" s="41"/>
      <c r="E1473" s="41"/>
      <c r="F1473" s="19">
        <f t="shared" ca="1" si="761"/>
        <v>0</v>
      </c>
      <c r="G1473" s="20">
        <f t="shared" ca="1" si="761"/>
        <v>0</v>
      </c>
      <c r="H1473" s="20">
        <f t="shared" ca="1" si="761"/>
        <v>0</v>
      </c>
      <c r="I1473" s="13">
        <f t="shared" ca="1" si="761"/>
        <v>0</v>
      </c>
      <c r="J1473" s="16"/>
      <c r="K1473" s="19">
        <f t="shared" ref="K1473:K1475" ca="1" si="762">OFFSET(K1473,-15,0)</f>
        <v>0</v>
      </c>
      <c r="L1473" s="15">
        <f t="shared" ca="1" si="752"/>
        <v>1</v>
      </c>
      <c r="M1473" s="15"/>
      <c r="N1473" s="15">
        <f t="shared" ca="1" si="751"/>
        <v>0</v>
      </c>
    </row>
    <row r="1474" spans="1:14" x14ac:dyDescent="0.4">
      <c r="A1474" s="11" t="s">
        <v>9</v>
      </c>
      <c r="B1474" s="41">
        <f t="shared" ca="1" si="761"/>
        <v>0</v>
      </c>
      <c r="C1474" s="41"/>
      <c r="D1474" s="41"/>
      <c r="E1474" s="41"/>
      <c r="F1474" s="19">
        <f t="shared" ca="1" si="761"/>
        <v>0</v>
      </c>
      <c r="G1474" s="20">
        <f t="shared" ca="1" si="761"/>
        <v>0</v>
      </c>
      <c r="H1474" s="20">
        <f t="shared" ca="1" si="761"/>
        <v>0</v>
      </c>
      <c r="I1474" s="13">
        <f t="shared" ca="1" si="761"/>
        <v>0</v>
      </c>
      <c r="J1474" s="16"/>
      <c r="K1474" s="19">
        <f t="shared" ca="1" si="762"/>
        <v>0</v>
      </c>
      <c r="L1474" s="15">
        <f t="shared" ca="1" si="752"/>
        <v>1</v>
      </c>
      <c r="M1474" s="15"/>
      <c r="N1474" s="15">
        <f t="shared" ca="1" si="751"/>
        <v>0</v>
      </c>
    </row>
    <row r="1475" spans="1:14" x14ac:dyDescent="0.4">
      <c r="A1475" s="11" t="s">
        <v>9</v>
      </c>
      <c r="B1475" s="41">
        <f t="shared" ca="1" si="761"/>
        <v>0</v>
      </c>
      <c r="C1475" s="41"/>
      <c r="D1475" s="41"/>
      <c r="E1475" s="41"/>
      <c r="F1475" s="19">
        <f t="shared" ca="1" si="761"/>
        <v>0</v>
      </c>
      <c r="G1475" s="20">
        <f t="shared" ca="1" si="761"/>
        <v>0</v>
      </c>
      <c r="H1475" s="20">
        <f t="shared" ca="1" si="761"/>
        <v>0</v>
      </c>
      <c r="I1475" s="13">
        <f t="shared" ca="1" si="761"/>
        <v>0</v>
      </c>
      <c r="J1475" s="16"/>
      <c r="K1475" s="19">
        <f t="shared" ca="1" si="762"/>
        <v>0</v>
      </c>
      <c r="L1475" s="15">
        <f t="shared" ca="1" si="752"/>
        <v>1</v>
      </c>
      <c r="M1475" s="15"/>
      <c r="N1475" s="15">
        <f t="shared" ca="1" si="751"/>
        <v>0</v>
      </c>
    </row>
    <row r="1476" spans="1:14" ht="17.399999999999999" x14ac:dyDescent="0.4">
      <c r="A1476" s="77" t="s">
        <v>31</v>
      </c>
      <c r="B1476" s="75"/>
      <c r="C1476" s="75"/>
      <c r="D1476" s="75"/>
      <c r="E1476" s="75"/>
      <c r="F1476" s="75"/>
      <c r="G1476" s="75"/>
      <c r="H1476" s="75"/>
      <c r="I1476" s="75"/>
      <c r="J1476" s="75"/>
      <c r="K1476" s="75"/>
      <c r="L1476" s="75"/>
      <c r="M1476" s="75"/>
      <c r="N1476" s="76"/>
    </row>
    <row r="1477" spans="1:14" x14ac:dyDescent="0.4">
      <c r="A1477" s="11" t="s">
        <v>5</v>
      </c>
      <c r="B1477" s="40"/>
      <c r="C1477" s="40"/>
      <c r="D1477" s="40"/>
      <c r="E1477" s="40"/>
      <c r="F1477" s="13"/>
      <c r="G1477" s="11"/>
      <c r="H1477" s="17"/>
      <c r="I1477" s="13"/>
      <c r="J1477" s="16"/>
      <c r="K1477" s="13"/>
      <c r="L1477" s="15">
        <f>ROUND((10^(K1477/10))/(10^(I1477/10)),3)</f>
        <v>1</v>
      </c>
      <c r="M1477" s="15"/>
      <c r="N1477" s="15">
        <f t="shared" ref="N1477:N1494" si="763">J1477*L1477</f>
        <v>0</v>
      </c>
    </row>
    <row r="1478" spans="1:14" x14ac:dyDescent="0.4">
      <c r="A1478" s="11" t="s">
        <v>5</v>
      </c>
      <c r="B1478" s="40"/>
      <c r="C1478" s="40"/>
      <c r="D1478" s="40"/>
      <c r="E1478" s="40"/>
      <c r="F1478" s="13"/>
      <c r="G1478" s="11"/>
      <c r="H1478" s="17"/>
      <c r="I1478" s="13"/>
      <c r="J1478" s="16"/>
      <c r="K1478" s="13"/>
      <c r="L1478" s="15">
        <f t="shared" ref="L1478:L1494" si="764">ROUND((10^(K1478/10))/(10^(I1478/10)),3)</f>
        <v>1</v>
      </c>
      <c r="M1478" s="15"/>
      <c r="N1478" s="15">
        <f t="shared" si="763"/>
        <v>0</v>
      </c>
    </row>
    <row r="1479" spans="1:14" x14ac:dyDescent="0.4">
      <c r="A1479" s="11" t="s">
        <v>5</v>
      </c>
      <c r="B1479" s="40"/>
      <c r="C1479" s="40"/>
      <c r="D1479" s="40"/>
      <c r="E1479" s="40"/>
      <c r="F1479" s="13"/>
      <c r="G1479" s="11"/>
      <c r="H1479" s="17"/>
      <c r="I1479" s="13"/>
      <c r="J1479" s="16"/>
      <c r="K1479" s="13"/>
      <c r="L1479" s="15">
        <f t="shared" si="764"/>
        <v>1</v>
      </c>
      <c r="M1479" s="15"/>
      <c r="N1479" s="15">
        <f t="shared" si="763"/>
        <v>0</v>
      </c>
    </row>
    <row r="1480" spans="1:14" x14ac:dyDescent="0.4">
      <c r="A1480" s="11" t="s">
        <v>6</v>
      </c>
      <c r="B1480" s="41">
        <f t="shared" ref="B1480:I1482" ca="1" si="765">OFFSET(B1480,-3,0)</f>
        <v>0</v>
      </c>
      <c r="C1480" s="41"/>
      <c r="D1480" s="41"/>
      <c r="E1480" s="41"/>
      <c r="F1480" s="19">
        <f t="shared" ca="1" si="765"/>
        <v>0</v>
      </c>
      <c r="G1480" s="20">
        <f t="shared" ca="1" si="765"/>
        <v>0</v>
      </c>
      <c r="H1480" s="20">
        <f t="shared" ca="1" si="765"/>
        <v>0</v>
      </c>
      <c r="I1480" s="13">
        <f t="shared" ca="1" si="765"/>
        <v>0</v>
      </c>
      <c r="J1480" s="16"/>
      <c r="K1480" s="19">
        <f t="shared" ref="K1480:K1482" ca="1" si="766">OFFSET(K1480,-3,0)</f>
        <v>0</v>
      </c>
      <c r="L1480" s="15">
        <f t="shared" ca="1" si="764"/>
        <v>1</v>
      </c>
      <c r="M1480" s="15"/>
      <c r="N1480" s="15">
        <f t="shared" ca="1" si="763"/>
        <v>0</v>
      </c>
    </row>
    <row r="1481" spans="1:14" x14ac:dyDescent="0.4">
      <c r="A1481" s="11" t="s">
        <v>6</v>
      </c>
      <c r="B1481" s="41">
        <f t="shared" ca="1" si="765"/>
        <v>0</v>
      </c>
      <c r="C1481" s="41"/>
      <c r="D1481" s="41"/>
      <c r="E1481" s="41"/>
      <c r="F1481" s="19">
        <f t="shared" ca="1" si="765"/>
        <v>0</v>
      </c>
      <c r="G1481" s="20">
        <f t="shared" ca="1" si="765"/>
        <v>0</v>
      </c>
      <c r="H1481" s="20">
        <f t="shared" ca="1" si="765"/>
        <v>0</v>
      </c>
      <c r="I1481" s="13">
        <f t="shared" ca="1" si="765"/>
        <v>0</v>
      </c>
      <c r="J1481" s="16"/>
      <c r="K1481" s="19">
        <f t="shared" ca="1" si="766"/>
        <v>0</v>
      </c>
      <c r="L1481" s="15">
        <f t="shared" ca="1" si="764"/>
        <v>1</v>
      </c>
      <c r="M1481" s="15"/>
      <c r="N1481" s="15">
        <f t="shared" ca="1" si="763"/>
        <v>0</v>
      </c>
    </row>
    <row r="1482" spans="1:14" x14ac:dyDescent="0.4">
      <c r="A1482" s="11" t="s">
        <v>6</v>
      </c>
      <c r="B1482" s="41">
        <f t="shared" ca="1" si="765"/>
        <v>0</v>
      </c>
      <c r="C1482" s="41"/>
      <c r="D1482" s="41"/>
      <c r="E1482" s="41"/>
      <c r="F1482" s="19">
        <f t="shared" ca="1" si="765"/>
        <v>0</v>
      </c>
      <c r="G1482" s="20">
        <f t="shared" ca="1" si="765"/>
        <v>0</v>
      </c>
      <c r="H1482" s="20">
        <f t="shared" ca="1" si="765"/>
        <v>0</v>
      </c>
      <c r="I1482" s="13">
        <f t="shared" ca="1" si="765"/>
        <v>0</v>
      </c>
      <c r="J1482" s="16"/>
      <c r="K1482" s="19">
        <f t="shared" ca="1" si="766"/>
        <v>0</v>
      </c>
      <c r="L1482" s="15">
        <f t="shared" ca="1" si="764"/>
        <v>1</v>
      </c>
      <c r="M1482" s="15"/>
      <c r="N1482" s="15">
        <f t="shared" ca="1" si="763"/>
        <v>0</v>
      </c>
    </row>
    <row r="1483" spans="1:14" x14ac:dyDescent="0.4">
      <c r="A1483" s="11" t="s">
        <v>10</v>
      </c>
      <c r="B1483" s="40">
        <f t="shared" ref="B1483:I1485" ca="1" si="767">OFFSET(B1483,-6,0)</f>
        <v>0</v>
      </c>
      <c r="C1483" s="40"/>
      <c r="D1483" s="40"/>
      <c r="E1483" s="40"/>
      <c r="F1483" s="13">
        <f t="shared" ca="1" si="767"/>
        <v>0</v>
      </c>
      <c r="G1483" s="17">
        <f t="shared" ca="1" si="767"/>
        <v>0</v>
      </c>
      <c r="H1483" s="17">
        <f t="shared" ca="1" si="767"/>
        <v>0</v>
      </c>
      <c r="I1483" s="13">
        <f t="shared" ca="1" si="767"/>
        <v>0</v>
      </c>
      <c r="J1483" s="16"/>
      <c r="K1483" s="13">
        <f t="shared" ref="K1483:K1485" ca="1" si="768">OFFSET(K1483,-6,0)</f>
        <v>0</v>
      </c>
      <c r="L1483" s="15">
        <f t="shared" ca="1" si="764"/>
        <v>1</v>
      </c>
      <c r="M1483" s="15"/>
      <c r="N1483" s="15">
        <f t="shared" ca="1" si="763"/>
        <v>0</v>
      </c>
    </row>
    <row r="1484" spans="1:14" x14ac:dyDescent="0.4">
      <c r="A1484" s="11" t="s">
        <v>10</v>
      </c>
      <c r="B1484" s="40">
        <f t="shared" ca="1" si="767"/>
        <v>0</v>
      </c>
      <c r="C1484" s="40"/>
      <c r="D1484" s="40"/>
      <c r="E1484" s="40"/>
      <c r="F1484" s="13">
        <f t="shared" ca="1" si="767"/>
        <v>0</v>
      </c>
      <c r="G1484" s="17">
        <f t="shared" ca="1" si="767"/>
        <v>0</v>
      </c>
      <c r="H1484" s="17">
        <f t="shared" ca="1" si="767"/>
        <v>0</v>
      </c>
      <c r="I1484" s="13">
        <f t="shared" ca="1" si="767"/>
        <v>0</v>
      </c>
      <c r="J1484" s="16"/>
      <c r="K1484" s="13">
        <f t="shared" ca="1" si="768"/>
        <v>0</v>
      </c>
      <c r="L1484" s="15">
        <f t="shared" ca="1" si="764"/>
        <v>1</v>
      </c>
      <c r="M1484" s="15"/>
      <c r="N1484" s="15">
        <f t="shared" ca="1" si="763"/>
        <v>0</v>
      </c>
    </row>
    <row r="1485" spans="1:14" x14ac:dyDescent="0.4">
      <c r="A1485" s="11" t="s">
        <v>10</v>
      </c>
      <c r="B1485" s="40">
        <f t="shared" ca="1" si="767"/>
        <v>0</v>
      </c>
      <c r="C1485" s="40"/>
      <c r="D1485" s="40"/>
      <c r="E1485" s="40"/>
      <c r="F1485" s="13">
        <f t="shared" ca="1" si="767"/>
        <v>0</v>
      </c>
      <c r="G1485" s="17">
        <f t="shared" ca="1" si="767"/>
        <v>0</v>
      </c>
      <c r="H1485" s="17">
        <f t="shared" ca="1" si="767"/>
        <v>0</v>
      </c>
      <c r="I1485" s="13">
        <f t="shared" ca="1" si="767"/>
        <v>0</v>
      </c>
      <c r="J1485" s="16"/>
      <c r="K1485" s="13">
        <f t="shared" ca="1" si="768"/>
        <v>0</v>
      </c>
      <c r="L1485" s="15">
        <f t="shared" ca="1" si="764"/>
        <v>1</v>
      </c>
      <c r="M1485" s="15"/>
      <c r="N1485" s="15">
        <f t="shared" ca="1" si="763"/>
        <v>0</v>
      </c>
    </row>
    <row r="1486" spans="1:14" x14ac:dyDescent="0.4">
      <c r="A1486" s="11" t="s">
        <v>7</v>
      </c>
      <c r="B1486" s="40">
        <f t="shared" ref="B1486:I1488" ca="1" si="769">OFFSET(B1486,-9,0)</f>
        <v>0</v>
      </c>
      <c r="C1486" s="40"/>
      <c r="D1486" s="40"/>
      <c r="E1486" s="40"/>
      <c r="F1486" s="13">
        <f t="shared" ca="1" si="769"/>
        <v>0</v>
      </c>
      <c r="G1486" s="17">
        <f t="shared" ca="1" si="769"/>
        <v>0</v>
      </c>
      <c r="H1486" s="17">
        <f t="shared" ca="1" si="769"/>
        <v>0</v>
      </c>
      <c r="I1486" s="13">
        <f t="shared" ca="1" si="769"/>
        <v>0</v>
      </c>
      <c r="J1486" s="16"/>
      <c r="K1486" s="13">
        <f t="shared" ref="K1486:K1488" ca="1" si="770">OFFSET(K1486,-9,0)</f>
        <v>0</v>
      </c>
      <c r="L1486" s="15">
        <f t="shared" ca="1" si="764"/>
        <v>1</v>
      </c>
      <c r="M1486" s="15"/>
      <c r="N1486" s="15">
        <f t="shared" ca="1" si="763"/>
        <v>0</v>
      </c>
    </row>
    <row r="1487" spans="1:14" x14ac:dyDescent="0.4">
      <c r="A1487" s="11" t="s">
        <v>7</v>
      </c>
      <c r="B1487" s="40">
        <f t="shared" ca="1" si="769"/>
        <v>0</v>
      </c>
      <c r="C1487" s="40"/>
      <c r="D1487" s="40"/>
      <c r="E1487" s="40"/>
      <c r="F1487" s="13">
        <f t="shared" ca="1" si="769"/>
        <v>0</v>
      </c>
      <c r="G1487" s="17">
        <f t="shared" ca="1" si="769"/>
        <v>0</v>
      </c>
      <c r="H1487" s="17">
        <f t="shared" ca="1" si="769"/>
        <v>0</v>
      </c>
      <c r="I1487" s="13">
        <f t="shared" ca="1" si="769"/>
        <v>0</v>
      </c>
      <c r="J1487" s="16"/>
      <c r="K1487" s="13">
        <f t="shared" ca="1" si="770"/>
        <v>0</v>
      </c>
      <c r="L1487" s="15">
        <f t="shared" ca="1" si="764"/>
        <v>1</v>
      </c>
      <c r="M1487" s="15"/>
      <c r="N1487" s="15">
        <f t="shared" ca="1" si="763"/>
        <v>0</v>
      </c>
    </row>
    <row r="1488" spans="1:14" x14ac:dyDescent="0.4">
      <c r="A1488" s="11" t="s">
        <v>7</v>
      </c>
      <c r="B1488" s="40">
        <f t="shared" ca="1" si="769"/>
        <v>0</v>
      </c>
      <c r="C1488" s="40"/>
      <c r="D1488" s="40"/>
      <c r="E1488" s="40"/>
      <c r="F1488" s="13">
        <f t="shared" ca="1" si="769"/>
        <v>0</v>
      </c>
      <c r="G1488" s="17">
        <f t="shared" ca="1" si="769"/>
        <v>0</v>
      </c>
      <c r="H1488" s="17">
        <f t="shared" ca="1" si="769"/>
        <v>0</v>
      </c>
      <c r="I1488" s="13">
        <f t="shared" ca="1" si="769"/>
        <v>0</v>
      </c>
      <c r="J1488" s="16"/>
      <c r="K1488" s="13">
        <f t="shared" ca="1" si="770"/>
        <v>0</v>
      </c>
      <c r="L1488" s="15">
        <f t="shared" ca="1" si="764"/>
        <v>1</v>
      </c>
      <c r="M1488" s="15"/>
      <c r="N1488" s="15">
        <f t="shared" ca="1" si="763"/>
        <v>0</v>
      </c>
    </row>
    <row r="1489" spans="1:14" x14ac:dyDescent="0.4">
      <c r="A1489" s="11" t="s">
        <v>8</v>
      </c>
      <c r="B1489" s="40">
        <f t="shared" ref="B1489:I1491" ca="1" si="771">OFFSET(B1489,-12,0)</f>
        <v>0</v>
      </c>
      <c r="C1489" s="40"/>
      <c r="D1489" s="40"/>
      <c r="E1489" s="40"/>
      <c r="F1489" s="13">
        <f t="shared" ca="1" si="771"/>
        <v>0</v>
      </c>
      <c r="G1489" s="17">
        <f t="shared" ca="1" si="771"/>
        <v>0</v>
      </c>
      <c r="H1489" s="17">
        <f t="shared" ca="1" si="771"/>
        <v>0</v>
      </c>
      <c r="I1489" s="13">
        <f t="shared" ca="1" si="771"/>
        <v>0</v>
      </c>
      <c r="J1489" s="16"/>
      <c r="K1489" s="13">
        <f t="shared" ref="K1489:K1491" ca="1" si="772">OFFSET(K1489,-12,0)</f>
        <v>0</v>
      </c>
      <c r="L1489" s="15">
        <f t="shared" ca="1" si="764"/>
        <v>1</v>
      </c>
      <c r="M1489" s="15"/>
      <c r="N1489" s="15">
        <f t="shared" ca="1" si="763"/>
        <v>0</v>
      </c>
    </row>
    <row r="1490" spans="1:14" x14ac:dyDescent="0.4">
      <c r="A1490" s="11" t="s">
        <v>8</v>
      </c>
      <c r="B1490" s="40">
        <f t="shared" ca="1" si="771"/>
        <v>0</v>
      </c>
      <c r="C1490" s="40"/>
      <c r="D1490" s="40"/>
      <c r="E1490" s="40"/>
      <c r="F1490" s="13">
        <f t="shared" ca="1" si="771"/>
        <v>0</v>
      </c>
      <c r="G1490" s="17">
        <f t="shared" ca="1" si="771"/>
        <v>0</v>
      </c>
      <c r="H1490" s="17">
        <f t="shared" ca="1" si="771"/>
        <v>0</v>
      </c>
      <c r="I1490" s="13">
        <f t="shared" ca="1" si="771"/>
        <v>0</v>
      </c>
      <c r="J1490" s="16"/>
      <c r="K1490" s="13">
        <f t="shared" ca="1" si="772"/>
        <v>0</v>
      </c>
      <c r="L1490" s="15">
        <f t="shared" ca="1" si="764"/>
        <v>1</v>
      </c>
      <c r="M1490" s="15"/>
      <c r="N1490" s="15">
        <f t="shared" ca="1" si="763"/>
        <v>0</v>
      </c>
    </row>
    <row r="1491" spans="1:14" x14ac:dyDescent="0.4">
      <c r="A1491" s="11" t="s">
        <v>8</v>
      </c>
      <c r="B1491" s="40">
        <f t="shared" ca="1" si="771"/>
        <v>0</v>
      </c>
      <c r="C1491" s="40"/>
      <c r="D1491" s="40"/>
      <c r="E1491" s="40"/>
      <c r="F1491" s="13">
        <f t="shared" ca="1" si="771"/>
        <v>0</v>
      </c>
      <c r="G1491" s="17">
        <f t="shared" ca="1" si="771"/>
        <v>0</v>
      </c>
      <c r="H1491" s="17">
        <f t="shared" ca="1" si="771"/>
        <v>0</v>
      </c>
      <c r="I1491" s="13">
        <f t="shared" ca="1" si="771"/>
        <v>0</v>
      </c>
      <c r="J1491" s="16"/>
      <c r="K1491" s="13">
        <f t="shared" ca="1" si="772"/>
        <v>0</v>
      </c>
      <c r="L1491" s="15">
        <f t="shared" ca="1" si="764"/>
        <v>1</v>
      </c>
      <c r="M1491" s="15"/>
      <c r="N1491" s="15">
        <f t="shared" ca="1" si="763"/>
        <v>0</v>
      </c>
    </row>
    <row r="1492" spans="1:14" x14ac:dyDescent="0.4">
      <c r="A1492" s="11" t="s">
        <v>9</v>
      </c>
      <c r="B1492" s="41">
        <f t="shared" ref="B1492:I1494" ca="1" si="773">OFFSET(B1492,-15,0)</f>
        <v>0</v>
      </c>
      <c r="C1492" s="41"/>
      <c r="D1492" s="41"/>
      <c r="E1492" s="41"/>
      <c r="F1492" s="19">
        <f t="shared" ca="1" si="773"/>
        <v>0</v>
      </c>
      <c r="G1492" s="20">
        <f t="shared" ca="1" si="773"/>
        <v>0</v>
      </c>
      <c r="H1492" s="20">
        <f t="shared" ca="1" si="773"/>
        <v>0</v>
      </c>
      <c r="I1492" s="13">
        <f t="shared" ca="1" si="773"/>
        <v>0</v>
      </c>
      <c r="J1492" s="16"/>
      <c r="K1492" s="19">
        <f t="shared" ref="K1492:K1494" ca="1" si="774">OFFSET(K1492,-15,0)</f>
        <v>0</v>
      </c>
      <c r="L1492" s="15">
        <f t="shared" ca="1" si="764"/>
        <v>1</v>
      </c>
      <c r="M1492" s="15"/>
      <c r="N1492" s="15">
        <f t="shared" ca="1" si="763"/>
        <v>0</v>
      </c>
    </row>
    <row r="1493" spans="1:14" x14ac:dyDescent="0.4">
      <c r="A1493" s="11" t="s">
        <v>9</v>
      </c>
      <c r="B1493" s="41">
        <f t="shared" ca="1" si="773"/>
        <v>0</v>
      </c>
      <c r="C1493" s="41"/>
      <c r="D1493" s="41"/>
      <c r="E1493" s="41"/>
      <c r="F1493" s="19">
        <f t="shared" ca="1" si="773"/>
        <v>0</v>
      </c>
      <c r="G1493" s="20">
        <f t="shared" ca="1" si="773"/>
        <v>0</v>
      </c>
      <c r="H1493" s="20">
        <f t="shared" ca="1" si="773"/>
        <v>0</v>
      </c>
      <c r="I1493" s="13">
        <f t="shared" ca="1" si="773"/>
        <v>0</v>
      </c>
      <c r="J1493" s="16"/>
      <c r="K1493" s="19">
        <f t="shared" ca="1" si="774"/>
        <v>0</v>
      </c>
      <c r="L1493" s="15">
        <f t="shared" ca="1" si="764"/>
        <v>1</v>
      </c>
      <c r="M1493" s="15"/>
      <c r="N1493" s="15">
        <f t="shared" ca="1" si="763"/>
        <v>0</v>
      </c>
    </row>
    <row r="1494" spans="1:14" x14ac:dyDescent="0.4">
      <c r="A1494" s="11" t="s">
        <v>9</v>
      </c>
      <c r="B1494" s="41">
        <f t="shared" ca="1" si="773"/>
        <v>0</v>
      </c>
      <c r="C1494" s="41"/>
      <c r="D1494" s="41"/>
      <c r="E1494" s="41"/>
      <c r="F1494" s="19">
        <f t="shared" ca="1" si="773"/>
        <v>0</v>
      </c>
      <c r="G1494" s="20">
        <f t="shared" ca="1" si="773"/>
        <v>0</v>
      </c>
      <c r="H1494" s="20">
        <f t="shared" ca="1" si="773"/>
        <v>0</v>
      </c>
      <c r="I1494" s="13">
        <f t="shared" ca="1" si="773"/>
        <v>0</v>
      </c>
      <c r="J1494" s="16"/>
      <c r="K1494" s="19">
        <f t="shared" ca="1" si="774"/>
        <v>0</v>
      </c>
      <c r="L1494" s="15">
        <f t="shared" ca="1" si="764"/>
        <v>1</v>
      </c>
      <c r="M1494" s="15"/>
      <c r="N1494" s="15">
        <f t="shared" ca="1" si="763"/>
        <v>0</v>
      </c>
    </row>
    <row r="1495" spans="1:14" ht="17.399999999999999" x14ac:dyDescent="0.4">
      <c r="A1495" s="77" t="s">
        <v>23</v>
      </c>
      <c r="B1495" s="75"/>
      <c r="C1495" s="75"/>
      <c r="D1495" s="75"/>
      <c r="E1495" s="75"/>
      <c r="F1495" s="75"/>
      <c r="G1495" s="75"/>
      <c r="H1495" s="75"/>
      <c r="I1495" s="75"/>
      <c r="J1495" s="75"/>
      <c r="K1495" s="75"/>
      <c r="L1495" s="75"/>
      <c r="M1495" s="75"/>
      <c r="N1495" s="76"/>
    </row>
    <row r="1496" spans="1:14" x14ac:dyDescent="0.4">
      <c r="A1496" s="11" t="str">
        <f ca="1">INDEX(A1344:A1494, MATCH(MAX(N1344:N1494), N1344:N1494, 0), 0)</f>
        <v>Front</v>
      </c>
      <c r="B1496" s="40">
        <f ca="1">INDEX(B1344:B1494, MATCH(MAX(N1344:N1494), N1344:N1494, 0), 0)</f>
        <v>0</v>
      </c>
      <c r="C1496" s="40"/>
      <c r="D1496" s="40"/>
      <c r="E1496" s="40"/>
      <c r="F1496" s="13">
        <f ca="1">INDEX(F1344:F1494, MATCH(MAX(N1344:N1494), N1344:N1494, 0), 0)</f>
        <v>0</v>
      </c>
      <c r="G1496" s="11">
        <f ca="1">INDEX(G1344:G1494, MATCH(MAX(N1344:N1494), N1344:N1494, 0), 0)</f>
        <v>0</v>
      </c>
      <c r="H1496" s="17">
        <f ca="1">INDEX(H1344:H1494, MATCH(MAX(N1344:N1494), N1344:N1494, 0), 0)</f>
        <v>0</v>
      </c>
      <c r="I1496" s="13">
        <f ca="1">INDEX(I1344:I1494, MATCH(MAX(N1344:N1494), N1344:N1494, 0), 0)</f>
        <v>0</v>
      </c>
      <c r="J1496" s="16"/>
      <c r="K1496" s="13">
        <f ca="1">INDEX(K1344:K1494, MATCH(MAX(N1344:N1494), N1344:N1494, 0), 0)</f>
        <v>0</v>
      </c>
      <c r="L1496" s="15">
        <f ca="1">ROUND((10^(K1496/10))/(10^(I1496/10)),3)</f>
        <v>1</v>
      </c>
      <c r="M1496" s="15"/>
      <c r="N1496" s="15">
        <f t="shared" ref="N1496" ca="1" si="775">J1496*L1496</f>
        <v>0</v>
      </c>
    </row>
    <row r="1497" spans="1:14" x14ac:dyDescent="0.4">
      <c r="A1497" s="11"/>
      <c r="B1497" s="40"/>
      <c r="C1497" s="40"/>
      <c r="D1497" s="40"/>
      <c r="E1497" s="40"/>
      <c r="F1497" s="13"/>
      <c r="G1497" s="11"/>
      <c r="H1497" s="17"/>
      <c r="I1497" s="13"/>
      <c r="J1497" s="16"/>
      <c r="K1497" s="13"/>
      <c r="L1497" s="15"/>
      <c r="M1497" s="15"/>
      <c r="N1497" s="15"/>
    </row>
    <row r="1498" spans="1:14" x14ac:dyDescent="0.4">
      <c r="A1498" s="11"/>
      <c r="B1498" s="40"/>
      <c r="C1498" s="40"/>
      <c r="D1498" s="40"/>
      <c r="E1498" s="40"/>
      <c r="F1498" s="13"/>
      <c r="G1498" s="11"/>
      <c r="H1498" s="17"/>
      <c r="I1498" s="13"/>
      <c r="J1498" s="16"/>
      <c r="K1498" s="13"/>
      <c r="L1498" s="15"/>
      <c r="M1498" s="15"/>
      <c r="N1498" s="15"/>
    </row>
    <row r="1499" spans="1:14" x14ac:dyDescent="0.4">
      <c r="A1499" s="11"/>
      <c r="B1499" s="41"/>
      <c r="C1499" s="41"/>
      <c r="D1499" s="41"/>
      <c r="E1499" s="41"/>
      <c r="F1499" s="19"/>
      <c r="G1499" s="11"/>
      <c r="H1499" s="20"/>
      <c r="I1499" s="19"/>
      <c r="J1499" s="16"/>
      <c r="K1499" s="19"/>
      <c r="L1499" s="15"/>
      <c r="M1499" s="15"/>
      <c r="N1499" s="15"/>
    </row>
    <row r="1500" spans="1:14" x14ac:dyDescent="0.4">
      <c r="A1500" s="11"/>
      <c r="B1500" s="41"/>
      <c r="C1500" s="41"/>
      <c r="D1500" s="41"/>
      <c r="E1500" s="41"/>
      <c r="F1500" s="19"/>
      <c r="G1500" s="11"/>
      <c r="H1500" s="20"/>
      <c r="I1500" s="19"/>
      <c r="J1500" s="16"/>
      <c r="K1500" s="19"/>
      <c r="L1500" s="15"/>
      <c r="M1500" s="15"/>
      <c r="N1500" s="15"/>
    </row>
    <row r="1501" spans="1:14" x14ac:dyDescent="0.4">
      <c r="A1501" s="11"/>
      <c r="B1501" s="41"/>
      <c r="C1501" s="41"/>
      <c r="D1501" s="41"/>
      <c r="E1501" s="41"/>
      <c r="F1501" s="19"/>
      <c r="G1501" s="11"/>
      <c r="H1501" s="20"/>
      <c r="I1501" s="19"/>
      <c r="J1501" s="16"/>
      <c r="K1501" s="19"/>
      <c r="L1501" s="15"/>
      <c r="M1501" s="15"/>
      <c r="N1501" s="15"/>
    </row>
    <row r="1502" spans="1:14" x14ac:dyDescent="0.4">
      <c r="A1502" s="11"/>
      <c r="B1502" s="40"/>
      <c r="C1502" s="40"/>
      <c r="D1502" s="40"/>
      <c r="E1502" s="40"/>
      <c r="F1502" s="13"/>
      <c r="G1502" s="11"/>
      <c r="H1502" s="17"/>
      <c r="I1502" s="13"/>
      <c r="J1502" s="16"/>
      <c r="K1502" s="13"/>
      <c r="L1502" s="15"/>
      <c r="M1502" s="15"/>
      <c r="N1502" s="15"/>
    </row>
    <row r="1503" spans="1:14" x14ac:dyDescent="0.4">
      <c r="A1503" s="11"/>
      <c r="B1503" s="40"/>
      <c r="C1503" s="40"/>
      <c r="D1503" s="40"/>
      <c r="E1503" s="40"/>
      <c r="F1503" s="13"/>
      <c r="G1503" s="11"/>
      <c r="H1503" s="17"/>
      <c r="I1503" s="13"/>
      <c r="J1503" s="16"/>
      <c r="K1503" s="13"/>
      <c r="L1503" s="15"/>
      <c r="M1503" s="15"/>
      <c r="N1503" s="15"/>
    </row>
    <row r="1504" spans="1:14" x14ac:dyDescent="0.4">
      <c r="A1504" s="11"/>
      <c r="B1504" s="40"/>
      <c r="C1504" s="40"/>
      <c r="D1504" s="40"/>
      <c r="E1504" s="40"/>
      <c r="F1504" s="13"/>
      <c r="G1504" s="11"/>
      <c r="H1504" s="17"/>
      <c r="I1504" s="13"/>
      <c r="J1504" s="16"/>
      <c r="K1504" s="13"/>
      <c r="L1504" s="15"/>
      <c r="M1504" s="15"/>
      <c r="N1504" s="15"/>
    </row>
    <row r="1505" spans="1:14" x14ac:dyDescent="0.4">
      <c r="A1505" s="11"/>
      <c r="B1505" s="40"/>
      <c r="C1505" s="40"/>
      <c r="D1505" s="40"/>
      <c r="E1505" s="40"/>
      <c r="F1505" s="13"/>
      <c r="G1505" s="11"/>
      <c r="H1505" s="17"/>
      <c r="I1505" s="13"/>
      <c r="J1505" s="16"/>
      <c r="K1505" s="13"/>
      <c r="L1505" s="15"/>
      <c r="M1505" s="15"/>
      <c r="N1505" s="15"/>
    </row>
    <row r="1506" spans="1:14" x14ac:dyDescent="0.4">
      <c r="A1506" s="11"/>
      <c r="B1506" s="40"/>
      <c r="C1506" s="40"/>
      <c r="D1506" s="40"/>
      <c r="E1506" s="40"/>
      <c r="F1506" s="13"/>
      <c r="G1506" s="11"/>
      <c r="H1506" s="17"/>
      <c r="I1506" s="13"/>
      <c r="J1506" s="16"/>
      <c r="K1506" s="13"/>
      <c r="L1506" s="15"/>
      <c r="M1506" s="15"/>
      <c r="N1506" s="15"/>
    </row>
    <row r="1507" spans="1:14" x14ac:dyDescent="0.4">
      <c r="A1507" s="11"/>
      <c r="B1507" s="40"/>
      <c r="C1507" s="40"/>
      <c r="D1507" s="40"/>
      <c r="E1507" s="40"/>
      <c r="F1507" s="13"/>
      <c r="G1507" s="11"/>
      <c r="H1507" s="17"/>
      <c r="I1507" s="13"/>
      <c r="J1507" s="16"/>
      <c r="K1507" s="13"/>
      <c r="L1507" s="15"/>
      <c r="M1507" s="15"/>
      <c r="N1507" s="15"/>
    </row>
    <row r="1508" spans="1:14" x14ac:dyDescent="0.4">
      <c r="A1508" s="11"/>
      <c r="B1508" s="40"/>
      <c r="C1508" s="40"/>
      <c r="D1508" s="40"/>
      <c r="E1508" s="40"/>
      <c r="F1508" s="13"/>
      <c r="G1508" s="11"/>
      <c r="H1508" s="17"/>
      <c r="I1508" s="13"/>
      <c r="J1508" s="16"/>
      <c r="K1508" s="13"/>
      <c r="L1508" s="15"/>
      <c r="M1508" s="15"/>
      <c r="N1508" s="15"/>
    </row>
    <row r="1509" spans="1:14" x14ac:dyDescent="0.4">
      <c r="A1509" s="11"/>
      <c r="B1509" s="40"/>
      <c r="C1509" s="40"/>
      <c r="D1509" s="40"/>
      <c r="E1509" s="40"/>
      <c r="F1509" s="13"/>
      <c r="G1509" s="11"/>
      <c r="H1509" s="17"/>
      <c r="I1509" s="13"/>
      <c r="J1509" s="16"/>
      <c r="K1509" s="13"/>
      <c r="L1509" s="15"/>
      <c r="M1509" s="15"/>
      <c r="N1509" s="15"/>
    </row>
    <row r="1510" spans="1:14" x14ac:dyDescent="0.4">
      <c r="A1510" s="11"/>
      <c r="B1510" s="40"/>
      <c r="C1510" s="40"/>
      <c r="D1510" s="40"/>
      <c r="E1510" s="40"/>
      <c r="F1510" s="13"/>
      <c r="G1510" s="11"/>
      <c r="H1510" s="17"/>
      <c r="I1510" s="13"/>
      <c r="J1510" s="16"/>
      <c r="K1510" s="13"/>
      <c r="L1510" s="15"/>
      <c r="M1510" s="15"/>
      <c r="N1510" s="15"/>
    </row>
    <row r="1511" spans="1:14" x14ac:dyDescent="0.4">
      <c r="A1511" s="11"/>
      <c r="B1511" s="41"/>
      <c r="C1511" s="41"/>
      <c r="D1511" s="41"/>
      <c r="E1511" s="41"/>
      <c r="F1511" s="19"/>
      <c r="G1511" s="11"/>
      <c r="H1511" s="20"/>
      <c r="I1511" s="19"/>
      <c r="J1511" s="16"/>
      <c r="K1511" s="19"/>
      <c r="L1511" s="15"/>
      <c r="M1511" s="15"/>
      <c r="N1511" s="15"/>
    </row>
    <row r="1512" spans="1:14" x14ac:dyDescent="0.4">
      <c r="A1512" s="11"/>
      <c r="B1512" s="41"/>
      <c r="C1512" s="41"/>
      <c r="D1512" s="41"/>
      <c r="E1512" s="41"/>
      <c r="F1512" s="19"/>
      <c r="G1512" s="11"/>
      <c r="H1512" s="20"/>
      <c r="I1512" s="19"/>
      <c r="J1512" s="16"/>
      <c r="K1512" s="19"/>
      <c r="L1512" s="15"/>
      <c r="M1512" s="15"/>
      <c r="N1512" s="15"/>
    </row>
    <row r="1513" spans="1:14" x14ac:dyDescent="0.4">
      <c r="A1513" s="11"/>
      <c r="B1513" s="41"/>
      <c r="C1513" s="41"/>
      <c r="D1513" s="41"/>
      <c r="E1513" s="41"/>
      <c r="F1513" s="19"/>
      <c r="G1513" s="11"/>
      <c r="H1513" s="20"/>
      <c r="I1513" s="19"/>
      <c r="J1513" s="16"/>
      <c r="K1513" s="19"/>
      <c r="L1513" s="15"/>
      <c r="M1513" s="15"/>
      <c r="N1513" s="15"/>
    </row>
    <row r="1514" spans="1:14" ht="17.399999999999999" x14ac:dyDescent="0.4">
      <c r="A1514" s="77" t="s">
        <v>24</v>
      </c>
      <c r="B1514" s="75"/>
      <c r="C1514" s="75"/>
      <c r="D1514" s="75"/>
      <c r="E1514" s="75"/>
      <c r="F1514" s="75"/>
      <c r="G1514" s="75"/>
      <c r="H1514" s="75"/>
      <c r="I1514" s="75"/>
      <c r="J1514" s="75"/>
      <c r="K1514" s="75"/>
      <c r="L1514" s="75"/>
      <c r="M1514" s="75"/>
      <c r="N1514" s="76"/>
    </row>
    <row r="1515" spans="1:14" x14ac:dyDescent="0.4">
      <c r="A1515" s="11" t="str">
        <f ca="1">INDEX(A1344:A1494, MATCH(MAX(N1344:N1494), N1344:N1494, 0), 0)</f>
        <v>Front</v>
      </c>
      <c r="B1515" s="40">
        <f ca="1">INDEX(B1344:B1494, MATCH(MAX(N1344:N1494), N1344:N1494, 0), 0)</f>
        <v>0</v>
      </c>
      <c r="C1515" s="40"/>
      <c r="D1515" s="40"/>
      <c r="E1515" s="40"/>
      <c r="F1515" s="13">
        <f ca="1">INDEX(F1344:F1494, MATCH(MAX(N1344:N1494), N1344:N1494, 0), 0)</f>
        <v>0</v>
      </c>
      <c r="G1515" s="11">
        <f ca="1">INDEX(G1344:G1494, MATCH(MAX(N1344:N1494), N1344:N1494, 0), 0)</f>
        <v>0</v>
      </c>
      <c r="H1515" s="17">
        <f ca="1">INDEX(H1344:H1494, MATCH(MAX(N1344:N1494), N1344:N1494, 0), 0)</f>
        <v>0</v>
      </c>
      <c r="I1515" s="13">
        <f ca="1">INDEX(I1344:I1494, MATCH(MAX(N1344:N1494), N1344:N1494, 0), 0)</f>
        <v>0</v>
      </c>
      <c r="J1515" s="16"/>
      <c r="K1515" s="13">
        <f ca="1">INDEX(K1344:K1494, MATCH(MAX(N1344:N1494), N1344:N1494, 0), 0)</f>
        <v>0</v>
      </c>
      <c r="L1515" s="15">
        <f ca="1">ROUND((10^(K1515/10))/(10^(I1515/10)),3)</f>
        <v>1</v>
      </c>
      <c r="M1515" s="15"/>
      <c r="N1515" s="15">
        <f t="shared" ref="N1515" ca="1" si="776">J1515*L1515</f>
        <v>0</v>
      </c>
    </row>
    <row r="1516" spans="1:14" x14ac:dyDescent="0.4">
      <c r="A1516" s="11"/>
      <c r="B1516" s="40"/>
      <c r="C1516" s="40"/>
      <c r="D1516" s="40"/>
      <c r="E1516" s="40"/>
      <c r="F1516" s="13"/>
      <c r="G1516" s="11"/>
      <c r="H1516" s="17"/>
      <c r="I1516" s="13"/>
      <c r="J1516" s="16"/>
      <c r="K1516" s="13"/>
      <c r="L1516" s="15"/>
      <c r="M1516" s="15"/>
      <c r="N1516" s="52"/>
    </row>
    <row r="1517" spans="1:14" x14ac:dyDescent="0.4">
      <c r="A1517" s="11"/>
      <c r="B1517" s="40"/>
      <c r="C1517" s="40"/>
      <c r="D1517" s="40"/>
      <c r="E1517" s="40"/>
      <c r="F1517" s="13"/>
      <c r="G1517" s="11"/>
      <c r="H1517" s="17"/>
      <c r="I1517" s="13"/>
      <c r="J1517" s="16"/>
      <c r="K1517" s="13"/>
      <c r="L1517" s="15"/>
      <c r="M1517" s="15"/>
      <c r="N1517" s="52"/>
    </row>
    <row r="1518" spans="1:14" x14ac:dyDescent="0.4">
      <c r="A1518" s="11"/>
      <c r="B1518" s="41"/>
      <c r="C1518" s="41"/>
      <c r="D1518" s="41"/>
      <c r="E1518" s="41"/>
      <c r="F1518" s="19"/>
      <c r="G1518" s="11"/>
      <c r="H1518" s="20"/>
      <c r="I1518" s="19"/>
      <c r="J1518" s="16"/>
      <c r="K1518" s="19"/>
      <c r="L1518" s="15"/>
      <c r="M1518" s="15"/>
      <c r="N1518" s="52"/>
    </row>
    <row r="1519" spans="1:14" x14ac:dyDescent="0.4">
      <c r="A1519" s="11"/>
      <c r="B1519" s="41"/>
      <c r="C1519" s="41"/>
      <c r="D1519" s="41"/>
      <c r="E1519" s="41"/>
      <c r="F1519" s="19"/>
      <c r="G1519" s="11"/>
      <c r="H1519" s="20"/>
      <c r="I1519" s="19"/>
      <c r="J1519" s="16"/>
      <c r="K1519" s="19"/>
      <c r="L1519" s="15"/>
      <c r="M1519" s="15"/>
      <c r="N1519" s="52"/>
    </row>
    <row r="1520" spans="1:14" x14ac:dyDescent="0.4">
      <c r="A1520" s="11"/>
      <c r="B1520" s="41"/>
      <c r="C1520" s="41"/>
      <c r="D1520" s="41"/>
      <c r="E1520" s="41"/>
      <c r="F1520" s="19"/>
      <c r="G1520" s="11"/>
      <c r="H1520" s="20"/>
      <c r="I1520" s="19"/>
      <c r="J1520" s="16"/>
      <c r="K1520" s="19"/>
      <c r="L1520" s="15"/>
      <c r="M1520" s="15"/>
      <c r="N1520" s="52"/>
    </row>
    <row r="1521" spans="1:14" x14ac:dyDescent="0.4">
      <c r="A1521" s="11"/>
      <c r="B1521" s="40"/>
      <c r="C1521" s="40"/>
      <c r="D1521" s="40"/>
      <c r="E1521" s="40"/>
      <c r="F1521" s="13"/>
      <c r="G1521" s="11"/>
      <c r="H1521" s="17"/>
      <c r="I1521" s="13"/>
      <c r="J1521" s="16"/>
      <c r="K1521" s="13"/>
      <c r="L1521" s="15"/>
      <c r="M1521" s="15"/>
      <c r="N1521" s="52"/>
    </row>
    <row r="1522" spans="1:14" x14ac:dyDescent="0.4">
      <c r="A1522" s="11"/>
      <c r="B1522" s="40"/>
      <c r="C1522" s="40"/>
      <c r="D1522" s="40"/>
      <c r="E1522" s="40"/>
      <c r="F1522" s="13"/>
      <c r="G1522" s="11"/>
      <c r="H1522" s="17"/>
      <c r="I1522" s="13"/>
      <c r="J1522" s="16"/>
      <c r="K1522" s="13"/>
      <c r="L1522" s="15"/>
      <c r="M1522" s="15"/>
      <c r="N1522" s="52"/>
    </row>
    <row r="1523" spans="1:14" x14ac:dyDescent="0.4">
      <c r="A1523" s="11"/>
      <c r="B1523" s="40"/>
      <c r="C1523" s="40"/>
      <c r="D1523" s="40"/>
      <c r="E1523" s="40"/>
      <c r="F1523" s="13"/>
      <c r="G1523" s="11"/>
      <c r="H1523" s="17"/>
      <c r="I1523" s="13"/>
      <c r="J1523" s="16"/>
      <c r="K1523" s="13"/>
      <c r="L1523" s="15"/>
      <c r="M1523" s="15"/>
      <c r="N1523" s="52"/>
    </row>
    <row r="1524" spans="1:14" x14ac:dyDescent="0.4">
      <c r="A1524" s="11"/>
      <c r="B1524" s="40"/>
      <c r="C1524" s="40"/>
      <c r="D1524" s="40"/>
      <c r="E1524" s="40"/>
      <c r="F1524" s="13"/>
      <c r="G1524" s="11"/>
      <c r="H1524" s="17"/>
      <c r="I1524" s="13"/>
      <c r="J1524" s="16"/>
      <c r="K1524" s="13"/>
      <c r="L1524" s="15"/>
      <c r="M1524" s="15"/>
      <c r="N1524" s="52"/>
    </row>
    <row r="1525" spans="1:14" x14ac:dyDescent="0.4">
      <c r="A1525" s="11"/>
      <c r="B1525" s="40"/>
      <c r="C1525" s="40"/>
      <c r="D1525" s="40"/>
      <c r="E1525" s="40"/>
      <c r="F1525" s="13"/>
      <c r="G1525" s="11"/>
      <c r="H1525" s="17"/>
      <c r="I1525" s="13"/>
      <c r="J1525" s="16"/>
      <c r="K1525" s="13"/>
      <c r="L1525" s="15"/>
      <c r="M1525" s="15"/>
      <c r="N1525" s="52"/>
    </row>
    <row r="1526" spans="1:14" x14ac:dyDescent="0.4">
      <c r="A1526" s="11"/>
      <c r="B1526" s="40"/>
      <c r="C1526" s="40"/>
      <c r="D1526" s="40"/>
      <c r="E1526" s="40"/>
      <c r="F1526" s="13"/>
      <c r="G1526" s="11"/>
      <c r="H1526" s="17"/>
      <c r="I1526" s="13"/>
      <c r="J1526" s="16"/>
      <c r="K1526" s="13"/>
      <c r="L1526" s="15"/>
      <c r="M1526" s="15"/>
      <c r="N1526" s="52"/>
    </row>
    <row r="1527" spans="1:14" x14ac:dyDescent="0.4">
      <c r="A1527" s="11"/>
      <c r="B1527" s="40"/>
      <c r="C1527" s="40"/>
      <c r="D1527" s="40"/>
      <c r="E1527" s="40"/>
      <c r="F1527" s="13"/>
      <c r="G1527" s="11"/>
      <c r="H1527" s="17"/>
      <c r="I1527" s="13"/>
      <c r="J1527" s="16"/>
      <c r="K1527" s="13"/>
      <c r="L1527" s="15"/>
      <c r="M1527" s="15"/>
      <c r="N1527" s="52"/>
    </row>
    <row r="1528" spans="1:14" x14ac:dyDescent="0.4">
      <c r="A1528" s="11"/>
      <c r="B1528" s="40"/>
      <c r="C1528" s="40"/>
      <c r="D1528" s="40"/>
      <c r="E1528" s="40"/>
      <c r="F1528" s="13"/>
      <c r="G1528" s="11"/>
      <c r="H1528" s="17"/>
      <c r="I1528" s="13"/>
      <c r="J1528" s="16"/>
      <c r="K1528" s="13"/>
      <c r="L1528" s="15"/>
      <c r="M1528" s="15"/>
      <c r="N1528" s="52"/>
    </row>
    <row r="1529" spans="1:14" x14ac:dyDescent="0.4">
      <c r="A1529" s="11"/>
      <c r="B1529" s="40"/>
      <c r="C1529" s="40"/>
      <c r="D1529" s="40"/>
      <c r="E1529" s="40"/>
      <c r="F1529" s="13"/>
      <c r="G1529" s="11"/>
      <c r="H1529" s="17"/>
      <c r="I1529" s="13"/>
      <c r="J1529" s="16"/>
      <c r="K1529" s="13"/>
      <c r="L1529" s="15"/>
      <c r="M1529" s="15"/>
      <c r="N1529" s="52"/>
    </row>
    <row r="1530" spans="1:14" x14ac:dyDescent="0.4">
      <c r="A1530" s="11"/>
      <c r="B1530" s="41"/>
      <c r="C1530" s="41"/>
      <c r="D1530" s="41"/>
      <c r="E1530" s="41"/>
      <c r="F1530" s="19"/>
      <c r="G1530" s="11"/>
      <c r="H1530" s="20"/>
      <c r="I1530" s="19"/>
      <c r="J1530" s="16"/>
      <c r="K1530" s="19"/>
      <c r="L1530" s="15"/>
      <c r="M1530" s="15"/>
      <c r="N1530" s="52"/>
    </row>
    <row r="1531" spans="1:14" x14ac:dyDescent="0.4">
      <c r="A1531" s="11"/>
      <c r="B1531" s="41"/>
      <c r="C1531" s="41"/>
      <c r="D1531" s="41"/>
      <c r="E1531" s="41"/>
      <c r="F1531" s="19"/>
      <c r="G1531" s="11"/>
      <c r="H1531" s="20"/>
      <c r="I1531" s="19"/>
      <c r="J1531" s="16"/>
      <c r="K1531" s="19"/>
      <c r="L1531" s="15"/>
      <c r="M1531" s="15"/>
      <c r="N1531" s="52"/>
    </row>
    <row r="1532" spans="1:14" x14ac:dyDescent="0.4">
      <c r="A1532" s="11"/>
      <c r="B1532" s="41"/>
      <c r="C1532" s="41"/>
      <c r="D1532" s="41"/>
      <c r="E1532" s="41"/>
      <c r="F1532" s="19"/>
      <c r="G1532" s="11"/>
      <c r="H1532" s="20"/>
      <c r="I1532" s="19"/>
      <c r="J1532" s="16"/>
      <c r="K1532" s="19"/>
      <c r="L1532" s="15"/>
      <c r="M1532" s="15"/>
      <c r="N1532" s="52"/>
    </row>
    <row r="1535" spans="1:14" x14ac:dyDescent="0.4">
      <c r="A1535" s="58" t="s">
        <v>171</v>
      </c>
      <c r="B1535" s="59"/>
      <c r="C1535" s="59"/>
      <c r="D1535" s="59"/>
      <c r="E1535" s="59"/>
      <c r="F1535" s="59"/>
      <c r="G1535" s="59"/>
      <c r="H1535" s="60"/>
      <c r="I1535" s="54" t="s">
        <v>3</v>
      </c>
      <c r="J1535" s="54"/>
      <c r="K1535" s="54"/>
      <c r="L1535" s="7"/>
      <c r="M1535" s="7"/>
      <c r="N1535" s="8"/>
    </row>
    <row r="1536" spans="1:14" x14ac:dyDescent="0.4">
      <c r="A1536" s="61"/>
      <c r="B1536" s="62"/>
      <c r="C1536" s="62"/>
      <c r="D1536" s="62"/>
      <c r="E1536" s="62"/>
      <c r="F1536" s="62"/>
      <c r="G1536" s="62"/>
      <c r="H1536" s="63"/>
      <c r="I1536" s="54" t="s">
        <v>4</v>
      </c>
      <c r="J1536" s="54"/>
      <c r="K1536" s="54"/>
      <c r="L1536" s="7"/>
      <c r="M1536" s="7"/>
      <c r="N1536" s="8"/>
    </row>
    <row r="1537" spans="1:14" x14ac:dyDescent="0.4">
      <c r="A1537" s="64"/>
      <c r="B1537" s="65"/>
      <c r="C1537" s="65"/>
      <c r="D1537" s="65"/>
      <c r="E1537" s="65"/>
      <c r="F1537" s="65"/>
      <c r="G1537" s="65"/>
      <c r="H1537" s="66"/>
      <c r="I1537" s="54" t="s">
        <v>0</v>
      </c>
      <c r="J1537" s="54"/>
      <c r="K1537" s="54"/>
      <c r="L1537" s="9"/>
      <c r="M1537" s="9"/>
      <c r="N1537" s="8"/>
    </row>
    <row r="1538" spans="1:14" x14ac:dyDescent="0.4">
      <c r="A1538" s="39"/>
      <c r="B1538" s="39"/>
      <c r="C1538" s="39"/>
      <c r="D1538" s="39"/>
      <c r="E1538" s="39"/>
      <c r="F1538" s="39"/>
      <c r="G1538" s="39"/>
      <c r="H1538" s="39"/>
      <c r="I1538" s="39"/>
      <c r="J1538" s="39"/>
      <c r="K1538" s="39"/>
      <c r="L1538" s="39"/>
    </row>
    <row r="1539" spans="1:14" x14ac:dyDescent="0.4">
      <c r="A1539" s="53" t="s">
        <v>14</v>
      </c>
      <c r="B1539" s="55" t="s">
        <v>34</v>
      </c>
      <c r="C1539" s="71" t="s">
        <v>152</v>
      </c>
      <c r="D1539" s="71" t="s">
        <v>153</v>
      </c>
      <c r="E1539" s="71" t="s">
        <v>145</v>
      </c>
      <c r="F1539" s="53" t="s">
        <v>1</v>
      </c>
      <c r="G1539" s="53"/>
      <c r="H1539" s="57" t="s">
        <v>15</v>
      </c>
      <c r="I1539" s="57" t="s">
        <v>16</v>
      </c>
      <c r="J1539" s="53" t="s">
        <v>17</v>
      </c>
      <c r="K1539" s="67" t="s">
        <v>84</v>
      </c>
      <c r="L1539" s="68"/>
      <c r="M1539" s="53" t="s">
        <v>20</v>
      </c>
      <c r="N1539" s="8"/>
    </row>
    <row r="1540" spans="1:14" x14ac:dyDescent="0.4">
      <c r="A1540" s="53"/>
      <c r="B1540" s="55"/>
      <c r="C1540" s="72"/>
      <c r="D1540" s="72"/>
      <c r="E1540" s="72"/>
      <c r="F1540" s="53" t="s">
        <v>18</v>
      </c>
      <c r="G1540" s="53" t="s">
        <v>2</v>
      </c>
      <c r="H1540" s="57"/>
      <c r="I1540" s="57"/>
      <c r="J1540" s="53"/>
      <c r="K1540" s="69"/>
      <c r="L1540" s="70"/>
      <c r="M1540" s="53"/>
      <c r="N1540" s="8"/>
    </row>
    <row r="1541" spans="1:14" x14ac:dyDescent="0.4">
      <c r="A1541" s="53"/>
      <c r="B1541" s="56"/>
      <c r="C1541" s="73"/>
      <c r="D1541" s="73"/>
      <c r="E1541" s="73"/>
      <c r="F1541" s="53"/>
      <c r="G1541" s="53"/>
      <c r="H1541" s="57"/>
      <c r="I1541" s="57"/>
      <c r="J1541" s="53"/>
      <c r="K1541" s="42" t="s">
        <v>85</v>
      </c>
      <c r="L1541" s="42" t="s">
        <v>86</v>
      </c>
      <c r="M1541" s="53"/>
      <c r="N1541" s="8"/>
    </row>
    <row r="1542" spans="1:14" x14ac:dyDescent="0.4">
      <c r="A1542" s="11" t="s">
        <v>11</v>
      </c>
      <c r="B1542" s="40"/>
      <c r="C1542" s="40"/>
      <c r="D1542" s="40"/>
      <c r="E1542" s="40"/>
      <c r="F1542" s="13"/>
      <c r="G1542" s="11"/>
      <c r="H1542" s="13"/>
      <c r="I1542" s="14"/>
      <c r="J1542" s="13"/>
      <c r="K1542" s="15">
        <f>ROUND((10^(J1542/10))/(10^(H1542/10)),3)</f>
        <v>1</v>
      </c>
      <c r="L1542" s="15"/>
      <c r="M1542" s="15">
        <f t="shared" ref="M1542:M1553" si="777">I1542*K1542</f>
        <v>0</v>
      </c>
      <c r="N1542" s="8"/>
    </row>
    <row r="1543" spans="1:14" x14ac:dyDescent="0.4">
      <c r="A1543" s="11" t="s">
        <v>11</v>
      </c>
      <c r="B1543" s="40"/>
      <c r="C1543" s="40"/>
      <c r="D1543" s="40"/>
      <c r="E1543" s="40"/>
      <c r="F1543" s="13"/>
      <c r="G1543" s="11"/>
      <c r="H1543" s="13"/>
      <c r="I1543" s="14"/>
      <c r="J1543" s="13"/>
      <c r="K1543" s="15">
        <f t="shared" ref="K1543:K1553" si="778">ROUND((10^(J1543/10))/(10^(H1543/10)),3)</f>
        <v>1</v>
      </c>
      <c r="L1543" s="15"/>
      <c r="M1543" s="15">
        <f t="shared" si="777"/>
        <v>0</v>
      </c>
      <c r="N1543" s="8"/>
    </row>
    <row r="1544" spans="1:14" x14ac:dyDescent="0.4">
      <c r="A1544" s="11" t="s">
        <v>11</v>
      </c>
      <c r="B1544" s="40"/>
      <c r="C1544" s="40"/>
      <c r="D1544" s="40"/>
      <c r="E1544" s="40"/>
      <c r="F1544" s="13"/>
      <c r="G1544" s="11"/>
      <c r="H1544" s="13"/>
      <c r="I1544" s="14"/>
      <c r="J1544" s="13"/>
      <c r="K1544" s="15">
        <f t="shared" si="778"/>
        <v>1</v>
      </c>
      <c r="L1544" s="15"/>
      <c r="M1544" s="15">
        <f t="shared" si="777"/>
        <v>0</v>
      </c>
      <c r="N1544" s="8"/>
    </row>
    <row r="1545" spans="1:14" x14ac:dyDescent="0.4">
      <c r="A1545" s="11" t="s">
        <v>13</v>
      </c>
      <c r="B1545" s="40">
        <f t="shared" ref="B1545" si="779">B1542</f>
        <v>0</v>
      </c>
      <c r="C1545" s="40"/>
      <c r="D1545" s="40"/>
      <c r="E1545" s="40">
        <f t="shared" ref="E1545:G1545" si="780">E1542</f>
        <v>0</v>
      </c>
      <c r="F1545" s="13">
        <f t="shared" si="780"/>
        <v>0</v>
      </c>
      <c r="G1545" s="40">
        <f t="shared" si="780"/>
        <v>0</v>
      </c>
      <c r="H1545" s="13">
        <f>H1542</f>
        <v>0</v>
      </c>
      <c r="I1545" s="16"/>
      <c r="J1545" s="13">
        <f t="shared" ref="J1545:J1547" si="781">J1542</f>
        <v>0</v>
      </c>
      <c r="K1545" s="15">
        <f t="shared" si="778"/>
        <v>1</v>
      </c>
      <c r="L1545" s="15"/>
      <c r="M1545" s="15">
        <f t="shared" si="777"/>
        <v>0</v>
      </c>
      <c r="N1545" s="8"/>
    </row>
    <row r="1546" spans="1:14" x14ac:dyDescent="0.4">
      <c r="A1546" s="11" t="s">
        <v>13</v>
      </c>
      <c r="B1546" s="40">
        <f t="shared" ref="B1546" si="782">B1543</f>
        <v>0</v>
      </c>
      <c r="C1546" s="40"/>
      <c r="D1546" s="40"/>
      <c r="E1546" s="40">
        <f t="shared" ref="E1546:H1546" si="783">E1543</f>
        <v>0</v>
      </c>
      <c r="F1546" s="13">
        <f t="shared" si="783"/>
        <v>0</v>
      </c>
      <c r="G1546" s="40">
        <f t="shared" si="783"/>
        <v>0</v>
      </c>
      <c r="H1546" s="13">
        <f t="shared" si="783"/>
        <v>0</v>
      </c>
      <c r="I1546" s="16"/>
      <c r="J1546" s="13">
        <f t="shared" si="781"/>
        <v>0</v>
      </c>
      <c r="K1546" s="15">
        <f t="shared" si="778"/>
        <v>1</v>
      </c>
      <c r="L1546" s="15"/>
      <c r="M1546" s="15">
        <f t="shared" si="777"/>
        <v>0</v>
      </c>
      <c r="N1546" s="8"/>
    </row>
    <row r="1547" spans="1:14" x14ac:dyDescent="0.4">
      <c r="A1547" s="11" t="s">
        <v>13</v>
      </c>
      <c r="B1547" s="40">
        <f t="shared" ref="B1547" si="784">B1544</f>
        <v>0</v>
      </c>
      <c r="C1547" s="40"/>
      <c r="D1547" s="40"/>
      <c r="E1547" s="40">
        <f t="shared" ref="E1547:H1547" si="785">E1544</f>
        <v>0</v>
      </c>
      <c r="F1547" s="13">
        <f t="shared" si="785"/>
        <v>0</v>
      </c>
      <c r="G1547" s="40">
        <f t="shared" si="785"/>
        <v>0</v>
      </c>
      <c r="H1547" s="13">
        <f t="shared" si="785"/>
        <v>0</v>
      </c>
      <c r="I1547" s="16"/>
      <c r="J1547" s="13">
        <f t="shared" si="781"/>
        <v>0</v>
      </c>
      <c r="K1547" s="15">
        <f t="shared" si="778"/>
        <v>1</v>
      </c>
      <c r="L1547" s="15"/>
      <c r="M1547" s="15">
        <f t="shared" si="777"/>
        <v>0</v>
      </c>
      <c r="N1547" s="8"/>
    </row>
    <row r="1548" spans="1:14" x14ac:dyDescent="0.4">
      <c r="A1548" s="11" t="s">
        <v>12</v>
      </c>
      <c r="B1548" s="40">
        <f t="shared" ref="B1548:J1553" ca="1" si="786">OFFSET(B1548,-6,0)</f>
        <v>0</v>
      </c>
      <c r="C1548" s="40"/>
      <c r="D1548" s="40"/>
      <c r="E1548" s="40">
        <f t="shared" ca="1" si="786"/>
        <v>0</v>
      </c>
      <c r="F1548" s="13">
        <f t="shared" ca="1" si="786"/>
        <v>0</v>
      </c>
      <c r="G1548" s="17">
        <f t="shared" ca="1" si="786"/>
        <v>0</v>
      </c>
      <c r="H1548" s="13">
        <f t="shared" ca="1" si="786"/>
        <v>0</v>
      </c>
      <c r="I1548" s="16"/>
      <c r="J1548" s="13">
        <f t="shared" ca="1" si="786"/>
        <v>0</v>
      </c>
      <c r="K1548" s="15">
        <f t="shared" ca="1" si="778"/>
        <v>1</v>
      </c>
      <c r="L1548" s="15"/>
      <c r="M1548" s="15">
        <f t="shared" ca="1" si="777"/>
        <v>0</v>
      </c>
      <c r="N1548" s="8"/>
    </row>
    <row r="1549" spans="1:14" x14ac:dyDescent="0.4">
      <c r="A1549" s="11" t="s">
        <v>12</v>
      </c>
      <c r="B1549" s="40">
        <f t="shared" ca="1" si="786"/>
        <v>0</v>
      </c>
      <c r="C1549" s="40"/>
      <c r="D1549" s="40"/>
      <c r="E1549" s="40">
        <f t="shared" ca="1" si="786"/>
        <v>0</v>
      </c>
      <c r="F1549" s="13">
        <f t="shared" ca="1" si="786"/>
        <v>0</v>
      </c>
      <c r="G1549" s="17">
        <f t="shared" ca="1" si="786"/>
        <v>0</v>
      </c>
      <c r="H1549" s="13">
        <f t="shared" ca="1" si="786"/>
        <v>0</v>
      </c>
      <c r="I1549" s="16"/>
      <c r="J1549" s="13">
        <f t="shared" ca="1" si="786"/>
        <v>0</v>
      </c>
      <c r="K1549" s="15">
        <f t="shared" ca="1" si="778"/>
        <v>1</v>
      </c>
      <c r="L1549" s="15"/>
      <c r="M1549" s="15">
        <f t="shared" ca="1" si="777"/>
        <v>0</v>
      </c>
      <c r="N1549" s="8"/>
    </row>
    <row r="1550" spans="1:14" x14ac:dyDescent="0.4">
      <c r="A1550" s="11" t="s">
        <v>12</v>
      </c>
      <c r="B1550" s="40">
        <f t="shared" ca="1" si="786"/>
        <v>0</v>
      </c>
      <c r="C1550" s="40"/>
      <c r="D1550" s="40"/>
      <c r="E1550" s="40">
        <f t="shared" ca="1" si="786"/>
        <v>0</v>
      </c>
      <c r="F1550" s="13">
        <f t="shared" ca="1" si="786"/>
        <v>0</v>
      </c>
      <c r="G1550" s="17">
        <f t="shared" ca="1" si="786"/>
        <v>0</v>
      </c>
      <c r="H1550" s="13">
        <f t="shared" ca="1" si="786"/>
        <v>0</v>
      </c>
      <c r="I1550" s="16"/>
      <c r="J1550" s="13">
        <f t="shared" ca="1" si="786"/>
        <v>0</v>
      </c>
      <c r="K1550" s="15">
        <f t="shared" ca="1" si="778"/>
        <v>1</v>
      </c>
      <c r="L1550" s="15"/>
      <c r="M1550" s="15">
        <f t="shared" ca="1" si="777"/>
        <v>0</v>
      </c>
      <c r="N1550" s="8"/>
    </row>
    <row r="1551" spans="1:14" x14ac:dyDescent="0.4">
      <c r="A1551" s="11" t="s">
        <v>21</v>
      </c>
      <c r="B1551" s="40">
        <f t="shared" ca="1" si="786"/>
        <v>0</v>
      </c>
      <c r="C1551" s="40"/>
      <c r="D1551" s="40"/>
      <c r="E1551" s="40">
        <f t="shared" ca="1" si="786"/>
        <v>0</v>
      </c>
      <c r="F1551" s="13">
        <f t="shared" ca="1" si="786"/>
        <v>0</v>
      </c>
      <c r="G1551" s="17">
        <f t="shared" ca="1" si="786"/>
        <v>0</v>
      </c>
      <c r="H1551" s="13">
        <f t="shared" ca="1" si="786"/>
        <v>0</v>
      </c>
      <c r="I1551" s="16"/>
      <c r="J1551" s="13">
        <f t="shared" ca="1" si="786"/>
        <v>0</v>
      </c>
      <c r="K1551" s="15">
        <f t="shared" ca="1" si="778"/>
        <v>1</v>
      </c>
      <c r="L1551" s="15"/>
      <c r="M1551" s="15">
        <f t="shared" ca="1" si="777"/>
        <v>0</v>
      </c>
      <c r="N1551" s="8"/>
    </row>
    <row r="1552" spans="1:14" x14ac:dyDescent="0.4">
      <c r="A1552" s="11" t="s">
        <v>21</v>
      </c>
      <c r="B1552" s="40">
        <f t="shared" ca="1" si="786"/>
        <v>0</v>
      </c>
      <c r="C1552" s="40"/>
      <c r="D1552" s="40"/>
      <c r="E1552" s="40">
        <f t="shared" ca="1" si="786"/>
        <v>0</v>
      </c>
      <c r="F1552" s="13">
        <f t="shared" ca="1" si="786"/>
        <v>0</v>
      </c>
      <c r="G1552" s="17">
        <f t="shared" ca="1" si="786"/>
        <v>0</v>
      </c>
      <c r="H1552" s="13">
        <f t="shared" ca="1" si="786"/>
        <v>0</v>
      </c>
      <c r="I1552" s="16"/>
      <c r="J1552" s="13">
        <f t="shared" ca="1" si="786"/>
        <v>0</v>
      </c>
      <c r="K1552" s="15">
        <f t="shared" ca="1" si="778"/>
        <v>1</v>
      </c>
      <c r="L1552" s="15"/>
      <c r="M1552" s="15">
        <f t="shared" ca="1" si="777"/>
        <v>0</v>
      </c>
      <c r="N1552" s="8"/>
    </row>
    <row r="1553" spans="1:14" x14ac:dyDescent="0.4">
      <c r="A1553" s="11" t="s">
        <v>21</v>
      </c>
      <c r="B1553" s="40">
        <f t="shared" ca="1" si="786"/>
        <v>0</v>
      </c>
      <c r="C1553" s="40"/>
      <c r="D1553" s="40"/>
      <c r="E1553" s="40">
        <f t="shared" ca="1" si="786"/>
        <v>0</v>
      </c>
      <c r="F1553" s="13">
        <f t="shared" ca="1" si="786"/>
        <v>0</v>
      </c>
      <c r="G1553" s="17">
        <f t="shared" ca="1" si="786"/>
        <v>0</v>
      </c>
      <c r="H1553" s="13">
        <f t="shared" ca="1" si="786"/>
        <v>0</v>
      </c>
      <c r="I1553" s="16"/>
      <c r="J1553" s="13">
        <f t="shared" ca="1" si="786"/>
        <v>0</v>
      </c>
      <c r="K1553" s="15">
        <f t="shared" ca="1" si="778"/>
        <v>1</v>
      </c>
      <c r="L1553" s="15"/>
      <c r="M1553" s="15">
        <f t="shared" ca="1" si="777"/>
        <v>0</v>
      </c>
      <c r="N1553" s="8"/>
    </row>
    <row r="1554" spans="1:14" x14ac:dyDescent="0.4">
      <c r="A1554" s="36"/>
      <c r="B1554" s="36"/>
      <c r="C1554" s="36"/>
      <c r="D1554" s="36"/>
      <c r="E1554" s="36"/>
      <c r="F1554" s="36"/>
      <c r="G1554" s="36"/>
      <c r="H1554" s="36"/>
      <c r="I1554" s="36"/>
      <c r="J1554" s="36"/>
      <c r="K1554" s="36"/>
      <c r="L1554" s="36"/>
      <c r="M1554" s="37"/>
    </row>
    <row r="1555" spans="1:14" x14ac:dyDescent="0.4">
      <c r="A1555" s="58" t="s">
        <v>174</v>
      </c>
      <c r="B1555" s="59"/>
      <c r="C1555" s="59"/>
      <c r="D1555" s="59"/>
      <c r="E1555" s="59"/>
      <c r="F1555" s="59"/>
      <c r="G1555" s="59"/>
      <c r="H1555" s="59"/>
      <c r="I1555" s="60"/>
      <c r="J1555" s="54" t="s">
        <v>3</v>
      </c>
      <c r="K1555" s="54"/>
      <c r="L1555" s="54"/>
      <c r="M1555" s="7"/>
      <c r="N1555" s="7"/>
    </row>
    <row r="1556" spans="1:14" x14ac:dyDescent="0.4">
      <c r="A1556" s="61"/>
      <c r="B1556" s="62"/>
      <c r="C1556" s="62"/>
      <c r="D1556" s="62"/>
      <c r="E1556" s="62"/>
      <c r="F1556" s="62"/>
      <c r="G1556" s="62"/>
      <c r="H1556" s="62"/>
      <c r="I1556" s="63"/>
      <c r="J1556" s="54" t="s">
        <v>4</v>
      </c>
      <c r="K1556" s="54"/>
      <c r="L1556" s="54"/>
      <c r="M1556" s="7"/>
      <c r="N1556" s="7"/>
    </row>
    <row r="1557" spans="1:14" x14ac:dyDescent="0.4">
      <c r="A1557" s="64"/>
      <c r="B1557" s="65"/>
      <c r="C1557" s="65"/>
      <c r="D1557" s="65"/>
      <c r="E1557" s="65"/>
      <c r="F1557" s="65"/>
      <c r="G1557" s="65"/>
      <c r="H1557" s="65"/>
      <c r="I1557" s="66"/>
      <c r="J1557" s="54" t="s">
        <v>0</v>
      </c>
      <c r="K1557" s="54"/>
      <c r="L1557" s="54"/>
      <c r="M1557" s="9"/>
      <c r="N1557" s="9"/>
    </row>
    <row r="1558" spans="1:14" x14ac:dyDescent="0.4">
      <c r="A1558" s="39"/>
      <c r="B1558" s="39"/>
      <c r="C1558" s="39"/>
      <c r="D1558" s="39"/>
      <c r="E1558" s="39"/>
      <c r="F1558" s="39"/>
      <c r="G1558" s="39"/>
      <c r="H1558" s="39"/>
      <c r="I1558" s="39"/>
      <c r="J1558" s="39"/>
      <c r="K1558" s="39"/>
      <c r="L1558" s="39"/>
      <c r="M1558" s="39"/>
    </row>
    <row r="1559" spans="1:14" x14ac:dyDescent="0.4">
      <c r="A1559" s="53" t="s">
        <v>14</v>
      </c>
      <c r="B1559" s="55" t="s">
        <v>33</v>
      </c>
      <c r="C1559" s="71" t="s">
        <v>152</v>
      </c>
      <c r="D1559" s="71" t="s">
        <v>153</v>
      </c>
      <c r="E1559" s="55" t="s">
        <v>145</v>
      </c>
      <c r="F1559" s="53" t="s">
        <v>1</v>
      </c>
      <c r="G1559" s="53"/>
      <c r="H1559" s="53" t="s">
        <v>19</v>
      </c>
      <c r="I1559" s="57" t="s">
        <v>15</v>
      </c>
      <c r="J1559" s="57" t="s">
        <v>16</v>
      </c>
      <c r="K1559" s="53" t="s">
        <v>17</v>
      </c>
      <c r="L1559" s="53" t="s">
        <v>84</v>
      </c>
      <c r="M1559" s="53"/>
      <c r="N1559" s="53" t="s">
        <v>20</v>
      </c>
    </row>
    <row r="1560" spans="1:14" x14ac:dyDescent="0.4">
      <c r="A1560" s="53"/>
      <c r="B1560" s="55"/>
      <c r="C1560" s="72"/>
      <c r="D1560" s="72"/>
      <c r="E1560" s="55"/>
      <c r="F1560" s="53" t="s">
        <v>18</v>
      </c>
      <c r="G1560" s="53" t="s">
        <v>2</v>
      </c>
      <c r="H1560" s="53"/>
      <c r="I1560" s="57"/>
      <c r="J1560" s="57"/>
      <c r="K1560" s="53"/>
      <c r="L1560" s="53"/>
      <c r="M1560" s="53"/>
      <c r="N1560" s="53"/>
    </row>
    <row r="1561" spans="1:14" x14ac:dyDescent="0.4">
      <c r="A1561" s="53"/>
      <c r="B1561" s="56"/>
      <c r="C1561" s="73"/>
      <c r="D1561" s="73"/>
      <c r="E1561" s="55"/>
      <c r="F1561" s="53"/>
      <c r="G1561" s="53"/>
      <c r="H1561" s="53"/>
      <c r="I1561" s="57"/>
      <c r="J1561" s="57"/>
      <c r="K1561" s="53"/>
      <c r="L1561" s="42" t="s">
        <v>85</v>
      </c>
      <c r="M1561" s="42" t="s">
        <v>86</v>
      </c>
      <c r="N1561" s="53"/>
    </row>
    <row r="1562" spans="1:14" x14ac:dyDescent="0.4">
      <c r="A1562" s="74" t="s">
        <v>26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9"/>
    </row>
    <row r="1563" spans="1:14" x14ac:dyDescent="0.4">
      <c r="A1563" s="11" t="s">
        <v>5</v>
      </c>
      <c r="B1563" s="40"/>
      <c r="C1563" s="40"/>
      <c r="D1563" s="40"/>
      <c r="E1563" s="40"/>
      <c r="F1563" s="13"/>
      <c r="G1563" s="11"/>
      <c r="H1563" s="17"/>
      <c r="I1563" s="13"/>
      <c r="J1563" s="16"/>
      <c r="K1563" s="13"/>
      <c r="L1563" s="15">
        <f>ROUND((10^(K1563/10))/(10^(I1563/10)),3)</f>
        <v>1</v>
      </c>
      <c r="M1563" s="15"/>
      <c r="N1563" s="15">
        <f t="shared" ref="N1563:N1580" si="787">J1563*L1563</f>
        <v>0</v>
      </c>
    </row>
    <row r="1564" spans="1:14" x14ac:dyDescent="0.4">
      <c r="A1564" s="11" t="s">
        <v>5</v>
      </c>
      <c r="B1564" s="40"/>
      <c r="C1564" s="40"/>
      <c r="D1564" s="40"/>
      <c r="E1564" s="40"/>
      <c r="F1564" s="13"/>
      <c r="G1564" s="11"/>
      <c r="H1564" s="17"/>
      <c r="I1564" s="13"/>
      <c r="J1564" s="16"/>
      <c r="K1564" s="13"/>
      <c r="L1564" s="15">
        <f t="shared" ref="L1564:L1580" si="788">ROUND((10^(K1564/10))/(10^(I1564/10)),3)</f>
        <v>1</v>
      </c>
      <c r="M1564" s="15"/>
      <c r="N1564" s="15">
        <f t="shared" si="787"/>
        <v>0</v>
      </c>
    </row>
    <row r="1565" spans="1:14" x14ac:dyDescent="0.4">
      <c r="A1565" s="11" t="s">
        <v>5</v>
      </c>
      <c r="B1565" s="40"/>
      <c r="C1565" s="40"/>
      <c r="D1565" s="40"/>
      <c r="E1565" s="40"/>
      <c r="F1565" s="13"/>
      <c r="G1565" s="11"/>
      <c r="H1565" s="17"/>
      <c r="I1565" s="13"/>
      <c r="J1565" s="16"/>
      <c r="K1565" s="13"/>
      <c r="L1565" s="15">
        <f t="shared" si="788"/>
        <v>1</v>
      </c>
      <c r="M1565" s="15"/>
      <c r="N1565" s="15">
        <f t="shared" si="787"/>
        <v>0</v>
      </c>
    </row>
    <row r="1566" spans="1:14" x14ac:dyDescent="0.4">
      <c r="A1566" s="11" t="s">
        <v>6</v>
      </c>
      <c r="B1566" s="41">
        <f t="shared" ref="B1566:I1568" ca="1" si="789">OFFSET(B1566,-3,0)</f>
        <v>0</v>
      </c>
      <c r="C1566" s="41"/>
      <c r="D1566" s="41"/>
      <c r="E1566" s="41"/>
      <c r="F1566" s="19">
        <f t="shared" ca="1" si="789"/>
        <v>0</v>
      </c>
      <c r="G1566" s="20">
        <f t="shared" ca="1" si="789"/>
        <v>0</v>
      </c>
      <c r="H1566" s="20">
        <f t="shared" ca="1" si="789"/>
        <v>0</v>
      </c>
      <c r="I1566" s="13">
        <f t="shared" ca="1" si="789"/>
        <v>0</v>
      </c>
      <c r="J1566" s="16"/>
      <c r="K1566" s="19">
        <f t="shared" ref="K1566:K1568" ca="1" si="790">OFFSET(K1566,-3,0)</f>
        <v>0</v>
      </c>
      <c r="L1566" s="15">
        <f t="shared" ca="1" si="788"/>
        <v>1</v>
      </c>
      <c r="M1566" s="15"/>
      <c r="N1566" s="15">
        <f t="shared" ca="1" si="787"/>
        <v>0</v>
      </c>
    </row>
    <row r="1567" spans="1:14" x14ac:dyDescent="0.4">
      <c r="A1567" s="11" t="s">
        <v>6</v>
      </c>
      <c r="B1567" s="41">
        <f t="shared" ca="1" si="789"/>
        <v>0</v>
      </c>
      <c r="C1567" s="41"/>
      <c r="D1567" s="41"/>
      <c r="E1567" s="41"/>
      <c r="F1567" s="19">
        <f t="shared" ca="1" si="789"/>
        <v>0</v>
      </c>
      <c r="G1567" s="20">
        <f t="shared" ca="1" si="789"/>
        <v>0</v>
      </c>
      <c r="H1567" s="20">
        <f t="shared" ca="1" si="789"/>
        <v>0</v>
      </c>
      <c r="I1567" s="13">
        <f t="shared" ca="1" si="789"/>
        <v>0</v>
      </c>
      <c r="J1567" s="16"/>
      <c r="K1567" s="19">
        <f t="shared" ca="1" si="790"/>
        <v>0</v>
      </c>
      <c r="L1567" s="15">
        <f t="shared" ca="1" si="788"/>
        <v>1</v>
      </c>
      <c r="M1567" s="15"/>
      <c r="N1567" s="15">
        <f t="shared" ca="1" si="787"/>
        <v>0</v>
      </c>
    </row>
    <row r="1568" spans="1:14" x14ac:dyDescent="0.4">
      <c r="A1568" s="11" t="s">
        <v>6</v>
      </c>
      <c r="B1568" s="41">
        <f t="shared" ca="1" si="789"/>
        <v>0</v>
      </c>
      <c r="C1568" s="41"/>
      <c r="D1568" s="41"/>
      <c r="E1568" s="41"/>
      <c r="F1568" s="19">
        <f t="shared" ca="1" si="789"/>
        <v>0</v>
      </c>
      <c r="G1568" s="20">
        <f t="shared" ca="1" si="789"/>
        <v>0</v>
      </c>
      <c r="H1568" s="20">
        <f t="shared" ca="1" si="789"/>
        <v>0</v>
      </c>
      <c r="I1568" s="13">
        <f t="shared" ca="1" si="789"/>
        <v>0</v>
      </c>
      <c r="J1568" s="16"/>
      <c r="K1568" s="19">
        <f t="shared" ca="1" si="790"/>
        <v>0</v>
      </c>
      <c r="L1568" s="15">
        <f t="shared" ca="1" si="788"/>
        <v>1</v>
      </c>
      <c r="M1568" s="15"/>
      <c r="N1568" s="15">
        <f t="shared" ca="1" si="787"/>
        <v>0</v>
      </c>
    </row>
    <row r="1569" spans="1:14" x14ac:dyDescent="0.4">
      <c r="A1569" s="11" t="s">
        <v>10</v>
      </c>
      <c r="B1569" s="40">
        <f t="shared" ref="B1569:I1571" ca="1" si="791">OFFSET(B1569,-6,0)</f>
        <v>0</v>
      </c>
      <c r="C1569" s="40"/>
      <c r="D1569" s="40"/>
      <c r="E1569" s="40"/>
      <c r="F1569" s="13">
        <f t="shared" ca="1" si="791"/>
        <v>0</v>
      </c>
      <c r="G1569" s="17">
        <f t="shared" ca="1" si="791"/>
        <v>0</v>
      </c>
      <c r="H1569" s="17">
        <f t="shared" ca="1" si="791"/>
        <v>0</v>
      </c>
      <c r="I1569" s="13">
        <f t="shared" ca="1" si="791"/>
        <v>0</v>
      </c>
      <c r="J1569" s="16"/>
      <c r="K1569" s="13">
        <f t="shared" ref="K1569:K1571" ca="1" si="792">OFFSET(K1569,-6,0)</f>
        <v>0</v>
      </c>
      <c r="L1569" s="15">
        <f t="shared" ca="1" si="788"/>
        <v>1</v>
      </c>
      <c r="M1569" s="15"/>
      <c r="N1569" s="15">
        <f t="shared" ca="1" si="787"/>
        <v>0</v>
      </c>
    </row>
    <row r="1570" spans="1:14" x14ac:dyDescent="0.4">
      <c r="A1570" s="11" t="s">
        <v>10</v>
      </c>
      <c r="B1570" s="40">
        <f t="shared" ca="1" si="791"/>
        <v>0</v>
      </c>
      <c r="C1570" s="40"/>
      <c r="D1570" s="40"/>
      <c r="E1570" s="40"/>
      <c r="F1570" s="13">
        <f t="shared" ca="1" si="791"/>
        <v>0</v>
      </c>
      <c r="G1570" s="17">
        <f t="shared" ca="1" si="791"/>
        <v>0</v>
      </c>
      <c r="H1570" s="17">
        <f t="shared" ca="1" si="791"/>
        <v>0</v>
      </c>
      <c r="I1570" s="13">
        <f t="shared" ca="1" si="791"/>
        <v>0</v>
      </c>
      <c r="J1570" s="16"/>
      <c r="K1570" s="13">
        <f t="shared" ca="1" si="792"/>
        <v>0</v>
      </c>
      <c r="L1570" s="15">
        <f t="shared" ca="1" si="788"/>
        <v>1</v>
      </c>
      <c r="M1570" s="15"/>
      <c r="N1570" s="15">
        <f t="shared" ca="1" si="787"/>
        <v>0</v>
      </c>
    </row>
    <row r="1571" spans="1:14" x14ac:dyDescent="0.4">
      <c r="A1571" s="11" t="s">
        <v>10</v>
      </c>
      <c r="B1571" s="40">
        <f t="shared" ca="1" si="791"/>
        <v>0</v>
      </c>
      <c r="C1571" s="40"/>
      <c r="D1571" s="40"/>
      <c r="E1571" s="40"/>
      <c r="F1571" s="13">
        <f t="shared" ca="1" si="791"/>
        <v>0</v>
      </c>
      <c r="G1571" s="17">
        <f t="shared" ca="1" si="791"/>
        <v>0</v>
      </c>
      <c r="H1571" s="17">
        <f t="shared" ca="1" si="791"/>
        <v>0</v>
      </c>
      <c r="I1571" s="13">
        <f t="shared" ca="1" si="791"/>
        <v>0</v>
      </c>
      <c r="J1571" s="16"/>
      <c r="K1571" s="13">
        <f t="shared" ca="1" si="792"/>
        <v>0</v>
      </c>
      <c r="L1571" s="15">
        <f t="shared" ca="1" si="788"/>
        <v>1</v>
      </c>
      <c r="M1571" s="15"/>
      <c r="N1571" s="15">
        <f t="shared" ca="1" si="787"/>
        <v>0</v>
      </c>
    </row>
    <row r="1572" spans="1:14" x14ac:dyDescent="0.4">
      <c r="A1572" s="11" t="s">
        <v>7</v>
      </c>
      <c r="B1572" s="40">
        <f t="shared" ref="B1572:I1574" ca="1" si="793">OFFSET(B1572,-9,0)</f>
        <v>0</v>
      </c>
      <c r="C1572" s="40"/>
      <c r="D1572" s="40"/>
      <c r="E1572" s="40"/>
      <c r="F1572" s="13">
        <f t="shared" ca="1" si="793"/>
        <v>0</v>
      </c>
      <c r="G1572" s="17">
        <f t="shared" ca="1" si="793"/>
        <v>0</v>
      </c>
      <c r="H1572" s="17">
        <f t="shared" ca="1" si="793"/>
        <v>0</v>
      </c>
      <c r="I1572" s="13">
        <f t="shared" ca="1" si="793"/>
        <v>0</v>
      </c>
      <c r="J1572" s="16"/>
      <c r="K1572" s="13">
        <f t="shared" ref="K1572:K1574" ca="1" si="794">OFFSET(K1572,-9,0)</f>
        <v>0</v>
      </c>
      <c r="L1572" s="15">
        <f t="shared" ca="1" si="788"/>
        <v>1</v>
      </c>
      <c r="M1572" s="15"/>
      <c r="N1572" s="15">
        <f t="shared" ca="1" si="787"/>
        <v>0</v>
      </c>
    </row>
    <row r="1573" spans="1:14" x14ac:dyDescent="0.4">
      <c r="A1573" s="11" t="s">
        <v>7</v>
      </c>
      <c r="B1573" s="40">
        <f t="shared" ca="1" si="793"/>
        <v>0</v>
      </c>
      <c r="C1573" s="40"/>
      <c r="D1573" s="40"/>
      <c r="E1573" s="40"/>
      <c r="F1573" s="13">
        <f t="shared" ca="1" si="793"/>
        <v>0</v>
      </c>
      <c r="G1573" s="17">
        <f t="shared" ca="1" si="793"/>
        <v>0</v>
      </c>
      <c r="H1573" s="17">
        <f t="shared" ca="1" si="793"/>
        <v>0</v>
      </c>
      <c r="I1573" s="13">
        <f t="shared" ca="1" si="793"/>
        <v>0</v>
      </c>
      <c r="J1573" s="16"/>
      <c r="K1573" s="13">
        <f t="shared" ca="1" si="794"/>
        <v>0</v>
      </c>
      <c r="L1573" s="15">
        <f t="shared" ca="1" si="788"/>
        <v>1</v>
      </c>
      <c r="M1573" s="15"/>
      <c r="N1573" s="15">
        <f t="shared" ca="1" si="787"/>
        <v>0</v>
      </c>
    </row>
    <row r="1574" spans="1:14" x14ac:dyDescent="0.4">
      <c r="A1574" s="11" t="s">
        <v>7</v>
      </c>
      <c r="B1574" s="40">
        <f t="shared" ca="1" si="793"/>
        <v>0</v>
      </c>
      <c r="C1574" s="40"/>
      <c r="D1574" s="40"/>
      <c r="E1574" s="40"/>
      <c r="F1574" s="13">
        <f t="shared" ca="1" si="793"/>
        <v>0</v>
      </c>
      <c r="G1574" s="17">
        <f t="shared" ca="1" si="793"/>
        <v>0</v>
      </c>
      <c r="H1574" s="17">
        <f t="shared" ca="1" si="793"/>
        <v>0</v>
      </c>
      <c r="I1574" s="13">
        <f t="shared" ca="1" si="793"/>
        <v>0</v>
      </c>
      <c r="J1574" s="16"/>
      <c r="K1574" s="13">
        <f t="shared" ca="1" si="794"/>
        <v>0</v>
      </c>
      <c r="L1574" s="15">
        <f t="shared" ca="1" si="788"/>
        <v>1</v>
      </c>
      <c r="M1574" s="15"/>
      <c r="N1574" s="15">
        <f t="shared" ca="1" si="787"/>
        <v>0</v>
      </c>
    </row>
    <row r="1575" spans="1:14" x14ac:dyDescent="0.4">
      <c r="A1575" s="11" t="s">
        <v>8</v>
      </c>
      <c r="B1575" s="40">
        <f t="shared" ref="B1575:I1577" ca="1" si="795">OFFSET(B1575,-12,0)</f>
        <v>0</v>
      </c>
      <c r="C1575" s="40"/>
      <c r="D1575" s="40"/>
      <c r="E1575" s="40"/>
      <c r="F1575" s="13">
        <f t="shared" ca="1" si="795"/>
        <v>0</v>
      </c>
      <c r="G1575" s="17">
        <f t="shared" ca="1" si="795"/>
        <v>0</v>
      </c>
      <c r="H1575" s="17">
        <f t="shared" ca="1" si="795"/>
        <v>0</v>
      </c>
      <c r="I1575" s="13">
        <f t="shared" ca="1" si="795"/>
        <v>0</v>
      </c>
      <c r="J1575" s="16"/>
      <c r="K1575" s="13">
        <f t="shared" ref="K1575:K1577" ca="1" si="796">OFFSET(K1575,-12,0)</f>
        <v>0</v>
      </c>
      <c r="L1575" s="15">
        <f t="shared" ca="1" si="788"/>
        <v>1</v>
      </c>
      <c r="M1575" s="15"/>
      <c r="N1575" s="15">
        <f t="shared" ca="1" si="787"/>
        <v>0</v>
      </c>
    </row>
    <row r="1576" spans="1:14" x14ac:dyDescent="0.4">
      <c r="A1576" s="11" t="s">
        <v>8</v>
      </c>
      <c r="B1576" s="40">
        <f t="shared" ca="1" si="795"/>
        <v>0</v>
      </c>
      <c r="C1576" s="40"/>
      <c r="D1576" s="40"/>
      <c r="E1576" s="40"/>
      <c r="F1576" s="13">
        <f t="shared" ca="1" si="795"/>
        <v>0</v>
      </c>
      <c r="G1576" s="17">
        <f t="shared" ca="1" si="795"/>
        <v>0</v>
      </c>
      <c r="H1576" s="17">
        <f t="shared" ca="1" si="795"/>
        <v>0</v>
      </c>
      <c r="I1576" s="13">
        <f t="shared" ca="1" si="795"/>
        <v>0</v>
      </c>
      <c r="J1576" s="16"/>
      <c r="K1576" s="13">
        <f t="shared" ca="1" si="796"/>
        <v>0</v>
      </c>
      <c r="L1576" s="15">
        <f t="shared" ca="1" si="788"/>
        <v>1</v>
      </c>
      <c r="M1576" s="15"/>
      <c r="N1576" s="15">
        <f t="shared" ca="1" si="787"/>
        <v>0</v>
      </c>
    </row>
    <row r="1577" spans="1:14" x14ac:dyDescent="0.4">
      <c r="A1577" s="11" t="s">
        <v>8</v>
      </c>
      <c r="B1577" s="40">
        <f t="shared" ca="1" si="795"/>
        <v>0</v>
      </c>
      <c r="C1577" s="40"/>
      <c r="D1577" s="40"/>
      <c r="E1577" s="40"/>
      <c r="F1577" s="13">
        <f t="shared" ca="1" si="795"/>
        <v>0</v>
      </c>
      <c r="G1577" s="17">
        <f t="shared" ca="1" si="795"/>
        <v>0</v>
      </c>
      <c r="H1577" s="17">
        <f t="shared" ca="1" si="795"/>
        <v>0</v>
      </c>
      <c r="I1577" s="13">
        <f t="shared" ca="1" si="795"/>
        <v>0</v>
      </c>
      <c r="J1577" s="16"/>
      <c r="K1577" s="13">
        <f t="shared" ca="1" si="796"/>
        <v>0</v>
      </c>
      <c r="L1577" s="15">
        <f t="shared" ca="1" si="788"/>
        <v>1</v>
      </c>
      <c r="M1577" s="15"/>
      <c r="N1577" s="15">
        <f t="shared" ca="1" si="787"/>
        <v>0</v>
      </c>
    </row>
    <row r="1578" spans="1:14" x14ac:dyDescent="0.4">
      <c r="A1578" s="11" t="s">
        <v>9</v>
      </c>
      <c r="B1578" s="41">
        <f t="shared" ref="B1578:G1580" ca="1" si="797">OFFSET(B1578,-15,0)</f>
        <v>0</v>
      </c>
      <c r="C1578" s="41"/>
      <c r="D1578" s="41"/>
      <c r="E1578" s="41"/>
      <c r="F1578" s="19">
        <f t="shared" ca="1" si="797"/>
        <v>0</v>
      </c>
      <c r="G1578" s="20">
        <f t="shared" ca="1" si="797"/>
        <v>0</v>
      </c>
      <c r="H1578" s="20">
        <f ca="1">OFFSET(H1578,-15,0)</f>
        <v>0</v>
      </c>
      <c r="I1578" s="13">
        <f t="shared" ref="H1578:I1580" ca="1" si="798">OFFSET(I1578,-15,0)</f>
        <v>0</v>
      </c>
      <c r="J1578" s="16"/>
      <c r="K1578" s="19">
        <f t="shared" ref="K1578:K1580" ca="1" si="799">OFFSET(K1578,-15,0)</f>
        <v>0</v>
      </c>
      <c r="L1578" s="15">
        <f t="shared" ca="1" si="788"/>
        <v>1</v>
      </c>
      <c r="M1578" s="15"/>
      <c r="N1578" s="15">
        <f t="shared" ca="1" si="787"/>
        <v>0</v>
      </c>
    </row>
    <row r="1579" spans="1:14" x14ac:dyDescent="0.4">
      <c r="A1579" s="11" t="s">
        <v>9</v>
      </c>
      <c r="B1579" s="41">
        <f t="shared" ca="1" si="797"/>
        <v>0</v>
      </c>
      <c r="C1579" s="41"/>
      <c r="D1579" s="41"/>
      <c r="E1579" s="41"/>
      <c r="F1579" s="19">
        <f t="shared" ca="1" si="797"/>
        <v>0</v>
      </c>
      <c r="G1579" s="20">
        <f t="shared" ca="1" si="797"/>
        <v>0</v>
      </c>
      <c r="H1579" s="20">
        <f t="shared" ca="1" si="798"/>
        <v>0</v>
      </c>
      <c r="I1579" s="13">
        <f t="shared" ca="1" si="798"/>
        <v>0</v>
      </c>
      <c r="J1579" s="16"/>
      <c r="K1579" s="19">
        <f t="shared" ca="1" si="799"/>
        <v>0</v>
      </c>
      <c r="L1579" s="15">
        <f t="shared" ca="1" si="788"/>
        <v>1</v>
      </c>
      <c r="M1579" s="15"/>
      <c r="N1579" s="15">
        <f t="shared" ca="1" si="787"/>
        <v>0</v>
      </c>
    </row>
    <row r="1580" spans="1:14" x14ac:dyDescent="0.4">
      <c r="A1580" s="11" t="s">
        <v>9</v>
      </c>
      <c r="B1580" s="41">
        <f t="shared" ca="1" si="797"/>
        <v>0</v>
      </c>
      <c r="C1580" s="41"/>
      <c r="D1580" s="41"/>
      <c r="E1580" s="41"/>
      <c r="F1580" s="19">
        <f t="shared" ca="1" si="797"/>
        <v>0</v>
      </c>
      <c r="G1580" s="20">
        <f t="shared" ca="1" si="797"/>
        <v>0</v>
      </c>
      <c r="H1580" s="20">
        <f t="shared" ca="1" si="798"/>
        <v>0</v>
      </c>
      <c r="I1580" s="13">
        <f t="shared" ca="1" si="798"/>
        <v>0</v>
      </c>
      <c r="J1580" s="16"/>
      <c r="K1580" s="19">
        <f t="shared" ca="1" si="799"/>
        <v>0</v>
      </c>
      <c r="L1580" s="15">
        <f t="shared" ca="1" si="788"/>
        <v>1</v>
      </c>
      <c r="M1580" s="15"/>
      <c r="N1580" s="15">
        <f t="shared" ca="1" si="787"/>
        <v>0</v>
      </c>
    </row>
    <row r="1581" spans="1:14" ht="17.399999999999999" x14ac:dyDescent="0.4">
      <c r="A1581" s="74" t="s">
        <v>28</v>
      </c>
      <c r="B1581" s="75"/>
      <c r="C1581" s="75"/>
      <c r="D1581" s="75"/>
      <c r="E1581" s="75"/>
      <c r="F1581" s="75"/>
      <c r="G1581" s="75"/>
      <c r="H1581" s="75"/>
      <c r="I1581" s="75"/>
      <c r="J1581" s="75"/>
      <c r="K1581" s="75"/>
      <c r="L1581" s="75"/>
      <c r="M1581" s="75"/>
      <c r="N1581" s="76"/>
    </row>
    <row r="1582" spans="1:14" x14ac:dyDescent="0.4">
      <c r="A1582" s="11" t="s">
        <v>5</v>
      </c>
      <c r="B1582" s="40"/>
      <c r="C1582" s="40"/>
      <c r="D1582" s="40"/>
      <c r="E1582" s="40"/>
      <c r="F1582" s="13"/>
      <c r="G1582" s="11"/>
      <c r="H1582" s="17"/>
      <c r="I1582" s="13"/>
      <c r="J1582" s="16"/>
      <c r="K1582" s="13"/>
      <c r="L1582" s="15">
        <f>ROUND((10^(K1582/10))/(10^(I1582/10)),3)</f>
        <v>1</v>
      </c>
      <c r="M1582" s="15"/>
      <c r="N1582" s="15">
        <f t="shared" ref="N1582:N1599" si="800">J1582*L1582</f>
        <v>0</v>
      </c>
    </row>
    <row r="1583" spans="1:14" x14ac:dyDescent="0.4">
      <c r="A1583" s="11" t="s">
        <v>5</v>
      </c>
      <c r="B1583" s="40"/>
      <c r="C1583" s="40"/>
      <c r="D1583" s="40"/>
      <c r="E1583" s="40"/>
      <c r="F1583" s="13"/>
      <c r="G1583" s="11"/>
      <c r="H1583" s="17"/>
      <c r="I1583" s="13"/>
      <c r="J1583" s="16"/>
      <c r="K1583" s="13"/>
      <c r="L1583" s="15">
        <f t="shared" ref="L1583:L1599" si="801">ROUND((10^(K1583/10))/(10^(I1583/10)),3)</f>
        <v>1</v>
      </c>
      <c r="M1583" s="15"/>
      <c r="N1583" s="15">
        <f t="shared" si="800"/>
        <v>0</v>
      </c>
    </row>
    <row r="1584" spans="1:14" x14ac:dyDescent="0.4">
      <c r="A1584" s="11" t="s">
        <v>5</v>
      </c>
      <c r="B1584" s="40"/>
      <c r="C1584" s="40"/>
      <c r="D1584" s="40"/>
      <c r="E1584" s="40"/>
      <c r="F1584" s="13"/>
      <c r="G1584" s="11"/>
      <c r="H1584" s="17"/>
      <c r="I1584" s="13"/>
      <c r="J1584" s="16"/>
      <c r="K1584" s="13"/>
      <c r="L1584" s="15">
        <f t="shared" si="801"/>
        <v>1</v>
      </c>
      <c r="M1584" s="15"/>
      <c r="N1584" s="15">
        <f t="shared" si="800"/>
        <v>0</v>
      </c>
    </row>
    <row r="1585" spans="1:14" x14ac:dyDescent="0.4">
      <c r="A1585" s="11" t="s">
        <v>6</v>
      </c>
      <c r="B1585" s="41">
        <f t="shared" ref="B1585:I1587" ca="1" si="802">OFFSET(B1585,-3,0)</f>
        <v>0</v>
      </c>
      <c r="C1585" s="41"/>
      <c r="D1585" s="41"/>
      <c r="E1585" s="41"/>
      <c r="F1585" s="19">
        <f t="shared" ca="1" si="802"/>
        <v>0</v>
      </c>
      <c r="G1585" s="20">
        <f t="shared" ca="1" si="802"/>
        <v>0</v>
      </c>
      <c r="H1585" s="20">
        <f t="shared" ca="1" si="802"/>
        <v>0</v>
      </c>
      <c r="I1585" s="13">
        <f t="shared" ca="1" si="802"/>
        <v>0</v>
      </c>
      <c r="J1585" s="16"/>
      <c r="K1585" s="19">
        <f t="shared" ref="K1585:K1587" ca="1" si="803">OFFSET(K1585,-3,0)</f>
        <v>0</v>
      </c>
      <c r="L1585" s="15">
        <f t="shared" ca="1" si="801"/>
        <v>1</v>
      </c>
      <c r="M1585" s="15"/>
      <c r="N1585" s="15">
        <f t="shared" ca="1" si="800"/>
        <v>0</v>
      </c>
    </row>
    <row r="1586" spans="1:14" x14ac:dyDescent="0.4">
      <c r="A1586" s="11" t="s">
        <v>6</v>
      </c>
      <c r="B1586" s="41">
        <f t="shared" ca="1" si="802"/>
        <v>0</v>
      </c>
      <c r="C1586" s="41"/>
      <c r="D1586" s="41"/>
      <c r="E1586" s="41"/>
      <c r="F1586" s="19">
        <f t="shared" ca="1" si="802"/>
        <v>0</v>
      </c>
      <c r="G1586" s="20">
        <f t="shared" ca="1" si="802"/>
        <v>0</v>
      </c>
      <c r="H1586" s="20">
        <f t="shared" ca="1" si="802"/>
        <v>0</v>
      </c>
      <c r="I1586" s="13">
        <f t="shared" ca="1" si="802"/>
        <v>0</v>
      </c>
      <c r="J1586" s="16"/>
      <c r="K1586" s="19">
        <f t="shared" ca="1" si="803"/>
        <v>0</v>
      </c>
      <c r="L1586" s="15">
        <f t="shared" ca="1" si="801"/>
        <v>1</v>
      </c>
      <c r="M1586" s="15"/>
      <c r="N1586" s="15">
        <f t="shared" ca="1" si="800"/>
        <v>0</v>
      </c>
    </row>
    <row r="1587" spans="1:14" x14ac:dyDescent="0.4">
      <c r="A1587" s="11" t="s">
        <v>6</v>
      </c>
      <c r="B1587" s="41">
        <f t="shared" ca="1" si="802"/>
        <v>0</v>
      </c>
      <c r="C1587" s="41"/>
      <c r="D1587" s="41"/>
      <c r="E1587" s="41"/>
      <c r="F1587" s="19">
        <f t="shared" ca="1" si="802"/>
        <v>0</v>
      </c>
      <c r="G1587" s="20">
        <f t="shared" ca="1" si="802"/>
        <v>0</v>
      </c>
      <c r="H1587" s="20">
        <f t="shared" ca="1" si="802"/>
        <v>0</v>
      </c>
      <c r="I1587" s="13">
        <f t="shared" ca="1" si="802"/>
        <v>0</v>
      </c>
      <c r="J1587" s="16"/>
      <c r="K1587" s="19">
        <f t="shared" ca="1" si="803"/>
        <v>0</v>
      </c>
      <c r="L1587" s="15">
        <f t="shared" ca="1" si="801"/>
        <v>1</v>
      </c>
      <c r="M1587" s="15"/>
      <c r="N1587" s="15">
        <f t="shared" ca="1" si="800"/>
        <v>0</v>
      </c>
    </row>
    <row r="1588" spans="1:14" x14ac:dyDescent="0.4">
      <c r="A1588" s="11" t="s">
        <v>10</v>
      </c>
      <c r="B1588" s="40">
        <f t="shared" ref="B1588:I1590" ca="1" si="804">OFFSET(B1588,-6,0)</f>
        <v>0</v>
      </c>
      <c r="C1588" s="40"/>
      <c r="D1588" s="40"/>
      <c r="E1588" s="40"/>
      <c r="F1588" s="13">
        <f t="shared" ca="1" si="804"/>
        <v>0</v>
      </c>
      <c r="G1588" s="17">
        <f t="shared" ca="1" si="804"/>
        <v>0</v>
      </c>
      <c r="H1588" s="17">
        <f t="shared" ca="1" si="804"/>
        <v>0</v>
      </c>
      <c r="I1588" s="13">
        <f t="shared" ca="1" si="804"/>
        <v>0</v>
      </c>
      <c r="J1588" s="16"/>
      <c r="K1588" s="13">
        <f t="shared" ref="K1588:K1590" ca="1" si="805">OFFSET(K1588,-6,0)</f>
        <v>0</v>
      </c>
      <c r="L1588" s="15">
        <f t="shared" ca="1" si="801"/>
        <v>1</v>
      </c>
      <c r="M1588" s="15"/>
      <c r="N1588" s="15">
        <f t="shared" ca="1" si="800"/>
        <v>0</v>
      </c>
    </row>
    <row r="1589" spans="1:14" x14ac:dyDescent="0.4">
      <c r="A1589" s="11" t="s">
        <v>10</v>
      </c>
      <c r="B1589" s="40">
        <f t="shared" ca="1" si="804"/>
        <v>0</v>
      </c>
      <c r="C1589" s="40"/>
      <c r="D1589" s="40"/>
      <c r="E1589" s="40"/>
      <c r="F1589" s="13">
        <f t="shared" ca="1" si="804"/>
        <v>0</v>
      </c>
      <c r="G1589" s="17">
        <f t="shared" ca="1" si="804"/>
        <v>0</v>
      </c>
      <c r="H1589" s="17">
        <f t="shared" ca="1" si="804"/>
        <v>0</v>
      </c>
      <c r="I1589" s="13">
        <f t="shared" ca="1" si="804"/>
        <v>0</v>
      </c>
      <c r="J1589" s="16"/>
      <c r="K1589" s="13">
        <f t="shared" ca="1" si="805"/>
        <v>0</v>
      </c>
      <c r="L1589" s="15">
        <f t="shared" ca="1" si="801"/>
        <v>1</v>
      </c>
      <c r="M1589" s="15"/>
      <c r="N1589" s="15">
        <f t="shared" ca="1" si="800"/>
        <v>0</v>
      </c>
    </row>
    <row r="1590" spans="1:14" x14ac:dyDescent="0.4">
      <c r="A1590" s="11" t="s">
        <v>10</v>
      </c>
      <c r="B1590" s="40">
        <f t="shared" ca="1" si="804"/>
        <v>0</v>
      </c>
      <c r="C1590" s="40"/>
      <c r="D1590" s="40"/>
      <c r="E1590" s="40"/>
      <c r="F1590" s="13">
        <f t="shared" ca="1" si="804"/>
        <v>0</v>
      </c>
      <c r="G1590" s="17">
        <f t="shared" ca="1" si="804"/>
        <v>0</v>
      </c>
      <c r="H1590" s="17">
        <f t="shared" ca="1" si="804"/>
        <v>0</v>
      </c>
      <c r="I1590" s="13">
        <f t="shared" ca="1" si="804"/>
        <v>0</v>
      </c>
      <c r="J1590" s="16"/>
      <c r="K1590" s="13">
        <f t="shared" ca="1" si="805"/>
        <v>0</v>
      </c>
      <c r="L1590" s="15">
        <f t="shared" ca="1" si="801"/>
        <v>1</v>
      </c>
      <c r="M1590" s="15"/>
      <c r="N1590" s="15">
        <f t="shared" ca="1" si="800"/>
        <v>0</v>
      </c>
    </row>
    <row r="1591" spans="1:14" x14ac:dyDescent="0.4">
      <c r="A1591" s="11" t="s">
        <v>7</v>
      </c>
      <c r="B1591" s="40">
        <f t="shared" ref="B1591:I1593" ca="1" si="806">OFFSET(B1591,-9,0)</f>
        <v>0</v>
      </c>
      <c r="C1591" s="40"/>
      <c r="D1591" s="40"/>
      <c r="E1591" s="40"/>
      <c r="F1591" s="13">
        <f t="shared" ca="1" si="806"/>
        <v>0</v>
      </c>
      <c r="G1591" s="17">
        <f t="shared" ca="1" si="806"/>
        <v>0</v>
      </c>
      <c r="H1591" s="17">
        <f t="shared" ca="1" si="806"/>
        <v>0</v>
      </c>
      <c r="I1591" s="13">
        <f t="shared" ca="1" si="806"/>
        <v>0</v>
      </c>
      <c r="J1591" s="16"/>
      <c r="K1591" s="13">
        <f t="shared" ref="K1591:K1593" ca="1" si="807">OFFSET(K1591,-9,0)</f>
        <v>0</v>
      </c>
      <c r="L1591" s="15">
        <f t="shared" ca="1" si="801"/>
        <v>1</v>
      </c>
      <c r="M1591" s="15"/>
      <c r="N1591" s="15">
        <f t="shared" ca="1" si="800"/>
        <v>0</v>
      </c>
    </row>
    <row r="1592" spans="1:14" x14ac:dyDescent="0.4">
      <c r="A1592" s="11" t="s">
        <v>7</v>
      </c>
      <c r="B1592" s="40">
        <f t="shared" ca="1" si="806"/>
        <v>0</v>
      </c>
      <c r="C1592" s="40"/>
      <c r="D1592" s="40"/>
      <c r="E1592" s="40"/>
      <c r="F1592" s="13">
        <f t="shared" ca="1" si="806"/>
        <v>0</v>
      </c>
      <c r="G1592" s="17">
        <f t="shared" ca="1" si="806"/>
        <v>0</v>
      </c>
      <c r="H1592" s="17">
        <f t="shared" ca="1" si="806"/>
        <v>0</v>
      </c>
      <c r="I1592" s="13">
        <f t="shared" ca="1" si="806"/>
        <v>0</v>
      </c>
      <c r="J1592" s="16"/>
      <c r="K1592" s="13">
        <f t="shared" ca="1" si="807"/>
        <v>0</v>
      </c>
      <c r="L1592" s="15">
        <f t="shared" ca="1" si="801"/>
        <v>1</v>
      </c>
      <c r="M1592" s="15"/>
      <c r="N1592" s="15">
        <f t="shared" ca="1" si="800"/>
        <v>0</v>
      </c>
    </row>
    <row r="1593" spans="1:14" x14ac:dyDescent="0.4">
      <c r="A1593" s="11" t="s">
        <v>7</v>
      </c>
      <c r="B1593" s="40">
        <f t="shared" ca="1" si="806"/>
        <v>0</v>
      </c>
      <c r="C1593" s="40"/>
      <c r="D1593" s="40"/>
      <c r="E1593" s="40"/>
      <c r="F1593" s="13">
        <f t="shared" ca="1" si="806"/>
        <v>0</v>
      </c>
      <c r="G1593" s="17">
        <f t="shared" ca="1" si="806"/>
        <v>0</v>
      </c>
      <c r="H1593" s="17">
        <f t="shared" ca="1" si="806"/>
        <v>0</v>
      </c>
      <c r="I1593" s="13">
        <f t="shared" ca="1" si="806"/>
        <v>0</v>
      </c>
      <c r="J1593" s="16"/>
      <c r="K1593" s="13">
        <f t="shared" ca="1" si="807"/>
        <v>0</v>
      </c>
      <c r="L1593" s="15">
        <f t="shared" ca="1" si="801"/>
        <v>1</v>
      </c>
      <c r="M1593" s="15"/>
      <c r="N1593" s="15">
        <f t="shared" ca="1" si="800"/>
        <v>0</v>
      </c>
    </row>
    <row r="1594" spans="1:14" x14ac:dyDescent="0.4">
      <c r="A1594" s="11" t="s">
        <v>8</v>
      </c>
      <c r="B1594" s="40">
        <f t="shared" ref="B1594:I1596" ca="1" si="808">OFFSET(B1594,-12,0)</f>
        <v>0</v>
      </c>
      <c r="C1594" s="40"/>
      <c r="D1594" s="40"/>
      <c r="E1594" s="40"/>
      <c r="F1594" s="13">
        <f t="shared" ca="1" si="808"/>
        <v>0</v>
      </c>
      <c r="G1594" s="17">
        <f t="shared" ca="1" si="808"/>
        <v>0</v>
      </c>
      <c r="H1594" s="17">
        <f t="shared" ca="1" si="808"/>
        <v>0</v>
      </c>
      <c r="I1594" s="13">
        <f t="shared" ca="1" si="808"/>
        <v>0</v>
      </c>
      <c r="J1594" s="16"/>
      <c r="K1594" s="13">
        <f t="shared" ref="K1594:K1596" ca="1" si="809">OFFSET(K1594,-12,0)</f>
        <v>0</v>
      </c>
      <c r="L1594" s="15">
        <f t="shared" ca="1" si="801"/>
        <v>1</v>
      </c>
      <c r="M1594" s="15"/>
      <c r="N1594" s="15">
        <f t="shared" ca="1" si="800"/>
        <v>0</v>
      </c>
    </row>
    <row r="1595" spans="1:14" x14ac:dyDescent="0.4">
      <c r="A1595" s="11" t="s">
        <v>8</v>
      </c>
      <c r="B1595" s="40">
        <f t="shared" ca="1" si="808"/>
        <v>0</v>
      </c>
      <c r="C1595" s="40"/>
      <c r="D1595" s="40"/>
      <c r="E1595" s="40"/>
      <c r="F1595" s="13">
        <f t="shared" ca="1" si="808"/>
        <v>0</v>
      </c>
      <c r="G1595" s="17">
        <f t="shared" ca="1" si="808"/>
        <v>0</v>
      </c>
      <c r="H1595" s="17">
        <f t="shared" ca="1" si="808"/>
        <v>0</v>
      </c>
      <c r="I1595" s="13">
        <f t="shared" ca="1" si="808"/>
        <v>0</v>
      </c>
      <c r="J1595" s="16"/>
      <c r="K1595" s="13">
        <f t="shared" ca="1" si="809"/>
        <v>0</v>
      </c>
      <c r="L1595" s="15">
        <f t="shared" ca="1" si="801"/>
        <v>1</v>
      </c>
      <c r="M1595" s="15"/>
      <c r="N1595" s="15">
        <f t="shared" ca="1" si="800"/>
        <v>0</v>
      </c>
    </row>
    <row r="1596" spans="1:14" x14ac:dyDescent="0.4">
      <c r="A1596" s="11" t="s">
        <v>8</v>
      </c>
      <c r="B1596" s="40">
        <f t="shared" ca="1" si="808"/>
        <v>0</v>
      </c>
      <c r="C1596" s="40"/>
      <c r="D1596" s="40"/>
      <c r="E1596" s="40"/>
      <c r="F1596" s="13">
        <f t="shared" ca="1" si="808"/>
        <v>0</v>
      </c>
      <c r="G1596" s="17">
        <f t="shared" ca="1" si="808"/>
        <v>0</v>
      </c>
      <c r="H1596" s="17">
        <f t="shared" ca="1" si="808"/>
        <v>0</v>
      </c>
      <c r="I1596" s="13">
        <f t="shared" ca="1" si="808"/>
        <v>0</v>
      </c>
      <c r="J1596" s="16"/>
      <c r="K1596" s="13">
        <f t="shared" ca="1" si="809"/>
        <v>0</v>
      </c>
      <c r="L1596" s="15">
        <f t="shared" ca="1" si="801"/>
        <v>1</v>
      </c>
      <c r="M1596" s="15"/>
      <c r="N1596" s="15">
        <f t="shared" ca="1" si="800"/>
        <v>0</v>
      </c>
    </row>
    <row r="1597" spans="1:14" x14ac:dyDescent="0.4">
      <c r="A1597" s="11" t="s">
        <v>9</v>
      </c>
      <c r="B1597" s="41">
        <f t="shared" ref="B1597:H1599" ca="1" si="810">OFFSET(B1597,-15,0)</f>
        <v>0</v>
      </c>
      <c r="C1597" s="41"/>
      <c r="D1597" s="41"/>
      <c r="E1597" s="41"/>
      <c r="F1597" s="19">
        <f t="shared" ca="1" si="810"/>
        <v>0</v>
      </c>
      <c r="G1597" s="20">
        <f t="shared" ca="1" si="810"/>
        <v>0</v>
      </c>
      <c r="H1597" s="20">
        <f ca="1">OFFSET(H1597,-15,0)</f>
        <v>0</v>
      </c>
      <c r="I1597" s="13">
        <f t="shared" ref="I1597:I1599" ca="1" si="811">OFFSET(I1597,-15,0)</f>
        <v>0</v>
      </c>
      <c r="J1597" s="16"/>
      <c r="K1597" s="19">
        <f t="shared" ref="K1597:K1599" ca="1" si="812">OFFSET(K1597,-15,0)</f>
        <v>0</v>
      </c>
      <c r="L1597" s="15">
        <f t="shared" ca="1" si="801"/>
        <v>1</v>
      </c>
      <c r="M1597" s="15"/>
      <c r="N1597" s="15">
        <f t="shared" ca="1" si="800"/>
        <v>0</v>
      </c>
    </row>
    <row r="1598" spans="1:14" x14ac:dyDescent="0.4">
      <c r="A1598" s="11" t="s">
        <v>9</v>
      </c>
      <c r="B1598" s="41">
        <f t="shared" ca="1" si="810"/>
        <v>0</v>
      </c>
      <c r="C1598" s="41"/>
      <c r="D1598" s="41"/>
      <c r="E1598" s="41"/>
      <c r="F1598" s="19">
        <f t="shared" ca="1" si="810"/>
        <v>0</v>
      </c>
      <c r="G1598" s="20">
        <f t="shared" ca="1" si="810"/>
        <v>0</v>
      </c>
      <c r="H1598" s="20">
        <f t="shared" ca="1" si="810"/>
        <v>0</v>
      </c>
      <c r="I1598" s="13">
        <f t="shared" ca="1" si="811"/>
        <v>0</v>
      </c>
      <c r="J1598" s="16"/>
      <c r="K1598" s="19">
        <f t="shared" ca="1" si="812"/>
        <v>0</v>
      </c>
      <c r="L1598" s="15">
        <f t="shared" ca="1" si="801"/>
        <v>1</v>
      </c>
      <c r="M1598" s="15"/>
      <c r="N1598" s="15">
        <f t="shared" ca="1" si="800"/>
        <v>0</v>
      </c>
    </row>
    <row r="1599" spans="1:14" x14ac:dyDescent="0.4">
      <c r="A1599" s="11" t="s">
        <v>9</v>
      </c>
      <c r="B1599" s="41">
        <f t="shared" ca="1" si="810"/>
        <v>0</v>
      </c>
      <c r="C1599" s="41"/>
      <c r="D1599" s="41"/>
      <c r="E1599" s="41"/>
      <c r="F1599" s="19">
        <f t="shared" ca="1" si="810"/>
        <v>0</v>
      </c>
      <c r="G1599" s="20">
        <f t="shared" ca="1" si="810"/>
        <v>0</v>
      </c>
      <c r="H1599" s="20">
        <f t="shared" ca="1" si="810"/>
        <v>0</v>
      </c>
      <c r="I1599" s="13">
        <f t="shared" ca="1" si="811"/>
        <v>0</v>
      </c>
      <c r="J1599" s="16"/>
      <c r="K1599" s="19">
        <f t="shared" ca="1" si="812"/>
        <v>0</v>
      </c>
      <c r="L1599" s="15">
        <f t="shared" ca="1" si="801"/>
        <v>1</v>
      </c>
      <c r="M1599" s="15"/>
      <c r="N1599" s="15">
        <f t="shared" ca="1" si="800"/>
        <v>0</v>
      </c>
    </row>
    <row r="1600" spans="1:14" ht="17.399999999999999" x14ac:dyDescent="0.4">
      <c r="A1600" s="74" t="s">
        <v>25</v>
      </c>
      <c r="B1600" s="75"/>
      <c r="C1600" s="75"/>
      <c r="D1600" s="75"/>
      <c r="E1600" s="75"/>
      <c r="F1600" s="75"/>
      <c r="G1600" s="75"/>
      <c r="H1600" s="75"/>
      <c r="I1600" s="75"/>
      <c r="J1600" s="75"/>
      <c r="K1600" s="75"/>
      <c r="L1600" s="75"/>
      <c r="M1600" s="75"/>
      <c r="N1600" s="76"/>
    </row>
    <row r="1601" spans="1:14" x14ac:dyDescent="0.4">
      <c r="A1601" s="11" t="s">
        <v>5</v>
      </c>
      <c r="B1601" s="40"/>
      <c r="C1601" s="40"/>
      <c r="D1601" s="40"/>
      <c r="E1601" s="40"/>
      <c r="F1601" s="13"/>
      <c r="G1601" s="11"/>
      <c r="H1601" s="17"/>
      <c r="I1601" s="13"/>
      <c r="J1601" s="16"/>
      <c r="K1601" s="13"/>
      <c r="L1601" s="15">
        <f>ROUND((10^(K1601/10))/(10^(I1601/10)),3)</f>
        <v>1</v>
      </c>
      <c r="M1601" s="15"/>
      <c r="N1601" s="15">
        <f t="shared" ref="N1601:N1618" si="813">J1601*L1601</f>
        <v>0</v>
      </c>
    </row>
    <row r="1602" spans="1:14" x14ac:dyDescent="0.4">
      <c r="A1602" s="11" t="s">
        <v>5</v>
      </c>
      <c r="B1602" s="40"/>
      <c r="C1602" s="40"/>
      <c r="D1602" s="40"/>
      <c r="E1602" s="40"/>
      <c r="F1602" s="13"/>
      <c r="G1602" s="11"/>
      <c r="H1602" s="17"/>
      <c r="I1602" s="13"/>
      <c r="J1602" s="16"/>
      <c r="K1602" s="13"/>
      <c r="L1602" s="15">
        <f t="shared" ref="L1602:L1618" si="814">ROUND((10^(K1602/10))/(10^(I1602/10)),3)</f>
        <v>1</v>
      </c>
      <c r="M1602" s="15"/>
      <c r="N1602" s="15">
        <f t="shared" si="813"/>
        <v>0</v>
      </c>
    </row>
    <row r="1603" spans="1:14" x14ac:dyDescent="0.4">
      <c r="A1603" s="11" t="s">
        <v>5</v>
      </c>
      <c r="B1603" s="40"/>
      <c r="C1603" s="40"/>
      <c r="D1603" s="40"/>
      <c r="E1603" s="40"/>
      <c r="F1603" s="13"/>
      <c r="G1603" s="11"/>
      <c r="H1603" s="17"/>
      <c r="I1603" s="13"/>
      <c r="J1603" s="16"/>
      <c r="K1603" s="13"/>
      <c r="L1603" s="15">
        <f t="shared" si="814"/>
        <v>1</v>
      </c>
      <c r="M1603" s="15"/>
      <c r="N1603" s="15">
        <f t="shared" si="813"/>
        <v>0</v>
      </c>
    </row>
    <row r="1604" spans="1:14" x14ac:dyDescent="0.4">
      <c r="A1604" s="11" t="s">
        <v>6</v>
      </c>
      <c r="B1604" s="41">
        <f t="shared" ref="B1604:I1606" ca="1" si="815">OFFSET(B1604,-3,0)</f>
        <v>0</v>
      </c>
      <c r="C1604" s="41"/>
      <c r="D1604" s="41"/>
      <c r="E1604" s="41"/>
      <c r="F1604" s="19">
        <f t="shared" ca="1" si="815"/>
        <v>0</v>
      </c>
      <c r="G1604" s="20">
        <f t="shared" ca="1" si="815"/>
        <v>0</v>
      </c>
      <c r="H1604" s="20">
        <f t="shared" ca="1" si="815"/>
        <v>0</v>
      </c>
      <c r="I1604" s="13">
        <f t="shared" ca="1" si="815"/>
        <v>0</v>
      </c>
      <c r="J1604" s="16"/>
      <c r="K1604" s="19">
        <f t="shared" ref="K1604:K1606" ca="1" si="816">OFFSET(K1604,-3,0)</f>
        <v>0</v>
      </c>
      <c r="L1604" s="15">
        <f t="shared" ca="1" si="814"/>
        <v>1</v>
      </c>
      <c r="M1604" s="15"/>
      <c r="N1604" s="15">
        <f t="shared" ca="1" si="813"/>
        <v>0</v>
      </c>
    </row>
    <row r="1605" spans="1:14" x14ac:dyDescent="0.4">
      <c r="A1605" s="11" t="s">
        <v>6</v>
      </c>
      <c r="B1605" s="41">
        <f t="shared" ca="1" si="815"/>
        <v>0</v>
      </c>
      <c r="C1605" s="41"/>
      <c r="D1605" s="41"/>
      <c r="E1605" s="41"/>
      <c r="F1605" s="19">
        <f t="shared" ca="1" si="815"/>
        <v>0</v>
      </c>
      <c r="G1605" s="20">
        <f t="shared" ca="1" si="815"/>
        <v>0</v>
      </c>
      <c r="H1605" s="20">
        <f t="shared" ca="1" si="815"/>
        <v>0</v>
      </c>
      <c r="I1605" s="13">
        <f t="shared" ca="1" si="815"/>
        <v>0</v>
      </c>
      <c r="J1605" s="16"/>
      <c r="K1605" s="19">
        <f t="shared" ca="1" si="816"/>
        <v>0</v>
      </c>
      <c r="L1605" s="15">
        <f t="shared" ca="1" si="814"/>
        <v>1</v>
      </c>
      <c r="M1605" s="15"/>
      <c r="N1605" s="15">
        <f t="shared" ca="1" si="813"/>
        <v>0</v>
      </c>
    </row>
    <row r="1606" spans="1:14" x14ac:dyDescent="0.4">
      <c r="A1606" s="11" t="s">
        <v>6</v>
      </c>
      <c r="B1606" s="41">
        <f t="shared" ca="1" si="815"/>
        <v>0</v>
      </c>
      <c r="C1606" s="41"/>
      <c r="D1606" s="41"/>
      <c r="E1606" s="41"/>
      <c r="F1606" s="19">
        <f t="shared" ca="1" si="815"/>
        <v>0</v>
      </c>
      <c r="G1606" s="20">
        <f t="shared" ca="1" si="815"/>
        <v>0</v>
      </c>
      <c r="H1606" s="20">
        <f t="shared" ca="1" si="815"/>
        <v>0</v>
      </c>
      <c r="I1606" s="13">
        <f t="shared" ca="1" si="815"/>
        <v>0</v>
      </c>
      <c r="J1606" s="16"/>
      <c r="K1606" s="19">
        <f t="shared" ca="1" si="816"/>
        <v>0</v>
      </c>
      <c r="L1606" s="15">
        <f t="shared" ca="1" si="814"/>
        <v>1</v>
      </c>
      <c r="M1606" s="15"/>
      <c r="N1606" s="15">
        <f t="shared" ca="1" si="813"/>
        <v>0</v>
      </c>
    </row>
    <row r="1607" spans="1:14" x14ac:dyDescent="0.4">
      <c r="A1607" s="11" t="s">
        <v>10</v>
      </c>
      <c r="B1607" s="40">
        <f t="shared" ref="B1607:I1609" ca="1" si="817">OFFSET(B1607,-6,0)</f>
        <v>0</v>
      </c>
      <c r="C1607" s="40"/>
      <c r="D1607" s="40"/>
      <c r="E1607" s="40"/>
      <c r="F1607" s="13">
        <f t="shared" ca="1" si="817"/>
        <v>0</v>
      </c>
      <c r="G1607" s="17">
        <f t="shared" ca="1" si="817"/>
        <v>0</v>
      </c>
      <c r="H1607" s="17">
        <f t="shared" ca="1" si="817"/>
        <v>0</v>
      </c>
      <c r="I1607" s="13">
        <f t="shared" ca="1" si="817"/>
        <v>0</v>
      </c>
      <c r="J1607" s="16"/>
      <c r="K1607" s="13">
        <f t="shared" ref="K1607:K1609" ca="1" si="818">OFFSET(K1607,-6,0)</f>
        <v>0</v>
      </c>
      <c r="L1607" s="15">
        <f t="shared" ca="1" si="814"/>
        <v>1</v>
      </c>
      <c r="M1607" s="15"/>
      <c r="N1607" s="15">
        <f t="shared" ca="1" si="813"/>
        <v>0</v>
      </c>
    </row>
    <row r="1608" spans="1:14" x14ac:dyDescent="0.4">
      <c r="A1608" s="11" t="s">
        <v>10</v>
      </c>
      <c r="B1608" s="40">
        <f t="shared" ca="1" si="817"/>
        <v>0</v>
      </c>
      <c r="C1608" s="40"/>
      <c r="D1608" s="40"/>
      <c r="E1608" s="40"/>
      <c r="F1608" s="13">
        <f t="shared" ca="1" si="817"/>
        <v>0</v>
      </c>
      <c r="G1608" s="17">
        <f t="shared" ca="1" si="817"/>
        <v>0</v>
      </c>
      <c r="H1608" s="17">
        <f t="shared" ca="1" si="817"/>
        <v>0</v>
      </c>
      <c r="I1608" s="13">
        <f t="shared" ca="1" si="817"/>
        <v>0</v>
      </c>
      <c r="J1608" s="16"/>
      <c r="K1608" s="13">
        <f t="shared" ca="1" si="818"/>
        <v>0</v>
      </c>
      <c r="L1608" s="15">
        <f t="shared" ca="1" si="814"/>
        <v>1</v>
      </c>
      <c r="M1608" s="15"/>
      <c r="N1608" s="15">
        <f t="shared" ca="1" si="813"/>
        <v>0</v>
      </c>
    </row>
    <row r="1609" spans="1:14" x14ac:dyDescent="0.4">
      <c r="A1609" s="11" t="s">
        <v>10</v>
      </c>
      <c r="B1609" s="40">
        <f t="shared" ca="1" si="817"/>
        <v>0</v>
      </c>
      <c r="C1609" s="40"/>
      <c r="D1609" s="40"/>
      <c r="E1609" s="40"/>
      <c r="F1609" s="13">
        <f t="shared" ca="1" si="817"/>
        <v>0</v>
      </c>
      <c r="G1609" s="17">
        <f t="shared" ca="1" si="817"/>
        <v>0</v>
      </c>
      <c r="H1609" s="17">
        <f t="shared" ca="1" si="817"/>
        <v>0</v>
      </c>
      <c r="I1609" s="13">
        <f t="shared" ca="1" si="817"/>
        <v>0</v>
      </c>
      <c r="J1609" s="16"/>
      <c r="K1609" s="13">
        <f t="shared" ca="1" si="818"/>
        <v>0</v>
      </c>
      <c r="L1609" s="15">
        <f t="shared" ca="1" si="814"/>
        <v>1</v>
      </c>
      <c r="M1609" s="15"/>
      <c r="N1609" s="15">
        <f t="shared" ca="1" si="813"/>
        <v>0</v>
      </c>
    </row>
    <row r="1610" spans="1:14" x14ac:dyDescent="0.4">
      <c r="A1610" s="11" t="s">
        <v>7</v>
      </c>
      <c r="B1610" s="40">
        <f t="shared" ref="B1610:I1612" ca="1" si="819">OFFSET(B1610,-9,0)</f>
        <v>0</v>
      </c>
      <c r="C1610" s="40"/>
      <c r="D1610" s="40"/>
      <c r="E1610" s="40"/>
      <c r="F1610" s="13">
        <f t="shared" ca="1" si="819"/>
        <v>0</v>
      </c>
      <c r="G1610" s="17">
        <f t="shared" ca="1" si="819"/>
        <v>0</v>
      </c>
      <c r="H1610" s="17">
        <f t="shared" ca="1" si="819"/>
        <v>0</v>
      </c>
      <c r="I1610" s="13">
        <f t="shared" ca="1" si="819"/>
        <v>0</v>
      </c>
      <c r="J1610" s="16"/>
      <c r="K1610" s="13">
        <f t="shared" ref="K1610:K1612" ca="1" si="820">OFFSET(K1610,-9,0)</f>
        <v>0</v>
      </c>
      <c r="L1610" s="15">
        <f t="shared" ca="1" si="814"/>
        <v>1</v>
      </c>
      <c r="M1610" s="15"/>
      <c r="N1610" s="15">
        <f t="shared" ca="1" si="813"/>
        <v>0</v>
      </c>
    </row>
    <row r="1611" spans="1:14" x14ac:dyDescent="0.4">
      <c r="A1611" s="11" t="s">
        <v>7</v>
      </c>
      <c r="B1611" s="40">
        <f t="shared" ca="1" si="819"/>
        <v>0</v>
      </c>
      <c r="C1611" s="40"/>
      <c r="D1611" s="40"/>
      <c r="E1611" s="40"/>
      <c r="F1611" s="13">
        <f t="shared" ca="1" si="819"/>
        <v>0</v>
      </c>
      <c r="G1611" s="17">
        <f t="shared" ca="1" si="819"/>
        <v>0</v>
      </c>
      <c r="H1611" s="17">
        <f t="shared" ca="1" si="819"/>
        <v>0</v>
      </c>
      <c r="I1611" s="13">
        <f t="shared" ca="1" si="819"/>
        <v>0</v>
      </c>
      <c r="J1611" s="16"/>
      <c r="K1611" s="13">
        <f t="shared" ca="1" si="820"/>
        <v>0</v>
      </c>
      <c r="L1611" s="15">
        <f t="shared" ca="1" si="814"/>
        <v>1</v>
      </c>
      <c r="M1611" s="15"/>
      <c r="N1611" s="15">
        <f t="shared" ca="1" si="813"/>
        <v>0</v>
      </c>
    </row>
    <row r="1612" spans="1:14" x14ac:dyDescent="0.4">
      <c r="A1612" s="11" t="s">
        <v>7</v>
      </c>
      <c r="B1612" s="40">
        <f t="shared" ca="1" si="819"/>
        <v>0</v>
      </c>
      <c r="C1612" s="40"/>
      <c r="D1612" s="40"/>
      <c r="E1612" s="40"/>
      <c r="F1612" s="13">
        <f t="shared" ca="1" si="819"/>
        <v>0</v>
      </c>
      <c r="G1612" s="17">
        <f t="shared" ca="1" si="819"/>
        <v>0</v>
      </c>
      <c r="H1612" s="17">
        <f t="shared" ca="1" si="819"/>
        <v>0</v>
      </c>
      <c r="I1612" s="13">
        <f t="shared" ca="1" si="819"/>
        <v>0</v>
      </c>
      <c r="J1612" s="16"/>
      <c r="K1612" s="13">
        <f t="shared" ca="1" si="820"/>
        <v>0</v>
      </c>
      <c r="L1612" s="15">
        <f t="shared" ca="1" si="814"/>
        <v>1</v>
      </c>
      <c r="M1612" s="15"/>
      <c r="N1612" s="15">
        <f t="shared" ca="1" si="813"/>
        <v>0</v>
      </c>
    </row>
    <row r="1613" spans="1:14" x14ac:dyDescent="0.4">
      <c r="A1613" s="11" t="s">
        <v>8</v>
      </c>
      <c r="B1613" s="40">
        <f t="shared" ref="B1613:I1615" ca="1" si="821">OFFSET(B1613,-12,0)</f>
        <v>0</v>
      </c>
      <c r="C1613" s="40"/>
      <c r="D1613" s="40"/>
      <c r="E1613" s="40"/>
      <c r="F1613" s="13">
        <f t="shared" ca="1" si="821"/>
        <v>0</v>
      </c>
      <c r="G1613" s="17">
        <f t="shared" ca="1" si="821"/>
        <v>0</v>
      </c>
      <c r="H1613" s="17">
        <f t="shared" ca="1" si="821"/>
        <v>0</v>
      </c>
      <c r="I1613" s="13">
        <f t="shared" ca="1" si="821"/>
        <v>0</v>
      </c>
      <c r="J1613" s="16"/>
      <c r="K1613" s="13">
        <f t="shared" ref="K1613:K1615" ca="1" si="822">OFFSET(K1613,-12,0)</f>
        <v>0</v>
      </c>
      <c r="L1613" s="15">
        <f t="shared" ca="1" si="814"/>
        <v>1</v>
      </c>
      <c r="M1613" s="15"/>
      <c r="N1613" s="15">
        <f t="shared" ca="1" si="813"/>
        <v>0</v>
      </c>
    </row>
    <row r="1614" spans="1:14" x14ac:dyDescent="0.4">
      <c r="A1614" s="11" t="s">
        <v>8</v>
      </c>
      <c r="B1614" s="40">
        <f t="shared" ca="1" si="821"/>
        <v>0</v>
      </c>
      <c r="C1614" s="40"/>
      <c r="D1614" s="40"/>
      <c r="E1614" s="40"/>
      <c r="F1614" s="13">
        <f t="shared" ca="1" si="821"/>
        <v>0</v>
      </c>
      <c r="G1614" s="17">
        <f t="shared" ca="1" si="821"/>
        <v>0</v>
      </c>
      <c r="H1614" s="17">
        <f t="shared" ca="1" si="821"/>
        <v>0</v>
      </c>
      <c r="I1614" s="13">
        <f t="shared" ca="1" si="821"/>
        <v>0</v>
      </c>
      <c r="J1614" s="16"/>
      <c r="K1614" s="13">
        <f t="shared" ca="1" si="822"/>
        <v>0</v>
      </c>
      <c r="L1614" s="15">
        <f t="shared" ca="1" si="814"/>
        <v>1</v>
      </c>
      <c r="M1614" s="15"/>
      <c r="N1614" s="15">
        <f t="shared" ca="1" si="813"/>
        <v>0</v>
      </c>
    </row>
    <row r="1615" spans="1:14" x14ac:dyDescent="0.4">
      <c r="A1615" s="11" t="s">
        <v>8</v>
      </c>
      <c r="B1615" s="40">
        <f t="shared" ca="1" si="821"/>
        <v>0</v>
      </c>
      <c r="C1615" s="40"/>
      <c r="D1615" s="40"/>
      <c r="E1615" s="40"/>
      <c r="F1615" s="13">
        <f t="shared" ca="1" si="821"/>
        <v>0</v>
      </c>
      <c r="G1615" s="17">
        <f t="shared" ca="1" si="821"/>
        <v>0</v>
      </c>
      <c r="H1615" s="17">
        <f t="shared" ca="1" si="821"/>
        <v>0</v>
      </c>
      <c r="I1615" s="13">
        <f t="shared" ca="1" si="821"/>
        <v>0</v>
      </c>
      <c r="J1615" s="16"/>
      <c r="K1615" s="13">
        <f t="shared" ca="1" si="822"/>
        <v>0</v>
      </c>
      <c r="L1615" s="15">
        <f t="shared" ca="1" si="814"/>
        <v>1</v>
      </c>
      <c r="M1615" s="15"/>
      <c r="N1615" s="15">
        <f t="shared" ca="1" si="813"/>
        <v>0</v>
      </c>
    </row>
    <row r="1616" spans="1:14" x14ac:dyDescent="0.4">
      <c r="A1616" s="11" t="s">
        <v>9</v>
      </c>
      <c r="B1616" s="41">
        <f t="shared" ref="B1616:I1618" ca="1" si="823">OFFSET(B1616,-15,0)</f>
        <v>0</v>
      </c>
      <c r="C1616" s="41"/>
      <c r="D1616" s="41"/>
      <c r="E1616" s="41"/>
      <c r="F1616" s="19">
        <f t="shared" ca="1" si="823"/>
        <v>0</v>
      </c>
      <c r="G1616" s="20">
        <f t="shared" ca="1" si="823"/>
        <v>0</v>
      </c>
      <c r="H1616" s="20">
        <f t="shared" ca="1" si="823"/>
        <v>0</v>
      </c>
      <c r="I1616" s="13">
        <f t="shared" ca="1" si="823"/>
        <v>0</v>
      </c>
      <c r="J1616" s="16"/>
      <c r="K1616" s="19">
        <f t="shared" ref="K1616:K1618" ca="1" si="824">OFFSET(K1616,-15,0)</f>
        <v>0</v>
      </c>
      <c r="L1616" s="15">
        <f t="shared" ca="1" si="814"/>
        <v>1</v>
      </c>
      <c r="M1616" s="15"/>
      <c r="N1616" s="15">
        <f t="shared" ca="1" si="813"/>
        <v>0</v>
      </c>
    </row>
    <row r="1617" spans="1:14" x14ac:dyDescent="0.4">
      <c r="A1617" s="11" t="s">
        <v>9</v>
      </c>
      <c r="B1617" s="41">
        <f t="shared" ca="1" si="823"/>
        <v>0</v>
      </c>
      <c r="C1617" s="41"/>
      <c r="D1617" s="41"/>
      <c r="E1617" s="41"/>
      <c r="F1617" s="19">
        <f t="shared" ca="1" si="823"/>
        <v>0</v>
      </c>
      <c r="G1617" s="20">
        <f t="shared" ca="1" si="823"/>
        <v>0</v>
      </c>
      <c r="H1617" s="20">
        <f t="shared" ca="1" si="823"/>
        <v>0</v>
      </c>
      <c r="I1617" s="13">
        <f t="shared" ca="1" si="823"/>
        <v>0</v>
      </c>
      <c r="J1617" s="16"/>
      <c r="K1617" s="19">
        <f t="shared" ca="1" si="824"/>
        <v>0</v>
      </c>
      <c r="L1617" s="15">
        <f t="shared" ca="1" si="814"/>
        <v>1</v>
      </c>
      <c r="M1617" s="15"/>
      <c r="N1617" s="15">
        <f t="shared" ca="1" si="813"/>
        <v>0</v>
      </c>
    </row>
    <row r="1618" spans="1:14" x14ac:dyDescent="0.4">
      <c r="A1618" s="11" t="s">
        <v>9</v>
      </c>
      <c r="B1618" s="41">
        <f t="shared" ca="1" si="823"/>
        <v>0</v>
      </c>
      <c r="C1618" s="41"/>
      <c r="D1618" s="41"/>
      <c r="E1618" s="41"/>
      <c r="F1618" s="19">
        <f t="shared" ca="1" si="823"/>
        <v>0</v>
      </c>
      <c r="G1618" s="20">
        <f t="shared" ca="1" si="823"/>
        <v>0</v>
      </c>
      <c r="H1618" s="20">
        <f t="shared" ca="1" si="823"/>
        <v>0</v>
      </c>
      <c r="I1618" s="13">
        <f t="shared" ca="1" si="823"/>
        <v>0</v>
      </c>
      <c r="J1618" s="16"/>
      <c r="K1618" s="19">
        <f t="shared" ca="1" si="824"/>
        <v>0</v>
      </c>
      <c r="L1618" s="15">
        <f t="shared" ca="1" si="814"/>
        <v>1</v>
      </c>
      <c r="M1618" s="15"/>
      <c r="N1618" s="15">
        <f t="shared" ca="1" si="813"/>
        <v>0</v>
      </c>
    </row>
    <row r="1619" spans="1:14" ht="17.399999999999999" x14ac:dyDescent="0.4">
      <c r="A1619" s="74" t="s">
        <v>29</v>
      </c>
      <c r="B1619" s="75"/>
      <c r="C1619" s="75"/>
      <c r="D1619" s="75"/>
      <c r="E1619" s="75"/>
      <c r="F1619" s="75"/>
      <c r="G1619" s="75"/>
      <c r="H1619" s="75"/>
      <c r="I1619" s="75"/>
      <c r="J1619" s="75"/>
      <c r="K1619" s="75"/>
      <c r="L1619" s="75"/>
      <c r="M1619" s="75"/>
      <c r="N1619" s="76"/>
    </row>
    <row r="1620" spans="1:14" x14ac:dyDescent="0.4">
      <c r="A1620" s="11" t="s">
        <v>5</v>
      </c>
      <c r="B1620" s="40"/>
      <c r="C1620" s="40"/>
      <c r="D1620" s="40"/>
      <c r="E1620" s="40"/>
      <c r="F1620" s="13"/>
      <c r="G1620" s="11"/>
      <c r="H1620" s="17"/>
      <c r="I1620" s="13"/>
      <c r="J1620" s="16"/>
      <c r="K1620" s="13"/>
      <c r="L1620" s="15">
        <f>ROUND((10^(K1620/10))/(10^(I1620/10)),3)</f>
        <v>1</v>
      </c>
      <c r="M1620" s="15"/>
      <c r="N1620" s="15">
        <f t="shared" ref="N1620:N1637" si="825">J1620*L1620</f>
        <v>0</v>
      </c>
    </row>
    <row r="1621" spans="1:14" x14ac:dyDescent="0.4">
      <c r="A1621" s="11" t="s">
        <v>5</v>
      </c>
      <c r="B1621" s="40"/>
      <c r="C1621" s="40"/>
      <c r="D1621" s="40"/>
      <c r="E1621" s="40"/>
      <c r="F1621" s="13"/>
      <c r="G1621" s="11"/>
      <c r="H1621" s="17"/>
      <c r="I1621" s="13"/>
      <c r="J1621" s="16"/>
      <c r="K1621" s="13"/>
      <c r="L1621" s="15">
        <f t="shared" ref="L1621:L1637" si="826">ROUND((10^(K1621/10))/(10^(I1621/10)),3)</f>
        <v>1</v>
      </c>
      <c r="M1621" s="15"/>
      <c r="N1621" s="15">
        <f t="shared" si="825"/>
        <v>0</v>
      </c>
    </row>
    <row r="1622" spans="1:14" x14ac:dyDescent="0.4">
      <c r="A1622" s="11" t="s">
        <v>5</v>
      </c>
      <c r="B1622" s="40"/>
      <c r="C1622" s="40"/>
      <c r="D1622" s="40"/>
      <c r="E1622" s="40"/>
      <c r="F1622" s="13"/>
      <c r="G1622" s="11"/>
      <c r="H1622" s="17"/>
      <c r="I1622" s="13"/>
      <c r="J1622" s="16"/>
      <c r="K1622" s="13"/>
      <c r="L1622" s="15">
        <f t="shared" si="826"/>
        <v>1</v>
      </c>
      <c r="M1622" s="15"/>
      <c r="N1622" s="15">
        <f t="shared" si="825"/>
        <v>0</v>
      </c>
    </row>
    <row r="1623" spans="1:14" x14ac:dyDescent="0.4">
      <c r="A1623" s="11" t="s">
        <v>6</v>
      </c>
      <c r="B1623" s="41">
        <f t="shared" ref="B1623:I1625" ca="1" si="827">OFFSET(B1623,-3,0)</f>
        <v>0</v>
      </c>
      <c r="C1623" s="41"/>
      <c r="D1623" s="41"/>
      <c r="E1623" s="41"/>
      <c r="F1623" s="19">
        <f t="shared" ca="1" si="827"/>
        <v>0</v>
      </c>
      <c r="G1623" s="20">
        <f t="shared" ca="1" si="827"/>
        <v>0</v>
      </c>
      <c r="H1623" s="20">
        <f t="shared" ca="1" si="827"/>
        <v>0</v>
      </c>
      <c r="I1623" s="13">
        <f t="shared" ca="1" si="827"/>
        <v>0</v>
      </c>
      <c r="J1623" s="16"/>
      <c r="K1623" s="19">
        <f t="shared" ref="K1623:K1625" ca="1" si="828">OFFSET(K1623,-3,0)</f>
        <v>0</v>
      </c>
      <c r="L1623" s="15">
        <f t="shared" ca="1" si="826"/>
        <v>1</v>
      </c>
      <c r="M1623" s="15"/>
      <c r="N1623" s="15">
        <f t="shared" ca="1" si="825"/>
        <v>0</v>
      </c>
    </row>
    <row r="1624" spans="1:14" x14ac:dyDescent="0.4">
      <c r="A1624" s="11" t="s">
        <v>6</v>
      </c>
      <c r="B1624" s="41">
        <f t="shared" ca="1" si="827"/>
        <v>0</v>
      </c>
      <c r="C1624" s="41"/>
      <c r="D1624" s="41"/>
      <c r="E1624" s="41"/>
      <c r="F1624" s="19">
        <f t="shared" ca="1" si="827"/>
        <v>0</v>
      </c>
      <c r="G1624" s="20">
        <f t="shared" ca="1" si="827"/>
        <v>0</v>
      </c>
      <c r="H1624" s="20">
        <f t="shared" ca="1" si="827"/>
        <v>0</v>
      </c>
      <c r="I1624" s="13">
        <f t="shared" ca="1" si="827"/>
        <v>0</v>
      </c>
      <c r="J1624" s="16"/>
      <c r="K1624" s="19">
        <f t="shared" ca="1" si="828"/>
        <v>0</v>
      </c>
      <c r="L1624" s="15">
        <f t="shared" ca="1" si="826"/>
        <v>1</v>
      </c>
      <c r="M1624" s="15"/>
      <c r="N1624" s="15">
        <f t="shared" ca="1" si="825"/>
        <v>0</v>
      </c>
    </row>
    <row r="1625" spans="1:14" x14ac:dyDescent="0.4">
      <c r="A1625" s="11" t="s">
        <v>6</v>
      </c>
      <c r="B1625" s="41">
        <f t="shared" ca="1" si="827"/>
        <v>0</v>
      </c>
      <c r="C1625" s="41"/>
      <c r="D1625" s="41"/>
      <c r="E1625" s="41"/>
      <c r="F1625" s="19">
        <f t="shared" ca="1" si="827"/>
        <v>0</v>
      </c>
      <c r="G1625" s="20">
        <f t="shared" ca="1" si="827"/>
        <v>0</v>
      </c>
      <c r="H1625" s="20">
        <f t="shared" ca="1" si="827"/>
        <v>0</v>
      </c>
      <c r="I1625" s="13">
        <f t="shared" ca="1" si="827"/>
        <v>0</v>
      </c>
      <c r="J1625" s="16"/>
      <c r="K1625" s="19">
        <f t="shared" ca="1" si="828"/>
        <v>0</v>
      </c>
      <c r="L1625" s="15">
        <f t="shared" ca="1" si="826"/>
        <v>1</v>
      </c>
      <c r="M1625" s="15"/>
      <c r="N1625" s="15">
        <f t="shared" ca="1" si="825"/>
        <v>0</v>
      </c>
    </row>
    <row r="1626" spans="1:14" x14ac:dyDescent="0.4">
      <c r="A1626" s="11" t="s">
        <v>10</v>
      </c>
      <c r="B1626" s="40">
        <f t="shared" ref="B1626:I1628" ca="1" si="829">OFFSET(B1626,-6,0)</f>
        <v>0</v>
      </c>
      <c r="C1626" s="40"/>
      <c r="D1626" s="40"/>
      <c r="E1626" s="40"/>
      <c r="F1626" s="13">
        <f t="shared" ca="1" si="829"/>
        <v>0</v>
      </c>
      <c r="G1626" s="17">
        <f t="shared" ca="1" si="829"/>
        <v>0</v>
      </c>
      <c r="H1626" s="17">
        <f t="shared" ca="1" si="829"/>
        <v>0</v>
      </c>
      <c r="I1626" s="13">
        <f t="shared" ca="1" si="829"/>
        <v>0</v>
      </c>
      <c r="J1626" s="16"/>
      <c r="K1626" s="13">
        <f t="shared" ref="K1626:K1628" ca="1" si="830">OFFSET(K1626,-6,0)</f>
        <v>0</v>
      </c>
      <c r="L1626" s="15">
        <f t="shared" ca="1" si="826"/>
        <v>1</v>
      </c>
      <c r="M1626" s="15"/>
      <c r="N1626" s="15">
        <f t="shared" ca="1" si="825"/>
        <v>0</v>
      </c>
    </row>
    <row r="1627" spans="1:14" x14ac:dyDescent="0.4">
      <c r="A1627" s="11" t="s">
        <v>10</v>
      </c>
      <c r="B1627" s="40">
        <f t="shared" ca="1" si="829"/>
        <v>0</v>
      </c>
      <c r="C1627" s="40"/>
      <c r="D1627" s="40"/>
      <c r="E1627" s="40"/>
      <c r="F1627" s="13">
        <f t="shared" ca="1" si="829"/>
        <v>0</v>
      </c>
      <c r="G1627" s="17">
        <f t="shared" ca="1" si="829"/>
        <v>0</v>
      </c>
      <c r="H1627" s="17">
        <f t="shared" ca="1" si="829"/>
        <v>0</v>
      </c>
      <c r="I1627" s="13">
        <f t="shared" ca="1" si="829"/>
        <v>0</v>
      </c>
      <c r="J1627" s="16"/>
      <c r="K1627" s="13">
        <f t="shared" ca="1" si="830"/>
        <v>0</v>
      </c>
      <c r="L1627" s="15">
        <f t="shared" ca="1" si="826"/>
        <v>1</v>
      </c>
      <c r="M1627" s="15"/>
      <c r="N1627" s="15">
        <f t="shared" ca="1" si="825"/>
        <v>0</v>
      </c>
    </row>
    <row r="1628" spans="1:14" x14ac:dyDescent="0.4">
      <c r="A1628" s="11" t="s">
        <v>10</v>
      </c>
      <c r="B1628" s="40">
        <f t="shared" ca="1" si="829"/>
        <v>0</v>
      </c>
      <c r="C1628" s="40"/>
      <c r="D1628" s="40"/>
      <c r="E1628" s="40"/>
      <c r="F1628" s="13">
        <f t="shared" ca="1" si="829"/>
        <v>0</v>
      </c>
      <c r="G1628" s="17">
        <f t="shared" ca="1" si="829"/>
        <v>0</v>
      </c>
      <c r="H1628" s="17">
        <f t="shared" ca="1" si="829"/>
        <v>0</v>
      </c>
      <c r="I1628" s="13">
        <f t="shared" ca="1" si="829"/>
        <v>0</v>
      </c>
      <c r="J1628" s="16"/>
      <c r="K1628" s="13">
        <f t="shared" ca="1" si="830"/>
        <v>0</v>
      </c>
      <c r="L1628" s="15">
        <f t="shared" ca="1" si="826"/>
        <v>1</v>
      </c>
      <c r="M1628" s="15"/>
      <c r="N1628" s="15">
        <f t="shared" ca="1" si="825"/>
        <v>0</v>
      </c>
    </row>
    <row r="1629" spans="1:14" x14ac:dyDescent="0.4">
      <c r="A1629" s="11" t="s">
        <v>7</v>
      </c>
      <c r="B1629" s="40">
        <f t="shared" ref="B1629:I1631" ca="1" si="831">OFFSET(B1629,-9,0)</f>
        <v>0</v>
      </c>
      <c r="C1629" s="40"/>
      <c r="D1629" s="40"/>
      <c r="E1629" s="40"/>
      <c r="F1629" s="13">
        <f t="shared" ca="1" si="831"/>
        <v>0</v>
      </c>
      <c r="G1629" s="17">
        <f t="shared" ca="1" si="831"/>
        <v>0</v>
      </c>
      <c r="H1629" s="17">
        <f t="shared" ca="1" si="831"/>
        <v>0</v>
      </c>
      <c r="I1629" s="13">
        <f t="shared" ca="1" si="831"/>
        <v>0</v>
      </c>
      <c r="J1629" s="16"/>
      <c r="K1629" s="13">
        <f t="shared" ref="K1629:K1631" ca="1" si="832">OFFSET(K1629,-9,0)</f>
        <v>0</v>
      </c>
      <c r="L1629" s="15">
        <f t="shared" ca="1" si="826"/>
        <v>1</v>
      </c>
      <c r="M1629" s="15"/>
      <c r="N1629" s="15">
        <f t="shared" ca="1" si="825"/>
        <v>0</v>
      </c>
    </row>
    <row r="1630" spans="1:14" x14ac:dyDescent="0.4">
      <c r="A1630" s="11" t="s">
        <v>7</v>
      </c>
      <c r="B1630" s="40">
        <f t="shared" ca="1" si="831"/>
        <v>0</v>
      </c>
      <c r="C1630" s="40"/>
      <c r="D1630" s="40"/>
      <c r="E1630" s="40"/>
      <c r="F1630" s="13">
        <f t="shared" ca="1" si="831"/>
        <v>0</v>
      </c>
      <c r="G1630" s="17">
        <f t="shared" ca="1" si="831"/>
        <v>0</v>
      </c>
      <c r="H1630" s="17">
        <f t="shared" ca="1" si="831"/>
        <v>0</v>
      </c>
      <c r="I1630" s="13">
        <f t="shared" ca="1" si="831"/>
        <v>0</v>
      </c>
      <c r="J1630" s="16"/>
      <c r="K1630" s="13">
        <f t="shared" ca="1" si="832"/>
        <v>0</v>
      </c>
      <c r="L1630" s="15">
        <f t="shared" ca="1" si="826"/>
        <v>1</v>
      </c>
      <c r="M1630" s="15"/>
      <c r="N1630" s="15">
        <f t="shared" ca="1" si="825"/>
        <v>0</v>
      </c>
    </row>
    <row r="1631" spans="1:14" x14ac:dyDescent="0.4">
      <c r="A1631" s="11" t="s">
        <v>7</v>
      </c>
      <c r="B1631" s="40">
        <f t="shared" ca="1" si="831"/>
        <v>0</v>
      </c>
      <c r="C1631" s="40"/>
      <c r="D1631" s="40"/>
      <c r="E1631" s="40"/>
      <c r="F1631" s="13">
        <f t="shared" ca="1" si="831"/>
        <v>0</v>
      </c>
      <c r="G1631" s="17">
        <f t="shared" ca="1" si="831"/>
        <v>0</v>
      </c>
      <c r="H1631" s="17">
        <f t="shared" ca="1" si="831"/>
        <v>0</v>
      </c>
      <c r="I1631" s="13">
        <f t="shared" ca="1" si="831"/>
        <v>0</v>
      </c>
      <c r="J1631" s="16"/>
      <c r="K1631" s="13">
        <f t="shared" ca="1" si="832"/>
        <v>0</v>
      </c>
      <c r="L1631" s="15">
        <f t="shared" ca="1" si="826"/>
        <v>1</v>
      </c>
      <c r="M1631" s="15"/>
      <c r="N1631" s="15">
        <f t="shared" ca="1" si="825"/>
        <v>0</v>
      </c>
    </row>
    <row r="1632" spans="1:14" x14ac:dyDescent="0.4">
      <c r="A1632" s="11" t="s">
        <v>8</v>
      </c>
      <c r="B1632" s="40">
        <f t="shared" ref="B1632:I1634" ca="1" si="833">OFFSET(B1632,-12,0)</f>
        <v>0</v>
      </c>
      <c r="C1632" s="40"/>
      <c r="D1632" s="40"/>
      <c r="E1632" s="40"/>
      <c r="F1632" s="13">
        <f t="shared" ca="1" si="833"/>
        <v>0</v>
      </c>
      <c r="G1632" s="17">
        <f t="shared" ca="1" si="833"/>
        <v>0</v>
      </c>
      <c r="H1632" s="17">
        <f t="shared" ca="1" si="833"/>
        <v>0</v>
      </c>
      <c r="I1632" s="13">
        <f t="shared" ca="1" si="833"/>
        <v>0</v>
      </c>
      <c r="J1632" s="16"/>
      <c r="K1632" s="13">
        <f t="shared" ref="K1632:K1634" ca="1" si="834">OFFSET(K1632,-12,0)</f>
        <v>0</v>
      </c>
      <c r="L1632" s="15">
        <f t="shared" ca="1" si="826"/>
        <v>1</v>
      </c>
      <c r="M1632" s="15"/>
      <c r="N1632" s="15">
        <f t="shared" ca="1" si="825"/>
        <v>0</v>
      </c>
    </row>
    <row r="1633" spans="1:14" x14ac:dyDescent="0.4">
      <c r="A1633" s="11" t="s">
        <v>8</v>
      </c>
      <c r="B1633" s="40">
        <f t="shared" ca="1" si="833"/>
        <v>0</v>
      </c>
      <c r="C1633" s="40"/>
      <c r="D1633" s="40"/>
      <c r="E1633" s="40"/>
      <c r="F1633" s="13">
        <f t="shared" ca="1" si="833"/>
        <v>0</v>
      </c>
      <c r="G1633" s="17">
        <f t="shared" ca="1" si="833"/>
        <v>0</v>
      </c>
      <c r="H1633" s="17">
        <f t="shared" ca="1" si="833"/>
        <v>0</v>
      </c>
      <c r="I1633" s="13">
        <f t="shared" ca="1" si="833"/>
        <v>0</v>
      </c>
      <c r="J1633" s="16"/>
      <c r="K1633" s="13">
        <f t="shared" ca="1" si="834"/>
        <v>0</v>
      </c>
      <c r="L1633" s="15">
        <f t="shared" ca="1" si="826"/>
        <v>1</v>
      </c>
      <c r="M1633" s="15"/>
      <c r="N1633" s="15">
        <f t="shared" ca="1" si="825"/>
        <v>0</v>
      </c>
    </row>
    <row r="1634" spans="1:14" x14ac:dyDescent="0.4">
      <c r="A1634" s="11" t="s">
        <v>8</v>
      </c>
      <c r="B1634" s="40">
        <f t="shared" ca="1" si="833"/>
        <v>0</v>
      </c>
      <c r="C1634" s="40"/>
      <c r="D1634" s="40"/>
      <c r="E1634" s="40"/>
      <c r="F1634" s="13">
        <f t="shared" ca="1" si="833"/>
        <v>0</v>
      </c>
      <c r="G1634" s="17">
        <f t="shared" ca="1" si="833"/>
        <v>0</v>
      </c>
      <c r="H1634" s="17">
        <f t="shared" ca="1" si="833"/>
        <v>0</v>
      </c>
      <c r="I1634" s="13">
        <f t="shared" ca="1" si="833"/>
        <v>0</v>
      </c>
      <c r="J1634" s="16"/>
      <c r="K1634" s="13">
        <f t="shared" ca="1" si="834"/>
        <v>0</v>
      </c>
      <c r="L1634" s="15">
        <f t="shared" ca="1" si="826"/>
        <v>1</v>
      </c>
      <c r="M1634" s="15"/>
      <c r="N1634" s="15">
        <f t="shared" ca="1" si="825"/>
        <v>0</v>
      </c>
    </row>
    <row r="1635" spans="1:14" x14ac:dyDescent="0.4">
      <c r="A1635" s="11" t="s">
        <v>9</v>
      </c>
      <c r="B1635" s="41">
        <f t="shared" ref="B1635:I1637" ca="1" si="835">OFFSET(B1635,-15,0)</f>
        <v>0</v>
      </c>
      <c r="C1635" s="41"/>
      <c r="D1635" s="41"/>
      <c r="E1635" s="41"/>
      <c r="F1635" s="19">
        <f t="shared" ca="1" si="835"/>
        <v>0</v>
      </c>
      <c r="G1635" s="20">
        <f t="shared" ca="1" si="835"/>
        <v>0</v>
      </c>
      <c r="H1635" s="20">
        <f t="shared" ca="1" si="835"/>
        <v>0</v>
      </c>
      <c r="I1635" s="13">
        <f t="shared" ca="1" si="835"/>
        <v>0</v>
      </c>
      <c r="J1635" s="16"/>
      <c r="K1635" s="19">
        <f t="shared" ref="K1635:K1637" ca="1" si="836">OFFSET(K1635,-15,0)</f>
        <v>0</v>
      </c>
      <c r="L1635" s="15">
        <f t="shared" ca="1" si="826"/>
        <v>1</v>
      </c>
      <c r="M1635" s="15"/>
      <c r="N1635" s="15">
        <f t="shared" ca="1" si="825"/>
        <v>0</v>
      </c>
    </row>
    <row r="1636" spans="1:14" x14ac:dyDescent="0.4">
      <c r="A1636" s="11" t="s">
        <v>9</v>
      </c>
      <c r="B1636" s="41">
        <f t="shared" ca="1" si="835"/>
        <v>0</v>
      </c>
      <c r="C1636" s="41"/>
      <c r="D1636" s="41"/>
      <c r="E1636" s="41"/>
      <c r="F1636" s="19">
        <f t="shared" ca="1" si="835"/>
        <v>0</v>
      </c>
      <c r="G1636" s="20">
        <f t="shared" ca="1" si="835"/>
        <v>0</v>
      </c>
      <c r="H1636" s="20">
        <f t="shared" ca="1" si="835"/>
        <v>0</v>
      </c>
      <c r="I1636" s="13">
        <f t="shared" ca="1" si="835"/>
        <v>0</v>
      </c>
      <c r="J1636" s="16"/>
      <c r="K1636" s="19">
        <f t="shared" ca="1" si="836"/>
        <v>0</v>
      </c>
      <c r="L1636" s="15">
        <f t="shared" ca="1" si="826"/>
        <v>1</v>
      </c>
      <c r="M1636" s="15"/>
      <c r="N1636" s="15">
        <f t="shared" ca="1" si="825"/>
        <v>0</v>
      </c>
    </row>
    <row r="1637" spans="1:14" x14ac:dyDescent="0.4">
      <c r="A1637" s="11" t="s">
        <v>9</v>
      </c>
      <c r="B1637" s="41">
        <f t="shared" ca="1" si="835"/>
        <v>0</v>
      </c>
      <c r="C1637" s="41"/>
      <c r="D1637" s="41"/>
      <c r="E1637" s="41"/>
      <c r="F1637" s="19">
        <f t="shared" ca="1" si="835"/>
        <v>0</v>
      </c>
      <c r="G1637" s="20">
        <f t="shared" ca="1" si="835"/>
        <v>0</v>
      </c>
      <c r="H1637" s="20">
        <f t="shared" ca="1" si="835"/>
        <v>0</v>
      </c>
      <c r="I1637" s="13">
        <f t="shared" ca="1" si="835"/>
        <v>0</v>
      </c>
      <c r="J1637" s="16"/>
      <c r="K1637" s="19">
        <f t="shared" ca="1" si="836"/>
        <v>0</v>
      </c>
      <c r="L1637" s="15">
        <f t="shared" ca="1" si="826"/>
        <v>1</v>
      </c>
      <c r="M1637" s="15"/>
      <c r="N1637" s="15">
        <f t="shared" ca="1" si="825"/>
        <v>0</v>
      </c>
    </row>
    <row r="1638" spans="1:14" ht="17.399999999999999" x14ac:dyDescent="0.4">
      <c r="A1638" s="74" t="s">
        <v>32</v>
      </c>
      <c r="B1638" s="75"/>
      <c r="C1638" s="75"/>
      <c r="D1638" s="75"/>
      <c r="E1638" s="75"/>
      <c r="F1638" s="75"/>
      <c r="G1638" s="75"/>
      <c r="H1638" s="75"/>
      <c r="I1638" s="75"/>
      <c r="J1638" s="75"/>
      <c r="K1638" s="75"/>
      <c r="L1638" s="75"/>
      <c r="M1638" s="75"/>
      <c r="N1638" s="76"/>
    </row>
    <row r="1639" spans="1:14" x14ac:dyDescent="0.4">
      <c r="A1639" s="11" t="s">
        <v>5</v>
      </c>
      <c r="B1639" s="40"/>
      <c r="C1639" s="40"/>
      <c r="D1639" s="40"/>
      <c r="E1639" s="40"/>
      <c r="F1639" s="13"/>
      <c r="G1639" s="11"/>
      <c r="H1639" s="17"/>
      <c r="I1639" s="13"/>
      <c r="J1639" s="16"/>
      <c r="K1639" s="13"/>
      <c r="L1639" s="15">
        <f>ROUND((10^(K1639/10))/(10^(I1639/10)),3)</f>
        <v>1</v>
      </c>
      <c r="M1639" s="15"/>
      <c r="N1639" s="15">
        <f t="shared" ref="N1639:N1656" si="837">J1639*L1639</f>
        <v>0</v>
      </c>
    </row>
    <row r="1640" spans="1:14" x14ac:dyDescent="0.4">
      <c r="A1640" s="11" t="s">
        <v>5</v>
      </c>
      <c r="B1640" s="40"/>
      <c r="C1640" s="40"/>
      <c r="D1640" s="40"/>
      <c r="E1640" s="40"/>
      <c r="F1640" s="13"/>
      <c r="G1640" s="11"/>
      <c r="H1640" s="17"/>
      <c r="I1640" s="13"/>
      <c r="J1640" s="16"/>
      <c r="K1640" s="13"/>
      <c r="L1640" s="15">
        <f t="shared" ref="L1640:L1656" si="838">ROUND((10^(K1640/10))/(10^(I1640/10)),3)</f>
        <v>1</v>
      </c>
      <c r="M1640" s="15"/>
      <c r="N1640" s="15">
        <f t="shared" si="837"/>
        <v>0</v>
      </c>
    </row>
    <row r="1641" spans="1:14" x14ac:dyDescent="0.4">
      <c r="A1641" s="11" t="s">
        <v>5</v>
      </c>
      <c r="B1641" s="40"/>
      <c r="C1641" s="40"/>
      <c r="D1641" s="40"/>
      <c r="E1641" s="40"/>
      <c r="F1641" s="13"/>
      <c r="G1641" s="11"/>
      <c r="H1641" s="17"/>
      <c r="I1641" s="13"/>
      <c r="J1641" s="16"/>
      <c r="K1641" s="13"/>
      <c r="L1641" s="15">
        <f t="shared" si="838"/>
        <v>1</v>
      </c>
      <c r="M1641" s="15"/>
      <c r="N1641" s="15">
        <f t="shared" si="837"/>
        <v>0</v>
      </c>
    </row>
    <row r="1642" spans="1:14" x14ac:dyDescent="0.4">
      <c r="A1642" s="11" t="s">
        <v>6</v>
      </c>
      <c r="B1642" s="41">
        <f t="shared" ref="B1642:I1644" ca="1" si="839">OFFSET(B1642,-3,0)</f>
        <v>0</v>
      </c>
      <c r="C1642" s="41"/>
      <c r="D1642" s="41"/>
      <c r="E1642" s="41"/>
      <c r="F1642" s="19">
        <f t="shared" ca="1" si="839"/>
        <v>0</v>
      </c>
      <c r="G1642" s="20">
        <f t="shared" ca="1" si="839"/>
        <v>0</v>
      </c>
      <c r="H1642" s="20">
        <f t="shared" ca="1" si="839"/>
        <v>0</v>
      </c>
      <c r="I1642" s="13">
        <f t="shared" ca="1" si="839"/>
        <v>0</v>
      </c>
      <c r="J1642" s="16"/>
      <c r="K1642" s="19">
        <f t="shared" ref="K1642:K1644" ca="1" si="840">OFFSET(K1642,-3,0)</f>
        <v>0</v>
      </c>
      <c r="L1642" s="15">
        <f t="shared" ca="1" si="838"/>
        <v>1</v>
      </c>
      <c r="M1642" s="15"/>
      <c r="N1642" s="15">
        <f t="shared" ca="1" si="837"/>
        <v>0</v>
      </c>
    </row>
    <row r="1643" spans="1:14" x14ac:dyDescent="0.4">
      <c r="A1643" s="11" t="s">
        <v>6</v>
      </c>
      <c r="B1643" s="41">
        <f t="shared" ca="1" si="839"/>
        <v>0</v>
      </c>
      <c r="C1643" s="41"/>
      <c r="D1643" s="41"/>
      <c r="E1643" s="41"/>
      <c r="F1643" s="19">
        <f t="shared" ca="1" si="839"/>
        <v>0</v>
      </c>
      <c r="G1643" s="20">
        <f t="shared" ca="1" si="839"/>
        <v>0</v>
      </c>
      <c r="H1643" s="20">
        <f t="shared" ca="1" si="839"/>
        <v>0</v>
      </c>
      <c r="I1643" s="13">
        <f t="shared" ca="1" si="839"/>
        <v>0</v>
      </c>
      <c r="J1643" s="16"/>
      <c r="K1643" s="19">
        <f t="shared" ca="1" si="840"/>
        <v>0</v>
      </c>
      <c r="L1643" s="15">
        <f t="shared" ca="1" si="838"/>
        <v>1</v>
      </c>
      <c r="M1643" s="15"/>
      <c r="N1643" s="15">
        <f t="shared" ca="1" si="837"/>
        <v>0</v>
      </c>
    </row>
    <row r="1644" spans="1:14" x14ac:dyDescent="0.4">
      <c r="A1644" s="11" t="s">
        <v>6</v>
      </c>
      <c r="B1644" s="41">
        <f t="shared" ca="1" si="839"/>
        <v>0</v>
      </c>
      <c r="C1644" s="41"/>
      <c r="D1644" s="41"/>
      <c r="E1644" s="41"/>
      <c r="F1644" s="19">
        <f t="shared" ca="1" si="839"/>
        <v>0</v>
      </c>
      <c r="G1644" s="20">
        <f t="shared" ca="1" si="839"/>
        <v>0</v>
      </c>
      <c r="H1644" s="20">
        <f t="shared" ca="1" si="839"/>
        <v>0</v>
      </c>
      <c r="I1644" s="13">
        <f t="shared" ca="1" si="839"/>
        <v>0</v>
      </c>
      <c r="J1644" s="16"/>
      <c r="K1644" s="19">
        <f t="shared" ca="1" si="840"/>
        <v>0</v>
      </c>
      <c r="L1644" s="15">
        <f t="shared" ca="1" si="838"/>
        <v>1</v>
      </c>
      <c r="M1644" s="15"/>
      <c r="N1644" s="15">
        <f t="shared" ca="1" si="837"/>
        <v>0</v>
      </c>
    </row>
    <row r="1645" spans="1:14" x14ac:dyDescent="0.4">
      <c r="A1645" s="11" t="s">
        <v>10</v>
      </c>
      <c r="B1645" s="40">
        <f t="shared" ref="B1645:I1647" ca="1" si="841">OFFSET(B1645,-6,0)</f>
        <v>0</v>
      </c>
      <c r="C1645" s="40"/>
      <c r="D1645" s="40"/>
      <c r="E1645" s="40"/>
      <c r="F1645" s="13">
        <f t="shared" ca="1" si="841"/>
        <v>0</v>
      </c>
      <c r="G1645" s="17">
        <f t="shared" ca="1" si="841"/>
        <v>0</v>
      </c>
      <c r="H1645" s="17">
        <f t="shared" ca="1" si="841"/>
        <v>0</v>
      </c>
      <c r="I1645" s="13">
        <f t="shared" ca="1" si="841"/>
        <v>0</v>
      </c>
      <c r="J1645" s="16"/>
      <c r="K1645" s="13">
        <f t="shared" ref="K1645:K1647" ca="1" si="842">OFFSET(K1645,-6,0)</f>
        <v>0</v>
      </c>
      <c r="L1645" s="15">
        <f t="shared" ca="1" si="838"/>
        <v>1</v>
      </c>
      <c r="M1645" s="15"/>
      <c r="N1645" s="15">
        <f t="shared" ca="1" si="837"/>
        <v>0</v>
      </c>
    </row>
    <row r="1646" spans="1:14" x14ac:dyDescent="0.4">
      <c r="A1646" s="11" t="s">
        <v>10</v>
      </c>
      <c r="B1646" s="40">
        <f t="shared" ca="1" si="841"/>
        <v>0</v>
      </c>
      <c r="C1646" s="40"/>
      <c r="D1646" s="40"/>
      <c r="E1646" s="40"/>
      <c r="F1646" s="13">
        <f t="shared" ca="1" si="841"/>
        <v>0</v>
      </c>
      <c r="G1646" s="17">
        <f t="shared" ca="1" si="841"/>
        <v>0</v>
      </c>
      <c r="H1646" s="17">
        <f t="shared" ca="1" si="841"/>
        <v>0</v>
      </c>
      <c r="I1646" s="13">
        <f t="shared" ca="1" si="841"/>
        <v>0</v>
      </c>
      <c r="J1646" s="16"/>
      <c r="K1646" s="13">
        <f t="shared" ca="1" si="842"/>
        <v>0</v>
      </c>
      <c r="L1646" s="15">
        <f t="shared" ca="1" si="838"/>
        <v>1</v>
      </c>
      <c r="M1646" s="15"/>
      <c r="N1646" s="15">
        <f t="shared" ca="1" si="837"/>
        <v>0</v>
      </c>
    </row>
    <row r="1647" spans="1:14" x14ac:dyDescent="0.4">
      <c r="A1647" s="11" t="s">
        <v>10</v>
      </c>
      <c r="B1647" s="40">
        <f t="shared" ca="1" si="841"/>
        <v>0</v>
      </c>
      <c r="C1647" s="40"/>
      <c r="D1647" s="40"/>
      <c r="E1647" s="40"/>
      <c r="F1647" s="13">
        <f t="shared" ca="1" si="841"/>
        <v>0</v>
      </c>
      <c r="G1647" s="17">
        <f t="shared" ca="1" si="841"/>
        <v>0</v>
      </c>
      <c r="H1647" s="17">
        <f t="shared" ca="1" si="841"/>
        <v>0</v>
      </c>
      <c r="I1647" s="13">
        <f t="shared" ca="1" si="841"/>
        <v>0</v>
      </c>
      <c r="J1647" s="16"/>
      <c r="K1647" s="13">
        <f t="shared" ca="1" si="842"/>
        <v>0</v>
      </c>
      <c r="L1647" s="15">
        <f t="shared" ca="1" si="838"/>
        <v>1</v>
      </c>
      <c r="M1647" s="15"/>
      <c r="N1647" s="15">
        <f t="shared" ca="1" si="837"/>
        <v>0</v>
      </c>
    </row>
    <row r="1648" spans="1:14" x14ac:dyDescent="0.4">
      <c r="A1648" s="11" t="s">
        <v>7</v>
      </c>
      <c r="B1648" s="40">
        <f t="shared" ref="B1648:I1650" ca="1" si="843">OFFSET(B1648,-9,0)</f>
        <v>0</v>
      </c>
      <c r="C1648" s="40"/>
      <c r="D1648" s="40"/>
      <c r="E1648" s="40"/>
      <c r="F1648" s="13">
        <f t="shared" ca="1" si="843"/>
        <v>0</v>
      </c>
      <c r="G1648" s="17">
        <f t="shared" ca="1" si="843"/>
        <v>0</v>
      </c>
      <c r="H1648" s="17">
        <f t="shared" ca="1" si="843"/>
        <v>0</v>
      </c>
      <c r="I1648" s="13">
        <f t="shared" ca="1" si="843"/>
        <v>0</v>
      </c>
      <c r="J1648" s="16"/>
      <c r="K1648" s="13">
        <f t="shared" ref="K1648:K1650" ca="1" si="844">OFFSET(K1648,-9,0)</f>
        <v>0</v>
      </c>
      <c r="L1648" s="15">
        <f t="shared" ca="1" si="838"/>
        <v>1</v>
      </c>
      <c r="M1648" s="15"/>
      <c r="N1648" s="15">
        <f t="shared" ca="1" si="837"/>
        <v>0</v>
      </c>
    </row>
    <row r="1649" spans="1:14" x14ac:dyDescent="0.4">
      <c r="A1649" s="11" t="s">
        <v>7</v>
      </c>
      <c r="B1649" s="40">
        <f t="shared" ca="1" si="843"/>
        <v>0</v>
      </c>
      <c r="C1649" s="40"/>
      <c r="D1649" s="40"/>
      <c r="E1649" s="40"/>
      <c r="F1649" s="13">
        <f t="shared" ca="1" si="843"/>
        <v>0</v>
      </c>
      <c r="G1649" s="17">
        <f t="shared" ca="1" si="843"/>
        <v>0</v>
      </c>
      <c r="H1649" s="17">
        <f t="shared" ca="1" si="843"/>
        <v>0</v>
      </c>
      <c r="I1649" s="13">
        <f t="shared" ca="1" si="843"/>
        <v>0</v>
      </c>
      <c r="J1649" s="16"/>
      <c r="K1649" s="13">
        <f t="shared" ca="1" si="844"/>
        <v>0</v>
      </c>
      <c r="L1649" s="15">
        <f t="shared" ca="1" si="838"/>
        <v>1</v>
      </c>
      <c r="M1649" s="15"/>
      <c r="N1649" s="15">
        <f t="shared" ca="1" si="837"/>
        <v>0</v>
      </c>
    </row>
    <row r="1650" spans="1:14" x14ac:dyDescent="0.4">
      <c r="A1650" s="11" t="s">
        <v>7</v>
      </c>
      <c r="B1650" s="40">
        <f t="shared" ca="1" si="843"/>
        <v>0</v>
      </c>
      <c r="C1650" s="40"/>
      <c r="D1650" s="40"/>
      <c r="E1650" s="40"/>
      <c r="F1650" s="13">
        <f t="shared" ca="1" si="843"/>
        <v>0</v>
      </c>
      <c r="G1650" s="17">
        <f t="shared" ca="1" si="843"/>
        <v>0</v>
      </c>
      <c r="H1650" s="17">
        <f t="shared" ca="1" si="843"/>
        <v>0</v>
      </c>
      <c r="I1650" s="13">
        <f t="shared" ca="1" si="843"/>
        <v>0</v>
      </c>
      <c r="J1650" s="16"/>
      <c r="K1650" s="13">
        <f t="shared" ca="1" si="844"/>
        <v>0</v>
      </c>
      <c r="L1650" s="15">
        <f t="shared" ca="1" si="838"/>
        <v>1</v>
      </c>
      <c r="M1650" s="15"/>
      <c r="N1650" s="15">
        <f t="shared" ca="1" si="837"/>
        <v>0</v>
      </c>
    </row>
    <row r="1651" spans="1:14" x14ac:dyDescent="0.4">
      <c r="A1651" s="11" t="s">
        <v>8</v>
      </c>
      <c r="B1651" s="40">
        <f t="shared" ref="B1651:I1653" ca="1" si="845">OFFSET(B1651,-12,0)</f>
        <v>0</v>
      </c>
      <c r="C1651" s="40"/>
      <c r="D1651" s="40"/>
      <c r="E1651" s="40"/>
      <c r="F1651" s="13">
        <f t="shared" ca="1" si="845"/>
        <v>0</v>
      </c>
      <c r="G1651" s="17">
        <f t="shared" ca="1" si="845"/>
        <v>0</v>
      </c>
      <c r="H1651" s="17">
        <f t="shared" ca="1" si="845"/>
        <v>0</v>
      </c>
      <c r="I1651" s="13">
        <f t="shared" ca="1" si="845"/>
        <v>0</v>
      </c>
      <c r="J1651" s="16"/>
      <c r="K1651" s="13">
        <f t="shared" ref="K1651:K1653" ca="1" si="846">OFFSET(K1651,-12,0)</f>
        <v>0</v>
      </c>
      <c r="L1651" s="15">
        <f t="shared" ca="1" si="838"/>
        <v>1</v>
      </c>
      <c r="M1651" s="15"/>
      <c r="N1651" s="15">
        <f t="shared" ca="1" si="837"/>
        <v>0</v>
      </c>
    </row>
    <row r="1652" spans="1:14" x14ac:dyDescent="0.4">
      <c r="A1652" s="11" t="s">
        <v>8</v>
      </c>
      <c r="B1652" s="40">
        <f t="shared" ca="1" si="845"/>
        <v>0</v>
      </c>
      <c r="C1652" s="40"/>
      <c r="D1652" s="40"/>
      <c r="E1652" s="40"/>
      <c r="F1652" s="13">
        <f t="shared" ca="1" si="845"/>
        <v>0</v>
      </c>
      <c r="G1652" s="17">
        <f t="shared" ca="1" si="845"/>
        <v>0</v>
      </c>
      <c r="H1652" s="17">
        <f t="shared" ca="1" si="845"/>
        <v>0</v>
      </c>
      <c r="I1652" s="13">
        <f t="shared" ca="1" si="845"/>
        <v>0</v>
      </c>
      <c r="J1652" s="16"/>
      <c r="K1652" s="13">
        <f t="shared" ca="1" si="846"/>
        <v>0</v>
      </c>
      <c r="L1652" s="15">
        <f t="shared" ca="1" si="838"/>
        <v>1</v>
      </c>
      <c r="M1652" s="15"/>
      <c r="N1652" s="15">
        <f t="shared" ca="1" si="837"/>
        <v>0</v>
      </c>
    </row>
    <row r="1653" spans="1:14" x14ac:dyDescent="0.4">
      <c r="A1653" s="11" t="s">
        <v>8</v>
      </c>
      <c r="B1653" s="40">
        <f t="shared" ca="1" si="845"/>
        <v>0</v>
      </c>
      <c r="C1653" s="40"/>
      <c r="D1653" s="40"/>
      <c r="E1653" s="40"/>
      <c r="F1653" s="13">
        <f t="shared" ca="1" si="845"/>
        <v>0</v>
      </c>
      <c r="G1653" s="17">
        <f t="shared" ca="1" si="845"/>
        <v>0</v>
      </c>
      <c r="H1653" s="17">
        <f t="shared" ca="1" si="845"/>
        <v>0</v>
      </c>
      <c r="I1653" s="13">
        <f t="shared" ca="1" si="845"/>
        <v>0</v>
      </c>
      <c r="J1653" s="16"/>
      <c r="K1653" s="13">
        <f t="shared" ca="1" si="846"/>
        <v>0</v>
      </c>
      <c r="L1653" s="15">
        <f t="shared" ca="1" si="838"/>
        <v>1</v>
      </c>
      <c r="M1653" s="15"/>
      <c r="N1653" s="15">
        <f t="shared" ca="1" si="837"/>
        <v>0</v>
      </c>
    </row>
    <row r="1654" spans="1:14" x14ac:dyDescent="0.4">
      <c r="A1654" s="11" t="s">
        <v>9</v>
      </c>
      <c r="B1654" s="41">
        <f t="shared" ref="B1654:H1656" ca="1" si="847">OFFSET(B1654,-15,0)</f>
        <v>0</v>
      </c>
      <c r="C1654" s="41"/>
      <c r="D1654" s="41"/>
      <c r="E1654" s="41"/>
      <c r="F1654" s="19">
        <f t="shared" ca="1" si="847"/>
        <v>0</v>
      </c>
      <c r="G1654" s="20">
        <f t="shared" ca="1" si="847"/>
        <v>0</v>
      </c>
      <c r="H1654" s="20">
        <f ca="1">OFFSET(H1654,-15,0)</f>
        <v>0</v>
      </c>
      <c r="I1654" s="13">
        <f t="shared" ref="I1654:I1656" ca="1" si="848">OFFSET(I1654,-15,0)</f>
        <v>0</v>
      </c>
      <c r="J1654" s="16"/>
      <c r="K1654" s="19">
        <f t="shared" ref="K1654:K1656" ca="1" si="849">OFFSET(K1654,-15,0)</f>
        <v>0</v>
      </c>
      <c r="L1654" s="15">
        <f t="shared" ca="1" si="838"/>
        <v>1</v>
      </c>
      <c r="M1654" s="15"/>
      <c r="N1654" s="15">
        <f t="shared" ca="1" si="837"/>
        <v>0</v>
      </c>
    </row>
    <row r="1655" spans="1:14" x14ac:dyDescent="0.4">
      <c r="A1655" s="11" t="s">
        <v>9</v>
      </c>
      <c r="B1655" s="41">
        <f t="shared" ca="1" si="847"/>
        <v>0</v>
      </c>
      <c r="C1655" s="41"/>
      <c r="D1655" s="41"/>
      <c r="E1655" s="41"/>
      <c r="F1655" s="19">
        <f t="shared" ca="1" si="847"/>
        <v>0</v>
      </c>
      <c r="G1655" s="20">
        <f t="shared" ca="1" si="847"/>
        <v>0</v>
      </c>
      <c r="H1655" s="20">
        <f t="shared" ca="1" si="847"/>
        <v>0</v>
      </c>
      <c r="I1655" s="13">
        <f t="shared" ca="1" si="848"/>
        <v>0</v>
      </c>
      <c r="J1655" s="16"/>
      <c r="K1655" s="19">
        <f t="shared" ca="1" si="849"/>
        <v>0</v>
      </c>
      <c r="L1655" s="15">
        <f t="shared" ca="1" si="838"/>
        <v>1</v>
      </c>
      <c r="M1655" s="15"/>
      <c r="N1655" s="15">
        <f t="shared" ca="1" si="837"/>
        <v>0</v>
      </c>
    </row>
    <row r="1656" spans="1:14" x14ac:dyDescent="0.4">
      <c r="A1656" s="11" t="s">
        <v>9</v>
      </c>
      <c r="B1656" s="41">
        <f t="shared" ca="1" si="847"/>
        <v>0</v>
      </c>
      <c r="C1656" s="41"/>
      <c r="D1656" s="41"/>
      <c r="E1656" s="41"/>
      <c r="F1656" s="19">
        <f t="shared" ca="1" si="847"/>
        <v>0</v>
      </c>
      <c r="G1656" s="20">
        <f t="shared" ca="1" si="847"/>
        <v>0</v>
      </c>
      <c r="H1656" s="20">
        <f t="shared" ca="1" si="847"/>
        <v>0</v>
      </c>
      <c r="I1656" s="13">
        <f t="shared" ca="1" si="848"/>
        <v>0</v>
      </c>
      <c r="J1656" s="16"/>
      <c r="K1656" s="19">
        <f t="shared" ca="1" si="849"/>
        <v>0</v>
      </c>
      <c r="L1656" s="15">
        <f t="shared" ca="1" si="838"/>
        <v>1</v>
      </c>
      <c r="M1656" s="15"/>
      <c r="N1656" s="15">
        <f t="shared" ca="1" si="837"/>
        <v>0</v>
      </c>
    </row>
    <row r="1657" spans="1:14" ht="17.399999999999999" x14ac:dyDescent="0.4">
      <c r="A1657" s="74" t="s">
        <v>30</v>
      </c>
      <c r="B1657" s="75"/>
      <c r="C1657" s="75"/>
      <c r="D1657" s="75"/>
      <c r="E1657" s="75"/>
      <c r="F1657" s="75"/>
      <c r="G1657" s="75"/>
      <c r="H1657" s="75"/>
      <c r="I1657" s="75"/>
      <c r="J1657" s="75"/>
      <c r="K1657" s="75"/>
      <c r="L1657" s="75"/>
      <c r="M1657" s="75"/>
      <c r="N1657" s="76"/>
    </row>
    <row r="1658" spans="1:14" x14ac:dyDescent="0.4">
      <c r="A1658" s="11" t="s">
        <v>5</v>
      </c>
      <c r="B1658" s="40"/>
      <c r="C1658" s="40"/>
      <c r="D1658" s="40"/>
      <c r="E1658" s="40"/>
      <c r="F1658" s="13"/>
      <c r="G1658" s="11"/>
      <c r="H1658" s="17"/>
      <c r="I1658" s="13"/>
      <c r="J1658" s="16"/>
      <c r="K1658" s="13"/>
      <c r="L1658" s="15">
        <f>ROUND((10^(K1658/10))/(10^(I1658/10)),3)</f>
        <v>1</v>
      </c>
      <c r="M1658" s="15"/>
      <c r="N1658" s="15">
        <f t="shared" ref="N1658:N1675" si="850">J1658*L1658</f>
        <v>0</v>
      </c>
    </row>
    <row r="1659" spans="1:14" x14ac:dyDescent="0.4">
      <c r="A1659" s="11" t="s">
        <v>5</v>
      </c>
      <c r="B1659" s="40"/>
      <c r="C1659" s="40"/>
      <c r="D1659" s="40"/>
      <c r="E1659" s="40"/>
      <c r="F1659" s="13"/>
      <c r="G1659" s="11"/>
      <c r="H1659" s="17"/>
      <c r="I1659" s="13"/>
      <c r="J1659" s="16"/>
      <c r="K1659" s="13"/>
      <c r="L1659" s="15">
        <f t="shared" ref="L1659:L1675" si="851">ROUND((10^(K1659/10))/(10^(I1659/10)),3)</f>
        <v>1</v>
      </c>
      <c r="M1659" s="15"/>
      <c r="N1659" s="15">
        <f t="shared" si="850"/>
        <v>0</v>
      </c>
    </row>
    <row r="1660" spans="1:14" x14ac:dyDescent="0.4">
      <c r="A1660" s="11" t="s">
        <v>5</v>
      </c>
      <c r="B1660" s="40"/>
      <c r="C1660" s="40"/>
      <c r="D1660" s="40"/>
      <c r="E1660" s="40"/>
      <c r="F1660" s="13"/>
      <c r="G1660" s="11"/>
      <c r="H1660" s="17"/>
      <c r="I1660" s="13"/>
      <c r="J1660" s="16"/>
      <c r="K1660" s="13"/>
      <c r="L1660" s="15">
        <f t="shared" si="851"/>
        <v>1</v>
      </c>
      <c r="M1660" s="15"/>
      <c r="N1660" s="15">
        <f t="shared" si="850"/>
        <v>0</v>
      </c>
    </row>
    <row r="1661" spans="1:14" x14ac:dyDescent="0.4">
      <c r="A1661" s="11" t="s">
        <v>6</v>
      </c>
      <c r="B1661" s="41">
        <f t="shared" ref="B1661:I1663" ca="1" si="852">OFFSET(B1661,-3,0)</f>
        <v>0</v>
      </c>
      <c r="C1661" s="41"/>
      <c r="D1661" s="41"/>
      <c r="E1661" s="41"/>
      <c r="F1661" s="19">
        <f t="shared" ca="1" si="852"/>
        <v>0</v>
      </c>
      <c r="G1661" s="20">
        <f t="shared" ca="1" si="852"/>
        <v>0</v>
      </c>
      <c r="H1661" s="20">
        <f t="shared" ca="1" si="852"/>
        <v>0</v>
      </c>
      <c r="I1661" s="13">
        <f t="shared" ca="1" si="852"/>
        <v>0</v>
      </c>
      <c r="J1661" s="16"/>
      <c r="K1661" s="19">
        <f t="shared" ref="K1661:K1663" ca="1" si="853">OFFSET(K1661,-3,0)</f>
        <v>0</v>
      </c>
      <c r="L1661" s="15">
        <f t="shared" ca="1" si="851"/>
        <v>1</v>
      </c>
      <c r="M1661" s="15"/>
      <c r="N1661" s="15">
        <f t="shared" ca="1" si="850"/>
        <v>0</v>
      </c>
    </row>
    <row r="1662" spans="1:14" x14ac:dyDescent="0.4">
      <c r="A1662" s="11" t="s">
        <v>6</v>
      </c>
      <c r="B1662" s="41">
        <f t="shared" ca="1" si="852"/>
        <v>0</v>
      </c>
      <c r="C1662" s="41"/>
      <c r="D1662" s="41"/>
      <c r="E1662" s="41"/>
      <c r="F1662" s="19">
        <f t="shared" ca="1" si="852"/>
        <v>0</v>
      </c>
      <c r="G1662" s="20">
        <f t="shared" ca="1" si="852"/>
        <v>0</v>
      </c>
      <c r="H1662" s="20">
        <f t="shared" ca="1" si="852"/>
        <v>0</v>
      </c>
      <c r="I1662" s="13">
        <f t="shared" ca="1" si="852"/>
        <v>0</v>
      </c>
      <c r="J1662" s="16"/>
      <c r="K1662" s="19">
        <f t="shared" ca="1" si="853"/>
        <v>0</v>
      </c>
      <c r="L1662" s="15">
        <f t="shared" ca="1" si="851"/>
        <v>1</v>
      </c>
      <c r="M1662" s="15"/>
      <c r="N1662" s="15">
        <f t="shared" ca="1" si="850"/>
        <v>0</v>
      </c>
    </row>
    <row r="1663" spans="1:14" x14ac:dyDescent="0.4">
      <c r="A1663" s="11" t="s">
        <v>6</v>
      </c>
      <c r="B1663" s="41">
        <f t="shared" ca="1" si="852"/>
        <v>0</v>
      </c>
      <c r="C1663" s="41"/>
      <c r="D1663" s="41"/>
      <c r="E1663" s="41"/>
      <c r="F1663" s="19">
        <f t="shared" ca="1" si="852"/>
        <v>0</v>
      </c>
      <c r="G1663" s="20">
        <f t="shared" ca="1" si="852"/>
        <v>0</v>
      </c>
      <c r="H1663" s="20">
        <f t="shared" ca="1" si="852"/>
        <v>0</v>
      </c>
      <c r="I1663" s="13">
        <f t="shared" ca="1" si="852"/>
        <v>0</v>
      </c>
      <c r="J1663" s="16"/>
      <c r="K1663" s="19">
        <f t="shared" ca="1" si="853"/>
        <v>0</v>
      </c>
      <c r="L1663" s="15">
        <f t="shared" ca="1" si="851"/>
        <v>1</v>
      </c>
      <c r="M1663" s="15"/>
      <c r="N1663" s="15">
        <f t="shared" ca="1" si="850"/>
        <v>0</v>
      </c>
    </row>
    <row r="1664" spans="1:14" x14ac:dyDescent="0.4">
      <c r="A1664" s="11" t="s">
        <v>57</v>
      </c>
      <c r="B1664" s="40">
        <f t="shared" ref="B1664:I1666" ca="1" si="854">OFFSET(B1664,-6,0)</f>
        <v>0</v>
      </c>
      <c r="C1664" s="40"/>
      <c r="D1664" s="40"/>
      <c r="E1664" s="40"/>
      <c r="F1664" s="13">
        <f t="shared" ca="1" si="854"/>
        <v>0</v>
      </c>
      <c r="G1664" s="17">
        <f t="shared" ca="1" si="854"/>
        <v>0</v>
      </c>
      <c r="H1664" s="17">
        <f t="shared" ca="1" si="854"/>
        <v>0</v>
      </c>
      <c r="I1664" s="13">
        <f t="shared" ca="1" si="854"/>
        <v>0</v>
      </c>
      <c r="J1664" s="16"/>
      <c r="K1664" s="13">
        <f t="shared" ref="K1664:K1666" ca="1" si="855">OFFSET(K1664,-6,0)</f>
        <v>0</v>
      </c>
      <c r="L1664" s="15">
        <f t="shared" ca="1" si="851"/>
        <v>1</v>
      </c>
      <c r="M1664" s="15"/>
      <c r="N1664" s="15">
        <f t="shared" ca="1" si="850"/>
        <v>0</v>
      </c>
    </row>
    <row r="1665" spans="1:14" x14ac:dyDescent="0.4">
      <c r="A1665" s="11" t="s">
        <v>57</v>
      </c>
      <c r="B1665" s="40">
        <f t="shared" ca="1" si="854"/>
        <v>0</v>
      </c>
      <c r="C1665" s="40"/>
      <c r="D1665" s="40"/>
      <c r="E1665" s="40"/>
      <c r="F1665" s="13">
        <f t="shared" ca="1" si="854"/>
        <v>0</v>
      </c>
      <c r="G1665" s="17">
        <f t="shared" ca="1" si="854"/>
        <v>0</v>
      </c>
      <c r="H1665" s="17">
        <f t="shared" ca="1" si="854"/>
        <v>0</v>
      </c>
      <c r="I1665" s="13">
        <f t="shared" ca="1" si="854"/>
        <v>0</v>
      </c>
      <c r="J1665" s="16"/>
      <c r="K1665" s="13">
        <f t="shared" ca="1" si="855"/>
        <v>0</v>
      </c>
      <c r="L1665" s="15">
        <f t="shared" ca="1" si="851"/>
        <v>1</v>
      </c>
      <c r="M1665" s="15"/>
      <c r="N1665" s="15">
        <f t="shared" ca="1" si="850"/>
        <v>0</v>
      </c>
    </row>
    <row r="1666" spans="1:14" x14ac:dyDescent="0.4">
      <c r="A1666" s="11" t="s">
        <v>57</v>
      </c>
      <c r="B1666" s="40">
        <f t="shared" ca="1" si="854"/>
        <v>0</v>
      </c>
      <c r="C1666" s="40"/>
      <c r="D1666" s="40"/>
      <c r="E1666" s="40"/>
      <c r="F1666" s="13">
        <f t="shared" ca="1" si="854"/>
        <v>0</v>
      </c>
      <c r="G1666" s="17">
        <f t="shared" ca="1" si="854"/>
        <v>0</v>
      </c>
      <c r="H1666" s="17">
        <f t="shared" ca="1" si="854"/>
        <v>0</v>
      </c>
      <c r="I1666" s="13">
        <f t="shared" ca="1" si="854"/>
        <v>0</v>
      </c>
      <c r="J1666" s="16"/>
      <c r="K1666" s="13">
        <f t="shared" ca="1" si="855"/>
        <v>0</v>
      </c>
      <c r="L1666" s="15">
        <f t="shared" ca="1" si="851"/>
        <v>1</v>
      </c>
      <c r="M1666" s="15"/>
      <c r="N1666" s="15">
        <f t="shared" ca="1" si="850"/>
        <v>0</v>
      </c>
    </row>
    <row r="1667" spans="1:14" x14ac:dyDescent="0.4">
      <c r="A1667" s="11" t="s">
        <v>7</v>
      </c>
      <c r="B1667" s="40">
        <f t="shared" ref="B1667:I1669" ca="1" si="856">OFFSET(B1667,-9,0)</f>
        <v>0</v>
      </c>
      <c r="C1667" s="40"/>
      <c r="D1667" s="40"/>
      <c r="E1667" s="40"/>
      <c r="F1667" s="13">
        <f t="shared" ca="1" si="856"/>
        <v>0</v>
      </c>
      <c r="G1667" s="17">
        <f t="shared" ca="1" si="856"/>
        <v>0</v>
      </c>
      <c r="H1667" s="17">
        <f t="shared" ca="1" si="856"/>
        <v>0</v>
      </c>
      <c r="I1667" s="13">
        <f t="shared" ca="1" si="856"/>
        <v>0</v>
      </c>
      <c r="J1667" s="16"/>
      <c r="K1667" s="13">
        <f t="shared" ref="K1667:K1669" ca="1" si="857">OFFSET(K1667,-9,0)</f>
        <v>0</v>
      </c>
      <c r="L1667" s="15">
        <f t="shared" ca="1" si="851"/>
        <v>1</v>
      </c>
      <c r="M1667" s="15"/>
      <c r="N1667" s="15">
        <f t="shared" ca="1" si="850"/>
        <v>0</v>
      </c>
    </row>
    <row r="1668" spans="1:14" x14ac:dyDescent="0.4">
      <c r="A1668" s="11" t="s">
        <v>7</v>
      </c>
      <c r="B1668" s="40">
        <f t="shared" ca="1" si="856"/>
        <v>0</v>
      </c>
      <c r="C1668" s="40"/>
      <c r="D1668" s="40"/>
      <c r="E1668" s="40"/>
      <c r="F1668" s="13">
        <f t="shared" ca="1" si="856"/>
        <v>0</v>
      </c>
      <c r="G1668" s="17">
        <f t="shared" ca="1" si="856"/>
        <v>0</v>
      </c>
      <c r="H1668" s="17">
        <f t="shared" ca="1" si="856"/>
        <v>0</v>
      </c>
      <c r="I1668" s="13">
        <f t="shared" ca="1" si="856"/>
        <v>0</v>
      </c>
      <c r="J1668" s="16"/>
      <c r="K1668" s="13">
        <f t="shared" ca="1" si="857"/>
        <v>0</v>
      </c>
      <c r="L1668" s="15">
        <f t="shared" ca="1" si="851"/>
        <v>1</v>
      </c>
      <c r="M1668" s="15"/>
      <c r="N1668" s="15">
        <f t="shared" ca="1" si="850"/>
        <v>0</v>
      </c>
    </row>
    <row r="1669" spans="1:14" x14ac:dyDescent="0.4">
      <c r="A1669" s="11" t="s">
        <v>7</v>
      </c>
      <c r="B1669" s="40">
        <f t="shared" ca="1" si="856"/>
        <v>0</v>
      </c>
      <c r="C1669" s="40"/>
      <c r="D1669" s="40"/>
      <c r="E1669" s="40"/>
      <c r="F1669" s="13">
        <f t="shared" ca="1" si="856"/>
        <v>0</v>
      </c>
      <c r="G1669" s="17">
        <f t="shared" ca="1" si="856"/>
        <v>0</v>
      </c>
      <c r="H1669" s="17">
        <f t="shared" ca="1" si="856"/>
        <v>0</v>
      </c>
      <c r="I1669" s="13">
        <f t="shared" ca="1" si="856"/>
        <v>0</v>
      </c>
      <c r="J1669" s="16"/>
      <c r="K1669" s="13">
        <f t="shared" ca="1" si="857"/>
        <v>0</v>
      </c>
      <c r="L1669" s="15">
        <f t="shared" ca="1" si="851"/>
        <v>1</v>
      </c>
      <c r="M1669" s="15"/>
      <c r="N1669" s="15">
        <f t="shared" ca="1" si="850"/>
        <v>0</v>
      </c>
    </row>
    <row r="1670" spans="1:14" x14ac:dyDescent="0.4">
      <c r="A1670" s="11" t="s">
        <v>8</v>
      </c>
      <c r="B1670" s="40">
        <f t="shared" ref="B1670:I1672" ca="1" si="858">OFFSET(B1670,-12,0)</f>
        <v>0</v>
      </c>
      <c r="C1670" s="40"/>
      <c r="D1670" s="40"/>
      <c r="E1670" s="40"/>
      <c r="F1670" s="13">
        <f t="shared" ca="1" si="858"/>
        <v>0</v>
      </c>
      <c r="G1670" s="17">
        <f t="shared" ca="1" si="858"/>
        <v>0</v>
      </c>
      <c r="H1670" s="17">
        <f t="shared" ca="1" si="858"/>
        <v>0</v>
      </c>
      <c r="I1670" s="13">
        <f t="shared" ca="1" si="858"/>
        <v>0</v>
      </c>
      <c r="J1670" s="16"/>
      <c r="K1670" s="13">
        <f t="shared" ref="K1670:K1672" ca="1" si="859">OFFSET(K1670,-12,0)</f>
        <v>0</v>
      </c>
      <c r="L1670" s="15">
        <f t="shared" ca="1" si="851"/>
        <v>1</v>
      </c>
      <c r="M1670" s="15"/>
      <c r="N1670" s="15">
        <f t="shared" ca="1" si="850"/>
        <v>0</v>
      </c>
    </row>
    <row r="1671" spans="1:14" x14ac:dyDescent="0.4">
      <c r="A1671" s="11" t="s">
        <v>8</v>
      </c>
      <c r="B1671" s="40">
        <f t="shared" ca="1" si="858"/>
        <v>0</v>
      </c>
      <c r="C1671" s="40"/>
      <c r="D1671" s="40"/>
      <c r="E1671" s="40"/>
      <c r="F1671" s="13">
        <f t="shared" ca="1" si="858"/>
        <v>0</v>
      </c>
      <c r="G1671" s="17">
        <f t="shared" ca="1" si="858"/>
        <v>0</v>
      </c>
      <c r="H1671" s="17">
        <f t="shared" ca="1" si="858"/>
        <v>0</v>
      </c>
      <c r="I1671" s="13">
        <f t="shared" ca="1" si="858"/>
        <v>0</v>
      </c>
      <c r="J1671" s="16"/>
      <c r="K1671" s="13">
        <f t="shared" ca="1" si="859"/>
        <v>0</v>
      </c>
      <c r="L1671" s="15">
        <f t="shared" ca="1" si="851"/>
        <v>1</v>
      </c>
      <c r="M1671" s="15"/>
      <c r="N1671" s="15">
        <f t="shared" ca="1" si="850"/>
        <v>0</v>
      </c>
    </row>
    <row r="1672" spans="1:14" x14ac:dyDescent="0.4">
      <c r="A1672" s="11" t="s">
        <v>8</v>
      </c>
      <c r="B1672" s="40">
        <f t="shared" ca="1" si="858"/>
        <v>0</v>
      </c>
      <c r="C1672" s="40"/>
      <c r="D1672" s="40"/>
      <c r="E1672" s="40"/>
      <c r="F1672" s="13">
        <f t="shared" ca="1" si="858"/>
        <v>0</v>
      </c>
      <c r="G1672" s="17">
        <f t="shared" ca="1" si="858"/>
        <v>0</v>
      </c>
      <c r="H1672" s="17">
        <f t="shared" ca="1" si="858"/>
        <v>0</v>
      </c>
      <c r="I1672" s="13">
        <f t="shared" ca="1" si="858"/>
        <v>0</v>
      </c>
      <c r="J1672" s="16"/>
      <c r="K1672" s="13">
        <f t="shared" ca="1" si="859"/>
        <v>0</v>
      </c>
      <c r="L1672" s="15">
        <f t="shared" ca="1" si="851"/>
        <v>1</v>
      </c>
      <c r="M1672" s="15"/>
      <c r="N1672" s="15">
        <f t="shared" ca="1" si="850"/>
        <v>0</v>
      </c>
    </row>
    <row r="1673" spans="1:14" x14ac:dyDescent="0.4">
      <c r="A1673" s="11" t="s">
        <v>9</v>
      </c>
      <c r="B1673" s="41">
        <f t="shared" ref="B1673:I1675" ca="1" si="860">OFFSET(B1673,-15,0)</f>
        <v>0</v>
      </c>
      <c r="C1673" s="41"/>
      <c r="D1673" s="41"/>
      <c r="E1673" s="41"/>
      <c r="F1673" s="19">
        <f t="shared" ca="1" si="860"/>
        <v>0</v>
      </c>
      <c r="G1673" s="20">
        <f t="shared" ca="1" si="860"/>
        <v>0</v>
      </c>
      <c r="H1673" s="20">
        <f t="shared" ca="1" si="860"/>
        <v>0</v>
      </c>
      <c r="I1673" s="13">
        <f t="shared" ca="1" si="860"/>
        <v>0</v>
      </c>
      <c r="J1673" s="16"/>
      <c r="K1673" s="19">
        <f t="shared" ref="K1673:K1675" ca="1" si="861">OFFSET(K1673,-15,0)</f>
        <v>0</v>
      </c>
      <c r="L1673" s="15">
        <f t="shared" ca="1" si="851"/>
        <v>1</v>
      </c>
      <c r="M1673" s="15"/>
      <c r="N1673" s="15">
        <f t="shared" ca="1" si="850"/>
        <v>0</v>
      </c>
    </row>
    <row r="1674" spans="1:14" x14ac:dyDescent="0.4">
      <c r="A1674" s="11" t="s">
        <v>9</v>
      </c>
      <c r="B1674" s="41">
        <f t="shared" ca="1" si="860"/>
        <v>0</v>
      </c>
      <c r="C1674" s="41"/>
      <c r="D1674" s="41"/>
      <c r="E1674" s="41"/>
      <c r="F1674" s="19">
        <f t="shared" ca="1" si="860"/>
        <v>0</v>
      </c>
      <c r="G1674" s="20">
        <f t="shared" ca="1" si="860"/>
        <v>0</v>
      </c>
      <c r="H1674" s="20">
        <f t="shared" ca="1" si="860"/>
        <v>0</v>
      </c>
      <c r="I1674" s="13">
        <f t="shared" ca="1" si="860"/>
        <v>0</v>
      </c>
      <c r="J1674" s="16"/>
      <c r="K1674" s="19">
        <f t="shared" ca="1" si="861"/>
        <v>0</v>
      </c>
      <c r="L1674" s="15">
        <f t="shared" ca="1" si="851"/>
        <v>1</v>
      </c>
      <c r="M1674" s="15"/>
      <c r="N1674" s="15">
        <f t="shared" ca="1" si="850"/>
        <v>0</v>
      </c>
    </row>
    <row r="1675" spans="1:14" x14ac:dyDescent="0.4">
      <c r="A1675" s="11" t="s">
        <v>9</v>
      </c>
      <c r="B1675" s="41">
        <f t="shared" ca="1" si="860"/>
        <v>0</v>
      </c>
      <c r="C1675" s="41"/>
      <c r="D1675" s="41"/>
      <c r="E1675" s="41"/>
      <c r="F1675" s="19">
        <f t="shared" ca="1" si="860"/>
        <v>0</v>
      </c>
      <c r="G1675" s="20">
        <f t="shared" ca="1" si="860"/>
        <v>0</v>
      </c>
      <c r="H1675" s="20">
        <f t="shared" ca="1" si="860"/>
        <v>0</v>
      </c>
      <c r="I1675" s="13">
        <f t="shared" ca="1" si="860"/>
        <v>0</v>
      </c>
      <c r="J1675" s="16"/>
      <c r="K1675" s="19">
        <f t="shared" ca="1" si="861"/>
        <v>0</v>
      </c>
      <c r="L1675" s="15">
        <f t="shared" ca="1" si="851"/>
        <v>1</v>
      </c>
      <c r="M1675" s="15"/>
      <c r="N1675" s="15">
        <f t="shared" ca="1" si="850"/>
        <v>0</v>
      </c>
    </row>
    <row r="1676" spans="1:14" ht="17.399999999999999" x14ac:dyDescent="0.4">
      <c r="A1676" s="77" t="s">
        <v>27</v>
      </c>
      <c r="B1676" s="75"/>
      <c r="C1676" s="75"/>
      <c r="D1676" s="75"/>
      <c r="E1676" s="75"/>
      <c r="F1676" s="75"/>
      <c r="G1676" s="75"/>
      <c r="H1676" s="75"/>
      <c r="I1676" s="75"/>
      <c r="J1676" s="75"/>
      <c r="K1676" s="75"/>
      <c r="L1676" s="75"/>
      <c r="M1676" s="75"/>
      <c r="N1676" s="76"/>
    </row>
    <row r="1677" spans="1:14" x14ac:dyDescent="0.4">
      <c r="A1677" s="11" t="s">
        <v>5</v>
      </c>
      <c r="B1677" s="40"/>
      <c r="C1677" s="40"/>
      <c r="D1677" s="40"/>
      <c r="E1677" s="40"/>
      <c r="F1677" s="13"/>
      <c r="G1677" s="11"/>
      <c r="H1677" s="17"/>
      <c r="I1677" s="13"/>
      <c r="J1677" s="16"/>
      <c r="K1677" s="13"/>
      <c r="L1677" s="15">
        <f>ROUND((10^(K1677/10))/(10^(I1677/10)),3)</f>
        <v>1</v>
      </c>
      <c r="M1677" s="15"/>
      <c r="N1677" s="15">
        <f t="shared" ref="N1677:N1694" si="862">J1677*L1677</f>
        <v>0</v>
      </c>
    </row>
    <row r="1678" spans="1:14" x14ac:dyDescent="0.4">
      <c r="A1678" s="11" t="s">
        <v>5</v>
      </c>
      <c r="B1678" s="40"/>
      <c r="C1678" s="40"/>
      <c r="D1678" s="40"/>
      <c r="E1678" s="40"/>
      <c r="F1678" s="13"/>
      <c r="G1678" s="11"/>
      <c r="H1678" s="17"/>
      <c r="I1678" s="13"/>
      <c r="J1678" s="16"/>
      <c r="K1678" s="13"/>
      <c r="L1678" s="15">
        <f t="shared" ref="L1678:L1694" si="863">ROUND((10^(K1678/10))/(10^(I1678/10)),3)</f>
        <v>1</v>
      </c>
      <c r="M1678" s="15"/>
      <c r="N1678" s="15">
        <f t="shared" si="862"/>
        <v>0</v>
      </c>
    </row>
    <row r="1679" spans="1:14" x14ac:dyDescent="0.4">
      <c r="A1679" s="11" t="s">
        <v>5</v>
      </c>
      <c r="B1679" s="40"/>
      <c r="C1679" s="40"/>
      <c r="D1679" s="40"/>
      <c r="E1679" s="40"/>
      <c r="F1679" s="13"/>
      <c r="G1679" s="11"/>
      <c r="H1679" s="17"/>
      <c r="I1679" s="13"/>
      <c r="J1679" s="16"/>
      <c r="K1679" s="13"/>
      <c r="L1679" s="15">
        <f t="shared" si="863"/>
        <v>1</v>
      </c>
      <c r="M1679" s="15"/>
      <c r="N1679" s="15">
        <f t="shared" si="862"/>
        <v>0</v>
      </c>
    </row>
    <row r="1680" spans="1:14" x14ac:dyDescent="0.4">
      <c r="A1680" s="11" t="s">
        <v>6</v>
      </c>
      <c r="B1680" s="41">
        <f t="shared" ref="B1680:I1682" ca="1" si="864">OFFSET(B1680,-3,0)</f>
        <v>0</v>
      </c>
      <c r="C1680" s="41"/>
      <c r="D1680" s="41"/>
      <c r="E1680" s="41"/>
      <c r="F1680" s="19">
        <f t="shared" ca="1" si="864"/>
        <v>0</v>
      </c>
      <c r="G1680" s="20">
        <f t="shared" ca="1" si="864"/>
        <v>0</v>
      </c>
      <c r="H1680" s="20">
        <f t="shared" ca="1" si="864"/>
        <v>0</v>
      </c>
      <c r="I1680" s="13">
        <f t="shared" ca="1" si="864"/>
        <v>0</v>
      </c>
      <c r="J1680" s="16"/>
      <c r="K1680" s="19">
        <f t="shared" ref="K1680:K1682" ca="1" si="865">OFFSET(K1680,-3,0)</f>
        <v>0</v>
      </c>
      <c r="L1680" s="15">
        <f t="shared" ca="1" si="863"/>
        <v>1</v>
      </c>
      <c r="M1680" s="15"/>
      <c r="N1680" s="15">
        <f t="shared" ca="1" si="862"/>
        <v>0</v>
      </c>
    </row>
    <row r="1681" spans="1:14" x14ac:dyDescent="0.4">
      <c r="A1681" s="11" t="s">
        <v>6</v>
      </c>
      <c r="B1681" s="41">
        <f t="shared" ca="1" si="864"/>
        <v>0</v>
      </c>
      <c r="C1681" s="41"/>
      <c r="D1681" s="41"/>
      <c r="E1681" s="41"/>
      <c r="F1681" s="19">
        <f t="shared" ca="1" si="864"/>
        <v>0</v>
      </c>
      <c r="G1681" s="20">
        <f t="shared" ca="1" si="864"/>
        <v>0</v>
      </c>
      <c r="H1681" s="20">
        <f t="shared" ca="1" si="864"/>
        <v>0</v>
      </c>
      <c r="I1681" s="13">
        <f t="shared" ca="1" si="864"/>
        <v>0</v>
      </c>
      <c r="J1681" s="16"/>
      <c r="K1681" s="19">
        <f t="shared" ca="1" si="865"/>
        <v>0</v>
      </c>
      <c r="L1681" s="15">
        <f t="shared" ca="1" si="863"/>
        <v>1</v>
      </c>
      <c r="M1681" s="15"/>
      <c r="N1681" s="15">
        <f t="shared" ca="1" si="862"/>
        <v>0</v>
      </c>
    </row>
    <row r="1682" spans="1:14" x14ac:dyDescent="0.4">
      <c r="A1682" s="11" t="s">
        <v>6</v>
      </c>
      <c r="B1682" s="41">
        <f t="shared" ca="1" si="864"/>
        <v>0</v>
      </c>
      <c r="C1682" s="41"/>
      <c r="D1682" s="41"/>
      <c r="E1682" s="41"/>
      <c r="F1682" s="19">
        <f t="shared" ca="1" si="864"/>
        <v>0</v>
      </c>
      <c r="G1682" s="20">
        <f t="shared" ca="1" si="864"/>
        <v>0</v>
      </c>
      <c r="H1682" s="20">
        <f t="shared" ca="1" si="864"/>
        <v>0</v>
      </c>
      <c r="I1682" s="13">
        <f t="shared" ca="1" si="864"/>
        <v>0</v>
      </c>
      <c r="J1682" s="16"/>
      <c r="K1682" s="19">
        <f t="shared" ca="1" si="865"/>
        <v>0</v>
      </c>
      <c r="L1682" s="15">
        <f t="shared" ca="1" si="863"/>
        <v>1</v>
      </c>
      <c r="M1682" s="15"/>
      <c r="N1682" s="15">
        <f t="shared" ca="1" si="862"/>
        <v>0</v>
      </c>
    </row>
    <row r="1683" spans="1:14" x14ac:dyDescent="0.4">
      <c r="A1683" s="11" t="s">
        <v>57</v>
      </c>
      <c r="B1683" s="40">
        <f t="shared" ref="B1683:I1685" ca="1" si="866">OFFSET(B1683,-6,0)</f>
        <v>0</v>
      </c>
      <c r="C1683" s="40"/>
      <c r="D1683" s="40"/>
      <c r="E1683" s="40"/>
      <c r="F1683" s="13">
        <f t="shared" ca="1" si="866"/>
        <v>0</v>
      </c>
      <c r="G1683" s="17">
        <f t="shared" ca="1" si="866"/>
        <v>0</v>
      </c>
      <c r="H1683" s="17">
        <f t="shared" ca="1" si="866"/>
        <v>0</v>
      </c>
      <c r="I1683" s="13">
        <f t="shared" ca="1" si="866"/>
        <v>0</v>
      </c>
      <c r="J1683" s="16"/>
      <c r="K1683" s="13">
        <f t="shared" ref="K1683:K1685" ca="1" si="867">OFFSET(K1683,-6,0)</f>
        <v>0</v>
      </c>
      <c r="L1683" s="15">
        <f t="shared" ca="1" si="863"/>
        <v>1</v>
      </c>
      <c r="M1683" s="15"/>
      <c r="N1683" s="15">
        <f t="shared" ca="1" si="862"/>
        <v>0</v>
      </c>
    </row>
    <row r="1684" spans="1:14" x14ac:dyDescent="0.4">
      <c r="A1684" s="11" t="s">
        <v>57</v>
      </c>
      <c r="B1684" s="40">
        <f t="shared" ca="1" si="866"/>
        <v>0</v>
      </c>
      <c r="C1684" s="40"/>
      <c r="D1684" s="40"/>
      <c r="E1684" s="40"/>
      <c r="F1684" s="13">
        <f t="shared" ca="1" si="866"/>
        <v>0</v>
      </c>
      <c r="G1684" s="17">
        <f t="shared" ca="1" si="866"/>
        <v>0</v>
      </c>
      <c r="H1684" s="17">
        <f t="shared" ca="1" si="866"/>
        <v>0</v>
      </c>
      <c r="I1684" s="13">
        <f t="shared" ca="1" si="866"/>
        <v>0</v>
      </c>
      <c r="J1684" s="16"/>
      <c r="K1684" s="13">
        <f t="shared" ca="1" si="867"/>
        <v>0</v>
      </c>
      <c r="L1684" s="15">
        <f t="shared" ca="1" si="863"/>
        <v>1</v>
      </c>
      <c r="M1684" s="15"/>
      <c r="N1684" s="15">
        <f t="shared" ca="1" si="862"/>
        <v>0</v>
      </c>
    </row>
    <row r="1685" spans="1:14" x14ac:dyDescent="0.4">
      <c r="A1685" s="11" t="s">
        <v>57</v>
      </c>
      <c r="B1685" s="40">
        <f t="shared" ca="1" si="866"/>
        <v>0</v>
      </c>
      <c r="C1685" s="40"/>
      <c r="D1685" s="40"/>
      <c r="E1685" s="40"/>
      <c r="F1685" s="13">
        <f t="shared" ca="1" si="866"/>
        <v>0</v>
      </c>
      <c r="G1685" s="17">
        <f t="shared" ca="1" si="866"/>
        <v>0</v>
      </c>
      <c r="H1685" s="17">
        <f t="shared" ca="1" si="866"/>
        <v>0</v>
      </c>
      <c r="I1685" s="13">
        <f t="shared" ca="1" si="866"/>
        <v>0</v>
      </c>
      <c r="J1685" s="16"/>
      <c r="K1685" s="13">
        <f t="shared" ca="1" si="867"/>
        <v>0</v>
      </c>
      <c r="L1685" s="15">
        <f t="shared" ca="1" si="863"/>
        <v>1</v>
      </c>
      <c r="M1685" s="15"/>
      <c r="N1685" s="15">
        <f t="shared" ca="1" si="862"/>
        <v>0</v>
      </c>
    </row>
    <row r="1686" spans="1:14" x14ac:dyDescent="0.4">
      <c r="A1686" s="11" t="s">
        <v>7</v>
      </c>
      <c r="B1686" s="40">
        <f t="shared" ref="B1686:I1688" ca="1" si="868">OFFSET(B1686,-9,0)</f>
        <v>0</v>
      </c>
      <c r="C1686" s="40"/>
      <c r="D1686" s="40"/>
      <c r="E1686" s="40"/>
      <c r="F1686" s="13">
        <f t="shared" ca="1" si="868"/>
        <v>0</v>
      </c>
      <c r="G1686" s="17">
        <f t="shared" ca="1" si="868"/>
        <v>0</v>
      </c>
      <c r="H1686" s="17">
        <f t="shared" ca="1" si="868"/>
        <v>0</v>
      </c>
      <c r="I1686" s="13">
        <f t="shared" ca="1" si="868"/>
        <v>0</v>
      </c>
      <c r="J1686" s="16"/>
      <c r="K1686" s="13">
        <f t="shared" ref="K1686:K1688" ca="1" si="869">OFFSET(K1686,-9,0)</f>
        <v>0</v>
      </c>
      <c r="L1686" s="15">
        <f t="shared" ca="1" si="863"/>
        <v>1</v>
      </c>
      <c r="M1686" s="15"/>
      <c r="N1686" s="15">
        <f t="shared" ca="1" si="862"/>
        <v>0</v>
      </c>
    </row>
    <row r="1687" spans="1:14" x14ac:dyDescent="0.4">
      <c r="A1687" s="11" t="s">
        <v>7</v>
      </c>
      <c r="B1687" s="40">
        <f t="shared" ca="1" si="868"/>
        <v>0</v>
      </c>
      <c r="C1687" s="40"/>
      <c r="D1687" s="40"/>
      <c r="E1687" s="40"/>
      <c r="F1687" s="13">
        <f t="shared" ca="1" si="868"/>
        <v>0</v>
      </c>
      <c r="G1687" s="17">
        <f t="shared" ca="1" si="868"/>
        <v>0</v>
      </c>
      <c r="H1687" s="17">
        <f t="shared" ca="1" si="868"/>
        <v>0</v>
      </c>
      <c r="I1687" s="13">
        <f t="shared" ca="1" si="868"/>
        <v>0</v>
      </c>
      <c r="J1687" s="16"/>
      <c r="K1687" s="13">
        <f t="shared" ca="1" si="869"/>
        <v>0</v>
      </c>
      <c r="L1687" s="15">
        <f t="shared" ca="1" si="863"/>
        <v>1</v>
      </c>
      <c r="M1687" s="15"/>
      <c r="N1687" s="15">
        <f t="shared" ca="1" si="862"/>
        <v>0</v>
      </c>
    </row>
    <row r="1688" spans="1:14" x14ac:dyDescent="0.4">
      <c r="A1688" s="11" t="s">
        <v>7</v>
      </c>
      <c r="B1688" s="40">
        <f t="shared" ca="1" si="868"/>
        <v>0</v>
      </c>
      <c r="C1688" s="40"/>
      <c r="D1688" s="40"/>
      <c r="E1688" s="40"/>
      <c r="F1688" s="13">
        <f t="shared" ca="1" si="868"/>
        <v>0</v>
      </c>
      <c r="G1688" s="17">
        <f t="shared" ca="1" si="868"/>
        <v>0</v>
      </c>
      <c r="H1688" s="17">
        <f t="shared" ca="1" si="868"/>
        <v>0</v>
      </c>
      <c r="I1688" s="13">
        <f t="shared" ca="1" si="868"/>
        <v>0</v>
      </c>
      <c r="J1688" s="16"/>
      <c r="K1688" s="13">
        <f t="shared" ca="1" si="869"/>
        <v>0</v>
      </c>
      <c r="L1688" s="15">
        <f t="shared" ca="1" si="863"/>
        <v>1</v>
      </c>
      <c r="M1688" s="15"/>
      <c r="N1688" s="15">
        <f t="shared" ca="1" si="862"/>
        <v>0</v>
      </c>
    </row>
    <row r="1689" spans="1:14" x14ac:dyDescent="0.4">
      <c r="A1689" s="11" t="s">
        <v>8</v>
      </c>
      <c r="B1689" s="40">
        <f t="shared" ref="B1689:I1691" ca="1" si="870">OFFSET(B1689,-12,0)</f>
        <v>0</v>
      </c>
      <c r="C1689" s="40"/>
      <c r="D1689" s="40"/>
      <c r="E1689" s="40"/>
      <c r="F1689" s="13">
        <f t="shared" ca="1" si="870"/>
        <v>0</v>
      </c>
      <c r="G1689" s="17">
        <f t="shared" ca="1" si="870"/>
        <v>0</v>
      </c>
      <c r="H1689" s="17">
        <f t="shared" ca="1" si="870"/>
        <v>0</v>
      </c>
      <c r="I1689" s="13">
        <f t="shared" ca="1" si="870"/>
        <v>0</v>
      </c>
      <c r="J1689" s="16"/>
      <c r="K1689" s="13">
        <f t="shared" ref="K1689:K1691" ca="1" si="871">OFFSET(K1689,-12,0)</f>
        <v>0</v>
      </c>
      <c r="L1689" s="15">
        <f t="shared" ca="1" si="863"/>
        <v>1</v>
      </c>
      <c r="M1689" s="15"/>
      <c r="N1689" s="15">
        <f t="shared" ca="1" si="862"/>
        <v>0</v>
      </c>
    </row>
    <row r="1690" spans="1:14" x14ac:dyDescent="0.4">
      <c r="A1690" s="11" t="s">
        <v>8</v>
      </c>
      <c r="B1690" s="40">
        <f t="shared" ca="1" si="870"/>
        <v>0</v>
      </c>
      <c r="C1690" s="40"/>
      <c r="D1690" s="40"/>
      <c r="E1690" s="40"/>
      <c r="F1690" s="13">
        <f t="shared" ca="1" si="870"/>
        <v>0</v>
      </c>
      <c r="G1690" s="17">
        <f t="shared" ca="1" si="870"/>
        <v>0</v>
      </c>
      <c r="H1690" s="17">
        <f t="shared" ca="1" si="870"/>
        <v>0</v>
      </c>
      <c r="I1690" s="13">
        <f t="shared" ca="1" si="870"/>
        <v>0</v>
      </c>
      <c r="J1690" s="16"/>
      <c r="K1690" s="13">
        <f t="shared" ca="1" si="871"/>
        <v>0</v>
      </c>
      <c r="L1690" s="15">
        <f t="shared" ca="1" si="863"/>
        <v>1</v>
      </c>
      <c r="M1690" s="15"/>
      <c r="N1690" s="15">
        <f t="shared" ca="1" si="862"/>
        <v>0</v>
      </c>
    </row>
    <row r="1691" spans="1:14" x14ac:dyDescent="0.4">
      <c r="A1691" s="11" t="s">
        <v>8</v>
      </c>
      <c r="B1691" s="40">
        <f t="shared" ca="1" si="870"/>
        <v>0</v>
      </c>
      <c r="C1691" s="40"/>
      <c r="D1691" s="40"/>
      <c r="E1691" s="40"/>
      <c r="F1691" s="13">
        <f t="shared" ca="1" si="870"/>
        <v>0</v>
      </c>
      <c r="G1691" s="17">
        <f t="shared" ca="1" si="870"/>
        <v>0</v>
      </c>
      <c r="H1691" s="17">
        <f t="shared" ca="1" si="870"/>
        <v>0</v>
      </c>
      <c r="I1691" s="13">
        <f t="shared" ca="1" si="870"/>
        <v>0</v>
      </c>
      <c r="J1691" s="16"/>
      <c r="K1691" s="13">
        <f t="shared" ca="1" si="871"/>
        <v>0</v>
      </c>
      <c r="L1691" s="15">
        <f t="shared" ca="1" si="863"/>
        <v>1</v>
      </c>
      <c r="M1691" s="15"/>
      <c r="N1691" s="15">
        <f t="shared" ca="1" si="862"/>
        <v>0</v>
      </c>
    </row>
    <row r="1692" spans="1:14" x14ac:dyDescent="0.4">
      <c r="A1692" s="11" t="s">
        <v>9</v>
      </c>
      <c r="B1692" s="41">
        <f t="shared" ref="B1692:I1694" ca="1" si="872">OFFSET(B1692,-15,0)</f>
        <v>0</v>
      </c>
      <c r="C1692" s="41"/>
      <c r="D1692" s="41"/>
      <c r="E1692" s="41"/>
      <c r="F1692" s="19">
        <f t="shared" ca="1" si="872"/>
        <v>0</v>
      </c>
      <c r="G1692" s="20">
        <f t="shared" ca="1" si="872"/>
        <v>0</v>
      </c>
      <c r="H1692" s="20">
        <f t="shared" ca="1" si="872"/>
        <v>0</v>
      </c>
      <c r="I1692" s="13">
        <f t="shared" ca="1" si="872"/>
        <v>0</v>
      </c>
      <c r="J1692" s="16"/>
      <c r="K1692" s="19">
        <f t="shared" ref="K1692:K1694" ca="1" si="873">OFFSET(K1692,-15,0)</f>
        <v>0</v>
      </c>
      <c r="L1692" s="15">
        <f t="shared" ca="1" si="863"/>
        <v>1</v>
      </c>
      <c r="M1692" s="15"/>
      <c r="N1692" s="15">
        <f t="shared" ca="1" si="862"/>
        <v>0</v>
      </c>
    </row>
    <row r="1693" spans="1:14" x14ac:dyDescent="0.4">
      <c r="A1693" s="11" t="s">
        <v>9</v>
      </c>
      <c r="B1693" s="41">
        <f t="shared" ca="1" si="872"/>
        <v>0</v>
      </c>
      <c r="C1693" s="41"/>
      <c r="D1693" s="41"/>
      <c r="E1693" s="41"/>
      <c r="F1693" s="19">
        <f t="shared" ca="1" si="872"/>
        <v>0</v>
      </c>
      <c r="G1693" s="20">
        <f t="shared" ca="1" si="872"/>
        <v>0</v>
      </c>
      <c r="H1693" s="20">
        <f t="shared" ca="1" si="872"/>
        <v>0</v>
      </c>
      <c r="I1693" s="13">
        <f t="shared" ca="1" si="872"/>
        <v>0</v>
      </c>
      <c r="J1693" s="16"/>
      <c r="K1693" s="19">
        <f t="shared" ca="1" si="873"/>
        <v>0</v>
      </c>
      <c r="L1693" s="15">
        <f t="shared" ca="1" si="863"/>
        <v>1</v>
      </c>
      <c r="M1693" s="15"/>
      <c r="N1693" s="15">
        <f t="shared" ca="1" si="862"/>
        <v>0</v>
      </c>
    </row>
    <row r="1694" spans="1:14" x14ac:dyDescent="0.4">
      <c r="A1694" s="11" t="s">
        <v>9</v>
      </c>
      <c r="B1694" s="41">
        <f t="shared" ca="1" si="872"/>
        <v>0</v>
      </c>
      <c r="C1694" s="41"/>
      <c r="D1694" s="41"/>
      <c r="E1694" s="41"/>
      <c r="F1694" s="19">
        <f t="shared" ca="1" si="872"/>
        <v>0</v>
      </c>
      <c r="G1694" s="20">
        <f t="shared" ca="1" si="872"/>
        <v>0</v>
      </c>
      <c r="H1694" s="20">
        <f t="shared" ca="1" si="872"/>
        <v>0</v>
      </c>
      <c r="I1694" s="13">
        <f t="shared" ca="1" si="872"/>
        <v>0</v>
      </c>
      <c r="J1694" s="16"/>
      <c r="K1694" s="19">
        <f t="shared" ca="1" si="873"/>
        <v>0</v>
      </c>
      <c r="L1694" s="15">
        <f t="shared" ca="1" si="863"/>
        <v>1</v>
      </c>
      <c r="M1694" s="15"/>
      <c r="N1694" s="15">
        <f t="shared" ca="1" si="862"/>
        <v>0</v>
      </c>
    </row>
    <row r="1695" spans="1:14" ht="17.399999999999999" x14ac:dyDescent="0.4">
      <c r="A1695" s="77" t="s">
        <v>31</v>
      </c>
      <c r="B1695" s="75"/>
      <c r="C1695" s="75"/>
      <c r="D1695" s="75"/>
      <c r="E1695" s="75"/>
      <c r="F1695" s="75"/>
      <c r="G1695" s="75"/>
      <c r="H1695" s="75"/>
      <c r="I1695" s="75"/>
      <c r="J1695" s="75"/>
      <c r="K1695" s="75"/>
      <c r="L1695" s="75"/>
      <c r="M1695" s="75"/>
      <c r="N1695" s="76"/>
    </row>
    <row r="1696" spans="1:14" x14ac:dyDescent="0.4">
      <c r="A1696" s="11" t="s">
        <v>5</v>
      </c>
      <c r="B1696" s="40"/>
      <c r="C1696" s="40"/>
      <c r="D1696" s="40"/>
      <c r="E1696" s="40"/>
      <c r="F1696" s="13"/>
      <c r="G1696" s="11"/>
      <c r="H1696" s="17"/>
      <c r="I1696" s="13"/>
      <c r="J1696" s="16"/>
      <c r="K1696" s="13"/>
      <c r="L1696" s="15">
        <f>ROUND((10^(K1696/10))/(10^(I1696/10)),3)</f>
        <v>1</v>
      </c>
      <c r="M1696" s="15"/>
      <c r="N1696" s="15">
        <f t="shared" ref="N1696:N1713" si="874">J1696*L1696</f>
        <v>0</v>
      </c>
    </row>
    <row r="1697" spans="1:14" x14ac:dyDescent="0.4">
      <c r="A1697" s="11" t="s">
        <v>5</v>
      </c>
      <c r="B1697" s="40"/>
      <c r="C1697" s="40"/>
      <c r="D1697" s="40"/>
      <c r="E1697" s="40"/>
      <c r="F1697" s="13"/>
      <c r="G1697" s="11"/>
      <c r="H1697" s="17"/>
      <c r="I1697" s="13"/>
      <c r="J1697" s="16"/>
      <c r="K1697" s="13"/>
      <c r="L1697" s="15">
        <f t="shared" ref="L1697:L1713" si="875">ROUND((10^(K1697/10))/(10^(I1697/10)),3)</f>
        <v>1</v>
      </c>
      <c r="M1697" s="15"/>
      <c r="N1697" s="15">
        <f t="shared" si="874"/>
        <v>0</v>
      </c>
    </row>
    <row r="1698" spans="1:14" x14ac:dyDescent="0.4">
      <c r="A1698" s="11" t="s">
        <v>5</v>
      </c>
      <c r="B1698" s="40"/>
      <c r="C1698" s="40"/>
      <c r="D1698" s="40"/>
      <c r="E1698" s="40"/>
      <c r="F1698" s="13"/>
      <c r="G1698" s="11"/>
      <c r="H1698" s="17"/>
      <c r="I1698" s="13"/>
      <c r="J1698" s="16"/>
      <c r="K1698" s="13"/>
      <c r="L1698" s="15">
        <f t="shared" si="875"/>
        <v>1</v>
      </c>
      <c r="M1698" s="15"/>
      <c r="N1698" s="15">
        <f t="shared" si="874"/>
        <v>0</v>
      </c>
    </row>
    <row r="1699" spans="1:14" x14ac:dyDescent="0.4">
      <c r="A1699" s="11" t="s">
        <v>6</v>
      </c>
      <c r="B1699" s="41">
        <f t="shared" ref="B1699:I1701" ca="1" si="876">OFFSET(B1699,-3,0)</f>
        <v>0</v>
      </c>
      <c r="C1699" s="41"/>
      <c r="D1699" s="41"/>
      <c r="E1699" s="41"/>
      <c r="F1699" s="19">
        <f t="shared" ca="1" si="876"/>
        <v>0</v>
      </c>
      <c r="G1699" s="20">
        <f t="shared" ca="1" si="876"/>
        <v>0</v>
      </c>
      <c r="H1699" s="20">
        <f t="shared" ca="1" si="876"/>
        <v>0</v>
      </c>
      <c r="I1699" s="13">
        <f t="shared" ca="1" si="876"/>
        <v>0</v>
      </c>
      <c r="J1699" s="16"/>
      <c r="K1699" s="19">
        <f t="shared" ref="K1699:K1701" ca="1" si="877">OFFSET(K1699,-3,0)</f>
        <v>0</v>
      </c>
      <c r="L1699" s="15">
        <f t="shared" ca="1" si="875"/>
        <v>1</v>
      </c>
      <c r="M1699" s="15"/>
      <c r="N1699" s="15">
        <f t="shared" ca="1" si="874"/>
        <v>0</v>
      </c>
    </row>
    <row r="1700" spans="1:14" x14ac:dyDescent="0.4">
      <c r="A1700" s="11" t="s">
        <v>6</v>
      </c>
      <c r="B1700" s="41">
        <f t="shared" ca="1" si="876"/>
        <v>0</v>
      </c>
      <c r="C1700" s="41"/>
      <c r="D1700" s="41"/>
      <c r="E1700" s="41"/>
      <c r="F1700" s="19">
        <f t="shared" ca="1" si="876"/>
        <v>0</v>
      </c>
      <c r="G1700" s="20">
        <f t="shared" ca="1" si="876"/>
        <v>0</v>
      </c>
      <c r="H1700" s="20">
        <f t="shared" ca="1" si="876"/>
        <v>0</v>
      </c>
      <c r="I1700" s="13">
        <f t="shared" ca="1" si="876"/>
        <v>0</v>
      </c>
      <c r="J1700" s="16"/>
      <c r="K1700" s="19">
        <f t="shared" ca="1" si="877"/>
        <v>0</v>
      </c>
      <c r="L1700" s="15">
        <f t="shared" ca="1" si="875"/>
        <v>1</v>
      </c>
      <c r="M1700" s="15"/>
      <c r="N1700" s="15">
        <f t="shared" ca="1" si="874"/>
        <v>0</v>
      </c>
    </row>
    <row r="1701" spans="1:14" x14ac:dyDescent="0.4">
      <c r="A1701" s="11" t="s">
        <v>6</v>
      </c>
      <c r="B1701" s="41">
        <f t="shared" ca="1" si="876"/>
        <v>0</v>
      </c>
      <c r="C1701" s="41"/>
      <c r="D1701" s="41"/>
      <c r="E1701" s="41"/>
      <c r="F1701" s="19">
        <f t="shared" ca="1" si="876"/>
        <v>0</v>
      </c>
      <c r="G1701" s="20">
        <f t="shared" ca="1" si="876"/>
        <v>0</v>
      </c>
      <c r="H1701" s="20">
        <f t="shared" ca="1" si="876"/>
        <v>0</v>
      </c>
      <c r="I1701" s="13">
        <f t="shared" ca="1" si="876"/>
        <v>0</v>
      </c>
      <c r="J1701" s="16"/>
      <c r="K1701" s="19">
        <f t="shared" ca="1" si="877"/>
        <v>0</v>
      </c>
      <c r="L1701" s="15">
        <f t="shared" ca="1" si="875"/>
        <v>1</v>
      </c>
      <c r="M1701" s="15"/>
      <c r="N1701" s="15">
        <f t="shared" ca="1" si="874"/>
        <v>0</v>
      </c>
    </row>
    <row r="1702" spans="1:14" x14ac:dyDescent="0.4">
      <c r="A1702" s="11" t="s">
        <v>10</v>
      </c>
      <c r="B1702" s="40">
        <f t="shared" ref="B1702:I1704" ca="1" si="878">OFFSET(B1702,-6,0)</f>
        <v>0</v>
      </c>
      <c r="C1702" s="40"/>
      <c r="D1702" s="40"/>
      <c r="E1702" s="40"/>
      <c r="F1702" s="13">
        <f t="shared" ca="1" si="878"/>
        <v>0</v>
      </c>
      <c r="G1702" s="17">
        <f t="shared" ca="1" si="878"/>
        <v>0</v>
      </c>
      <c r="H1702" s="17">
        <f t="shared" ca="1" si="878"/>
        <v>0</v>
      </c>
      <c r="I1702" s="13">
        <f t="shared" ca="1" si="878"/>
        <v>0</v>
      </c>
      <c r="J1702" s="16"/>
      <c r="K1702" s="13">
        <f t="shared" ref="K1702:K1704" ca="1" si="879">OFFSET(K1702,-6,0)</f>
        <v>0</v>
      </c>
      <c r="L1702" s="15">
        <f t="shared" ca="1" si="875"/>
        <v>1</v>
      </c>
      <c r="M1702" s="15"/>
      <c r="N1702" s="15">
        <f t="shared" ca="1" si="874"/>
        <v>0</v>
      </c>
    </row>
    <row r="1703" spans="1:14" x14ac:dyDescent="0.4">
      <c r="A1703" s="11" t="s">
        <v>10</v>
      </c>
      <c r="B1703" s="40">
        <f t="shared" ca="1" si="878"/>
        <v>0</v>
      </c>
      <c r="C1703" s="40"/>
      <c r="D1703" s="40"/>
      <c r="E1703" s="40"/>
      <c r="F1703" s="13">
        <f t="shared" ca="1" si="878"/>
        <v>0</v>
      </c>
      <c r="G1703" s="17">
        <f t="shared" ca="1" si="878"/>
        <v>0</v>
      </c>
      <c r="H1703" s="17">
        <f t="shared" ca="1" si="878"/>
        <v>0</v>
      </c>
      <c r="I1703" s="13">
        <f t="shared" ca="1" si="878"/>
        <v>0</v>
      </c>
      <c r="J1703" s="16"/>
      <c r="K1703" s="13">
        <f t="shared" ca="1" si="879"/>
        <v>0</v>
      </c>
      <c r="L1703" s="15">
        <f t="shared" ca="1" si="875"/>
        <v>1</v>
      </c>
      <c r="M1703" s="15"/>
      <c r="N1703" s="15">
        <f t="shared" ca="1" si="874"/>
        <v>0</v>
      </c>
    </row>
    <row r="1704" spans="1:14" x14ac:dyDescent="0.4">
      <c r="A1704" s="11" t="s">
        <v>10</v>
      </c>
      <c r="B1704" s="40">
        <f t="shared" ca="1" si="878"/>
        <v>0</v>
      </c>
      <c r="C1704" s="40"/>
      <c r="D1704" s="40"/>
      <c r="E1704" s="40"/>
      <c r="F1704" s="13">
        <f t="shared" ca="1" si="878"/>
        <v>0</v>
      </c>
      <c r="G1704" s="17">
        <f t="shared" ca="1" si="878"/>
        <v>0</v>
      </c>
      <c r="H1704" s="17">
        <f t="shared" ca="1" si="878"/>
        <v>0</v>
      </c>
      <c r="I1704" s="13">
        <f t="shared" ca="1" si="878"/>
        <v>0</v>
      </c>
      <c r="J1704" s="16"/>
      <c r="K1704" s="13">
        <f t="shared" ca="1" si="879"/>
        <v>0</v>
      </c>
      <c r="L1704" s="15">
        <f t="shared" ca="1" si="875"/>
        <v>1</v>
      </c>
      <c r="M1704" s="15"/>
      <c r="N1704" s="15">
        <f t="shared" ca="1" si="874"/>
        <v>0</v>
      </c>
    </row>
    <row r="1705" spans="1:14" x14ac:dyDescent="0.4">
      <c r="A1705" s="11" t="s">
        <v>7</v>
      </c>
      <c r="B1705" s="40">
        <f t="shared" ref="B1705:I1707" ca="1" si="880">OFFSET(B1705,-9,0)</f>
        <v>0</v>
      </c>
      <c r="C1705" s="40"/>
      <c r="D1705" s="40"/>
      <c r="E1705" s="40"/>
      <c r="F1705" s="13">
        <f t="shared" ca="1" si="880"/>
        <v>0</v>
      </c>
      <c r="G1705" s="17">
        <f t="shared" ca="1" si="880"/>
        <v>0</v>
      </c>
      <c r="H1705" s="17">
        <f t="shared" ca="1" si="880"/>
        <v>0</v>
      </c>
      <c r="I1705" s="13">
        <f t="shared" ca="1" si="880"/>
        <v>0</v>
      </c>
      <c r="J1705" s="16"/>
      <c r="K1705" s="13">
        <f t="shared" ref="K1705:K1707" ca="1" si="881">OFFSET(K1705,-9,0)</f>
        <v>0</v>
      </c>
      <c r="L1705" s="15">
        <f t="shared" ca="1" si="875"/>
        <v>1</v>
      </c>
      <c r="M1705" s="15"/>
      <c r="N1705" s="15">
        <f t="shared" ca="1" si="874"/>
        <v>0</v>
      </c>
    </row>
    <row r="1706" spans="1:14" x14ac:dyDescent="0.4">
      <c r="A1706" s="11" t="s">
        <v>7</v>
      </c>
      <c r="B1706" s="40">
        <f t="shared" ca="1" si="880"/>
        <v>0</v>
      </c>
      <c r="C1706" s="40"/>
      <c r="D1706" s="40"/>
      <c r="E1706" s="40"/>
      <c r="F1706" s="13">
        <f t="shared" ca="1" si="880"/>
        <v>0</v>
      </c>
      <c r="G1706" s="17">
        <f t="shared" ca="1" si="880"/>
        <v>0</v>
      </c>
      <c r="H1706" s="17">
        <f t="shared" ca="1" si="880"/>
        <v>0</v>
      </c>
      <c r="I1706" s="13">
        <f t="shared" ca="1" si="880"/>
        <v>0</v>
      </c>
      <c r="J1706" s="16"/>
      <c r="K1706" s="13">
        <f t="shared" ca="1" si="881"/>
        <v>0</v>
      </c>
      <c r="L1706" s="15">
        <f t="shared" ca="1" si="875"/>
        <v>1</v>
      </c>
      <c r="M1706" s="15"/>
      <c r="N1706" s="15">
        <f t="shared" ca="1" si="874"/>
        <v>0</v>
      </c>
    </row>
    <row r="1707" spans="1:14" x14ac:dyDescent="0.4">
      <c r="A1707" s="11" t="s">
        <v>7</v>
      </c>
      <c r="B1707" s="40">
        <f t="shared" ca="1" si="880"/>
        <v>0</v>
      </c>
      <c r="C1707" s="40"/>
      <c r="D1707" s="40"/>
      <c r="E1707" s="40"/>
      <c r="F1707" s="13">
        <f t="shared" ca="1" si="880"/>
        <v>0</v>
      </c>
      <c r="G1707" s="17">
        <f t="shared" ca="1" si="880"/>
        <v>0</v>
      </c>
      <c r="H1707" s="17">
        <f t="shared" ca="1" si="880"/>
        <v>0</v>
      </c>
      <c r="I1707" s="13">
        <f t="shared" ca="1" si="880"/>
        <v>0</v>
      </c>
      <c r="J1707" s="16"/>
      <c r="K1707" s="13">
        <f t="shared" ca="1" si="881"/>
        <v>0</v>
      </c>
      <c r="L1707" s="15">
        <f t="shared" ca="1" si="875"/>
        <v>1</v>
      </c>
      <c r="M1707" s="15"/>
      <c r="N1707" s="15">
        <f t="shared" ca="1" si="874"/>
        <v>0</v>
      </c>
    </row>
    <row r="1708" spans="1:14" x14ac:dyDescent="0.4">
      <c r="A1708" s="11" t="s">
        <v>8</v>
      </c>
      <c r="B1708" s="40">
        <f t="shared" ref="B1708:I1710" ca="1" si="882">OFFSET(B1708,-12,0)</f>
        <v>0</v>
      </c>
      <c r="C1708" s="40"/>
      <c r="D1708" s="40"/>
      <c r="E1708" s="40"/>
      <c r="F1708" s="13">
        <f t="shared" ca="1" si="882"/>
        <v>0</v>
      </c>
      <c r="G1708" s="17">
        <f t="shared" ca="1" si="882"/>
        <v>0</v>
      </c>
      <c r="H1708" s="17">
        <f t="shared" ca="1" si="882"/>
        <v>0</v>
      </c>
      <c r="I1708" s="13">
        <f t="shared" ca="1" si="882"/>
        <v>0</v>
      </c>
      <c r="J1708" s="16"/>
      <c r="K1708" s="13">
        <f t="shared" ref="K1708:K1710" ca="1" si="883">OFFSET(K1708,-12,0)</f>
        <v>0</v>
      </c>
      <c r="L1708" s="15">
        <f t="shared" ca="1" si="875"/>
        <v>1</v>
      </c>
      <c r="M1708" s="15"/>
      <c r="N1708" s="15">
        <f t="shared" ca="1" si="874"/>
        <v>0</v>
      </c>
    </row>
    <row r="1709" spans="1:14" x14ac:dyDescent="0.4">
      <c r="A1709" s="11" t="s">
        <v>8</v>
      </c>
      <c r="B1709" s="40">
        <f t="shared" ca="1" si="882"/>
        <v>0</v>
      </c>
      <c r="C1709" s="40"/>
      <c r="D1709" s="40"/>
      <c r="E1709" s="40"/>
      <c r="F1709" s="13">
        <f t="shared" ca="1" si="882"/>
        <v>0</v>
      </c>
      <c r="G1709" s="17">
        <f t="shared" ca="1" si="882"/>
        <v>0</v>
      </c>
      <c r="H1709" s="17">
        <f t="shared" ca="1" si="882"/>
        <v>0</v>
      </c>
      <c r="I1709" s="13">
        <f t="shared" ca="1" si="882"/>
        <v>0</v>
      </c>
      <c r="J1709" s="16"/>
      <c r="K1709" s="13">
        <f t="shared" ca="1" si="883"/>
        <v>0</v>
      </c>
      <c r="L1709" s="15">
        <f t="shared" ca="1" si="875"/>
        <v>1</v>
      </c>
      <c r="M1709" s="15"/>
      <c r="N1709" s="15">
        <f t="shared" ca="1" si="874"/>
        <v>0</v>
      </c>
    </row>
    <row r="1710" spans="1:14" x14ac:dyDescent="0.4">
      <c r="A1710" s="11" t="s">
        <v>8</v>
      </c>
      <c r="B1710" s="40">
        <f t="shared" ca="1" si="882"/>
        <v>0</v>
      </c>
      <c r="C1710" s="40"/>
      <c r="D1710" s="40"/>
      <c r="E1710" s="40"/>
      <c r="F1710" s="13">
        <f t="shared" ca="1" si="882"/>
        <v>0</v>
      </c>
      <c r="G1710" s="17">
        <f t="shared" ca="1" si="882"/>
        <v>0</v>
      </c>
      <c r="H1710" s="17">
        <f t="shared" ca="1" si="882"/>
        <v>0</v>
      </c>
      <c r="I1710" s="13">
        <f t="shared" ca="1" si="882"/>
        <v>0</v>
      </c>
      <c r="J1710" s="16"/>
      <c r="K1710" s="13">
        <f t="shared" ca="1" si="883"/>
        <v>0</v>
      </c>
      <c r="L1710" s="15">
        <f t="shared" ca="1" si="875"/>
        <v>1</v>
      </c>
      <c r="M1710" s="15"/>
      <c r="N1710" s="15">
        <f t="shared" ca="1" si="874"/>
        <v>0</v>
      </c>
    </row>
    <row r="1711" spans="1:14" x14ac:dyDescent="0.4">
      <c r="A1711" s="11" t="s">
        <v>9</v>
      </c>
      <c r="B1711" s="41">
        <f t="shared" ref="B1711:I1713" ca="1" si="884">OFFSET(B1711,-15,0)</f>
        <v>0</v>
      </c>
      <c r="C1711" s="41"/>
      <c r="D1711" s="41"/>
      <c r="E1711" s="41"/>
      <c r="F1711" s="19">
        <f t="shared" ca="1" si="884"/>
        <v>0</v>
      </c>
      <c r="G1711" s="20">
        <f t="shared" ca="1" si="884"/>
        <v>0</v>
      </c>
      <c r="H1711" s="20">
        <f t="shared" ca="1" si="884"/>
        <v>0</v>
      </c>
      <c r="I1711" s="13">
        <f t="shared" ca="1" si="884"/>
        <v>0</v>
      </c>
      <c r="J1711" s="16"/>
      <c r="K1711" s="19">
        <f t="shared" ref="K1711:K1713" ca="1" si="885">OFFSET(K1711,-15,0)</f>
        <v>0</v>
      </c>
      <c r="L1711" s="15">
        <f t="shared" ca="1" si="875"/>
        <v>1</v>
      </c>
      <c r="M1711" s="15"/>
      <c r="N1711" s="15">
        <f t="shared" ca="1" si="874"/>
        <v>0</v>
      </c>
    </row>
    <row r="1712" spans="1:14" x14ac:dyDescent="0.4">
      <c r="A1712" s="11" t="s">
        <v>9</v>
      </c>
      <c r="B1712" s="41">
        <f t="shared" ca="1" si="884"/>
        <v>0</v>
      </c>
      <c r="C1712" s="41"/>
      <c r="D1712" s="41"/>
      <c r="E1712" s="41"/>
      <c r="F1712" s="19">
        <f t="shared" ca="1" si="884"/>
        <v>0</v>
      </c>
      <c r="G1712" s="20">
        <f t="shared" ca="1" si="884"/>
        <v>0</v>
      </c>
      <c r="H1712" s="20">
        <f t="shared" ca="1" si="884"/>
        <v>0</v>
      </c>
      <c r="I1712" s="13">
        <f t="shared" ca="1" si="884"/>
        <v>0</v>
      </c>
      <c r="J1712" s="16"/>
      <c r="K1712" s="19">
        <f t="shared" ca="1" si="885"/>
        <v>0</v>
      </c>
      <c r="L1712" s="15">
        <f t="shared" ca="1" si="875"/>
        <v>1</v>
      </c>
      <c r="M1712" s="15"/>
      <c r="N1712" s="15">
        <f t="shared" ca="1" si="874"/>
        <v>0</v>
      </c>
    </row>
    <row r="1713" spans="1:14" x14ac:dyDescent="0.4">
      <c r="A1713" s="11" t="s">
        <v>9</v>
      </c>
      <c r="B1713" s="41">
        <f t="shared" ca="1" si="884"/>
        <v>0</v>
      </c>
      <c r="C1713" s="41"/>
      <c r="D1713" s="41"/>
      <c r="E1713" s="41"/>
      <c r="F1713" s="19">
        <f t="shared" ca="1" si="884"/>
        <v>0</v>
      </c>
      <c r="G1713" s="20">
        <f t="shared" ca="1" si="884"/>
        <v>0</v>
      </c>
      <c r="H1713" s="20">
        <f t="shared" ca="1" si="884"/>
        <v>0</v>
      </c>
      <c r="I1713" s="13">
        <f t="shared" ca="1" si="884"/>
        <v>0</v>
      </c>
      <c r="J1713" s="16"/>
      <c r="K1713" s="19">
        <f t="shared" ca="1" si="885"/>
        <v>0</v>
      </c>
      <c r="L1713" s="15">
        <f t="shared" ca="1" si="875"/>
        <v>1</v>
      </c>
      <c r="M1713" s="15"/>
      <c r="N1713" s="15">
        <f t="shared" ca="1" si="874"/>
        <v>0</v>
      </c>
    </row>
    <row r="1714" spans="1:14" ht="17.399999999999999" x14ac:dyDescent="0.4">
      <c r="A1714" s="77" t="s">
        <v>23</v>
      </c>
      <c r="B1714" s="75"/>
      <c r="C1714" s="75"/>
      <c r="D1714" s="75"/>
      <c r="E1714" s="75"/>
      <c r="F1714" s="75"/>
      <c r="G1714" s="75"/>
      <c r="H1714" s="75"/>
      <c r="I1714" s="75"/>
      <c r="J1714" s="75"/>
      <c r="K1714" s="75"/>
      <c r="L1714" s="75"/>
      <c r="M1714" s="75"/>
      <c r="N1714" s="76"/>
    </row>
    <row r="1715" spans="1:14" x14ac:dyDescent="0.4">
      <c r="A1715" s="11" t="str">
        <f ca="1">INDEX(A1563:A1713, MATCH(MAX(N1563:N1713), N1563:N1713, 0), 0)</f>
        <v>Front</v>
      </c>
      <c r="B1715" s="40">
        <f ca="1">INDEX(B1563:B1713, MATCH(MAX(N1563:N1713), N1563:N1713, 0), 0)</f>
        <v>0</v>
      </c>
      <c r="C1715" s="40"/>
      <c r="D1715" s="40"/>
      <c r="E1715" s="40"/>
      <c r="F1715" s="13">
        <f ca="1">INDEX(F1563:F1713, MATCH(MAX(N1563:N1713), N1563:N1713, 0), 0)</f>
        <v>0</v>
      </c>
      <c r="G1715" s="11">
        <f ca="1">INDEX(G1563:G1713, MATCH(MAX(N1563:N1713), N1563:N1713, 0), 0)</f>
        <v>0</v>
      </c>
      <c r="H1715" s="17">
        <f ca="1">INDEX(H1563:H1713, MATCH(MAX(N1563:N1713), N1563:N1713, 0), 0)</f>
        <v>0</v>
      </c>
      <c r="I1715" s="13">
        <f ca="1">INDEX(I1563:I1713, MATCH(MAX(N1563:N1713), N1563:N1713, 0), 0)</f>
        <v>0</v>
      </c>
      <c r="J1715" s="16"/>
      <c r="K1715" s="13">
        <f ca="1">INDEX(K1563:K1713, MATCH(MAX(N1563:N1713), N1563:N1713, 0), 0)</f>
        <v>0</v>
      </c>
      <c r="L1715" s="15">
        <f ca="1">ROUND((10^(K1715/10))/(10^(I1715/10)),3)</f>
        <v>1</v>
      </c>
      <c r="M1715" s="15"/>
      <c r="N1715" s="15">
        <f t="shared" ref="N1715" ca="1" si="886">J1715*L1715</f>
        <v>0</v>
      </c>
    </row>
    <row r="1716" spans="1:14" x14ac:dyDescent="0.4">
      <c r="A1716" s="11"/>
      <c r="B1716" s="40"/>
      <c r="C1716" s="40"/>
      <c r="D1716" s="40"/>
      <c r="E1716" s="40"/>
      <c r="F1716" s="13"/>
      <c r="G1716" s="11"/>
      <c r="H1716" s="17"/>
      <c r="I1716" s="13"/>
      <c r="J1716" s="16"/>
      <c r="K1716" s="13"/>
      <c r="L1716" s="15"/>
      <c r="M1716" s="15"/>
      <c r="N1716" s="15"/>
    </row>
    <row r="1717" spans="1:14" x14ac:dyDescent="0.4">
      <c r="A1717" s="11"/>
      <c r="B1717" s="40"/>
      <c r="C1717" s="40"/>
      <c r="D1717" s="40"/>
      <c r="E1717" s="40"/>
      <c r="F1717" s="13"/>
      <c r="G1717" s="11"/>
      <c r="H1717" s="17"/>
      <c r="I1717" s="13"/>
      <c r="J1717" s="16"/>
      <c r="K1717" s="13"/>
      <c r="L1717" s="15"/>
      <c r="M1717" s="15"/>
      <c r="N1717" s="15"/>
    </row>
    <row r="1718" spans="1:14" x14ac:dyDescent="0.4">
      <c r="A1718" s="11"/>
      <c r="B1718" s="41"/>
      <c r="C1718" s="41"/>
      <c r="D1718" s="41"/>
      <c r="E1718" s="41"/>
      <c r="F1718" s="19"/>
      <c r="G1718" s="11"/>
      <c r="H1718" s="20"/>
      <c r="I1718" s="19"/>
      <c r="J1718" s="16"/>
      <c r="K1718" s="19"/>
      <c r="L1718" s="15"/>
      <c r="M1718" s="15"/>
      <c r="N1718" s="15"/>
    </row>
    <row r="1719" spans="1:14" x14ac:dyDescent="0.4">
      <c r="A1719" s="11"/>
      <c r="B1719" s="41"/>
      <c r="C1719" s="41"/>
      <c r="D1719" s="41"/>
      <c r="E1719" s="41"/>
      <c r="F1719" s="19"/>
      <c r="G1719" s="11"/>
      <c r="H1719" s="20"/>
      <c r="I1719" s="19"/>
      <c r="J1719" s="16"/>
      <c r="K1719" s="19"/>
      <c r="L1719" s="15"/>
      <c r="M1719" s="15"/>
      <c r="N1719" s="15"/>
    </row>
    <row r="1720" spans="1:14" x14ac:dyDescent="0.4">
      <c r="A1720" s="11"/>
      <c r="B1720" s="41"/>
      <c r="C1720" s="41"/>
      <c r="D1720" s="41"/>
      <c r="E1720" s="41"/>
      <c r="F1720" s="19"/>
      <c r="G1720" s="11"/>
      <c r="H1720" s="20"/>
      <c r="I1720" s="19"/>
      <c r="J1720" s="16"/>
      <c r="K1720" s="19"/>
      <c r="L1720" s="15"/>
      <c r="M1720" s="15"/>
      <c r="N1720" s="15"/>
    </row>
    <row r="1721" spans="1:14" x14ac:dyDescent="0.4">
      <c r="A1721" s="11"/>
      <c r="B1721" s="40"/>
      <c r="C1721" s="40"/>
      <c r="D1721" s="40"/>
      <c r="E1721" s="40"/>
      <c r="F1721" s="13"/>
      <c r="G1721" s="11"/>
      <c r="H1721" s="17"/>
      <c r="I1721" s="13"/>
      <c r="J1721" s="16"/>
      <c r="K1721" s="13"/>
      <c r="L1721" s="15"/>
      <c r="M1721" s="15"/>
      <c r="N1721" s="15"/>
    </row>
    <row r="1722" spans="1:14" x14ac:dyDescent="0.4">
      <c r="A1722" s="11"/>
      <c r="B1722" s="40"/>
      <c r="C1722" s="40"/>
      <c r="D1722" s="40"/>
      <c r="E1722" s="40"/>
      <c r="F1722" s="13"/>
      <c r="G1722" s="11"/>
      <c r="H1722" s="17"/>
      <c r="I1722" s="13"/>
      <c r="J1722" s="16"/>
      <c r="K1722" s="13"/>
      <c r="L1722" s="15"/>
      <c r="M1722" s="15"/>
      <c r="N1722" s="15"/>
    </row>
    <row r="1723" spans="1:14" x14ac:dyDescent="0.4">
      <c r="A1723" s="11"/>
      <c r="B1723" s="40"/>
      <c r="C1723" s="40"/>
      <c r="D1723" s="40"/>
      <c r="E1723" s="40"/>
      <c r="F1723" s="13"/>
      <c r="G1723" s="11"/>
      <c r="H1723" s="17"/>
      <c r="I1723" s="13"/>
      <c r="J1723" s="16"/>
      <c r="K1723" s="13"/>
      <c r="L1723" s="15"/>
      <c r="M1723" s="15"/>
      <c r="N1723" s="15"/>
    </row>
    <row r="1724" spans="1:14" x14ac:dyDescent="0.4">
      <c r="A1724" s="11"/>
      <c r="B1724" s="40"/>
      <c r="C1724" s="40"/>
      <c r="D1724" s="40"/>
      <c r="E1724" s="40"/>
      <c r="F1724" s="13"/>
      <c r="G1724" s="11"/>
      <c r="H1724" s="17"/>
      <c r="I1724" s="13"/>
      <c r="J1724" s="16"/>
      <c r="K1724" s="13"/>
      <c r="L1724" s="15"/>
      <c r="M1724" s="15"/>
      <c r="N1724" s="15"/>
    </row>
    <row r="1725" spans="1:14" x14ac:dyDescent="0.4">
      <c r="A1725" s="11"/>
      <c r="B1725" s="40"/>
      <c r="C1725" s="40"/>
      <c r="D1725" s="40"/>
      <c r="E1725" s="40"/>
      <c r="F1725" s="13"/>
      <c r="G1725" s="11"/>
      <c r="H1725" s="17"/>
      <c r="I1725" s="13"/>
      <c r="J1725" s="16"/>
      <c r="K1725" s="13"/>
      <c r="L1725" s="15"/>
      <c r="M1725" s="15"/>
      <c r="N1725" s="15"/>
    </row>
    <row r="1726" spans="1:14" x14ac:dyDescent="0.4">
      <c r="A1726" s="11"/>
      <c r="B1726" s="40"/>
      <c r="C1726" s="40"/>
      <c r="D1726" s="40"/>
      <c r="E1726" s="40"/>
      <c r="F1726" s="13"/>
      <c r="G1726" s="11"/>
      <c r="H1726" s="17"/>
      <c r="I1726" s="13"/>
      <c r="J1726" s="16"/>
      <c r="K1726" s="13"/>
      <c r="L1726" s="15"/>
      <c r="M1726" s="15"/>
      <c r="N1726" s="15"/>
    </row>
    <row r="1727" spans="1:14" x14ac:dyDescent="0.4">
      <c r="A1727" s="11"/>
      <c r="B1727" s="40"/>
      <c r="C1727" s="40"/>
      <c r="D1727" s="40"/>
      <c r="E1727" s="40"/>
      <c r="F1727" s="13"/>
      <c r="G1727" s="11"/>
      <c r="H1727" s="17"/>
      <c r="I1727" s="13"/>
      <c r="J1727" s="16"/>
      <c r="K1727" s="13"/>
      <c r="L1727" s="15"/>
      <c r="M1727" s="15"/>
      <c r="N1727" s="15"/>
    </row>
    <row r="1728" spans="1:14" x14ac:dyDescent="0.4">
      <c r="A1728" s="11"/>
      <c r="B1728" s="40"/>
      <c r="C1728" s="40"/>
      <c r="D1728" s="40"/>
      <c r="E1728" s="40"/>
      <c r="F1728" s="13"/>
      <c r="G1728" s="11"/>
      <c r="H1728" s="17"/>
      <c r="I1728" s="13"/>
      <c r="J1728" s="16"/>
      <c r="K1728" s="13"/>
      <c r="L1728" s="15"/>
      <c r="M1728" s="15"/>
      <c r="N1728" s="15"/>
    </row>
    <row r="1729" spans="1:14" x14ac:dyDescent="0.4">
      <c r="A1729" s="11"/>
      <c r="B1729" s="40"/>
      <c r="C1729" s="40"/>
      <c r="D1729" s="40"/>
      <c r="E1729" s="40"/>
      <c r="F1729" s="13"/>
      <c r="G1729" s="11"/>
      <c r="H1729" s="17"/>
      <c r="I1729" s="13"/>
      <c r="J1729" s="16"/>
      <c r="K1729" s="13"/>
      <c r="L1729" s="15"/>
      <c r="M1729" s="15"/>
      <c r="N1729" s="15"/>
    </row>
    <row r="1730" spans="1:14" x14ac:dyDescent="0.4">
      <c r="A1730" s="11"/>
      <c r="B1730" s="41"/>
      <c r="C1730" s="41"/>
      <c r="D1730" s="41"/>
      <c r="E1730" s="41"/>
      <c r="F1730" s="19"/>
      <c r="G1730" s="11"/>
      <c r="H1730" s="20"/>
      <c r="I1730" s="19"/>
      <c r="J1730" s="16"/>
      <c r="K1730" s="19"/>
      <c r="L1730" s="15"/>
      <c r="M1730" s="15"/>
      <c r="N1730" s="15"/>
    </row>
    <row r="1731" spans="1:14" x14ac:dyDescent="0.4">
      <c r="A1731" s="11"/>
      <c r="B1731" s="41"/>
      <c r="C1731" s="41"/>
      <c r="D1731" s="41"/>
      <c r="E1731" s="41"/>
      <c r="F1731" s="19"/>
      <c r="G1731" s="11"/>
      <c r="H1731" s="20"/>
      <c r="I1731" s="19"/>
      <c r="J1731" s="16"/>
      <c r="K1731" s="19"/>
      <c r="L1731" s="15"/>
      <c r="M1731" s="15"/>
      <c r="N1731" s="15"/>
    </row>
    <row r="1732" spans="1:14" x14ac:dyDescent="0.4">
      <c r="A1732" s="11"/>
      <c r="B1732" s="41"/>
      <c r="C1732" s="41"/>
      <c r="D1732" s="41"/>
      <c r="E1732" s="41"/>
      <c r="F1732" s="19"/>
      <c r="G1732" s="11"/>
      <c r="H1732" s="20"/>
      <c r="I1732" s="19"/>
      <c r="J1732" s="16"/>
      <c r="K1732" s="19"/>
      <c r="L1732" s="15"/>
      <c r="M1732" s="15"/>
      <c r="N1732" s="15"/>
    </row>
    <row r="1733" spans="1:14" ht="17.399999999999999" x14ac:dyDescent="0.4">
      <c r="A1733" s="77" t="s">
        <v>24</v>
      </c>
      <c r="B1733" s="75"/>
      <c r="C1733" s="75"/>
      <c r="D1733" s="75"/>
      <c r="E1733" s="75"/>
      <c r="F1733" s="75"/>
      <c r="G1733" s="75"/>
      <c r="H1733" s="75"/>
      <c r="I1733" s="75"/>
      <c r="J1733" s="75"/>
      <c r="K1733" s="75"/>
      <c r="L1733" s="75"/>
      <c r="M1733" s="75"/>
      <c r="N1733" s="76"/>
    </row>
    <row r="1734" spans="1:14" x14ac:dyDescent="0.4">
      <c r="A1734" s="11" t="str">
        <f ca="1">INDEX(A1563:A1713, MATCH(MAX(N1563:N1713), N1563:N1713, 0), 0)</f>
        <v>Front</v>
      </c>
      <c r="B1734" s="40">
        <f ca="1">INDEX(B1563:B1713, MATCH(MAX(N1563:N1713), N1563:N1713, 0), 0)</f>
        <v>0</v>
      </c>
      <c r="C1734" s="40"/>
      <c r="D1734" s="40"/>
      <c r="E1734" s="40"/>
      <c r="F1734" s="13">
        <f ca="1">INDEX(F1563:F1713, MATCH(MAX(N1563:N1713), N1563:N1713, 0), 0)</f>
        <v>0</v>
      </c>
      <c r="G1734" s="11">
        <f ca="1">INDEX(G1563:G1713, MATCH(MAX(N1563:N1713), N1563:N1713, 0), 0)</f>
        <v>0</v>
      </c>
      <c r="H1734" s="17">
        <f ca="1">INDEX(H1563:H1713, MATCH(MAX(N1563:N1713), N1563:N1713, 0), 0)</f>
        <v>0</v>
      </c>
      <c r="I1734" s="13">
        <f ca="1">INDEX(I1563:I1713, MATCH(MAX(N1563:N1713), N1563:N1713, 0), 0)</f>
        <v>0</v>
      </c>
      <c r="J1734" s="16"/>
      <c r="K1734" s="13">
        <f ca="1">INDEX(K1563:K1713, MATCH(MAX(N1563:N1713), N1563:N1713, 0), 0)</f>
        <v>0</v>
      </c>
      <c r="L1734" s="15">
        <f ca="1">ROUND((10^(K1734/10))/(10^(I1734/10)),3)</f>
        <v>1</v>
      </c>
      <c r="M1734" s="15"/>
      <c r="N1734" s="15">
        <f t="shared" ref="N1734" ca="1" si="887">J1734*L1734</f>
        <v>0</v>
      </c>
    </row>
    <row r="1735" spans="1:14" x14ac:dyDescent="0.4">
      <c r="A1735" s="11"/>
      <c r="B1735" s="40"/>
      <c r="C1735" s="40"/>
      <c r="D1735" s="40"/>
      <c r="E1735" s="40"/>
      <c r="F1735" s="13"/>
      <c r="G1735" s="11"/>
      <c r="H1735" s="17"/>
      <c r="I1735" s="13"/>
      <c r="J1735" s="16"/>
      <c r="K1735" s="13"/>
      <c r="L1735" s="15"/>
      <c r="M1735" s="15"/>
      <c r="N1735" s="52"/>
    </row>
    <row r="1736" spans="1:14" x14ac:dyDescent="0.4">
      <c r="A1736" s="11"/>
      <c r="B1736" s="40"/>
      <c r="C1736" s="40"/>
      <c r="D1736" s="40"/>
      <c r="E1736" s="40"/>
      <c r="F1736" s="13"/>
      <c r="G1736" s="11"/>
      <c r="H1736" s="17"/>
      <c r="I1736" s="13"/>
      <c r="J1736" s="16"/>
      <c r="K1736" s="13"/>
      <c r="L1736" s="15"/>
      <c r="M1736" s="15"/>
      <c r="N1736" s="52"/>
    </row>
    <row r="1737" spans="1:14" x14ac:dyDescent="0.4">
      <c r="A1737" s="11"/>
      <c r="B1737" s="41"/>
      <c r="C1737" s="41"/>
      <c r="D1737" s="41"/>
      <c r="E1737" s="41"/>
      <c r="F1737" s="19"/>
      <c r="G1737" s="11"/>
      <c r="H1737" s="20"/>
      <c r="I1737" s="19"/>
      <c r="J1737" s="16"/>
      <c r="K1737" s="19"/>
      <c r="L1737" s="15"/>
      <c r="M1737" s="15"/>
      <c r="N1737" s="52"/>
    </row>
    <row r="1738" spans="1:14" x14ac:dyDescent="0.4">
      <c r="A1738" s="11"/>
      <c r="B1738" s="41"/>
      <c r="C1738" s="41"/>
      <c r="D1738" s="41"/>
      <c r="E1738" s="41"/>
      <c r="F1738" s="19"/>
      <c r="G1738" s="11"/>
      <c r="H1738" s="20"/>
      <c r="I1738" s="19"/>
      <c r="J1738" s="16"/>
      <c r="K1738" s="19"/>
      <c r="L1738" s="15"/>
      <c r="M1738" s="15"/>
      <c r="N1738" s="52"/>
    </row>
    <row r="1739" spans="1:14" x14ac:dyDescent="0.4">
      <c r="A1739" s="11"/>
      <c r="B1739" s="41"/>
      <c r="C1739" s="41"/>
      <c r="D1739" s="41"/>
      <c r="E1739" s="41"/>
      <c r="F1739" s="19"/>
      <c r="G1739" s="11"/>
      <c r="H1739" s="20"/>
      <c r="I1739" s="19"/>
      <c r="J1739" s="16"/>
      <c r="K1739" s="19"/>
      <c r="L1739" s="15"/>
      <c r="M1739" s="15"/>
      <c r="N1739" s="52"/>
    </row>
    <row r="1740" spans="1:14" x14ac:dyDescent="0.4">
      <c r="A1740" s="11"/>
      <c r="B1740" s="40"/>
      <c r="C1740" s="40"/>
      <c r="D1740" s="40"/>
      <c r="E1740" s="40"/>
      <c r="F1740" s="13"/>
      <c r="G1740" s="11"/>
      <c r="H1740" s="17"/>
      <c r="I1740" s="13"/>
      <c r="J1740" s="16"/>
      <c r="K1740" s="13"/>
      <c r="L1740" s="15"/>
      <c r="M1740" s="15"/>
      <c r="N1740" s="52"/>
    </row>
    <row r="1741" spans="1:14" x14ac:dyDescent="0.4">
      <c r="A1741" s="11"/>
      <c r="B1741" s="40"/>
      <c r="C1741" s="40"/>
      <c r="D1741" s="40"/>
      <c r="E1741" s="40"/>
      <c r="F1741" s="13"/>
      <c r="G1741" s="11"/>
      <c r="H1741" s="17"/>
      <c r="I1741" s="13"/>
      <c r="J1741" s="16"/>
      <c r="K1741" s="13"/>
      <c r="L1741" s="15"/>
      <c r="M1741" s="15"/>
      <c r="N1741" s="52"/>
    </row>
    <row r="1742" spans="1:14" x14ac:dyDescent="0.4">
      <c r="A1742" s="11"/>
      <c r="B1742" s="40"/>
      <c r="C1742" s="40"/>
      <c r="D1742" s="40"/>
      <c r="E1742" s="40"/>
      <c r="F1742" s="13"/>
      <c r="G1742" s="11"/>
      <c r="H1742" s="17"/>
      <c r="I1742" s="13"/>
      <c r="J1742" s="16"/>
      <c r="K1742" s="13"/>
      <c r="L1742" s="15"/>
      <c r="M1742" s="15"/>
      <c r="N1742" s="52"/>
    </row>
    <row r="1743" spans="1:14" x14ac:dyDescent="0.4">
      <c r="A1743" s="11"/>
      <c r="B1743" s="40"/>
      <c r="C1743" s="40"/>
      <c r="D1743" s="40"/>
      <c r="E1743" s="40"/>
      <c r="F1743" s="13"/>
      <c r="G1743" s="11"/>
      <c r="H1743" s="17"/>
      <c r="I1743" s="13"/>
      <c r="J1743" s="16"/>
      <c r="K1743" s="13"/>
      <c r="L1743" s="15"/>
      <c r="M1743" s="15"/>
      <c r="N1743" s="52"/>
    </row>
    <row r="1744" spans="1:14" x14ac:dyDescent="0.4">
      <c r="A1744" s="11"/>
      <c r="B1744" s="40"/>
      <c r="C1744" s="40"/>
      <c r="D1744" s="40"/>
      <c r="E1744" s="40"/>
      <c r="F1744" s="13"/>
      <c r="G1744" s="11"/>
      <c r="H1744" s="17"/>
      <c r="I1744" s="13"/>
      <c r="J1744" s="16"/>
      <c r="K1744" s="13"/>
      <c r="L1744" s="15"/>
      <c r="M1744" s="15"/>
      <c r="N1744" s="52"/>
    </row>
    <row r="1745" spans="1:14" x14ac:dyDescent="0.4">
      <c r="A1745" s="11"/>
      <c r="B1745" s="40"/>
      <c r="C1745" s="40"/>
      <c r="D1745" s="40"/>
      <c r="E1745" s="40"/>
      <c r="F1745" s="13"/>
      <c r="G1745" s="11"/>
      <c r="H1745" s="17"/>
      <c r="I1745" s="13"/>
      <c r="J1745" s="16"/>
      <c r="K1745" s="13"/>
      <c r="L1745" s="15"/>
      <c r="M1745" s="15"/>
      <c r="N1745" s="52"/>
    </row>
    <row r="1746" spans="1:14" x14ac:dyDescent="0.4">
      <c r="A1746" s="11"/>
      <c r="B1746" s="40"/>
      <c r="C1746" s="40"/>
      <c r="D1746" s="40"/>
      <c r="E1746" s="40"/>
      <c r="F1746" s="13"/>
      <c r="G1746" s="11"/>
      <c r="H1746" s="17"/>
      <c r="I1746" s="13"/>
      <c r="J1746" s="16"/>
      <c r="K1746" s="13"/>
      <c r="L1746" s="15"/>
      <c r="M1746" s="15"/>
      <c r="N1746" s="52"/>
    </row>
    <row r="1747" spans="1:14" x14ac:dyDescent="0.4">
      <c r="A1747" s="11"/>
      <c r="B1747" s="40"/>
      <c r="C1747" s="40"/>
      <c r="D1747" s="40"/>
      <c r="E1747" s="40"/>
      <c r="F1747" s="13"/>
      <c r="G1747" s="11"/>
      <c r="H1747" s="17"/>
      <c r="I1747" s="13"/>
      <c r="J1747" s="16"/>
      <c r="K1747" s="13"/>
      <c r="L1747" s="15"/>
      <c r="M1747" s="15"/>
      <c r="N1747" s="52"/>
    </row>
    <row r="1748" spans="1:14" x14ac:dyDescent="0.4">
      <c r="A1748" s="11"/>
      <c r="B1748" s="40"/>
      <c r="C1748" s="40"/>
      <c r="D1748" s="40"/>
      <c r="E1748" s="40"/>
      <c r="F1748" s="13"/>
      <c r="G1748" s="11"/>
      <c r="H1748" s="17"/>
      <c r="I1748" s="13"/>
      <c r="J1748" s="16"/>
      <c r="K1748" s="13"/>
      <c r="L1748" s="15"/>
      <c r="M1748" s="15"/>
      <c r="N1748" s="52"/>
    </row>
    <row r="1749" spans="1:14" x14ac:dyDescent="0.4">
      <c r="A1749" s="11"/>
      <c r="B1749" s="41"/>
      <c r="C1749" s="41"/>
      <c r="D1749" s="41"/>
      <c r="E1749" s="41"/>
      <c r="F1749" s="19"/>
      <c r="G1749" s="11"/>
      <c r="H1749" s="20"/>
      <c r="I1749" s="19"/>
      <c r="J1749" s="16"/>
      <c r="K1749" s="19"/>
      <c r="L1749" s="15"/>
      <c r="M1749" s="15"/>
      <c r="N1749" s="52"/>
    </row>
    <row r="1750" spans="1:14" x14ac:dyDescent="0.4">
      <c r="A1750" s="11"/>
      <c r="B1750" s="41"/>
      <c r="C1750" s="41"/>
      <c r="D1750" s="41"/>
      <c r="E1750" s="41"/>
      <c r="F1750" s="19"/>
      <c r="G1750" s="11"/>
      <c r="H1750" s="20"/>
      <c r="I1750" s="19"/>
      <c r="J1750" s="16"/>
      <c r="K1750" s="19"/>
      <c r="L1750" s="15"/>
      <c r="M1750" s="15"/>
      <c r="N1750" s="52"/>
    </row>
    <row r="1751" spans="1:14" x14ac:dyDescent="0.4">
      <c r="A1751" s="11"/>
      <c r="B1751" s="41"/>
      <c r="C1751" s="41"/>
      <c r="D1751" s="41"/>
      <c r="E1751" s="41"/>
      <c r="F1751" s="19"/>
      <c r="G1751" s="11"/>
      <c r="H1751" s="20"/>
      <c r="I1751" s="19"/>
      <c r="J1751" s="16"/>
      <c r="K1751" s="19"/>
      <c r="L1751" s="15"/>
      <c r="M1751" s="15"/>
      <c r="N1751" s="52"/>
    </row>
    <row r="1754" spans="1:14" x14ac:dyDescent="0.4">
      <c r="A1754" s="58" t="s">
        <v>172</v>
      </c>
      <c r="B1754" s="59"/>
      <c r="C1754" s="59"/>
      <c r="D1754" s="59"/>
      <c r="E1754" s="59"/>
      <c r="F1754" s="59"/>
      <c r="G1754" s="59"/>
      <c r="H1754" s="60"/>
      <c r="I1754" s="54" t="s">
        <v>3</v>
      </c>
      <c r="J1754" s="54"/>
      <c r="K1754" s="54"/>
      <c r="L1754" s="7"/>
      <c r="M1754" s="7"/>
      <c r="N1754" s="8"/>
    </row>
    <row r="1755" spans="1:14" x14ac:dyDescent="0.4">
      <c r="A1755" s="61"/>
      <c r="B1755" s="62"/>
      <c r="C1755" s="62"/>
      <c r="D1755" s="62"/>
      <c r="E1755" s="62"/>
      <c r="F1755" s="62"/>
      <c r="G1755" s="62"/>
      <c r="H1755" s="63"/>
      <c r="I1755" s="54" t="s">
        <v>4</v>
      </c>
      <c r="J1755" s="54"/>
      <c r="K1755" s="54"/>
      <c r="L1755" s="7"/>
      <c r="M1755" s="7"/>
      <c r="N1755" s="8"/>
    </row>
    <row r="1756" spans="1:14" x14ac:dyDescent="0.4">
      <c r="A1756" s="64"/>
      <c r="B1756" s="65"/>
      <c r="C1756" s="65"/>
      <c r="D1756" s="65"/>
      <c r="E1756" s="65"/>
      <c r="F1756" s="65"/>
      <c r="G1756" s="65"/>
      <c r="H1756" s="66"/>
      <c r="I1756" s="54" t="s">
        <v>0</v>
      </c>
      <c r="J1756" s="54"/>
      <c r="K1756" s="54"/>
      <c r="L1756" s="9"/>
      <c r="M1756" s="9"/>
      <c r="N1756" s="8"/>
    </row>
    <row r="1757" spans="1:14" x14ac:dyDescent="0.4">
      <c r="A1757" s="39"/>
      <c r="B1757" s="39"/>
      <c r="C1757" s="39"/>
      <c r="D1757" s="39"/>
      <c r="E1757" s="39"/>
      <c r="F1757" s="39"/>
      <c r="G1757" s="39"/>
      <c r="H1757" s="39"/>
      <c r="I1757" s="39"/>
      <c r="J1757" s="39"/>
      <c r="K1757" s="39"/>
      <c r="L1757" s="39"/>
    </row>
    <row r="1758" spans="1:14" x14ac:dyDescent="0.4">
      <c r="A1758" s="53" t="s">
        <v>14</v>
      </c>
      <c r="B1758" s="55" t="s">
        <v>34</v>
      </c>
      <c r="C1758" s="71" t="s">
        <v>152</v>
      </c>
      <c r="D1758" s="71" t="s">
        <v>153</v>
      </c>
      <c r="E1758" s="71" t="s">
        <v>145</v>
      </c>
      <c r="F1758" s="53" t="s">
        <v>1</v>
      </c>
      <c r="G1758" s="53"/>
      <c r="H1758" s="57" t="s">
        <v>15</v>
      </c>
      <c r="I1758" s="57" t="s">
        <v>16</v>
      </c>
      <c r="J1758" s="53" t="s">
        <v>17</v>
      </c>
      <c r="K1758" s="67" t="s">
        <v>84</v>
      </c>
      <c r="L1758" s="68"/>
      <c r="M1758" s="53" t="s">
        <v>20</v>
      </c>
      <c r="N1758" s="8"/>
    </row>
    <row r="1759" spans="1:14" x14ac:dyDescent="0.4">
      <c r="A1759" s="53"/>
      <c r="B1759" s="55"/>
      <c r="C1759" s="72"/>
      <c r="D1759" s="72"/>
      <c r="E1759" s="72"/>
      <c r="F1759" s="53" t="s">
        <v>18</v>
      </c>
      <c r="G1759" s="53" t="s">
        <v>2</v>
      </c>
      <c r="H1759" s="57"/>
      <c r="I1759" s="57"/>
      <c r="J1759" s="53"/>
      <c r="K1759" s="69"/>
      <c r="L1759" s="70"/>
      <c r="M1759" s="53"/>
      <c r="N1759" s="8"/>
    </row>
    <row r="1760" spans="1:14" x14ac:dyDescent="0.4">
      <c r="A1760" s="53"/>
      <c r="B1760" s="56"/>
      <c r="C1760" s="73"/>
      <c r="D1760" s="73"/>
      <c r="E1760" s="73"/>
      <c r="F1760" s="53"/>
      <c r="G1760" s="53"/>
      <c r="H1760" s="57"/>
      <c r="I1760" s="57"/>
      <c r="J1760" s="53"/>
      <c r="K1760" s="42" t="s">
        <v>85</v>
      </c>
      <c r="L1760" s="42" t="s">
        <v>86</v>
      </c>
      <c r="M1760" s="53"/>
      <c r="N1760" s="8"/>
    </row>
    <row r="1761" spans="1:14" x14ac:dyDescent="0.4">
      <c r="A1761" s="11" t="s">
        <v>11</v>
      </c>
      <c r="B1761" s="40"/>
      <c r="C1761" s="40"/>
      <c r="D1761" s="40"/>
      <c r="E1761" s="40"/>
      <c r="F1761" s="13"/>
      <c r="G1761" s="11"/>
      <c r="H1761" s="13"/>
      <c r="I1761" s="14"/>
      <c r="J1761" s="13"/>
      <c r="K1761" s="15">
        <f>ROUND((10^(J1761/10))/(10^(H1761/10)),3)</f>
        <v>1</v>
      </c>
      <c r="L1761" s="15"/>
      <c r="M1761" s="15">
        <f t="shared" ref="M1761:M1772" si="888">I1761*K1761</f>
        <v>0</v>
      </c>
      <c r="N1761" s="8"/>
    </row>
    <row r="1762" spans="1:14" x14ac:dyDescent="0.4">
      <c r="A1762" s="11" t="s">
        <v>11</v>
      </c>
      <c r="B1762" s="40"/>
      <c r="C1762" s="40"/>
      <c r="D1762" s="40"/>
      <c r="E1762" s="40"/>
      <c r="F1762" s="13"/>
      <c r="G1762" s="11"/>
      <c r="H1762" s="13"/>
      <c r="I1762" s="14"/>
      <c r="J1762" s="13"/>
      <c r="K1762" s="15">
        <f t="shared" ref="K1762:K1772" si="889">ROUND((10^(J1762/10))/(10^(H1762/10)),3)</f>
        <v>1</v>
      </c>
      <c r="L1762" s="15"/>
      <c r="M1762" s="15">
        <f t="shared" si="888"/>
        <v>0</v>
      </c>
      <c r="N1762" s="8"/>
    </row>
    <row r="1763" spans="1:14" x14ac:dyDescent="0.4">
      <c r="A1763" s="11" t="s">
        <v>11</v>
      </c>
      <c r="B1763" s="40"/>
      <c r="C1763" s="40"/>
      <c r="D1763" s="40"/>
      <c r="E1763" s="40"/>
      <c r="F1763" s="13"/>
      <c r="G1763" s="11"/>
      <c r="H1763" s="13"/>
      <c r="I1763" s="14"/>
      <c r="J1763" s="13"/>
      <c r="K1763" s="15">
        <f t="shared" si="889"/>
        <v>1</v>
      </c>
      <c r="L1763" s="15"/>
      <c r="M1763" s="15">
        <f t="shared" si="888"/>
        <v>0</v>
      </c>
      <c r="N1763" s="8"/>
    </row>
    <row r="1764" spans="1:14" x14ac:dyDescent="0.4">
      <c r="A1764" s="11" t="s">
        <v>13</v>
      </c>
      <c r="B1764" s="40">
        <f t="shared" ref="B1764" si="890">B1761</f>
        <v>0</v>
      </c>
      <c r="C1764" s="40"/>
      <c r="D1764" s="40"/>
      <c r="E1764" s="40">
        <f t="shared" ref="E1764:G1764" si="891">E1761</f>
        <v>0</v>
      </c>
      <c r="F1764" s="13">
        <f t="shared" si="891"/>
        <v>0</v>
      </c>
      <c r="G1764" s="40">
        <f t="shared" si="891"/>
        <v>0</v>
      </c>
      <c r="H1764" s="13">
        <f>H1761</f>
        <v>0</v>
      </c>
      <c r="I1764" s="16"/>
      <c r="J1764" s="13">
        <f t="shared" ref="J1764:J1766" si="892">J1761</f>
        <v>0</v>
      </c>
      <c r="K1764" s="15">
        <f t="shared" si="889"/>
        <v>1</v>
      </c>
      <c r="L1764" s="15"/>
      <c r="M1764" s="15">
        <f t="shared" si="888"/>
        <v>0</v>
      </c>
      <c r="N1764" s="8"/>
    </row>
    <row r="1765" spans="1:14" x14ac:dyDescent="0.4">
      <c r="A1765" s="11" t="s">
        <v>13</v>
      </c>
      <c r="B1765" s="40">
        <f t="shared" ref="B1765" si="893">B1762</f>
        <v>0</v>
      </c>
      <c r="C1765" s="40"/>
      <c r="D1765" s="40"/>
      <c r="E1765" s="40">
        <f t="shared" ref="E1765:H1765" si="894">E1762</f>
        <v>0</v>
      </c>
      <c r="F1765" s="13">
        <f t="shared" si="894"/>
        <v>0</v>
      </c>
      <c r="G1765" s="40">
        <f t="shared" si="894"/>
        <v>0</v>
      </c>
      <c r="H1765" s="13">
        <f t="shared" si="894"/>
        <v>0</v>
      </c>
      <c r="I1765" s="16"/>
      <c r="J1765" s="13">
        <f t="shared" si="892"/>
        <v>0</v>
      </c>
      <c r="K1765" s="15">
        <f t="shared" si="889"/>
        <v>1</v>
      </c>
      <c r="L1765" s="15"/>
      <c r="M1765" s="15">
        <f t="shared" si="888"/>
        <v>0</v>
      </c>
      <c r="N1765" s="8"/>
    </row>
    <row r="1766" spans="1:14" x14ac:dyDescent="0.4">
      <c r="A1766" s="11" t="s">
        <v>13</v>
      </c>
      <c r="B1766" s="40">
        <f t="shared" ref="B1766" si="895">B1763</f>
        <v>0</v>
      </c>
      <c r="C1766" s="40"/>
      <c r="D1766" s="40"/>
      <c r="E1766" s="40">
        <f t="shared" ref="E1766:H1766" si="896">E1763</f>
        <v>0</v>
      </c>
      <c r="F1766" s="13">
        <f t="shared" si="896"/>
        <v>0</v>
      </c>
      <c r="G1766" s="40">
        <f t="shared" si="896"/>
        <v>0</v>
      </c>
      <c r="H1766" s="13">
        <f t="shared" si="896"/>
        <v>0</v>
      </c>
      <c r="I1766" s="16"/>
      <c r="J1766" s="13">
        <f t="shared" si="892"/>
        <v>0</v>
      </c>
      <c r="K1766" s="15">
        <f t="shared" si="889"/>
        <v>1</v>
      </c>
      <c r="L1766" s="15"/>
      <c r="M1766" s="15">
        <f t="shared" si="888"/>
        <v>0</v>
      </c>
      <c r="N1766" s="8"/>
    </row>
    <row r="1767" spans="1:14" x14ac:dyDescent="0.4">
      <c r="A1767" s="11" t="s">
        <v>12</v>
      </c>
      <c r="B1767" s="40">
        <f t="shared" ref="B1767:J1772" ca="1" si="897">OFFSET(B1767,-6,0)</f>
        <v>0</v>
      </c>
      <c r="C1767" s="40"/>
      <c r="D1767" s="40"/>
      <c r="E1767" s="40">
        <f t="shared" ca="1" si="897"/>
        <v>0</v>
      </c>
      <c r="F1767" s="13">
        <f t="shared" ca="1" si="897"/>
        <v>0</v>
      </c>
      <c r="G1767" s="17">
        <f t="shared" ca="1" si="897"/>
        <v>0</v>
      </c>
      <c r="H1767" s="13">
        <f t="shared" ca="1" si="897"/>
        <v>0</v>
      </c>
      <c r="I1767" s="16"/>
      <c r="J1767" s="13">
        <f t="shared" ca="1" si="897"/>
        <v>0</v>
      </c>
      <c r="K1767" s="15">
        <f t="shared" ca="1" si="889"/>
        <v>1</v>
      </c>
      <c r="L1767" s="15"/>
      <c r="M1767" s="15">
        <f t="shared" ca="1" si="888"/>
        <v>0</v>
      </c>
      <c r="N1767" s="8"/>
    </row>
    <row r="1768" spans="1:14" x14ac:dyDescent="0.4">
      <c r="A1768" s="11" t="s">
        <v>12</v>
      </c>
      <c r="B1768" s="40">
        <f t="shared" ca="1" si="897"/>
        <v>0</v>
      </c>
      <c r="C1768" s="40"/>
      <c r="D1768" s="40"/>
      <c r="E1768" s="40">
        <f t="shared" ca="1" si="897"/>
        <v>0</v>
      </c>
      <c r="F1768" s="13">
        <f t="shared" ca="1" si="897"/>
        <v>0</v>
      </c>
      <c r="G1768" s="17">
        <f t="shared" ca="1" si="897"/>
        <v>0</v>
      </c>
      <c r="H1768" s="13">
        <f t="shared" ca="1" si="897"/>
        <v>0</v>
      </c>
      <c r="I1768" s="16"/>
      <c r="J1768" s="13">
        <f t="shared" ca="1" si="897"/>
        <v>0</v>
      </c>
      <c r="K1768" s="15">
        <f t="shared" ca="1" si="889"/>
        <v>1</v>
      </c>
      <c r="L1768" s="15"/>
      <c r="M1768" s="15">
        <f t="shared" ca="1" si="888"/>
        <v>0</v>
      </c>
      <c r="N1768" s="8"/>
    </row>
    <row r="1769" spans="1:14" x14ac:dyDescent="0.4">
      <c r="A1769" s="11" t="s">
        <v>12</v>
      </c>
      <c r="B1769" s="40">
        <f t="shared" ca="1" si="897"/>
        <v>0</v>
      </c>
      <c r="C1769" s="40"/>
      <c r="D1769" s="40"/>
      <c r="E1769" s="40">
        <f t="shared" ca="1" si="897"/>
        <v>0</v>
      </c>
      <c r="F1769" s="13">
        <f t="shared" ca="1" si="897"/>
        <v>0</v>
      </c>
      <c r="G1769" s="17">
        <f t="shared" ca="1" si="897"/>
        <v>0</v>
      </c>
      <c r="H1769" s="13">
        <f t="shared" ca="1" si="897"/>
        <v>0</v>
      </c>
      <c r="I1769" s="16"/>
      <c r="J1769" s="13">
        <f t="shared" ca="1" si="897"/>
        <v>0</v>
      </c>
      <c r="K1769" s="15">
        <f t="shared" ca="1" si="889"/>
        <v>1</v>
      </c>
      <c r="L1769" s="15"/>
      <c r="M1769" s="15">
        <f t="shared" ca="1" si="888"/>
        <v>0</v>
      </c>
      <c r="N1769" s="8"/>
    </row>
    <row r="1770" spans="1:14" x14ac:dyDescent="0.4">
      <c r="A1770" s="11" t="s">
        <v>21</v>
      </c>
      <c r="B1770" s="40">
        <f t="shared" ca="1" si="897"/>
        <v>0</v>
      </c>
      <c r="C1770" s="40"/>
      <c r="D1770" s="40"/>
      <c r="E1770" s="40">
        <f t="shared" ca="1" si="897"/>
        <v>0</v>
      </c>
      <c r="F1770" s="13">
        <f t="shared" ca="1" si="897"/>
        <v>0</v>
      </c>
      <c r="G1770" s="17">
        <f t="shared" ca="1" si="897"/>
        <v>0</v>
      </c>
      <c r="H1770" s="13">
        <f t="shared" ca="1" si="897"/>
        <v>0</v>
      </c>
      <c r="I1770" s="16"/>
      <c r="J1770" s="13">
        <f t="shared" ca="1" si="897"/>
        <v>0</v>
      </c>
      <c r="K1770" s="15">
        <f t="shared" ca="1" si="889"/>
        <v>1</v>
      </c>
      <c r="L1770" s="15"/>
      <c r="M1770" s="15">
        <f t="shared" ca="1" si="888"/>
        <v>0</v>
      </c>
      <c r="N1770" s="8"/>
    </row>
    <row r="1771" spans="1:14" x14ac:dyDescent="0.4">
      <c r="A1771" s="11" t="s">
        <v>21</v>
      </c>
      <c r="B1771" s="40">
        <f t="shared" ca="1" si="897"/>
        <v>0</v>
      </c>
      <c r="C1771" s="40"/>
      <c r="D1771" s="40"/>
      <c r="E1771" s="40">
        <f t="shared" ca="1" si="897"/>
        <v>0</v>
      </c>
      <c r="F1771" s="13">
        <f t="shared" ca="1" si="897"/>
        <v>0</v>
      </c>
      <c r="G1771" s="17">
        <f t="shared" ca="1" si="897"/>
        <v>0</v>
      </c>
      <c r="H1771" s="13">
        <f t="shared" ca="1" si="897"/>
        <v>0</v>
      </c>
      <c r="I1771" s="16"/>
      <c r="J1771" s="13">
        <f t="shared" ca="1" si="897"/>
        <v>0</v>
      </c>
      <c r="K1771" s="15">
        <f t="shared" ca="1" si="889"/>
        <v>1</v>
      </c>
      <c r="L1771" s="15"/>
      <c r="M1771" s="15">
        <f t="shared" ca="1" si="888"/>
        <v>0</v>
      </c>
      <c r="N1771" s="8"/>
    </row>
    <row r="1772" spans="1:14" x14ac:dyDescent="0.4">
      <c r="A1772" s="11" t="s">
        <v>21</v>
      </c>
      <c r="B1772" s="40">
        <f t="shared" ca="1" si="897"/>
        <v>0</v>
      </c>
      <c r="C1772" s="40"/>
      <c r="D1772" s="40"/>
      <c r="E1772" s="40">
        <f t="shared" ca="1" si="897"/>
        <v>0</v>
      </c>
      <c r="F1772" s="13">
        <f t="shared" ca="1" si="897"/>
        <v>0</v>
      </c>
      <c r="G1772" s="17">
        <f t="shared" ca="1" si="897"/>
        <v>0</v>
      </c>
      <c r="H1772" s="13">
        <f t="shared" ca="1" si="897"/>
        <v>0</v>
      </c>
      <c r="I1772" s="16"/>
      <c r="J1772" s="13">
        <f t="shared" ca="1" si="897"/>
        <v>0</v>
      </c>
      <c r="K1772" s="15">
        <f t="shared" ca="1" si="889"/>
        <v>1</v>
      </c>
      <c r="L1772" s="15"/>
      <c r="M1772" s="15">
        <f t="shared" ca="1" si="888"/>
        <v>0</v>
      </c>
      <c r="N1772" s="8"/>
    </row>
    <row r="1773" spans="1:14" x14ac:dyDescent="0.4">
      <c r="A1773" s="36"/>
      <c r="B1773" s="36"/>
      <c r="C1773" s="36"/>
      <c r="D1773" s="36"/>
      <c r="E1773" s="36"/>
      <c r="F1773" s="36"/>
      <c r="G1773" s="36"/>
      <c r="H1773" s="36"/>
      <c r="I1773" s="36"/>
      <c r="J1773" s="36"/>
      <c r="K1773" s="36"/>
      <c r="L1773" s="36"/>
      <c r="M1773" s="37"/>
    </row>
    <row r="1774" spans="1:14" x14ac:dyDescent="0.4">
      <c r="A1774" s="58" t="s">
        <v>173</v>
      </c>
      <c r="B1774" s="59"/>
      <c r="C1774" s="59"/>
      <c r="D1774" s="59"/>
      <c r="E1774" s="59"/>
      <c r="F1774" s="59"/>
      <c r="G1774" s="59"/>
      <c r="H1774" s="59"/>
      <c r="I1774" s="60"/>
      <c r="J1774" s="54" t="s">
        <v>3</v>
      </c>
      <c r="K1774" s="54"/>
      <c r="L1774" s="54"/>
      <c r="M1774" s="7"/>
      <c r="N1774" s="7"/>
    </row>
    <row r="1775" spans="1:14" x14ac:dyDescent="0.4">
      <c r="A1775" s="61"/>
      <c r="B1775" s="62"/>
      <c r="C1775" s="62"/>
      <c r="D1775" s="62"/>
      <c r="E1775" s="62"/>
      <c r="F1775" s="62"/>
      <c r="G1775" s="62"/>
      <c r="H1775" s="62"/>
      <c r="I1775" s="63"/>
      <c r="J1775" s="54" t="s">
        <v>4</v>
      </c>
      <c r="K1775" s="54"/>
      <c r="L1775" s="54"/>
      <c r="M1775" s="7"/>
      <c r="N1775" s="7"/>
    </row>
    <row r="1776" spans="1:14" x14ac:dyDescent="0.4">
      <c r="A1776" s="64"/>
      <c r="B1776" s="65"/>
      <c r="C1776" s="65"/>
      <c r="D1776" s="65"/>
      <c r="E1776" s="65"/>
      <c r="F1776" s="65"/>
      <c r="G1776" s="65"/>
      <c r="H1776" s="65"/>
      <c r="I1776" s="66"/>
      <c r="J1776" s="54" t="s">
        <v>0</v>
      </c>
      <c r="K1776" s="54"/>
      <c r="L1776" s="54"/>
      <c r="M1776" s="9"/>
      <c r="N1776" s="9"/>
    </row>
    <row r="1777" spans="1:14" x14ac:dyDescent="0.4">
      <c r="A1777" s="39"/>
      <c r="B1777" s="39"/>
      <c r="C1777" s="39"/>
      <c r="D1777" s="39"/>
      <c r="E1777" s="39"/>
      <c r="F1777" s="39"/>
      <c r="G1777" s="39"/>
      <c r="H1777" s="39"/>
      <c r="I1777" s="39"/>
      <c r="J1777" s="39"/>
      <c r="K1777" s="39"/>
      <c r="L1777" s="39"/>
      <c r="M1777" s="39"/>
    </row>
    <row r="1778" spans="1:14" x14ac:dyDescent="0.4">
      <c r="A1778" s="53" t="s">
        <v>14</v>
      </c>
      <c r="B1778" s="55" t="s">
        <v>33</v>
      </c>
      <c r="C1778" s="71" t="s">
        <v>152</v>
      </c>
      <c r="D1778" s="71" t="s">
        <v>153</v>
      </c>
      <c r="E1778" s="55" t="s">
        <v>145</v>
      </c>
      <c r="F1778" s="53" t="s">
        <v>1</v>
      </c>
      <c r="G1778" s="53"/>
      <c r="H1778" s="53" t="s">
        <v>19</v>
      </c>
      <c r="I1778" s="57" t="s">
        <v>15</v>
      </c>
      <c r="J1778" s="57" t="s">
        <v>16</v>
      </c>
      <c r="K1778" s="53" t="s">
        <v>17</v>
      </c>
      <c r="L1778" s="53" t="s">
        <v>84</v>
      </c>
      <c r="M1778" s="53"/>
      <c r="N1778" s="53" t="s">
        <v>20</v>
      </c>
    </row>
    <row r="1779" spans="1:14" x14ac:dyDescent="0.4">
      <c r="A1779" s="53"/>
      <c r="B1779" s="55"/>
      <c r="C1779" s="72"/>
      <c r="D1779" s="72"/>
      <c r="E1779" s="55"/>
      <c r="F1779" s="53" t="s">
        <v>18</v>
      </c>
      <c r="G1779" s="53" t="s">
        <v>2</v>
      </c>
      <c r="H1779" s="53"/>
      <c r="I1779" s="57"/>
      <c r="J1779" s="57"/>
      <c r="K1779" s="53"/>
      <c r="L1779" s="53"/>
      <c r="M1779" s="53"/>
      <c r="N1779" s="53"/>
    </row>
    <row r="1780" spans="1:14" x14ac:dyDescent="0.4">
      <c r="A1780" s="53"/>
      <c r="B1780" s="56"/>
      <c r="C1780" s="73"/>
      <c r="D1780" s="73"/>
      <c r="E1780" s="55"/>
      <c r="F1780" s="53"/>
      <c r="G1780" s="53"/>
      <c r="H1780" s="53"/>
      <c r="I1780" s="57"/>
      <c r="J1780" s="57"/>
      <c r="K1780" s="53"/>
      <c r="L1780" s="42" t="s">
        <v>85</v>
      </c>
      <c r="M1780" s="42" t="s">
        <v>86</v>
      </c>
      <c r="N1780" s="53"/>
    </row>
    <row r="1781" spans="1:14" x14ac:dyDescent="0.4">
      <c r="A1781" s="74" t="s">
        <v>26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9"/>
    </row>
    <row r="1782" spans="1:14" x14ac:dyDescent="0.4">
      <c r="A1782" s="11" t="s">
        <v>5</v>
      </c>
      <c r="B1782" s="40"/>
      <c r="C1782" s="40"/>
      <c r="D1782" s="40"/>
      <c r="E1782" s="40"/>
      <c r="F1782" s="13"/>
      <c r="G1782" s="11"/>
      <c r="H1782" s="17"/>
      <c r="I1782" s="13"/>
      <c r="J1782" s="16"/>
      <c r="K1782" s="13"/>
      <c r="L1782" s="15">
        <f>ROUND((10^(K1782/10))/(10^(I1782/10)),3)</f>
        <v>1</v>
      </c>
      <c r="M1782" s="15"/>
      <c r="N1782" s="15">
        <f t="shared" ref="N1782:N1799" si="898">J1782*L1782</f>
        <v>0</v>
      </c>
    </row>
    <row r="1783" spans="1:14" x14ac:dyDescent="0.4">
      <c r="A1783" s="11" t="s">
        <v>5</v>
      </c>
      <c r="B1783" s="40"/>
      <c r="C1783" s="40"/>
      <c r="D1783" s="40"/>
      <c r="E1783" s="40"/>
      <c r="F1783" s="13"/>
      <c r="G1783" s="11"/>
      <c r="H1783" s="17"/>
      <c r="I1783" s="13"/>
      <c r="J1783" s="16"/>
      <c r="K1783" s="13"/>
      <c r="L1783" s="15">
        <f t="shared" ref="L1783:L1799" si="899">ROUND((10^(K1783/10))/(10^(I1783/10)),3)</f>
        <v>1</v>
      </c>
      <c r="M1783" s="15"/>
      <c r="N1783" s="15">
        <f t="shared" si="898"/>
        <v>0</v>
      </c>
    </row>
    <row r="1784" spans="1:14" x14ac:dyDescent="0.4">
      <c r="A1784" s="11" t="s">
        <v>5</v>
      </c>
      <c r="B1784" s="40"/>
      <c r="C1784" s="40"/>
      <c r="D1784" s="40"/>
      <c r="E1784" s="40"/>
      <c r="F1784" s="13"/>
      <c r="G1784" s="11"/>
      <c r="H1784" s="17"/>
      <c r="I1784" s="13"/>
      <c r="J1784" s="16"/>
      <c r="K1784" s="13"/>
      <c r="L1784" s="15">
        <f t="shared" si="899"/>
        <v>1</v>
      </c>
      <c r="M1784" s="15"/>
      <c r="N1784" s="15">
        <f t="shared" si="898"/>
        <v>0</v>
      </c>
    </row>
    <row r="1785" spans="1:14" x14ac:dyDescent="0.4">
      <c r="A1785" s="11" t="s">
        <v>6</v>
      </c>
      <c r="B1785" s="41">
        <f t="shared" ref="B1785:I1787" ca="1" si="900">OFFSET(B1785,-3,0)</f>
        <v>0</v>
      </c>
      <c r="C1785" s="41"/>
      <c r="D1785" s="41"/>
      <c r="E1785" s="41"/>
      <c r="F1785" s="19">
        <f t="shared" ca="1" si="900"/>
        <v>0</v>
      </c>
      <c r="G1785" s="20">
        <f t="shared" ca="1" si="900"/>
        <v>0</v>
      </c>
      <c r="H1785" s="20">
        <f t="shared" ca="1" si="900"/>
        <v>0</v>
      </c>
      <c r="I1785" s="13">
        <f t="shared" ca="1" si="900"/>
        <v>0</v>
      </c>
      <c r="J1785" s="16"/>
      <c r="K1785" s="19">
        <f t="shared" ref="K1785:K1787" ca="1" si="901">OFFSET(K1785,-3,0)</f>
        <v>0</v>
      </c>
      <c r="L1785" s="15">
        <f t="shared" ca="1" si="899"/>
        <v>1</v>
      </c>
      <c r="M1785" s="15"/>
      <c r="N1785" s="15">
        <f t="shared" ca="1" si="898"/>
        <v>0</v>
      </c>
    </row>
    <row r="1786" spans="1:14" x14ac:dyDescent="0.4">
      <c r="A1786" s="11" t="s">
        <v>6</v>
      </c>
      <c r="B1786" s="41">
        <f t="shared" ca="1" si="900"/>
        <v>0</v>
      </c>
      <c r="C1786" s="41"/>
      <c r="D1786" s="41"/>
      <c r="E1786" s="41"/>
      <c r="F1786" s="19">
        <f t="shared" ca="1" si="900"/>
        <v>0</v>
      </c>
      <c r="G1786" s="20">
        <f t="shared" ca="1" si="900"/>
        <v>0</v>
      </c>
      <c r="H1786" s="20">
        <f t="shared" ca="1" si="900"/>
        <v>0</v>
      </c>
      <c r="I1786" s="13">
        <f t="shared" ca="1" si="900"/>
        <v>0</v>
      </c>
      <c r="J1786" s="16"/>
      <c r="K1786" s="19">
        <f t="shared" ca="1" si="901"/>
        <v>0</v>
      </c>
      <c r="L1786" s="15">
        <f t="shared" ca="1" si="899"/>
        <v>1</v>
      </c>
      <c r="M1786" s="15"/>
      <c r="N1786" s="15">
        <f t="shared" ca="1" si="898"/>
        <v>0</v>
      </c>
    </row>
    <row r="1787" spans="1:14" x14ac:dyDescent="0.4">
      <c r="A1787" s="11" t="s">
        <v>6</v>
      </c>
      <c r="B1787" s="41">
        <f t="shared" ca="1" si="900"/>
        <v>0</v>
      </c>
      <c r="C1787" s="41"/>
      <c r="D1787" s="41"/>
      <c r="E1787" s="41"/>
      <c r="F1787" s="19">
        <f t="shared" ca="1" si="900"/>
        <v>0</v>
      </c>
      <c r="G1787" s="20">
        <f t="shared" ca="1" si="900"/>
        <v>0</v>
      </c>
      <c r="H1787" s="20">
        <f t="shared" ca="1" si="900"/>
        <v>0</v>
      </c>
      <c r="I1787" s="13">
        <f t="shared" ca="1" si="900"/>
        <v>0</v>
      </c>
      <c r="J1787" s="16"/>
      <c r="K1787" s="19">
        <f t="shared" ca="1" si="901"/>
        <v>0</v>
      </c>
      <c r="L1787" s="15">
        <f t="shared" ca="1" si="899"/>
        <v>1</v>
      </c>
      <c r="M1787" s="15"/>
      <c r="N1787" s="15">
        <f t="shared" ca="1" si="898"/>
        <v>0</v>
      </c>
    </row>
    <row r="1788" spans="1:14" x14ac:dyDescent="0.4">
      <c r="A1788" s="11" t="s">
        <v>10</v>
      </c>
      <c r="B1788" s="40">
        <f t="shared" ref="B1788:I1790" ca="1" si="902">OFFSET(B1788,-6,0)</f>
        <v>0</v>
      </c>
      <c r="C1788" s="40"/>
      <c r="D1788" s="40"/>
      <c r="E1788" s="40"/>
      <c r="F1788" s="13">
        <f t="shared" ca="1" si="902"/>
        <v>0</v>
      </c>
      <c r="G1788" s="17">
        <f t="shared" ca="1" si="902"/>
        <v>0</v>
      </c>
      <c r="H1788" s="17">
        <f t="shared" ca="1" si="902"/>
        <v>0</v>
      </c>
      <c r="I1788" s="13">
        <f t="shared" ca="1" si="902"/>
        <v>0</v>
      </c>
      <c r="J1788" s="16"/>
      <c r="K1788" s="13">
        <f t="shared" ref="K1788:K1790" ca="1" si="903">OFFSET(K1788,-6,0)</f>
        <v>0</v>
      </c>
      <c r="L1788" s="15">
        <f t="shared" ca="1" si="899"/>
        <v>1</v>
      </c>
      <c r="M1788" s="15"/>
      <c r="N1788" s="15">
        <f t="shared" ca="1" si="898"/>
        <v>0</v>
      </c>
    </row>
    <row r="1789" spans="1:14" x14ac:dyDescent="0.4">
      <c r="A1789" s="11" t="s">
        <v>10</v>
      </c>
      <c r="B1789" s="40">
        <f t="shared" ca="1" si="902"/>
        <v>0</v>
      </c>
      <c r="C1789" s="40"/>
      <c r="D1789" s="40"/>
      <c r="E1789" s="40"/>
      <c r="F1789" s="13">
        <f t="shared" ca="1" si="902"/>
        <v>0</v>
      </c>
      <c r="G1789" s="17">
        <f t="shared" ca="1" si="902"/>
        <v>0</v>
      </c>
      <c r="H1789" s="17">
        <f t="shared" ca="1" si="902"/>
        <v>0</v>
      </c>
      <c r="I1789" s="13">
        <f t="shared" ca="1" si="902"/>
        <v>0</v>
      </c>
      <c r="J1789" s="16"/>
      <c r="K1789" s="13">
        <f t="shared" ca="1" si="903"/>
        <v>0</v>
      </c>
      <c r="L1789" s="15">
        <f t="shared" ca="1" si="899"/>
        <v>1</v>
      </c>
      <c r="M1789" s="15"/>
      <c r="N1789" s="15">
        <f t="shared" ca="1" si="898"/>
        <v>0</v>
      </c>
    </row>
    <row r="1790" spans="1:14" x14ac:dyDescent="0.4">
      <c r="A1790" s="11" t="s">
        <v>10</v>
      </c>
      <c r="B1790" s="40">
        <f t="shared" ca="1" si="902"/>
        <v>0</v>
      </c>
      <c r="C1790" s="40"/>
      <c r="D1790" s="40"/>
      <c r="E1790" s="40"/>
      <c r="F1790" s="13">
        <f t="shared" ca="1" si="902"/>
        <v>0</v>
      </c>
      <c r="G1790" s="17">
        <f t="shared" ca="1" si="902"/>
        <v>0</v>
      </c>
      <c r="H1790" s="17">
        <f t="shared" ca="1" si="902"/>
        <v>0</v>
      </c>
      <c r="I1790" s="13">
        <f t="shared" ca="1" si="902"/>
        <v>0</v>
      </c>
      <c r="J1790" s="16"/>
      <c r="K1790" s="13">
        <f t="shared" ca="1" si="903"/>
        <v>0</v>
      </c>
      <c r="L1790" s="15">
        <f t="shared" ca="1" si="899"/>
        <v>1</v>
      </c>
      <c r="M1790" s="15"/>
      <c r="N1790" s="15">
        <f t="shared" ca="1" si="898"/>
        <v>0</v>
      </c>
    </row>
    <row r="1791" spans="1:14" x14ac:dyDescent="0.4">
      <c r="A1791" s="11" t="s">
        <v>7</v>
      </c>
      <c r="B1791" s="40">
        <f t="shared" ref="B1791:I1793" ca="1" si="904">OFFSET(B1791,-9,0)</f>
        <v>0</v>
      </c>
      <c r="C1791" s="40"/>
      <c r="D1791" s="40"/>
      <c r="E1791" s="40"/>
      <c r="F1791" s="13">
        <f t="shared" ca="1" si="904"/>
        <v>0</v>
      </c>
      <c r="G1791" s="17">
        <f t="shared" ca="1" si="904"/>
        <v>0</v>
      </c>
      <c r="H1791" s="17">
        <f t="shared" ca="1" si="904"/>
        <v>0</v>
      </c>
      <c r="I1791" s="13">
        <f t="shared" ca="1" si="904"/>
        <v>0</v>
      </c>
      <c r="J1791" s="16"/>
      <c r="K1791" s="13">
        <f t="shared" ref="K1791:K1793" ca="1" si="905">OFFSET(K1791,-9,0)</f>
        <v>0</v>
      </c>
      <c r="L1791" s="15">
        <f t="shared" ca="1" si="899"/>
        <v>1</v>
      </c>
      <c r="M1791" s="15"/>
      <c r="N1791" s="15">
        <f t="shared" ca="1" si="898"/>
        <v>0</v>
      </c>
    </row>
    <row r="1792" spans="1:14" x14ac:dyDescent="0.4">
      <c r="A1792" s="11" t="s">
        <v>7</v>
      </c>
      <c r="B1792" s="40">
        <f t="shared" ca="1" si="904"/>
        <v>0</v>
      </c>
      <c r="C1792" s="40"/>
      <c r="D1792" s="40"/>
      <c r="E1792" s="40"/>
      <c r="F1792" s="13">
        <f t="shared" ca="1" si="904"/>
        <v>0</v>
      </c>
      <c r="G1792" s="17">
        <f t="shared" ca="1" si="904"/>
        <v>0</v>
      </c>
      <c r="H1792" s="17">
        <f t="shared" ca="1" si="904"/>
        <v>0</v>
      </c>
      <c r="I1792" s="13">
        <f t="shared" ca="1" si="904"/>
        <v>0</v>
      </c>
      <c r="J1792" s="16"/>
      <c r="K1792" s="13">
        <f t="shared" ca="1" si="905"/>
        <v>0</v>
      </c>
      <c r="L1792" s="15">
        <f t="shared" ca="1" si="899"/>
        <v>1</v>
      </c>
      <c r="M1792" s="15"/>
      <c r="N1792" s="15">
        <f t="shared" ca="1" si="898"/>
        <v>0</v>
      </c>
    </row>
    <row r="1793" spans="1:14" x14ac:dyDescent="0.4">
      <c r="A1793" s="11" t="s">
        <v>7</v>
      </c>
      <c r="B1793" s="40">
        <f t="shared" ca="1" si="904"/>
        <v>0</v>
      </c>
      <c r="C1793" s="40"/>
      <c r="D1793" s="40"/>
      <c r="E1793" s="40"/>
      <c r="F1793" s="13">
        <f t="shared" ca="1" si="904"/>
        <v>0</v>
      </c>
      <c r="G1793" s="17">
        <f t="shared" ca="1" si="904"/>
        <v>0</v>
      </c>
      <c r="H1793" s="17">
        <f t="shared" ca="1" si="904"/>
        <v>0</v>
      </c>
      <c r="I1793" s="13">
        <f t="shared" ca="1" si="904"/>
        <v>0</v>
      </c>
      <c r="J1793" s="16"/>
      <c r="K1793" s="13">
        <f t="shared" ca="1" si="905"/>
        <v>0</v>
      </c>
      <c r="L1793" s="15">
        <f t="shared" ca="1" si="899"/>
        <v>1</v>
      </c>
      <c r="M1793" s="15"/>
      <c r="N1793" s="15">
        <f t="shared" ca="1" si="898"/>
        <v>0</v>
      </c>
    </row>
    <row r="1794" spans="1:14" x14ac:dyDescent="0.4">
      <c r="A1794" s="11" t="s">
        <v>8</v>
      </c>
      <c r="B1794" s="40">
        <f t="shared" ref="B1794:I1796" ca="1" si="906">OFFSET(B1794,-12,0)</f>
        <v>0</v>
      </c>
      <c r="C1794" s="40"/>
      <c r="D1794" s="40"/>
      <c r="E1794" s="40"/>
      <c r="F1794" s="13">
        <f t="shared" ca="1" si="906"/>
        <v>0</v>
      </c>
      <c r="G1794" s="17">
        <f t="shared" ca="1" si="906"/>
        <v>0</v>
      </c>
      <c r="H1794" s="17">
        <f t="shared" ca="1" si="906"/>
        <v>0</v>
      </c>
      <c r="I1794" s="13">
        <f t="shared" ca="1" si="906"/>
        <v>0</v>
      </c>
      <c r="J1794" s="16"/>
      <c r="K1794" s="13">
        <f t="shared" ref="K1794:K1796" ca="1" si="907">OFFSET(K1794,-12,0)</f>
        <v>0</v>
      </c>
      <c r="L1794" s="15">
        <f t="shared" ca="1" si="899"/>
        <v>1</v>
      </c>
      <c r="M1794" s="15"/>
      <c r="N1794" s="15">
        <f t="shared" ca="1" si="898"/>
        <v>0</v>
      </c>
    </row>
    <row r="1795" spans="1:14" x14ac:dyDescent="0.4">
      <c r="A1795" s="11" t="s">
        <v>8</v>
      </c>
      <c r="B1795" s="40">
        <f t="shared" ca="1" si="906"/>
        <v>0</v>
      </c>
      <c r="C1795" s="40"/>
      <c r="D1795" s="40"/>
      <c r="E1795" s="40"/>
      <c r="F1795" s="13">
        <f t="shared" ca="1" si="906"/>
        <v>0</v>
      </c>
      <c r="G1795" s="17">
        <f t="shared" ca="1" si="906"/>
        <v>0</v>
      </c>
      <c r="H1795" s="17">
        <f t="shared" ca="1" si="906"/>
        <v>0</v>
      </c>
      <c r="I1795" s="13">
        <f t="shared" ca="1" si="906"/>
        <v>0</v>
      </c>
      <c r="J1795" s="16"/>
      <c r="K1795" s="13">
        <f t="shared" ca="1" si="907"/>
        <v>0</v>
      </c>
      <c r="L1795" s="15">
        <f t="shared" ca="1" si="899"/>
        <v>1</v>
      </c>
      <c r="M1795" s="15"/>
      <c r="N1795" s="15">
        <f t="shared" ca="1" si="898"/>
        <v>0</v>
      </c>
    </row>
    <row r="1796" spans="1:14" x14ac:dyDescent="0.4">
      <c r="A1796" s="11" t="s">
        <v>8</v>
      </c>
      <c r="B1796" s="40">
        <f t="shared" ca="1" si="906"/>
        <v>0</v>
      </c>
      <c r="C1796" s="40"/>
      <c r="D1796" s="40"/>
      <c r="E1796" s="40"/>
      <c r="F1796" s="13">
        <f t="shared" ca="1" si="906"/>
        <v>0</v>
      </c>
      <c r="G1796" s="17">
        <f t="shared" ca="1" si="906"/>
        <v>0</v>
      </c>
      <c r="H1796" s="17">
        <f t="shared" ca="1" si="906"/>
        <v>0</v>
      </c>
      <c r="I1796" s="13">
        <f t="shared" ca="1" si="906"/>
        <v>0</v>
      </c>
      <c r="J1796" s="16"/>
      <c r="K1796" s="13">
        <f t="shared" ca="1" si="907"/>
        <v>0</v>
      </c>
      <c r="L1796" s="15">
        <f t="shared" ca="1" si="899"/>
        <v>1</v>
      </c>
      <c r="M1796" s="15"/>
      <c r="N1796" s="15">
        <f t="shared" ca="1" si="898"/>
        <v>0</v>
      </c>
    </row>
    <row r="1797" spans="1:14" x14ac:dyDescent="0.4">
      <c r="A1797" s="11" t="s">
        <v>9</v>
      </c>
      <c r="B1797" s="41">
        <f t="shared" ref="B1797:G1799" ca="1" si="908">OFFSET(B1797,-15,0)</f>
        <v>0</v>
      </c>
      <c r="C1797" s="41"/>
      <c r="D1797" s="41"/>
      <c r="E1797" s="41"/>
      <c r="F1797" s="19">
        <f t="shared" ca="1" si="908"/>
        <v>0</v>
      </c>
      <c r="G1797" s="20">
        <f t="shared" ca="1" si="908"/>
        <v>0</v>
      </c>
      <c r="H1797" s="20">
        <f ca="1">OFFSET(H1797,-15,0)</f>
        <v>0</v>
      </c>
      <c r="I1797" s="13">
        <f t="shared" ref="H1797:I1799" ca="1" si="909">OFFSET(I1797,-15,0)</f>
        <v>0</v>
      </c>
      <c r="J1797" s="16"/>
      <c r="K1797" s="19">
        <f t="shared" ref="K1797:K1799" ca="1" si="910">OFFSET(K1797,-15,0)</f>
        <v>0</v>
      </c>
      <c r="L1797" s="15">
        <f t="shared" ca="1" si="899"/>
        <v>1</v>
      </c>
      <c r="M1797" s="15"/>
      <c r="N1797" s="15">
        <f t="shared" ca="1" si="898"/>
        <v>0</v>
      </c>
    </row>
    <row r="1798" spans="1:14" x14ac:dyDescent="0.4">
      <c r="A1798" s="11" t="s">
        <v>9</v>
      </c>
      <c r="B1798" s="41">
        <f t="shared" ca="1" si="908"/>
        <v>0</v>
      </c>
      <c r="C1798" s="41"/>
      <c r="D1798" s="41"/>
      <c r="E1798" s="41"/>
      <c r="F1798" s="19">
        <f t="shared" ca="1" si="908"/>
        <v>0</v>
      </c>
      <c r="G1798" s="20">
        <f t="shared" ca="1" si="908"/>
        <v>0</v>
      </c>
      <c r="H1798" s="20">
        <f t="shared" ca="1" si="909"/>
        <v>0</v>
      </c>
      <c r="I1798" s="13">
        <f t="shared" ca="1" si="909"/>
        <v>0</v>
      </c>
      <c r="J1798" s="16"/>
      <c r="K1798" s="19">
        <f t="shared" ca="1" si="910"/>
        <v>0</v>
      </c>
      <c r="L1798" s="15">
        <f t="shared" ca="1" si="899"/>
        <v>1</v>
      </c>
      <c r="M1798" s="15"/>
      <c r="N1798" s="15">
        <f t="shared" ca="1" si="898"/>
        <v>0</v>
      </c>
    </row>
    <row r="1799" spans="1:14" x14ac:dyDescent="0.4">
      <c r="A1799" s="11" t="s">
        <v>9</v>
      </c>
      <c r="B1799" s="41">
        <f t="shared" ca="1" si="908"/>
        <v>0</v>
      </c>
      <c r="C1799" s="41"/>
      <c r="D1799" s="41"/>
      <c r="E1799" s="41"/>
      <c r="F1799" s="19">
        <f t="shared" ca="1" si="908"/>
        <v>0</v>
      </c>
      <c r="G1799" s="20">
        <f t="shared" ca="1" si="908"/>
        <v>0</v>
      </c>
      <c r="H1799" s="20">
        <f t="shared" ca="1" si="909"/>
        <v>0</v>
      </c>
      <c r="I1799" s="13">
        <f t="shared" ca="1" si="909"/>
        <v>0</v>
      </c>
      <c r="J1799" s="16"/>
      <c r="K1799" s="19">
        <f t="shared" ca="1" si="910"/>
        <v>0</v>
      </c>
      <c r="L1799" s="15">
        <f t="shared" ca="1" si="899"/>
        <v>1</v>
      </c>
      <c r="M1799" s="15"/>
      <c r="N1799" s="15">
        <f t="shared" ca="1" si="898"/>
        <v>0</v>
      </c>
    </row>
    <row r="1800" spans="1:14" ht="17.399999999999999" x14ac:dyDescent="0.4">
      <c r="A1800" s="74" t="s">
        <v>28</v>
      </c>
      <c r="B1800" s="75"/>
      <c r="C1800" s="75"/>
      <c r="D1800" s="75"/>
      <c r="E1800" s="75"/>
      <c r="F1800" s="75"/>
      <c r="G1800" s="75"/>
      <c r="H1800" s="75"/>
      <c r="I1800" s="75"/>
      <c r="J1800" s="75"/>
      <c r="K1800" s="75"/>
      <c r="L1800" s="75"/>
      <c r="M1800" s="75"/>
      <c r="N1800" s="76"/>
    </row>
    <row r="1801" spans="1:14" x14ac:dyDescent="0.4">
      <c r="A1801" s="11" t="s">
        <v>5</v>
      </c>
      <c r="B1801" s="40"/>
      <c r="C1801" s="40"/>
      <c r="D1801" s="40"/>
      <c r="E1801" s="40"/>
      <c r="F1801" s="13"/>
      <c r="G1801" s="11"/>
      <c r="H1801" s="17"/>
      <c r="I1801" s="13"/>
      <c r="J1801" s="16"/>
      <c r="K1801" s="13"/>
      <c r="L1801" s="15">
        <f>ROUND((10^(K1801/10))/(10^(I1801/10)),3)</f>
        <v>1</v>
      </c>
      <c r="M1801" s="15"/>
      <c r="N1801" s="15">
        <f t="shared" ref="N1801:N1818" si="911">J1801*L1801</f>
        <v>0</v>
      </c>
    </row>
    <row r="1802" spans="1:14" x14ac:dyDescent="0.4">
      <c r="A1802" s="11" t="s">
        <v>5</v>
      </c>
      <c r="B1802" s="40"/>
      <c r="C1802" s="40"/>
      <c r="D1802" s="40"/>
      <c r="E1802" s="40"/>
      <c r="F1802" s="13"/>
      <c r="G1802" s="11"/>
      <c r="H1802" s="17"/>
      <c r="I1802" s="13"/>
      <c r="J1802" s="16"/>
      <c r="K1802" s="13"/>
      <c r="L1802" s="15">
        <f t="shared" ref="L1802:L1818" si="912">ROUND((10^(K1802/10))/(10^(I1802/10)),3)</f>
        <v>1</v>
      </c>
      <c r="M1802" s="15"/>
      <c r="N1802" s="15">
        <f t="shared" si="911"/>
        <v>0</v>
      </c>
    </row>
    <row r="1803" spans="1:14" x14ac:dyDescent="0.4">
      <c r="A1803" s="11" t="s">
        <v>5</v>
      </c>
      <c r="B1803" s="40"/>
      <c r="C1803" s="40"/>
      <c r="D1803" s="40"/>
      <c r="E1803" s="40"/>
      <c r="F1803" s="13"/>
      <c r="G1803" s="11"/>
      <c r="H1803" s="17"/>
      <c r="I1803" s="13"/>
      <c r="J1803" s="16"/>
      <c r="K1803" s="13"/>
      <c r="L1803" s="15">
        <f t="shared" si="912"/>
        <v>1</v>
      </c>
      <c r="M1803" s="15"/>
      <c r="N1803" s="15">
        <f t="shared" si="911"/>
        <v>0</v>
      </c>
    </row>
    <row r="1804" spans="1:14" x14ac:dyDescent="0.4">
      <c r="A1804" s="11" t="s">
        <v>6</v>
      </c>
      <c r="B1804" s="41">
        <f t="shared" ref="B1804:I1806" ca="1" si="913">OFFSET(B1804,-3,0)</f>
        <v>0</v>
      </c>
      <c r="C1804" s="41"/>
      <c r="D1804" s="41"/>
      <c r="E1804" s="41"/>
      <c r="F1804" s="19">
        <f t="shared" ca="1" si="913"/>
        <v>0</v>
      </c>
      <c r="G1804" s="20">
        <f t="shared" ca="1" si="913"/>
        <v>0</v>
      </c>
      <c r="H1804" s="20">
        <f t="shared" ca="1" si="913"/>
        <v>0</v>
      </c>
      <c r="I1804" s="13">
        <f t="shared" ca="1" si="913"/>
        <v>0</v>
      </c>
      <c r="J1804" s="16"/>
      <c r="K1804" s="19">
        <f t="shared" ref="K1804:K1806" ca="1" si="914">OFFSET(K1804,-3,0)</f>
        <v>0</v>
      </c>
      <c r="L1804" s="15">
        <f t="shared" ca="1" si="912"/>
        <v>1</v>
      </c>
      <c r="M1804" s="15"/>
      <c r="N1804" s="15">
        <f t="shared" ca="1" si="911"/>
        <v>0</v>
      </c>
    </row>
    <row r="1805" spans="1:14" x14ac:dyDescent="0.4">
      <c r="A1805" s="11" t="s">
        <v>6</v>
      </c>
      <c r="B1805" s="41">
        <f t="shared" ca="1" si="913"/>
        <v>0</v>
      </c>
      <c r="C1805" s="41"/>
      <c r="D1805" s="41"/>
      <c r="E1805" s="41"/>
      <c r="F1805" s="19">
        <f t="shared" ca="1" si="913"/>
        <v>0</v>
      </c>
      <c r="G1805" s="20">
        <f t="shared" ca="1" si="913"/>
        <v>0</v>
      </c>
      <c r="H1805" s="20">
        <f t="shared" ca="1" si="913"/>
        <v>0</v>
      </c>
      <c r="I1805" s="13">
        <f t="shared" ca="1" si="913"/>
        <v>0</v>
      </c>
      <c r="J1805" s="16"/>
      <c r="K1805" s="19">
        <f t="shared" ca="1" si="914"/>
        <v>0</v>
      </c>
      <c r="L1805" s="15">
        <f t="shared" ca="1" si="912"/>
        <v>1</v>
      </c>
      <c r="M1805" s="15"/>
      <c r="N1805" s="15">
        <f t="shared" ca="1" si="911"/>
        <v>0</v>
      </c>
    </row>
    <row r="1806" spans="1:14" x14ac:dyDescent="0.4">
      <c r="A1806" s="11" t="s">
        <v>6</v>
      </c>
      <c r="B1806" s="41">
        <f t="shared" ca="1" si="913"/>
        <v>0</v>
      </c>
      <c r="C1806" s="41"/>
      <c r="D1806" s="41"/>
      <c r="E1806" s="41"/>
      <c r="F1806" s="19">
        <f t="shared" ca="1" si="913"/>
        <v>0</v>
      </c>
      <c r="G1806" s="20">
        <f t="shared" ca="1" si="913"/>
        <v>0</v>
      </c>
      <c r="H1806" s="20">
        <f t="shared" ca="1" si="913"/>
        <v>0</v>
      </c>
      <c r="I1806" s="13">
        <f t="shared" ca="1" si="913"/>
        <v>0</v>
      </c>
      <c r="J1806" s="16"/>
      <c r="K1806" s="19">
        <f t="shared" ca="1" si="914"/>
        <v>0</v>
      </c>
      <c r="L1806" s="15">
        <f t="shared" ca="1" si="912"/>
        <v>1</v>
      </c>
      <c r="M1806" s="15"/>
      <c r="N1806" s="15">
        <f t="shared" ca="1" si="911"/>
        <v>0</v>
      </c>
    </row>
    <row r="1807" spans="1:14" x14ac:dyDescent="0.4">
      <c r="A1807" s="11" t="s">
        <v>10</v>
      </c>
      <c r="B1807" s="40">
        <f t="shared" ref="B1807:I1809" ca="1" si="915">OFFSET(B1807,-6,0)</f>
        <v>0</v>
      </c>
      <c r="C1807" s="40"/>
      <c r="D1807" s="40"/>
      <c r="E1807" s="40"/>
      <c r="F1807" s="13">
        <f t="shared" ca="1" si="915"/>
        <v>0</v>
      </c>
      <c r="G1807" s="17">
        <f t="shared" ca="1" si="915"/>
        <v>0</v>
      </c>
      <c r="H1807" s="17">
        <f t="shared" ca="1" si="915"/>
        <v>0</v>
      </c>
      <c r="I1807" s="13">
        <f t="shared" ca="1" si="915"/>
        <v>0</v>
      </c>
      <c r="J1807" s="16"/>
      <c r="K1807" s="13">
        <f t="shared" ref="K1807:K1809" ca="1" si="916">OFFSET(K1807,-6,0)</f>
        <v>0</v>
      </c>
      <c r="L1807" s="15">
        <f t="shared" ca="1" si="912"/>
        <v>1</v>
      </c>
      <c r="M1807" s="15"/>
      <c r="N1807" s="15">
        <f t="shared" ca="1" si="911"/>
        <v>0</v>
      </c>
    </row>
    <row r="1808" spans="1:14" x14ac:dyDescent="0.4">
      <c r="A1808" s="11" t="s">
        <v>10</v>
      </c>
      <c r="B1808" s="40">
        <f t="shared" ca="1" si="915"/>
        <v>0</v>
      </c>
      <c r="C1808" s="40"/>
      <c r="D1808" s="40"/>
      <c r="E1808" s="40"/>
      <c r="F1808" s="13">
        <f t="shared" ca="1" si="915"/>
        <v>0</v>
      </c>
      <c r="G1808" s="17">
        <f t="shared" ca="1" si="915"/>
        <v>0</v>
      </c>
      <c r="H1808" s="17">
        <f t="shared" ca="1" si="915"/>
        <v>0</v>
      </c>
      <c r="I1808" s="13">
        <f t="shared" ca="1" si="915"/>
        <v>0</v>
      </c>
      <c r="J1808" s="16"/>
      <c r="K1808" s="13">
        <f t="shared" ca="1" si="916"/>
        <v>0</v>
      </c>
      <c r="L1808" s="15">
        <f t="shared" ca="1" si="912"/>
        <v>1</v>
      </c>
      <c r="M1808" s="15"/>
      <c r="N1808" s="15">
        <f t="shared" ca="1" si="911"/>
        <v>0</v>
      </c>
    </row>
    <row r="1809" spans="1:14" x14ac:dyDescent="0.4">
      <c r="A1809" s="11" t="s">
        <v>10</v>
      </c>
      <c r="B1809" s="40">
        <f t="shared" ca="1" si="915"/>
        <v>0</v>
      </c>
      <c r="C1809" s="40"/>
      <c r="D1809" s="40"/>
      <c r="E1809" s="40"/>
      <c r="F1809" s="13">
        <f t="shared" ca="1" si="915"/>
        <v>0</v>
      </c>
      <c r="G1809" s="17">
        <f t="shared" ca="1" si="915"/>
        <v>0</v>
      </c>
      <c r="H1809" s="17">
        <f t="shared" ca="1" si="915"/>
        <v>0</v>
      </c>
      <c r="I1809" s="13">
        <f t="shared" ca="1" si="915"/>
        <v>0</v>
      </c>
      <c r="J1809" s="16"/>
      <c r="K1809" s="13">
        <f t="shared" ca="1" si="916"/>
        <v>0</v>
      </c>
      <c r="L1809" s="15">
        <f t="shared" ca="1" si="912"/>
        <v>1</v>
      </c>
      <c r="M1809" s="15"/>
      <c r="N1809" s="15">
        <f t="shared" ca="1" si="911"/>
        <v>0</v>
      </c>
    </row>
    <row r="1810" spans="1:14" x14ac:dyDescent="0.4">
      <c r="A1810" s="11" t="s">
        <v>7</v>
      </c>
      <c r="B1810" s="40">
        <f t="shared" ref="B1810:I1812" ca="1" si="917">OFFSET(B1810,-9,0)</f>
        <v>0</v>
      </c>
      <c r="C1810" s="40"/>
      <c r="D1810" s="40"/>
      <c r="E1810" s="40"/>
      <c r="F1810" s="13">
        <f t="shared" ca="1" si="917"/>
        <v>0</v>
      </c>
      <c r="G1810" s="17">
        <f t="shared" ca="1" si="917"/>
        <v>0</v>
      </c>
      <c r="H1810" s="17">
        <f t="shared" ca="1" si="917"/>
        <v>0</v>
      </c>
      <c r="I1810" s="13">
        <f t="shared" ca="1" si="917"/>
        <v>0</v>
      </c>
      <c r="J1810" s="16"/>
      <c r="K1810" s="13">
        <f t="shared" ref="K1810:K1812" ca="1" si="918">OFFSET(K1810,-9,0)</f>
        <v>0</v>
      </c>
      <c r="L1810" s="15">
        <f t="shared" ca="1" si="912"/>
        <v>1</v>
      </c>
      <c r="M1810" s="15"/>
      <c r="N1810" s="15">
        <f t="shared" ca="1" si="911"/>
        <v>0</v>
      </c>
    </row>
    <row r="1811" spans="1:14" x14ac:dyDescent="0.4">
      <c r="A1811" s="11" t="s">
        <v>7</v>
      </c>
      <c r="B1811" s="40">
        <f t="shared" ca="1" si="917"/>
        <v>0</v>
      </c>
      <c r="C1811" s="40"/>
      <c r="D1811" s="40"/>
      <c r="E1811" s="40"/>
      <c r="F1811" s="13">
        <f t="shared" ca="1" si="917"/>
        <v>0</v>
      </c>
      <c r="G1811" s="17">
        <f t="shared" ca="1" si="917"/>
        <v>0</v>
      </c>
      <c r="H1811" s="17">
        <f t="shared" ca="1" si="917"/>
        <v>0</v>
      </c>
      <c r="I1811" s="13">
        <f t="shared" ca="1" si="917"/>
        <v>0</v>
      </c>
      <c r="J1811" s="16"/>
      <c r="K1811" s="13">
        <f t="shared" ca="1" si="918"/>
        <v>0</v>
      </c>
      <c r="L1811" s="15">
        <f t="shared" ca="1" si="912"/>
        <v>1</v>
      </c>
      <c r="M1811" s="15"/>
      <c r="N1811" s="15">
        <f t="shared" ca="1" si="911"/>
        <v>0</v>
      </c>
    </row>
    <row r="1812" spans="1:14" x14ac:dyDescent="0.4">
      <c r="A1812" s="11" t="s">
        <v>7</v>
      </c>
      <c r="B1812" s="40">
        <f t="shared" ca="1" si="917"/>
        <v>0</v>
      </c>
      <c r="C1812" s="40"/>
      <c r="D1812" s="40"/>
      <c r="E1812" s="40"/>
      <c r="F1812" s="13">
        <f t="shared" ca="1" si="917"/>
        <v>0</v>
      </c>
      <c r="G1812" s="17">
        <f t="shared" ca="1" si="917"/>
        <v>0</v>
      </c>
      <c r="H1812" s="17">
        <f t="shared" ca="1" si="917"/>
        <v>0</v>
      </c>
      <c r="I1812" s="13">
        <f t="shared" ca="1" si="917"/>
        <v>0</v>
      </c>
      <c r="J1812" s="16"/>
      <c r="K1812" s="13">
        <f t="shared" ca="1" si="918"/>
        <v>0</v>
      </c>
      <c r="L1812" s="15">
        <f t="shared" ca="1" si="912"/>
        <v>1</v>
      </c>
      <c r="M1812" s="15"/>
      <c r="N1812" s="15">
        <f t="shared" ca="1" si="911"/>
        <v>0</v>
      </c>
    </row>
    <row r="1813" spans="1:14" x14ac:dyDescent="0.4">
      <c r="A1813" s="11" t="s">
        <v>8</v>
      </c>
      <c r="B1813" s="40">
        <f t="shared" ref="B1813:I1815" ca="1" si="919">OFFSET(B1813,-12,0)</f>
        <v>0</v>
      </c>
      <c r="C1813" s="40"/>
      <c r="D1813" s="40"/>
      <c r="E1813" s="40"/>
      <c r="F1813" s="13">
        <f t="shared" ca="1" si="919"/>
        <v>0</v>
      </c>
      <c r="G1813" s="17">
        <f t="shared" ca="1" si="919"/>
        <v>0</v>
      </c>
      <c r="H1813" s="17">
        <f t="shared" ca="1" si="919"/>
        <v>0</v>
      </c>
      <c r="I1813" s="13">
        <f t="shared" ca="1" si="919"/>
        <v>0</v>
      </c>
      <c r="J1813" s="16"/>
      <c r="K1813" s="13">
        <f t="shared" ref="K1813:K1815" ca="1" si="920">OFFSET(K1813,-12,0)</f>
        <v>0</v>
      </c>
      <c r="L1813" s="15">
        <f t="shared" ca="1" si="912"/>
        <v>1</v>
      </c>
      <c r="M1813" s="15"/>
      <c r="N1813" s="15">
        <f t="shared" ca="1" si="911"/>
        <v>0</v>
      </c>
    </row>
    <row r="1814" spans="1:14" x14ac:dyDescent="0.4">
      <c r="A1814" s="11" t="s">
        <v>8</v>
      </c>
      <c r="B1814" s="40">
        <f t="shared" ca="1" si="919"/>
        <v>0</v>
      </c>
      <c r="C1814" s="40"/>
      <c r="D1814" s="40"/>
      <c r="E1814" s="40"/>
      <c r="F1814" s="13">
        <f t="shared" ca="1" si="919"/>
        <v>0</v>
      </c>
      <c r="G1814" s="17">
        <f t="shared" ca="1" si="919"/>
        <v>0</v>
      </c>
      <c r="H1814" s="17">
        <f t="shared" ca="1" si="919"/>
        <v>0</v>
      </c>
      <c r="I1814" s="13">
        <f t="shared" ca="1" si="919"/>
        <v>0</v>
      </c>
      <c r="J1814" s="16"/>
      <c r="K1814" s="13">
        <f t="shared" ca="1" si="920"/>
        <v>0</v>
      </c>
      <c r="L1814" s="15">
        <f t="shared" ca="1" si="912"/>
        <v>1</v>
      </c>
      <c r="M1814" s="15"/>
      <c r="N1814" s="15">
        <f t="shared" ca="1" si="911"/>
        <v>0</v>
      </c>
    </row>
    <row r="1815" spans="1:14" x14ac:dyDescent="0.4">
      <c r="A1815" s="11" t="s">
        <v>8</v>
      </c>
      <c r="B1815" s="40">
        <f t="shared" ca="1" si="919"/>
        <v>0</v>
      </c>
      <c r="C1815" s="40"/>
      <c r="D1815" s="40"/>
      <c r="E1815" s="40"/>
      <c r="F1815" s="13">
        <f t="shared" ca="1" si="919"/>
        <v>0</v>
      </c>
      <c r="G1815" s="17">
        <f t="shared" ca="1" si="919"/>
        <v>0</v>
      </c>
      <c r="H1815" s="17">
        <f t="shared" ca="1" si="919"/>
        <v>0</v>
      </c>
      <c r="I1815" s="13">
        <f t="shared" ca="1" si="919"/>
        <v>0</v>
      </c>
      <c r="J1815" s="16"/>
      <c r="K1815" s="13">
        <f t="shared" ca="1" si="920"/>
        <v>0</v>
      </c>
      <c r="L1815" s="15">
        <f t="shared" ca="1" si="912"/>
        <v>1</v>
      </c>
      <c r="M1815" s="15"/>
      <c r="N1815" s="15">
        <f t="shared" ca="1" si="911"/>
        <v>0</v>
      </c>
    </row>
    <row r="1816" spans="1:14" x14ac:dyDescent="0.4">
      <c r="A1816" s="11" t="s">
        <v>9</v>
      </c>
      <c r="B1816" s="41">
        <f t="shared" ref="B1816:H1818" ca="1" si="921">OFFSET(B1816,-15,0)</f>
        <v>0</v>
      </c>
      <c r="C1816" s="41"/>
      <c r="D1816" s="41"/>
      <c r="E1816" s="41"/>
      <c r="F1816" s="19">
        <f t="shared" ca="1" si="921"/>
        <v>0</v>
      </c>
      <c r="G1816" s="20">
        <f t="shared" ca="1" si="921"/>
        <v>0</v>
      </c>
      <c r="H1816" s="20">
        <f ca="1">OFFSET(H1816,-15,0)</f>
        <v>0</v>
      </c>
      <c r="I1816" s="13">
        <f t="shared" ref="I1816:I1818" ca="1" si="922">OFFSET(I1816,-15,0)</f>
        <v>0</v>
      </c>
      <c r="J1816" s="16"/>
      <c r="K1816" s="19">
        <f t="shared" ref="K1816:K1818" ca="1" si="923">OFFSET(K1816,-15,0)</f>
        <v>0</v>
      </c>
      <c r="L1816" s="15">
        <f t="shared" ca="1" si="912"/>
        <v>1</v>
      </c>
      <c r="M1816" s="15"/>
      <c r="N1816" s="15">
        <f t="shared" ca="1" si="911"/>
        <v>0</v>
      </c>
    </row>
    <row r="1817" spans="1:14" x14ac:dyDescent="0.4">
      <c r="A1817" s="11" t="s">
        <v>9</v>
      </c>
      <c r="B1817" s="41">
        <f t="shared" ca="1" si="921"/>
        <v>0</v>
      </c>
      <c r="C1817" s="41"/>
      <c r="D1817" s="41"/>
      <c r="E1817" s="41"/>
      <c r="F1817" s="19">
        <f t="shared" ca="1" si="921"/>
        <v>0</v>
      </c>
      <c r="G1817" s="20">
        <f t="shared" ca="1" si="921"/>
        <v>0</v>
      </c>
      <c r="H1817" s="20">
        <f t="shared" ca="1" si="921"/>
        <v>0</v>
      </c>
      <c r="I1817" s="13">
        <f t="shared" ca="1" si="922"/>
        <v>0</v>
      </c>
      <c r="J1817" s="16"/>
      <c r="K1817" s="19">
        <f t="shared" ca="1" si="923"/>
        <v>0</v>
      </c>
      <c r="L1817" s="15">
        <f t="shared" ca="1" si="912"/>
        <v>1</v>
      </c>
      <c r="M1817" s="15"/>
      <c r="N1817" s="15">
        <f t="shared" ca="1" si="911"/>
        <v>0</v>
      </c>
    </row>
    <row r="1818" spans="1:14" x14ac:dyDescent="0.4">
      <c r="A1818" s="11" t="s">
        <v>9</v>
      </c>
      <c r="B1818" s="41">
        <f t="shared" ca="1" si="921"/>
        <v>0</v>
      </c>
      <c r="C1818" s="41"/>
      <c r="D1818" s="41"/>
      <c r="E1818" s="41"/>
      <c r="F1818" s="19">
        <f t="shared" ca="1" si="921"/>
        <v>0</v>
      </c>
      <c r="G1818" s="20">
        <f t="shared" ca="1" si="921"/>
        <v>0</v>
      </c>
      <c r="H1818" s="20">
        <f t="shared" ca="1" si="921"/>
        <v>0</v>
      </c>
      <c r="I1818" s="13">
        <f t="shared" ca="1" si="922"/>
        <v>0</v>
      </c>
      <c r="J1818" s="16"/>
      <c r="K1818" s="19">
        <f t="shared" ca="1" si="923"/>
        <v>0</v>
      </c>
      <c r="L1818" s="15">
        <f t="shared" ca="1" si="912"/>
        <v>1</v>
      </c>
      <c r="M1818" s="15"/>
      <c r="N1818" s="15">
        <f t="shared" ca="1" si="911"/>
        <v>0</v>
      </c>
    </row>
    <row r="1819" spans="1:14" ht="17.399999999999999" x14ac:dyDescent="0.4">
      <c r="A1819" s="74" t="s">
        <v>25</v>
      </c>
      <c r="B1819" s="75"/>
      <c r="C1819" s="75"/>
      <c r="D1819" s="75"/>
      <c r="E1819" s="75"/>
      <c r="F1819" s="75"/>
      <c r="G1819" s="75"/>
      <c r="H1819" s="75"/>
      <c r="I1819" s="75"/>
      <c r="J1819" s="75"/>
      <c r="K1819" s="75"/>
      <c r="L1819" s="75"/>
      <c r="M1819" s="75"/>
      <c r="N1819" s="76"/>
    </row>
    <row r="1820" spans="1:14" x14ac:dyDescent="0.4">
      <c r="A1820" s="11" t="s">
        <v>5</v>
      </c>
      <c r="B1820" s="40"/>
      <c r="C1820" s="40"/>
      <c r="D1820" s="40"/>
      <c r="E1820" s="40"/>
      <c r="F1820" s="13"/>
      <c r="G1820" s="11"/>
      <c r="H1820" s="17"/>
      <c r="I1820" s="13"/>
      <c r="J1820" s="16"/>
      <c r="K1820" s="13"/>
      <c r="L1820" s="15">
        <f>ROUND((10^(K1820/10))/(10^(I1820/10)),3)</f>
        <v>1</v>
      </c>
      <c r="M1820" s="15"/>
      <c r="N1820" s="15">
        <f t="shared" ref="N1820:N1837" si="924">J1820*L1820</f>
        <v>0</v>
      </c>
    </row>
    <row r="1821" spans="1:14" x14ac:dyDescent="0.4">
      <c r="A1821" s="11" t="s">
        <v>5</v>
      </c>
      <c r="B1821" s="40"/>
      <c r="C1821" s="40"/>
      <c r="D1821" s="40"/>
      <c r="E1821" s="40"/>
      <c r="F1821" s="13"/>
      <c r="G1821" s="11"/>
      <c r="H1821" s="17"/>
      <c r="I1821" s="13"/>
      <c r="J1821" s="16"/>
      <c r="K1821" s="13"/>
      <c r="L1821" s="15">
        <f t="shared" ref="L1821:L1837" si="925">ROUND((10^(K1821/10))/(10^(I1821/10)),3)</f>
        <v>1</v>
      </c>
      <c r="M1821" s="15"/>
      <c r="N1821" s="15">
        <f t="shared" si="924"/>
        <v>0</v>
      </c>
    </row>
    <row r="1822" spans="1:14" x14ac:dyDescent="0.4">
      <c r="A1822" s="11" t="s">
        <v>5</v>
      </c>
      <c r="B1822" s="40"/>
      <c r="C1822" s="40"/>
      <c r="D1822" s="40"/>
      <c r="E1822" s="40"/>
      <c r="F1822" s="13"/>
      <c r="G1822" s="11"/>
      <c r="H1822" s="17"/>
      <c r="I1822" s="13"/>
      <c r="J1822" s="16"/>
      <c r="K1822" s="13"/>
      <c r="L1822" s="15">
        <f t="shared" si="925"/>
        <v>1</v>
      </c>
      <c r="M1822" s="15"/>
      <c r="N1822" s="15">
        <f t="shared" si="924"/>
        <v>0</v>
      </c>
    </row>
    <row r="1823" spans="1:14" x14ac:dyDescent="0.4">
      <c r="A1823" s="11" t="s">
        <v>6</v>
      </c>
      <c r="B1823" s="41">
        <f t="shared" ref="B1823:I1825" ca="1" si="926">OFFSET(B1823,-3,0)</f>
        <v>0</v>
      </c>
      <c r="C1823" s="41"/>
      <c r="D1823" s="41"/>
      <c r="E1823" s="41"/>
      <c r="F1823" s="19">
        <f t="shared" ca="1" si="926"/>
        <v>0</v>
      </c>
      <c r="G1823" s="20">
        <f t="shared" ca="1" si="926"/>
        <v>0</v>
      </c>
      <c r="H1823" s="20">
        <f t="shared" ca="1" si="926"/>
        <v>0</v>
      </c>
      <c r="I1823" s="13">
        <f t="shared" ca="1" si="926"/>
        <v>0</v>
      </c>
      <c r="J1823" s="16"/>
      <c r="K1823" s="19">
        <f t="shared" ref="K1823:K1825" ca="1" si="927">OFFSET(K1823,-3,0)</f>
        <v>0</v>
      </c>
      <c r="L1823" s="15">
        <f t="shared" ca="1" si="925"/>
        <v>1</v>
      </c>
      <c r="M1823" s="15"/>
      <c r="N1823" s="15">
        <f t="shared" ca="1" si="924"/>
        <v>0</v>
      </c>
    </row>
    <row r="1824" spans="1:14" x14ac:dyDescent="0.4">
      <c r="A1824" s="11" t="s">
        <v>6</v>
      </c>
      <c r="B1824" s="41">
        <f t="shared" ca="1" si="926"/>
        <v>0</v>
      </c>
      <c r="C1824" s="41"/>
      <c r="D1824" s="41"/>
      <c r="E1824" s="41"/>
      <c r="F1824" s="19">
        <f t="shared" ca="1" si="926"/>
        <v>0</v>
      </c>
      <c r="G1824" s="20">
        <f t="shared" ca="1" si="926"/>
        <v>0</v>
      </c>
      <c r="H1824" s="20">
        <f t="shared" ca="1" si="926"/>
        <v>0</v>
      </c>
      <c r="I1824" s="13">
        <f t="shared" ca="1" si="926"/>
        <v>0</v>
      </c>
      <c r="J1824" s="16"/>
      <c r="K1824" s="19">
        <f t="shared" ca="1" si="927"/>
        <v>0</v>
      </c>
      <c r="L1824" s="15">
        <f t="shared" ca="1" si="925"/>
        <v>1</v>
      </c>
      <c r="M1824" s="15"/>
      <c r="N1824" s="15">
        <f t="shared" ca="1" si="924"/>
        <v>0</v>
      </c>
    </row>
    <row r="1825" spans="1:14" x14ac:dyDescent="0.4">
      <c r="A1825" s="11" t="s">
        <v>6</v>
      </c>
      <c r="B1825" s="41">
        <f t="shared" ca="1" si="926"/>
        <v>0</v>
      </c>
      <c r="C1825" s="41"/>
      <c r="D1825" s="41"/>
      <c r="E1825" s="41"/>
      <c r="F1825" s="19">
        <f t="shared" ca="1" si="926"/>
        <v>0</v>
      </c>
      <c r="G1825" s="20">
        <f t="shared" ca="1" si="926"/>
        <v>0</v>
      </c>
      <c r="H1825" s="20">
        <f t="shared" ca="1" si="926"/>
        <v>0</v>
      </c>
      <c r="I1825" s="13">
        <f t="shared" ca="1" si="926"/>
        <v>0</v>
      </c>
      <c r="J1825" s="16"/>
      <c r="K1825" s="19">
        <f t="shared" ca="1" si="927"/>
        <v>0</v>
      </c>
      <c r="L1825" s="15">
        <f t="shared" ca="1" si="925"/>
        <v>1</v>
      </c>
      <c r="M1825" s="15"/>
      <c r="N1825" s="15">
        <f t="shared" ca="1" si="924"/>
        <v>0</v>
      </c>
    </row>
    <row r="1826" spans="1:14" x14ac:dyDescent="0.4">
      <c r="A1826" s="11" t="s">
        <v>10</v>
      </c>
      <c r="B1826" s="40">
        <f t="shared" ref="B1826:I1828" ca="1" si="928">OFFSET(B1826,-6,0)</f>
        <v>0</v>
      </c>
      <c r="C1826" s="40"/>
      <c r="D1826" s="40"/>
      <c r="E1826" s="40"/>
      <c r="F1826" s="13">
        <f t="shared" ca="1" si="928"/>
        <v>0</v>
      </c>
      <c r="G1826" s="17">
        <f t="shared" ca="1" si="928"/>
        <v>0</v>
      </c>
      <c r="H1826" s="17">
        <f t="shared" ca="1" si="928"/>
        <v>0</v>
      </c>
      <c r="I1826" s="13">
        <f t="shared" ca="1" si="928"/>
        <v>0</v>
      </c>
      <c r="J1826" s="16"/>
      <c r="K1826" s="13">
        <f t="shared" ref="K1826:K1828" ca="1" si="929">OFFSET(K1826,-6,0)</f>
        <v>0</v>
      </c>
      <c r="L1826" s="15">
        <f t="shared" ca="1" si="925"/>
        <v>1</v>
      </c>
      <c r="M1826" s="15"/>
      <c r="N1826" s="15">
        <f t="shared" ca="1" si="924"/>
        <v>0</v>
      </c>
    </row>
    <row r="1827" spans="1:14" x14ac:dyDescent="0.4">
      <c r="A1827" s="11" t="s">
        <v>10</v>
      </c>
      <c r="B1827" s="40">
        <f t="shared" ca="1" si="928"/>
        <v>0</v>
      </c>
      <c r="C1827" s="40"/>
      <c r="D1827" s="40"/>
      <c r="E1827" s="40"/>
      <c r="F1827" s="13">
        <f t="shared" ca="1" si="928"/>
        <v>0</v>
      </c>
      <c r="G1827" s="17">
        <f t="shared" ca="1" si="928"/>
        <v>0</v>
      </c>
      <c r="H1827" s="17">
        <f t="shared" ca="1" si="928"/>
        <v>0</v>
      </c>
      <c r="I1827" s="13">
        <f t="shared" ca="1" si="928"/>
        <v>0</v>
      </c>
      <c r="J1827" s="16"/>
      <c r="K1827" s="13">
        <f t="shared" ca="1" si="929"/>
        <v>0</v>
      </c>
      <c r="L1827" s="15">
        <f t="shared" ca="1" si="925"/>
        <v>1</v>
      </c>
      <c r="M1827" s="15"/>
      <c r="N1827" s="15">
        <f t="shared" ca="1" si="924"/>
        <v>0</v>
      </c>
    </row>
    <row r="1828" spans="1:14" x14ac:dyDescent="0.4">
      <c r="A1828" s="11" t="s">
        <v>10</v>
      </c>
      <c r="B1828" s="40">
        <f t="shared" ca="1" si="928"/>
        <v>0</v>
      </c>
      <c r="C1828" s="40"/>
      <c r="D1828" s="40"/>
      <c r="E1828" s="40"/>
      <c r="F1828" s="13">
        <f t="shared" ca="1" si="928"/>
        <v>0</v>
      </c>
      <c r="G1828" s="17">
        <f t="shared" ca="1" si="928"/>
        <v>0</v>
      </c>
      <c r="H1828" s="17">
        <f t="shared" ca="1" si="928"/>
        <v>0</v>
      </c>
      <c r="I1828" s="13">
        <f t="shared" ca="1" si="928"/>
        <v>0</v>
      </c>
      <c r="J1828" s="16"/>
      <c r="K1828" s="13">
        <f t="shared" ca="1" si="929"/>
        <v>0</v>
      </c>
      <c r="L1828" s="15">
        <f t="shared" ca="1" si="925"/>
        <v>1</v>
      </c>
      <c r="M1828" s="15"/>
      <c r="N1828" s="15">
        <f t="shared" ca="1" si="924"/>
        <v>0</v>
      </c>
    </row>
    <row r="1829" spans="1:14" x14ac:dyDescent="0.4">
      <c r="A1829" s="11" t="s">
        <v>7</v>
      </c>
      <c r="B1829" s="40">
        <f t="shared" ref="B1829:I1831" ca="1" si="930">OFFSET(B1829,-9,0)</f>
        <v>0</v>
      </c>
      <c r="C1829" s="40"/>
      <c r="D1829" s="40"/>
      <c r="E1829" s="40"/>
      <c r="F1829" s="13">
        <f t="shared" ca="1" si="930"/>
        <v>0</v>
      </c>
      <c r="G1829" s="17">
        <f t="shared" ca="1" si="930"/>
        <v>0</v>
      </c>
      <c r="H1829" s="17">
        <f t="shared" ca="1" si="930"/>
        <v>0</v>
      </c>
      <c r="I1829" s="13">
        <f t="shared" ca="1" si="930"/>
        <v>0</v>
      </c>
      <c r="J1829" s="16"/>
      <c r="K1829" s="13">
        <f t="shared" ref="K1829:K1831" ca="1" si="931">OFFSET(K1829,-9,0)</f>
        <v>0</v>
      </c>
      <c r="L1829" s="15">
        <f t="shared" ca="1" si="925"/>
        <v>1</v>
      </c>
      <c r="M1829" s="15"/>
      <c r="N1829" s="15">
        <f t="shared" ca="1" si="924"/>
        <v>0</v>
      </c>
    </row>
    <row r="1830" spans="1:14" x14ac:dyDescent="0.4">
      <c r="A1830" s="11" t="s">
        <v>7</v>
      </c>
      <c r="B1830" s="40">
        <f t="shared" ca="1" si="930"/>
        <v>0</v>
      </c>
      <c r="C1830" s="40"/>
      <c r="D1830" s="40"/>
      <c r="E1830" s="40"/>
      <c r="F1830" s="13">
        <f t="shared" ca="1" si="930"/>
        <v>0</v>
      </c>
      <c r="G1830" s="17">
        <f t="shared" ca="1" si="930"/>
        <v>0</v>
      </c>
      <c r="H1830" s="17">
        <f t="shared" ca="1" si="930"/>
        <v>0</v>
      </c>
      <c r="I1830" s="13">
        <f t="shared" ca="1" si="930"/>
        <v>0</v>
      </c>
      <c r="J1830" s="16"/>
      <c r="K1830" s="13">
        <f t="shared" ca="1" si="931"/>
        <v>0</v>
      </c>
      <c r="L1830" s="15">
        <f t="shared" ca="1" si="925"/>
        <v>1</v>
      </c>
      <c r="M1830" s="15"/>
      <c r="N1830" s="15">
        <f t="shared" ca="1" si="924"/>
        <v>0</v>
      </c>
    </row>
    <row r="1831" spans="1:14" x14ac:dyDescent="0.4">
      <c r="A1831" s="11" t="s">
        <v>7</v>
      </c>
      <c r="B1831" s="40">
        <f t="shared" ca="1" si="930"/>
        <v>0</v>
      </c>
      <c r="C1831" s="40"/>
      <c r="D1831" s="40"/>
      <c r="E1831" s="40"/>
      <c r="F1831" s="13">
        <f t="shared" ca="1" si="930"/>
        <v>0</v>
      </c>
      <c r="G1831" s="17">
        <f t="shared" ca="1" si="930"/>
        <v>0</v>
      </c>
      <c r="H1831" s="17">
        <f t="shared" ca="1" si="930"/>
        <v>0</v>
      </c>
      <c r="I1831" s="13">
        <f t="shared" ca="1" si="930"/>
        <v>0</v>
      </c>
      <c r="J1831" s="16"/>
      <c r="K1831" s="13">
        <f t="shared" ca="1" si="931"/>
        <v>0</v>
      </c>
      <c r="L1831" s="15">
        <f t="shared" ca="1" si="925"/>
        <v>1</v>
      </c>
      <c r="M1831" s="15"/>
      <c r="N1831" s="15">
        <f t="shared" ca="1" si="924"/>
        <v>0</v>
      </c>
    </row>
    <row r="1832" spans="1:14" x14ac:dyDescent="0.4">
      <c r="A1832" s="11" t="s">
        <v>8</v>
      </c>
      <c r="B1832" s="40">
        <f t="shared" ref="B1832:I1834" ca="1" si="932">OFFSET(B1832,-12,0)</f>
        <v>0</v>
      </c>
      <c r="C1832" s="40"/>
      <c r="D1832" s="40"/>
      <c r="E1832" s="40"/>
      <c r="F1832" s="13">
        <f t="shared" ca="1" si="932"/>
        <v>0</v>
      </c>
      <c r="G1832" s="17">
        <f t="shared" ca="1" si="932"/>
        <v>0</v>
      </c>
      <c r="H1832" s="17">
        <f t="shared" ca="1" si="932"/>
        <v>0</v>
      </c>
      <c r="I1832" s="13">
        <f t="shared" ca="1" si="932"/>
        <v>0</v>
      </c>
      <c r="J1832" s="16"/>
      <c r="K1832" s="13">
        <f t="shared" ref="K1832:K1834" ca="1" si="933">OFFSET(K1832,-12,0)</f>
        <v>0</v>
      </c>
      <c r="L1832" s="15">
        <f t="shared" ca="1" si="925"/>
        <v>1</v>
      </c>
      <c r="M1832" s="15"/>
      <c r="N1832" s="15">
        <f t="shared" ca="1" si="924"/>
        <v>0</v>
      </c>
    </row>
    <row r="1833" spans="1:14" x14ac:dyDescent="0.4">
      <c r="A1833" s="11" t="s">
        <v>8</v>
      </c>
      <c r="B1833" s="40">
        <f t="shared" ca="1" si="932"/>
        <v>0</v>
      </c>
      <c r="C1833" s="40"/>
      <c r="D1833" s="40"/>
      <c r="E1833" s="40"/>
      <c r="F1833" s="13">
        <f t="shared" ca="1" si="932"/>
        <v>0</v>
      </c>
      <c r="G1833" s="17">
        <f t="shared" ca="1" si="932"/>
        <v>0</v>
      </c>
      <c r="H1833" s="17">
        <f t="shared" ca="1" si="932"/>
        <v>0</v>
      </c>
      <c r="I1833" s="13">
        <f t="shared" ca="1" si="932"/>
        <v>0</v>
      </c>
      <c r="J1833" s="16"/>
      <c r="K1833" s="13">
        <f t="shared" ca="1" si="933"/>
        <v>0</v>
      </c>
      <c r="L1833" s="15">
        <f t="shared" ca="1" si="925"/>
        <v>1</v>
      </c>
      <c r="M1833" s="15"/>
      <c r="N1833" s="15">
        <f t="shared" ca="1" si="924"/>
        <v>0</v>
      </c>
    </row>
    <row r="1834" spans="1:14" x14ac:dyDescent="0.4">
      <c r="A1834" s="11" t="s">
        <v>8</v>
      </c>
      <c r="B1834" s="40">
        <f t="shared" ca="1" si="932"/>
        <v>0</v>
      </c>
      <c r="C1834" s="40"/>
      <c r="D1834" s="40"/>
      <c r="E1834" s="40"/>
      <c r="F1834" s="13">
        <f t="shared" ca="1" si="932"/>
        <v>0</v>
      </c>
      <c r="G1834" s="17">
        <f t="shared" ca="1" si="932"/>
        <v>0</v>
      </c>
      <c r="H1834" s="17">
        <f t="shared" ca="1" si="932"/>
        <v>0</v>
      </c>
      <c r="I1834" s="13">
        <f t="shared" ca="1" si="932"/>
        <v>0</v>
      </c>
      <c r="J1834" s="16"/>
      <c r="K1834" s="13">
        <f t="shared" ca="1" si="933"/>
        <v>0</v>
      </c>
      <c r="L1834" s="15">
        <f t="shared" ca="1" si="925"/>
        <v>1</v>
      </c>
      <c r="M1834" s="15"/>
      <c r="N1834" s="15">
        <f t="shared" ca="1" si="924"/>
        <v>0</v>
      </c>
    </row>
    <row r="1835" spans="1:14" x14ac:dyDescent="0.4">
      <c r="A1835" s="11" t="s">
        <v>9</v>
      </c>
      <c r="B1835" s="41">
        <f t="shared" ref="B1835:I1837" ca="1" si="934">OFFSET(B1835,-15,0)</f>
        <v>0</v>
      </c>
      <c r="C1835" s="41"/>
      <c r="D1835" s="41"/>
      <c r="E1835" s="41"/>
      <c r="F1835" s="19">
        <f t="shared" ca="1" si="934"/>
        <v>0</v>
      </c>
      <c r="G1835" s="20">
        <f t="shared" ca="1" si="934"/>
        <v>0</v>
      </c>
      <c r="H1835" s="20">
        <f t="shared" ca="1" si="934"/>
        <v>0</v>
      </c>
      <c r="I1835" s="13">
        <f t="shared" ca="1" si="934"/>
        <v>0</v>
      </c>
      <c r="J1835" s="16"/>
      <c r="K1835" s="19">
        <f t="shared" ref="K1835:K1837" ca="1" si="935">OFFSET(K1835,-15,0)</f>
        <v>0</v>
      </c>
      <c r="L1835" s="15">
        <f t="shared" ca="1" si="925"/>
        <v>1</v>
      </c>
      <c r="M1835" s="15"/>
      <c r="N1835" s="15">
        <f t="shared" ca="1" si="924"/>
        <v>0</v>
      </c>
    </row>
    <row r="1836" spans="1:14" x14ac:dyDescent="0.4">
      <c r="A1836" s="11" t="s">
        <v>9</v>
      </c>
      <c r="B1836" s="41">
        <f t="shared" ca="1" si="934"/>
        <v>0</v>
      </c>
      <c r="C1836" s="41"/>
      <c r="D1836" s="41"/>
      <c r="E1836" s="41"/>
      <c r="F1836" s="19">
        <f t="shared" ca="1" si="934"/>
        <v>0</v>
      </c>
      <c r="G1836" s="20">
        <f t="shared" ca="1" si="934"/>
        <v>0</v>
      </c>
      <c r="H1836" s="20">
        <f t="shared" ca="1" si="934"/>
        <v>0</v>
      </c>
      <c r="I1836" s="13">
        <f t="shared" ca="1" si="934"/>
        <v>0</v>
      </c>
      <c r="J1836" s="16"/>
      <c r="K1836" s="19">
        <f t="shared" ca="1" si="935"/>
        <v>0</v>
      </c>
      <c r="L1836" s="15">
        <f t="shared" ca="1" si="925"/>
        <v>1</v>
      </c>
      <c r="M1836" s="15"/>
      <c r="N1836" s="15">
        <f t="shared" ca="1" si="924"/>
        <v>0</v>
      </c>
    </row>
    <row r="1837" spans="1:14" x14ac:dyDescent="0.4">
      <c r="A1837" s="11" t="s">
        <v>9</v>
      </c>
      <c r="B1837" s="41">
        <f t="shared" ca="1" si="934"/>
        <v>0</v>
      </c>
      <c r="C1837" s="41"/>
      <c r="D1837" s="41"/>
      <c r="E1837" s="41"/>
      <c r="F1837" s="19">
        <f t="shared" ca="1" si="934"/>
        <v>0</v>
      </c>
      <c r="G1837" s="20">
        <f t="shared" ca="1" si="934"/>
        <v>0</v>
      </c>
      <c r="H1837" s="20">
        <f t="shared" ca="1" si="934"/>
        <v>0</v>
      </c>
      <c r="I1837" s="13">
        <f t="shared" ca="1" si="934"/>
        <v>0</v>
      </c>
      <c r="J1837" s="16"/>
      <c r="K1837" s="19">
        <f t="shared" ca="1" si="935"/>
        <v>0</v>
      </c>
      <c r="L1837" s="15">
        <f t="shared" ca="1" si="925"/>
        <v>1</v>
      </c>
      <c r="M1837" s="15"/>
      <c r="N1837" s="15">
        <f t="shared" ca="1" si="924"/>
        <v>0</v>
      </c>
    </row>
    <row r="1838" spans="1:14" ht="17.399999999999999" x14ac:dyDescent="0.4">
      <c r="A1838" s="74" t="s">
        <v>29</v>
      </c>
      <c r="B1838" s="75"/>
      <c r="C1838" s="75"/>
      <c r="D1838" s="75"/>
      <c r="E1838" s="75"/>
      <c r="F1838" s="75"/>
      <c r="G1838" s="75"/>
      <c r="H1838" s="75"/>
      <c r="I1838" s="75"/>
      <c r="J1838" s="75"/>
      <c r="K1838" s="75"/>
      <c r="L1838" s="75"/>
      <c r="M1838" s="75"/>
      <c r="N1838" s="76"/>
    </row>
    <row r="1839" spans="1:14" x14ac:dyDescent="0.4">
      <c r="A1839" s="11" t="s">
        <v>5</v>
      </c>
      <c r="B1839" s="40"/>
      <c r="C1839" s="40"/>
      <c r="D1839" s="40"/>
      <c r="E1839" s="40"/>
      <c r="F1839" s="13"/>
      <c r="G1839" s="11"/>
      <c r="H1839" s="17"/>
      <c r="I1839" s="13"/>
      <c r="J1839" s="16"/>
      <c r="K1839" s="13"/>
      <c r="L1839" s="15">
        <f>ROUND((10^(K1839/10))/(10^(I1839/10)),3)</f>
        <v>1</v>
      </c>
      <c r="M1839" s="15"/>
      <c r="N1839" s="15">
        <f t="shared" ref="N1839:N1856" si="936">J1839*L1839</f>
        <v>0</v>
      </c>
    </row>
    <row r="1840" spans="1:14" x14ac:dyDescent="0.4">
      <c r="A1840" s="11" t="s">
        <v>5</v>
      </c>
      <c r="B1840" s="40"/>
      <c r="C1840" s="40"/>
      <c r="D1840" s="40"/>
      <c r="E1840" s="40"/>
      <c r="F1840" s="13"/>
      <c r="G1840" s="11"/>
      <c r="H1840" s="17"/>
      <c r="I1840" s="13"/>
      <c r="J1840" s="16"/>
      <c r="K1840" s="13"/>
      <c r="L1840" s="15">
        <f t="shared" ref="L1840:L1856" si="937">ROUND((10^(K1840/10))/(10^(I1840/10)),3)</f>
        <v>1</v>
      </c>
      <c r="M1840" s="15"/>
      <c r="N1840" s="15">
        <f t="shared" si="936"/>
        <v>0</v>
      </c>
    </row>
    <row r="1841" spans="1:14" x14ac:dyDescent="0.4">
      <c r="A1841" s="11" t="s">
        <v>5</v>
      </c>
      <c r="B1841" s="40"/>
      <c r="C1841" s="40"/>
      <c r="D1841" s="40"/>
      <c r="E1841" s="40"/>
      <c r="F1841" s="13"/>
      <c r="G1841" s="11"/>
      <c r="H1841" s="17"/>
      <c r="I1841" s="13"/>
      <c r="J1841" s="16"/>
      <c r="K1841" s="13"/>
      <c r="L1841" s="15">
        <f t="shared" si="937"/>
        <v>1</v>
      </c>
      <c r="M1841" s="15"/>
      <c r="N1841" s="15">
        <f t="shared" si="936"/>
        <v>0</v>
      </c>
    </row>
    <row r="1842" spans="1:14" x14ac:dyDescent="0.4">
      <c r="A1842" s="11" t="s">
        <v>6</v>
      </c>
      <c r="B1842" s="41">
        <f t="shared" ref="B1842:I1844" ca="1" si="938">OFFSET(B1842,-3,0)</f>
        <v>0</v>
      </c>
      <c r="C1842" s="41"/>
      <c r="D1842" s="41"/>
      <c r="E1842" s="41"/>
      <c r="F1842" s="19">
        <f t="shared" ca="1" si="938"/>
        <v>0</v>
      </c>
      <c r="G1842" s="20">
        <f t="shared" ca="1" si="938"/>
        <v>0</v>
      </c>
      <c r="H1842" s="20">
        <f t="shared" ca="1" si="938"/>
        <v>0</v>
      </c>
      <c r="I1842" s="13">
        <f t="shared" ca="1" si="938"/>
        <v>0</v>
      </c>
      <c r="J1842" s="16"/>
      <c r="K1842" s="19">
        <f t="shared" ref="K1842:K1844" ca="1" si="939">OFFSET(K1842,-3,0)</f>
        <v>0</v>
      </c>
      <c r="L1842" s="15">
        <f t="shared" ca="1" si="937"/>
        <v>1</v>
      </c>
      <c r="M1842" s="15"/>
      <c r="N1842" s="15">
        <f t="shared" ca="1" si="936"/>
        <v>0</v>
      </c>
    </row>
    <row r="1843" spans="1:14" x14ac:dyDescent="0.4">
      <c r="A1843" s="11" t="s">
        <v>6</v>
      </c>
      <c r="B1843" s="41">
        <f t="shared" ca="1" si="938"/>
        <v>0</v>
      </c>
      <c r="C1843" s="41"/>
      <c r="D1843" s="41"/>
      <c r="E1843" s="41"/>
      <c r="F1843" s="19">
        <f t="shared" ca="1" si="938"/>
        <v>0</v>
      </c>
      <c r="G1843" s="20">
        <f t="shared" ca="1" si="938"/>
        <v>0</v>
      </c>
      <c r="H1843" s="20">
        <f t="shared" ca="1" si="938"/>
        <v>0</v>
      </c>
      <c r="I1843" s="13">
        <f t="shared" ca="1" si="938"/>
        <v>0</v>
      </c>
      <c r="J1843" s="16"/>
      <c r="K1843" s="19">
        <f t="shared" ca="1" si="939"/>
        <v>0</v>
      </c>
      <c r="L1843" s="15">
        <f t="shared" ca="1" si="937"/>
        <v>1</v>
      </c>
      <c r="M1843" s="15"/>
      <c r="N1843" s="15">
        <f t="shared" ca="1" si="936"/>
        <v>0</v>
      </c>
    </row>
    <row r="1844" spans="1:14" x14ac:dyDescent="0.4">
      <c r="A1844" s="11" t="s">
        <v>6</v>
      </c>
      <c r="B1844" s="41">
        <f t="shared" ca="1" si="938"/>
        <v>0</v>
      </c>
      <c r="C1844" s="41"/>
      <c r="D1844" s="41"/>
      <c r="E1844" s="41"/>
      <c r="F1844" s="19">
        <f t="shared" ca="1" si="938"/>
        <v>0</v>
      </c>
      <c r="G1844" s="20">
        <f t="shared" ca="1" si="938"/>
        <v>0</v>
      </c>
      <c r="H1844" s="20">
        <f t="shared" ca="1" si="938"/>
        <v>0</v>
      </c>
      <c r="I1844" s="13">
        <f t="shared" ca="1" si="938"/>
        <v>0</v>
      </c>
      <c r="J1844" s="16"/>
      <c r="K1844" s="19">
        <f t="shared" ca="1" si="939"/>
        <v>0</v>
      </c>
      <c r="L1844" s="15">
        <f t="shared" ca="1" si="937"/>
        <v>1</v>
      </c>
      <c r="M1844" s="15"/>
      <c r="N1844" s="15">
        <f t="shared" ca="1" si="936"/>
        <v>0</v>
      </c>
    </row>
    <row r="1845" spans="1:14" x14ac:dyDescent="0.4">
      <c r="A1845" s="11" t="s">
        <v>10</v>
      </c>
      <c r="B1845" s="40">
        <f t="shared" ref="B1845:I1847" ca="1" si="940">OFFSET(B1845,-6,0)</f>
        <v>0</v>
      </c>
      <c r="C1845" s="40"/>
      <c r="D1845" s="40"/>
      <c r="E1845" s="40"/>
      <c r="F1845" s="13">
        <f t="shared" ca="1" si="940"/>
        <v>0</v>
      </c>
      <c r="G1845" s="17">
        <f t="shared" ca="1" si="940"/>
        <v>0</v>
      </c>
      <c r="H1845" s="17">
        <f t="shared" ca="1" si="940"/>
        <v>0</v>
      </c>
      <c r="I1845" s="13">
        <f t="shared" ca="1" si="940"/>
        <v>0</v>
      </c>
      <c r="J1845" s="16"/>
      <c r="K1845" s="13">
        <f t="shared" ref="K1845:K1847" ca="1" si="941">OFFSET(K1845,-6,0)</f>
        <v>0</v>
      </c>
      <c r="L1845" s="15">
        <f t="shared" ca="1" si="937"/>
        <v>1</v>
      </c>
      <c r="M1845" s="15"/>
      <c r="N1845" s="15">
        <f t="shared" ca="1" si="936"/>
        <v>0</v>
      </c>
    </row>
    <row r="1846" spans="1:14" x14ac:dyDescent="0.4">
      <c r="A1846" s="11" t="s">
        <v>10</v>
      </c>
      <c r="B1846" s="40">
        <f t="shared" ca="1" si="940"/>
        <v>0</v>
      </c>
      <c r="C1846" s="40"/>
      <c r="D1846" s="40"/>
      <c r="E1846" s="40"/>
      <c r="F1846" s="13">
        <f t="shared" ca="1" si="940"/>
        <v>0</v>
      </c>
      <c r="G1846" s="17">
        <f t="shared" ca="1" si="940"/>
        <v>0</v>
      </c>
      <c r="H1846" s="17">
        <f t="shared" ca="1" si="940"/>
        <v>0</v>
      </c>
      <c r="I1846" s="13">
        <f t="shared" ca="1" si="940"/>
        <v>0</v>
      </c>
      <c r="J1846" s="16"/>
      <c r="K1846" s="13">
        <f t="shared" ca="1" si="941"/>
        <v>0</v>
      </c>
      <c r="L1846" s="15">
        <f t="shared" ca="1" si="937"/>
        <v>1</v>
      </c>
      <c r="M1846" s="15"/>
      <c r="N1846" s="15">
        <f t="shared" ca="1" si="936"/>
        <v>0</v>
      </c>
    </row>
    <row r="1847" spans="1:14" x14ac:dyDescent="0.4">
      <c r="A1847" s="11" t="s">
        <v>10</v>
      </c>
      <c r="B1847" s="40">
        <f t="shared" ca="1" si="940"/>
        <v>0</v>
      </c>
      <c r="C1847" s="40"/>
      <c r="D1847" s="40"/>
      <c r="E1847" s="40"/>
      <c r="F1847" s="13">
        <f t="shared" ca="1" si="940"/>
        <v>0</v>
      </c>
      <c r="G1847" s="17">
        <f t="shared" ca="1" si="940"/>
        <v>0</v>
      </c>
      <c r="H1847" s="17">
        <f t="shared" ca="1" si="940"/>
        <v>0</v>
      </c>
      <c r="I1847" s="13">
        <f t="shared" ca="1" si="940"/>
        <v>0</v>
      </c>
      <c r="J1847" s="16"/>
      <c r="K1847" s="13">
        <f t="shared" ca="1" si="941"/>
        <v>0</v>
      </c>
      <c r="L1847" s="15">
        <f t="shared" ca="1" si="937"/>
        <v>1</v>
      </c>
      <c r="M1847" s="15"/>
      <c r="N1847" s="15">
        <f t="shared" ca="1" si="936"/>
        <v>0</v>
      </c>
    </row>
    <row r="1848" spans="1:14" x14ac:dyDescent="0.4">
      <c r="A1848" s="11" t="s">
        <v>7</v>
      </c>
      <c r="B1848" s="40">
        <f t="shared" ref="B1848:I1850" ca="1" si="942">OFFSET(B1848,-9,0)</f>
        <v>0</v>
      </c>
      <c r="C1848" s="40"/>
      <c r="D1848" s="40"/>
      <c r="E1848" s="40"/>
      <c r="F1848" s="13">
        <f t="shared" ca="1" si="942"/>
        <v>0</v>
      </c>
      <c r="G1848" s="17">
        <f t="shared" ca="1" si="942"/>
        <v>0</v>
      </c>
      <c r="H1848" s="17">
        <f t="shared" ca="1" si="942"/>
        <v>0</v>
      </c>
      <c r="I1848" s="13">
        <f t="shared" ca="1" si="942"/>
        <v>0</v>
      </c>
      <c r="J1848" s="16"/>
      <c r="K1848" s="13">
        <f t="shared" ref="K1848:K1850" ca="1" si="943">OFFSET(K1848,-9,0)</f>
        <v>0</v>
      </c>
      <c r="L1848" s="15">
        <f t="shared" ca="1" si="937"/>
        <v>1</v>
      </c>
      <c r="M1848" s="15"/>
      <c r="N1848" s="15">
        <f t="shared" ca="1" si="936"/>
        <v>0</v>
      </c>
    </row>
    <row r="1849" spans="1:14" x14ac:dyDescent="0.4">
      <c r="A1849" s="11" t="s">
        <v>7</v>
      </c>
      <c r="B1849" s="40">
        <f t="shared" ca="1" si="942"/>
        <v>0</v>
      </c>
      <c r="C1849" s="40"/>
      <c r="D1849" s="40"/>
      <c r="E1849" s="40"/>
      <c r="F1849" s="13">
        <f t="shared" ca="1" si="942"/>
        <v>0</v>
      </c>
      <c r="G1849" s="17">
        <f t="shared" ca="1" si="942"/>
        <v>0</v>
      </c>
      <c r="H1849" s="17">
        <f t="shared" ca="1" si="942"/>
        <v>0</v>
      </c>
      <c r="I1849" s="13">
        <f t="shared" ca="1" si="942"/>
        <v>0</v>
      </c>
      <c r="J1849" s="16"/>
      <c r="K1849" s="13">
        <f t="shared" ca="1" si="943"/>
        <v>0</v>
      </c>
      <c r="L1849" s="15">
        <f t="shared" ca="1" si="937"/>
        <v>1</v>
      </c>
      <c r="M1849" s="15"/>
      <c r="N1849" s="15">
        <f t="shared" ca="1" si="936"/>
        <v>0</v>
      </c>
    </row>
    <row r="1850" spans="1:14" x14ac:dyDescent="0.4">
      <c r="A1850" s="11" t="s">
        <v>7</v>
      </c>
      <c r="B1850" s="40">
        <f t="shared" ca="1" si="942"/>
        <v>0</v>
      </c>
      <c r="C1850" s="40"/>
      <c r="D1850" s="40"/>
      <c r="E1850" s="40"/>
      <c r="F1850" s="13">
        <f t="shared" ca="1" si="942"/>
        <v>0</v>
      </c>
      <c r="G1850" s="17">
        <f t="shared" ca="1" si="942"/>
        <v>0</v>
      </c>
      <c r="H1850" s="17">
        <f t="shared" ca="1" si="942"/>
        <v>0</v>
      </c>
      <c r="I1850" s="13">
        <f t="shared" ca="1" si="942"/>
        <v>0</v>
      </c>
      <c r="J1850" s="16"/>
      <c r="K1850" s="13">
        <f t="shared" ca="1" si="943"/>
        <v>0</v>
      </c>
      <c r="L1850" s="15">
        <f t="shared" ca="1" si="937"/>
        <v>1</v>
      </c>
      <c r="M1850" s="15"/>
      <c r="N1850" s="15">
        <f t="shared" ca="1" si="936"/>
        <v>0</v>
      </c>
    </row>
    <row r="1851" spans="1:14" x14ac:dyDescent="0.4">
      <c r="A1851" s="11" t="s">
        <v>8</v>
      </c>
      <c r="B1851" s="40">
        <f t="shared" ref="B1851:I1853" ca="1" si="944">OFFSET(B1851,-12,0)</f>
        <v>0</v>
      </c>
      <c r="C1851" s="40"/>
      <c r="D1851" s="40"/>
      <c r="E1851" s="40"/>
      <c r="F1851" s="13">
        <f t="shared" ca="1" si="944"/>
        <v>0</v>
      </c>
      <c r="G1851" s="17">
        <f t="shared" ca="1" si="944"/>
        <v>0</v>
      </c>
      <c r="H1851" s="17">
        <f t="shared" ca="1" si="944"/>
        <v>0</v>
      </c>
      <c r="I1851" s="13">
        <f t="shared" ca="1" si="944"/>
        <v>0</v>
      </c>
      <c r="J1851" s="16"/>
      <c r="K1851" s="13">
        <f t="shared" ref="K1851:K1853" ca="1" si="945">OFFSET(K1851,-12,0)</f>
        <v>0</v>
      </c>
      <c r="L1851" s="15">
        <f t="shared" ca="1" si="937"/>
        <v>1</v>
      </c>
      <c r="M1851" s="15"/>
      <c r="N1851" s="15">
        <f t="shared" ca="1" si="936"/>
        <v>0</v>
      </c>
    </row>
    <row r="1852" spans="1:14" x14ac:dyDescent="0.4">
      <c r="A1852" s="11" t="s">
        <v>8</v>
      </c>
      <c r="B1852" s="40">
        <f t="shared" ca="1" si="944"/>
        <v>0</v>
      </c>
      <c r="C1852" s="40"/>
      <c r="D1852" s="40"/>
      <c r="E1852" s="40"/>
      <c r="F1852" s="13">
        <f t="shared" ca="1" si="944"/>
        <v>0</v>
      </c>
      <c r="G1852" s="17">
        <f t="shared" ca="1" si="944"/>
        <v>0</v>
      </c>
      <c r="H1852" s="17">
        <f t="shared" ca="1" si="944"/>
        <v>0</v>
      </c>
      <c r="I1852" s="13">
        <f t="shared" ca="1" si="944"/>
        <v>0</v>
      </c>
      <c r="J1852" s="16"/>
      <c r="K1852" s="13">
        <f t="shared" ca="1" si="945"/>
        <v>0</v>
      </c>
      <c r="L1852" s="15">
        <f t="shared" ca="1" si="937"/>
        <v>1</v>
      </c>
      <c r="M1852" s="15"/>
      <c r="N1852" s="15">
        <f t="shared" ca="1" si="936"/>
        <v>0</v>
      </c>
    </row>
    <row r="1853" spans="1:14" x14ac:dyDescent="0.4">
      <c r="A1853" s="11" t="s">
        <v>8</v>
      </c>
      <c r="B1853" s="40">
        <f t="shared" ca="1" si="944"/>
        <v>0</v>
      </c>
      <c r="C1853" s="40"/>
      <c r="D1853" s="40"/>
      <c r="E1853" s="40"/>
      <c r="F1853" s="13">
        <f t="shared" ca="1" si="944"/>
        <v>0</v>
      </c>
      <c r="G1853" s="17">
        <f t="shared" ca="1" si="944"/>
        <v>0</v>
      </c>
      <c r="H1853" s="17">
        <f t="shared" ca="1" si="944"/>
        <v>0</v>
      </c>
      <c r="I1853" s="13">
        <f t="shared" ca="1" si="944"/>
        <v>0</v>
      </c>
      <c r="J1853" s="16"/>
      <c r="K1853" s="13">
        <f t="shared" ca="1" si="945"/>
        <v>0</v>
      </c>
      <c r="L1853" s="15">
        <f t="shared" ca="1" si="937"/>
        <v>1</v>
      </c>
      <c r="M1853" s="15"/>
      <c r="N1853" s="15">
        <f t="shared" ca="1" si="936"/>
        <v>0</v>
      </c>
    </row>
    <row r="1854" spans="1:14" x14ac:dyDescent="0.4">
      <c r="A1854" s="11" t="s">
        <v>9</v>
      </c>
      <c r="B1854" s="41">
        <f t="shared" ref="B1854:I1856" ca="1" si="946">OFFSET(B1854,-15,0)</f>
        <v>0</v>
      </c>
      <c r="C1854" s="41"/>
      <c r="D1854" s="41"/>
      <c r="E1854" s="41"/>
      <c r="F1854" s="19">
        <f t="shared" ca="1" si="946"/>
        <v>0</v>
      </c>
      <c r="G1854" s="20">
        <f t="shared" ca="1" si="946"/>
        <v>0</v>
      </c>
      <c r="H1854" s="20">
        <f t="shared" ca="1" si="946"/>
        <v>0</v>
      </c>
      <c r="I1854" s="13">
        <f t="shared" ca="1" si="946"/>
        <v>0</v>
      </c>
      <c r="J1854" s="16"/>
      <c r="K1854" s="19">
        <f t="shared" ref="K1854:K1856" ca="1" si="947">OFFSET(K1854,-15,0)</f>
        <v>0</v>
      </c>
      <c r="L1854" s="15">
        <f t="shared" ca="1" si="937"/>
        <v>1</v>
      </c>
      <c r="M1854" s="15"/>
      <c r="N1854" s="15">
        <f t="shared" ca="1" si="936"/>
        <v>0</v>
      </c>
    </row>
    <row r="1855" spans="1:14" x14ac:dyDescent="0.4">
      <c r="A1855" s="11" t="s">
        <v>9</v>
      </c>
      <c r="B1855" s="41">
        <f t="shared" ca="1" si="946"/>
        <v>0</v>
      </c>
      <c r="C1855" s="41"/>
      <c r="D1855" s="41"/>
      <c r="E1855" s="41"/>
      <c r="F1855" s="19">
        <f t="shared" ca="1" si="946"/>
        <v>0</v>
      </c>
      <c r="G1855" s="20">
        <f t="shared" ca="1" si="946"/>
        <v>0</v>
      </c>
      <c r="H1855" s="20">
        <f t="shared" ca="1" si="946"/>
        <v>0</v>
      </c>
      <c r="I1855" s="13">
        <f t="shared" ca="1" si="946"/>
        <v>0</v>
      </c>
      <c r="J1855" s="16"/>
      <c r="K1855" s="19">
        <f t="shared" ca="1" si="947"/>
        <v>0</v>
      </c>
      <c r="L1855" s="15">
        <f t="shared" ca="1" si="937"/>
        <v>1</v>
      </c>
      <c r="M1855" s="15"/>
      <c r="N1855" s="15">
        <f t="shared" ca="1" si="936"/>
        <v>0</v>
      </c>
    </row>
    <row r="1856" spans="1:14" x14ac:dyDescent="0.4">
      <c r="A1856" s="11" t="s">
        <v>9</v>
      </c>
      <c r="B1856" s="41">
        <f t="shared" ca="1" si="946"/>
        <v>0</v>
      </c>
      <c r="C1856" s="41"/>
      <c r="D1856" s="41"/>
      <c r="E1856" s="41"/>
      <c r="F1856" s="19">
        <f t="shared" ca="1" si="946"/>
        <v>0</v>
      </c>
      <c r="G1856" s="20">
        <f t="shared" ca="1" si="946"/>
        <v>0</v>
      </c>
      <c r="H1856" s="20">
        <f t="shared" ca="1" si="946"/>
        <v>0</v>
      </c>
      <c r="I1856" s="13">
        <f t="shared" ca="1" si="946"/>
        <v>0</v>
      </c>
      <c r="J1856" s="16"/>
      <c r="K1856" s="19">
        <f t="shared" ca="1" si="947"/>
        <v>0</v>
      </c>
      <c r="L1856" s="15">
        <f t="shared" ca="1" si="937"/>
        <v>1</v>
      </c>
      <c r="M1856" s="15"/>
      <c r="N1856" s="15">
        <f t="shared" ca="1" si="936"/>
        <v>0</v>
      </c>
    </row>
    <row r="1857" spans="1:14" ht="17.399999999999999" x14ac:dyDescent="0.4">
      <c r="A1857" s="74" t="s">
        <v>32</v>
      </c>
      <c r="B1857" s="75"/>
      <c r="C1857" s="75"/>
      <c r="D1857" s="75"/>
      <c r="E1857" s="75"/>
      <c r="F1857" s="75"/>
      <c r="G1857" s="75"/>
      <c r="H1857" s="75"/>
      <c r="I1857" s="75"/>
      <c r="J1857" s="75"/>
      <c r="K1857" s="75"/>
      <c r="L1857" s="75"/>
      <c r="M1857" s="75"/>
      <c r="N1857" s="76"/>
    </row>
    <row r="1858" spans="1:14" x14ac:dyDescent="0.4">
      <c r="A1858" s="11" t="s">
        <v>5</v>
      </c>
      <c r="B1858" s="40"/>
      <c r="C1858" s="40"/>
      <c r="D1858" s="40"/>
      <c r="E1858" s="40"/>
      <c r="F1858" s="13"/>
      <c r="G1858" s="11"/>
      <c r="H1858" s="17"/>
      <c r="I1858" s="13"/>
      <c r="J1858" s="16"/>
      <c r="K1858" s="13"/>
      <c r="L1858" s="15">
        <f>ROUND((10^(K1858/10))/(10^(I1858/10)),3)</f>
        <v>1</v>
      </c>
      <c r="M1858" s="15"/>
      <c r="N1858" s="15">
        <f t="shared" ref="N1858:N1875" si="948">J1858*L1858</f>
        <v>0</v>
      </c>
    </row>
    <row r="1859" spans="1:14" x14ac:dyDescent="0.4">
      <c r="A1859" s="11" t="s">
        <v>5</v>
      </c>
      <c r="B1859" s="40"/>
      <c r="C1859" s="40"/>
      <c r="D1859" s="40"/>
      <c r="E1859" s="40"/>
      <c r="F1859" s="13"/>
      <c r="G1859" s="11"/>
      <c r="H1859" s="17"/>
      <c r="I1859" s="13"/>
      <c r="J1859" s="16"/>
      <c r="K1859" s="13"/>
      <c r="L1859" s="15">
        <f t="shared" ref="L1859:L1875" si="949">ROUND((10^(K1859/10))/(10^(I1859/10)),3)</f>
        <v>1</v>
      </c>
      <c r="M1859" s="15"/>
      <c r="N1859" s="15">
        <f t="shared" si="948"/>
        <v>0</v>
      </c>
    </row>
    <row r="1860" spans="1:14" x14ac:dyDescent="0.4">
      <c r="A1860" s="11" t="s">
        <v>5</v>
      </c>
      <c r="B1860" s="40"/>
      <c r="C1860" s="40"/>
      <c r="D1860" s="40"/>
      <c r="E1860" s="40"/>
      <c r="F1860" s="13"/>
      <c r="G1860" s="11"/>
      <c r="H1860" s="17"/>
      <c r="I1860" s="13"/>
      <c r="J1860" s="16"/>
      <c r="K1860" s="13"/>
      <c r="L1860" s="15">
        <f t="shared" si="949"/>
        <v>1</v>
      </c>
      <c r="M1860" s="15"/>
      <c r="N1860" s="15">
        <f t="shared" si="948"/>
        <v>0</v>
      </c>
    </row>
    <row r="1861" spans="1:14" x14ac:dyDescent="0.4">
      <c r="A1861" s="11" t="s">
        <v>6</v>
      </c>
      <c r="B1861" s="41">
        <f t="shared" ref="B1861:I1863" ca="1" si="950">OFFSET(B1861,-3,0)</f>
        <v>0</v>
      </c>
      <c r="C1861" s="41"/>
      <c r="D1861" s="41"/>
      <c r="E1861" s="41"/>
      <c r="F1861" s="19">
        <f t="shared" ca="1" si="950"/>
        <v>0</v>
      </c>
      <c r="G1861" s="20">
        <f t="shared" ca="1" si="950"/>
        <v>0</v>
      </c>
      <c r="H1861" s="20">
        <f t="shared" ca="1" si="950"/>
        <v>0</v>
      </c>
      <c r="I1861" s="13">
        <f t="shared" ca="1" si="950"/>
        <v>0</v>
      </c>
      <c r="J1861" s="16"/>
      <c r="K1861" s="19">
        <f t="shared" ref="K1861:K1863" ca="1" si="951">OFFSET(K1861,-3,0)</f>
        <v>0</v>
      </c>
      <c r="L1861" s="15">
        <f t="shared" ca="1" si="949"/>
        <v>1</v>
      </c>
      <c r="M1861" s="15"/>
      <c r="N1861" s="15">
        <f t="shared" ca="1" si="948"/>
        <v>0</v>
      </c>
    </row>
    <row r="1862" spans="1:14" x14ac:dyDescent="0.4">
      <c r="A1862" s="11" t="s">
        <v>6</v>
      </c>
      <c r="B1862" s="41">
        <f t="shared" ca="1" si="950"/>
        <v>0</v>
      </c>
      <c r="C1862" s="41"/>
      <c r="D1862" s="41"/>
      <c r="E1862" s="41"/>
      <c r="F1862" s="19">
        <f t="shared" ca="1" si="950"/>
        <v>0</v>
      </c>
      <c r="G1862" s="20">
        <f t="shared" ca="1" si="950"/>
        <v>0</v>
      </c>
      <c r="H1862" s="20">
        <f t="shared" ca="1" si="950"/>
        <v>0</v>
      </c>
      <c r="I1862" s="13">
        <f t="shared" ca="1" si="950"/>
        <v>0</v>
      </c>
      <c r="J1862" s="16"/>
      <c r="K1862" s="19">
        <f t="shared" ca="1" si="951"/>
        <v>0</v>
      </c>
      <c r="L1862" s="15">
        <f t="shared" ca="1" si="949"/>
        <v>1</v>
      </c>
      <c r="M1862" s="15"/>
      <c r="N1862" s="15">
        <f t="shared" ca="1" si="948"/>
        <v>0</v>
      </c>
    </row>
    <row r="1863" spans="1:14" x14ac:dyDescent="0.4">
      <c r="A1863" s="11" t="s">
        <v>6</v>
      </c>
      <c r="B1863" s="41">
        <f t="shared" ca="1" si="950"/>
        <v>0</v>
      </c>
      <c r="C1863" s="41"/>
      <c r="D1863" s="41"/>
      <c r="E1863" s="41"/>
      <c r="F1863" s="19">
        <f t="shared" ca="1" si="950"/>
        <v>0</v>
      </c>
      <c r="G1863" s="20">
        <f t="shared" ca="1" si="950"/>
        <v>0</v>
      </c>
      <c r="H1863" s="20">
        <f t="shared" ca="1" si="950"/>
        <v>0</v>
      </c>
      <c r="I1863" s="13">
        <f t="shared" ca="1" si="950"/>
        <v>0</v>
      </c>
      <c r="J1863" s="16"/>
      <c r="K1863" s="19">
        <f t="shared" ca="1" si="951"/>
        <v>0</v>
      </c>
      <c r="L1863" s="15">
        <f t="shared" ca="1" si="949"/>
        <v>1</v>
      </c>
      <c r="M1863" s="15"/>
      <c r="N1863" s="15">
        <f t="shared" ca="1" si="948"/>
        <v>0</v>
      </c>
    </row>
    <row r="1864" spans="1:14" x14ac:dyDescent="0.4">
      <c r="A1864" s="11" t="s">
        <v>10</v>
      </c>
      <c r="B1864" s="40">
        <f t="shared" ref="B1864:I1866" ca="1" si="952">OFFSET(B1864,-6,0)</f>
        <v>0</v>
      </c>
      <c r="C1864" s="40"/>
      <c r="D1864" s="40"/>
      <c r="E1864" s="40"/>
      <c r="F1864" s="13">
        <f t="shared" ca="1" si="952"/>
        <v>0</v>
      </c>
      <c r="G1864" s="17">
        <f t="shared" ca="1" si="952"/>
        <v>0</v>
      </c>
      <c r="H1864" s="17">
        <f t="shared" ca="1" si="952"/>
        <v>0</v>
      </c>
      <c r="I1864" s="13">
        <f t="shared" ca="1" si="952"/>
        <v>0</v>
      </c>
      <c r="J1864" s="16"/>
      <c r="K1864" s="13">
        <f t="shared" ref="K1864:K1866" ca="1" si="953">OFFSET(K1864,-6,0)</f>
        <v>0</v>
      </c>
      <c r="L1864" s="15">
        <f t="shared" ca="1" si="949"/>
        <v>1</v>
      </c>
      <c r="M1864" s="15"/>
      <c r="N1864" s="15">
        <f t="shared" ca="1" si="948"/>
        <v>0</v>
      </c>
    </row>
    <row r="1865" spans="1:14" x14ac:dyDescent="0.4">
      <c r="A1865" s="11" t="s">
        <v>10</v>
      </c>
      <c r="B1865" s="40">
        <f t="shared" ca="1" si="952"/>
        <v>0</v>
      </c>
      <c r="C1865" s="40"/>
      <c r="D1865" s="40"/>
      <c r="E1865" s="40"/>
      <c r="F1865" s="13">
        <f t="shared" ca="1" si="952"/>
        <v>0</v>
      </c>
      <c r="G1865" s="17">
        <f t="shared" ca="1" si="952"/>
        <v>0</v>
      </c>
      <c r="H1865" s="17">
        <f t="shared" ca="1" si="952"/>
        <v>0</v>
      </c>
      <c r="I1865" s="13">
        <f t="shared" ca="1" si="952"/>
        <v>0</v>
      </c>
      <c r="J1865" s="16"/>
      <c r="K1865" s="13">
        <f t="shared" ca="1" si="953"/>
        <v>0</v>
      </c>
      <c r="L1865" s="15">
        <f t="shared" ca="1" si="949"/>
        <v>1</v>
      </c>
      <c r="M1865" s="15"/>
      <c r="N1865" s="15">
        <f t="shared" ca="1" si="948"/>
        <v>0</v>
      </c>
    </row>
    <row r="1866" spans="1:14" x14ac:dyDescent="0.4">
      <c r="A1866" s="11" t="s">
        <v>10</v>
      </c>
      <c r="B1866" s="40">
        <f t="shared" ca="1" si="952"/>
        <v>0</v>
      </c>
      <c r="C1866" s="40"/>
      <c r="D1866" s="40"/>
      <c r="E1866" s="40"/>
      <c r="F1866" s="13">
        <f t="shared" ca="1" si="952"/>
        <v>0</v>
      </c>
      <c r="G1866" s="17">
        <f t="shared" ca="1" si="952"/>
        <v>0</v>
      </c>
      <c r="H1866" s="17">
        <f t="shared" ca="1" si="952"/>
        <v>0</v>
      </c>
      <c r="I1866" s="13">
        <f t="shared" ca="1" si="952"/>
        <v>0</v>
      </c>
      <c r="J1866" s="16"/>
      <c r="K1866" s="13">
        <f t="shared" ca="1" si="953"/>
        <v>0</v>
      </c>
      <c r="L1866" s="15">
        <f t="shared" ca="1" si="949"/>
        <v>1</v>
      </c>
      <c r="M1866" s="15"/>
      <c r="N1866" s="15">
        <f t="shared" ca="1" si="948"/>
        <v>0</v>
      </c>
    </row>
    <row r="1867" spans="1:14" x14ac:dyDescent="0.4">
      <c r="A1867" s="11" t="s">
        <v>7</v>
      </c>
      <c r="B1867" s="40">
        <f t="shared" ref="B1867:I1869" ca="1" si="954">OFFSET(B1867,-9,0)</f>
        <v>0</v>
      </c>
      <c r="C1867" s="40"/>
      <c r="D1867" s="40"/>
      <c r="E1867" s="40"/>
      <c r="F1867" s="13">
        <f t="shared" ca="1" si="954"/>
        <v>0</v>
      </c>
      <c r="G1867" s="17">
        <f t="shared" ca="1" si="954"/>
        <v>0</v>
      </c>
      <c r="H1867" s="17">
        <f t="shared" ca="1" si="954"/>
        <v>0</v>
      </c>
      <c r="I1867" s="13">
        <f t="shared" ca="1" si="954"/>
        <v>0</v>
      </c>
      <c r="J1867" s="16"/>
      <c r="K1867" s="13">
        <f t="shared" ref="K1867:K1869" ca="1" si="955">OFFSET(K1867,-9,0)</f>
        <v>0</v>
      </c>
      <c r="L1867" s="15">
        <f t="shared" ca="1" si="949"/>
        <v>1</v>
      </c>
      <c r="M1867" s="15"/>
      <c r="N1867" s="15">
        <f t="shared" ca="1" si="948"/>
        <v>0</v>
      </c>
    </row>
    <row r="1868" spans="1:14" x14ac:dyDescent="0.4">
      <c r="A1868" s="11" t="s">
        <v>7</v>
      </c>
      <c r="B1868" s="40">
        <f t="shared" ca="1" si="954"/>
        <v>0</v>
      </c>
      <c r="C1868" s="40"/>
      <c r="D1868" s="40"/>
      <c r="E1868" s="40"/>
      <c r="F1868" s="13">
        <f t="shared" ca="1" si="954"/>
        <v>0</v>
      </c>
      <c r="G1868" s="17">
        <f t="shared" ca="1" si="954"/>
        <v>0</v>
      </c>
      <c r="H1868" s="17">
        <f t="shared" ca="1" si="954"/>
        <v>0</v>
      </c>
      <c r="I1868" s="13">
        <f t="shared" ca="1" si="954"/>
        <v>0</v>
      </c>
      <c r="J1868" s="16"/>
      <c r="K1868" s="13">
        <f t="shared" ca="1" si="955"/>
        <v>0</v>
      </c>
      <c r="L1868" s="15">
        <f t="shared" ca="1" si="949"/>
        <v>1</v>
      </c>
      <c r="M1868" s="15"/>
      <c r="N1868" s="15">
        <f t="shared" ca="1" si="948"/>
        <v>0</v>
      </c>
    </row>
    <row r="1869" spans="1:14" x14ac:dyDescent="0.4">
      <c r="A1869" s="11" t="s">
        <v>7</v>
      </c>
      <c r="B1869" s="40">
        <f t="shared" ca="1" si="954"/>
        <v>0</v>
      </c>
      <c r="C1869" s="40"/>
      <c r="D1869" s="40"/>
      <c r="E1869" s="40"/>
      <c r="F1869" s="13">
        <f t="shared" ca="1" si="954"/>
        <v>0</v>
      </c>
      <c r="G1869" s="17">
        <f t="shared" ca="1" si="954"/>
        <v>0</v>
      </c>
      <c r="H1869" s="17">
        <f t="shared" ca="1" si="954"/>
        <v>0</v>
      </c>
      <c r="I1869" s="13">
        <f t="shared" ca="1" si="954"/>
        <v>0</v>
      </c>
      <c r="J1869" s="16"/>
      <c r="K1869" s="13">
        <f t="shared" ca="1" si="955"/>
        <v>0</v>
      </c>
      <c r="L1869" s="15">
        <f t="shared" ca="1" si="949"/>
        <v>1</v>
      </c>
      <c r="M1869" s="15"/>
      <c r="N1869" s="15">
        <f t="shared" ca="1" si="948"/>
        <v>0</v>
      </c>
    </row>
    <row r="1870" spans="1:14" x14ac:dyDescent="0.4">
      <c r="A1870" s="11" t="s">
        <v>8</v>
      </c>
      <c r="B1870" s="40">
        <f t="shared" ref="B1870:I1872" ca="1" si="956">OFFSET(B1870,-12,0)</f>
        <v>0</v>
      </c>
      <c r="C1870" s="40"/>
      <c r="D1870" s="40"/>
      <c r="E1870" s="40"/>
      <c r="F1870" s="13">
        <f t="shared" ca="1" si="956"/>
        <v>0</v>
      </c>
      <c r="G1870" s="17">
        <f t="shared" ca="1" si="956"/>
        <v>0</v>
      </c>
      <c r="H1870" s="17">
        <f t="shared" ca="1" si="956"/>
        <v>0</v>
      </c>
      <c r="I1870" s="13">
        <f t="shared" ca="1" si="956"/>
        <v>0</v>
      </c>
      <c r="J1870" s="16"/>
      <c r="K1870" s="13">
        <f t="shared" ref="K1870:K1872" ca="1" si="957">OFFSET(K1870,-12,0)</f>
        <v>0</v>
      </c>
      <c r="L1870" s="15">
        <f t="shared" ca="1" si="949"/>
        <v>1</v>
      </c>
      <c r="M1870" s="15"/>
      <c r="N1870" s="15">
        <f t="shared" ca="1" si="948"/>
        <v>0</v>
      </c>
    </row>
    <row r="1871" spans="1:14" x14ac:dyDescent="0.4">
      <c r="A1871" s="11" t="s">
        <v>8</v>
      </c>
      <c r="B1871" s="40">
        <f t="shared" ca="1" si="956"/>
        <v>0</v>
      </c>
      <c r="C1871" s="40"/>
      <c r="D1871" s="40"/>
      <c r="E1871" s="40"/>
      <c r="F1871" s="13">
        <f t="shared" ca="1" si="956"/>
        <v>0</v>
      </c>
      <c r="G1871" s="17">
        <f t="shared" ca="1" si="956"/>
        <v>0</v>
      </c>
      <c r="H1871" s="17">
        <f t="shared" ca="1" si="956"/>
        <v>0</v>
      </c>
      <c r="I1871" s="13">
        <f t="shared" ca="1" si="956"/>
        <v>0</v>
      </c>
      <c r="J1871" s="16"/>
      <c r="K1871" s="13">
        <f t="shared" ca="1" si="957"/>
        <v>0</v>
      </c>
      <c r="L1871" s="15">
        <f t="shared" ca="1" si="949"/>
        <v>1</v>
      </c>
      <c r="M1871" s="15"/>
      <c r="N1871" s="15">
        <f t="shared" ca="1" si="948"/>
        <v>0</v>
      </c>
    </row>
    <row r="1872" spans="1:14" x14ac:dyDescent="0.4">
      <c r="A1872" s="11" t="s">
        <v>8</v>
      </c>
      <c r="B1872" s="40">
        <f t="shared" ca="1" si="956"/>
        <v>0</v>
      </c>
      <c r="C1872" s="40"/>
      <c r="D1872" s="40"/>
      <c r="E1872" s="40"/>
      <c r="F1872" s="13">
        <f t="shared" ca="1" si="956"/>
        <v>0</v>
      </c>
      <c r="G1872" s="17">
        <f t="shared" ca="1" si="956"/>
        <v>0</v>
      </c>
      <c r="H1872" s="17">
        <f t="shared" ca="1" si="956"/>
        <v>0</v>
      </c>
      <c r="I1872" s="13">
        <f t="shared" ca="1" si="956"/>
        <v>0</v>
      </c>
      <c r="J1872" s="16"/>
      <c r="K1872" s="13">
        <f t="shared" ca="1" si="957"/>
        <v>0</v>
      </c>
      <c r="L1872" s="15">
        <f t="shared" ca="1" si="949"/>
        <v>1</v>
      </c>
      <c r="M1872" s="15"/>
      <c r="N1872" s="15">
        <f t="shared" ca="1" si="948"/>
        <v>0</v>
      </c>
    </row>
    <row r="1873" spans="1:14" x14ac:dyDescent="0.4">
      <c r="A1873" s="11" t="s">
        <v>9</v>
      </c>
      <c r="B1873" s="41">
        <f t="shared" ref="B1873:H1875" ca="1" si="958">OFFSET(B1873,-15,0)</f>
        <v>0</v>
      </c>
      <c r="C1873" s="41"/>
      <c r="D1873" s="41"/>
      <c r="E1873" s="41"/>
      <c r="F1873" s="19">
        <f t="shared" ca="1" si="958"/>
        <v>0</v>
      </c>
      <c r="G1873" s="20">
        <f t="shared" ca="1" si="958"/>
        <v>0</v>
      </c>
      <c r="H1873" s="20">
        <f ca="1">OFFSET(H1873,-15,0)</f>
        <v>0</v>
      </c>
      <c r="I1873" s="13">
        <f t="shared" ref="I1873:I1875" ca="1" si="959">OFFSET(I1873,-15,0)</f>
        <v>0</v>
      </c>
      <c r="J1873" s="16"/>
      <c r="K1873" s="19">
        <f t="shared" ref="K1873:K1875" ca="1" si="960">OFFSET(K1873,-15,0)</f>
        <v>0</v>
      </c>
      <c r="L1873" s="15">
        <f t="shared" ca="1" si="949"/>
        <v>1</v>
      </c>
      <c r="M1873" s="15"/>
      <c r="N1873" s="15">
        <f t="shared" ca="1" si="948"/>
        <v>0</v>
      </c>
    </row>
    <row r="1874" spans="1:14" x14ac:dyDescent="0.4">
      <c r="A1874" s="11" t="s">
        <v>9</v>
      </c>
      <c r="B1874" s="41">
        <f t="shared" ca="1" si="958"/>
        <v>0</v>
      </c>
      <c r="C1874" s="41"/>
      <c r="D1874" s="41"/>
      <c r="E1874" s="41"/>
      <c r="F1874" s="19">
        <f t="shared" ca="1" si="958"/>
        <v>0</v>
      </c>
      <c r="G1874" s="20">
        <f t="shared" ca="1" si="958"/>
        <v>0</v>
      </c>
      <c r="H1874" s="20">
        <f t="shared" ca="1" si="958"/>
        <v>0</v>
      </c>
      <c r="I1874" s="13">
        <f t="shared" ca="1" si="959"/>
        <v>0</v>
      </c>
      <c r="J1874" s="16"/>
      <c r="K1874" s="19">
        <f t="shared" ca="1" si="960"/>
        <v>0</v>
      </c>
      <c r="L1874" s="15">
        <f t="shared" ca="1" si="949"/>
        <v>1</v>
      </c>
      <c r="M1874" s="15"/>
      <c r="N1874" s="15">
        <f t="shared" ca="1" si="948"/>
        <v>0</v>
      </c>
    </row>
    <row r="1875" spans="1:14" x14ac:dyDescent="0.4">
      <c r="A1875" s="11" t="s">
        <v>9</v>
      </c>
      <c r="B1875" s="41">
        <f t="shared" ca="1" si="958"/>
        <v>0</v>
      </c>
      <c r="C1875" s="41"/>
      <c r="D1875" s="41"/>
      <c r="E1875" s="41"/>
      <c r="F1875" s="19">
        <f t="shared" ca="1" si="958"/>
        <v>0</v>
      </c>
      <c r="G1875" s="20">
        <f t="shared" ca="1" si="958"/>
        <v>0</v>
      </c>
      <c r="H1875" s="20">
        <f t="shared" ca="1" si="958"/>
        <v>0</v>
      </c>
      <c r="I1875" s="13">
        <f t="shared" ca="1" si="959"/>
        <v>0</v>
      </c>
      <c r="J1875" s="16"/>
      <c r="K1875" s="19">
        <f t="shared" ca="1" si="960"/>
        <v>0</v>
      </c>
      <c r="L1875" s="15">
        <f t="shared" ca="1" si="949"/>
        <v>1</v>
      </c>
      <c r="M1875" s="15"/>
      <c r="N1875" s="15">
        <f t="shared" ca="1" si="948"/>
        <v>0</v>
      </c>
    </row>
    <row r="1876" spans="1:14" ht="17.399999999999999" x14ac:dyDescent="0.4">
      <c r="A1876" s="74" t="s">
        <v>30</v>
      </c>
      <c r="B1876" s="75"/>
      <c r="C1876" s="75"/>
      <c r="D1876" s="75"/>
      <c r="E1876" s="75"/>
      <c r="F1876" s="75"/>
      <c r="G1876" s="75"/>
      <c r="H1876" s="75"/>
      <c r="I1876" s="75"/>
      <c r="J1876" s="75"/>
      <c r="K1876" s="75"/>
      <c r="L1876" s="75"/>
      <c r="M1876" s="75"/>
      <c r="N1876" s="76"/>
    </row>
    <row r="1877" spans="1:14" x14ac:dyDescent="0.4">
      <c r="A1877" s="11" t="s">
        <v>5</v>
      </c>
      <c r="B1877" s="40"/>
      <c r="C1877" s="40"/>
      <c r="D1877" s="40"/>
      <c r="E1877" s="40"/>
      <c r="F1877" s="13"/>
      <c r="G1877" s="11"/>
      <c r="H1877" s="17"/>
      <c r="I1877" s="13"/>
      <c r="J1877" s="16"/>
      <c r="K1877" s="13"/>
      <c r="L1877" s="15">
        <f>ROUND((10^(K1877/10))/(10^(I1877/10)),3)</f>
        <v>1</v>
      </c>
      <c r="M1877" s="15"/>
      <c r="N1877" s="15">
        <f t="shared" ref="N1877:N1894" si="961">J1877*L1877</f>
        <v>0</v>
      </c>
    </row>
    <row r="1878" spans="1:14" x14ac:dyDescent="0.4">
      <c r="A1878" s="11" t="s">
        <v>5</v>
      </c>
      <c r="B1878" s="40"/>
      <c r="C1878" s="40"/>
      <c r="D1878" s="40"/>
      <c r="E1878" s="40"/>
      <c r="F1878" s="13"/>
      <c r="G1878" s="11"/>
      <c r="H1878" s="17"/>
      <c r="I1878" s="13"/>
      <c r="J1878" s="16"/>
      <c r="K1878" s="13"/>
      <c r="L1878" s="15">
        <f t="shared" ref="L1878:L1894" si="962">ROUND((10^(K1878/10))/(10^(I1878/10)),3)</f>
        <v>1</v>
      </c>
      <c r="M1878" s="15"/>
      <c r="N1878" s="15">
        <f t="shared" si="961"/>
        <v>0</v>
      </c>
    </row>
    <row r="1879" spans="1:14" x14ac:dyDescent="0.4">
      <c r="A1879" s="11" t="s">
        <v>5</v>
      </c>
      <c r="B1879" s="40"/>
      <c r="C1879" s="40"/>
      <c r="D1879" s="40"/>
      <c r="E1879" s="40"/>
      <c r="F1879" s="13"/>
      <c r="G1879" s="11"/>
      <c r="H1879" s="17"/>
      <c r="I1879" s="13"/>
      <c r="J1879" s="16"/>
      <c r="K1879" s="13"/>
      <c r="L1879" s="15">
        <f t="shared" si="962"/>
        <v>1</v>
      </c>
      <c r="M1879" s="15"/>
      <c r="N1879" s="15">
        <f t="shared" si="961"/>
        <v>0</v>
      </c>
    </row>
    <row r="1880" spans="1:14" x14ac:dyDescent="0.4">
      <c r="A1880" s="11" t="s">
        <v>6</v>
      </c>
      <c r="B1880" s="41">
        <f t="shared" ref="B1880:I1882" ca="1" si="963">OFFSET(B1880,-3,0)</f>
        <v>0</v>
      </c>
      <c r="C1880" s="41"/>
      <c r="D1880" s="41"/>
      <c r="E1880" s="41"/>
      <c r="F1880" s="19">
        <f t="shared" ca="1" si="963"/>
        <v>0</v>
      </c>
      <c r="G1880" s="20">
        <f t="shared" ca="1" si="963"/>
        <v>0</v>
      </c>
      <c r="H1880" s="20">
        <f t="shared" ca="1" si="963"/>
        <v>0</v>
      </c>
      <c r="I1880" s="13">
        <f t="shared" ca="1" si="963"/>
        <v>0</v>
      </c>
      <c r="J1880" s="16"/>
      <c r="K1880" s="19">
        <f t="shared" ref="K1880:K1882" ca="1" si="964">OFFSET(K1880,-3,0)</f>
        <v>0</v>
      </c>
      <c r="L1880" s="15">
        <f t="shared" ca="1" si="962"/>
        <v>1</v>
      </c>
      <c r="M1880" s="15"/>
      <c r="N1880" s="15">
        <f t="shared" ca="1" si="961"/>
        <v>0</v>
      </c>
    </row>
    <row r="1881" spans="1:14" x14ac:dyDescent="0.4">
      <c r="A1881" s="11" t="s">
        <v>6</v>
      </c>
      <c r="B1881" s="41">
        <f t="shared" ca="1" si="963"/>
        <v>0</v>
      </c>
      <c r="C1881" s="41"/>
      <c r="D1881" s="41"/>
      <c r="E1881" s="41"/>
      <c r="F1881" s="19">
        <f t="shared" ca="1" si="963"/>
        <v>0</v>
      </c>
      <c r="G1881" s="20">
        <f t="shared" ca="1" si="963"/>
        <v>0</v>
      </c>
      <c r="H1881" s="20">
        <f t="shared" ca="1" si="963"/>
        <v>0</v>
      </c>
      <c r="I1881" s="13">
        <f t="shared" ca="1" si="963"/>
        <v>0</v>
      </c>
      <c r="J1881" s="16"/>
      <c r="K1881" s="19">
        <f t="shared" ca="1" si="964"/>
        <v>0</v>
      </c>
      <c r="L1881" s="15">
        <f t="shared" ca="1" si="962"/>
        <v>1</v>
      </c>
      <c r="M1881" s="15"/>
      <c r="N1881" s="15">
        <f t="shared" ca="1" si="961"/>
        <v>0</v>
      </c>
    </row>
    <row r="1882" spans="1:14" x14ac:dyDescent="0.4">
      <c r="A1882" s="11" t="s">
        <v>6</v>
      </c>
      <c r="B1882" s="41">
        <f t="shared" ca="1" si="963"/>
        <v>0</v>
      </c>
      <c r="C1882" s="41"/>
      <c r="D1882" s="41"/>
      <c r="E1882" s="41"/>
      <c r="F1882" s="19">
        <f t="shared" ca="1" si="963"/>
        <v>0</v>
      </c>
      <c r="G1882" s="20">
        <f t="shared" ca="1" si="963"/>
        <v>0</v>
      </c>
      <c r="H1882" s="20">
        <f t="shared" ca="1" si="963"/>
        <v>0</v>
      </c>
      <c r="I1882" s="13">
        <f t="shared" ca="1" si="963"/>
        <v>0</v>
      </c>
      <c r="J1882" s="16"/>
      <c r="K1882" s="19">
        <f t="shared" ca="1" si="964"/>
        <v>0</v>
      </c>
      <c r="L1882" s="15">
        <f t="shared" ca="1" si="962"/>
        <v>1</v>
      </c>
      <c r="M1882" s="15"/>
      <c r="N1882" s="15">
        <f t="shared" ca="1" si="961"/>
        <v>0</v>
      </c>
    </row>
    <row r="1883" spans="1:14" x14ac:dyDescent="0.4">
      <c r="A1883" s="11" t="s">
        <v>57</v>
      </c>
      <c r="B1883" s="40">
        <f t="shared" ref="B1883:I1885" ca="1" si="965">OFFSET(B1883,-6,0)</f>
        <v>0</v>
      </c>
      <c r="C1883" s="40"/>
      <c r="D1883" s="40"/>
      <c r="E1883" s="40"/>
      <c r="F1883" s="13">
        <f t="shared" ca="1" si="965"/>
        <v>0</v>
      </c>
      <c r="G1883" s="17">
        <f t="shared" ca="1" si="965"/>
        <v>0</v>
      </c>
      <c r="H1883" s="17">
        <f t="shared" ca="1" si="965"/>
        <v>0</v>
      </c>
      <c r="I1883" s="13">
        <f t="shared" ca="1" si="965"/>
        <v>0</v>
      </c>
      <c r="J1883" s="16"/>
      <c r="K1883" s="13">
        <f t="shared" ref="K1883:K1885" ca="1" si="966">OFFSET(K1883,-6,0)</f>
        <v>0</v>
      </c>
      <c r="L1883" s="15">
        <f t="shared" ca="1" si="962"/>
        <v>1</v>
      </c>
      <c r="M1883" s="15"/>
      <c r="N1883" s="15">
        <f t="shared" ca="1" si="961"/>
        <v>0</v>
      </c>
    </row>
    <row r="1884" spans="1:14" x14ac:dyDescent="0.4">
      <c r="A1884" s="11" t="s">
        <v>57</v>
      </c>
      <c r="B1884" s="40">
        <f t="shared" ca="1" si="965"/>
        <v>0</v>
      </c>
      <c r="C1884" s="40"/>
      <c r="D1884" s="40"/>
      <c r="E1884" s="40"/>
      <c r="F1884" s="13">
        <f t="shared" ca="1" si="965"/>
        <v>0</v>
      </c>
      <c r="G1884" s="17">
        <f t="shared" ca="1" si="965"/>
        <v>0</v>
      </c>
      <c r="H1884" s="17">
        <f t="shared" ca="1" si="965"/>
        <v>0</v>
      </c>
      <c r="I1884" s="13">
        <f t="shared" ca="1" si="965"/>
        <v>0</v>
      </c>
      <c r="J1884" s="16"/>
      <c r="K1884" s="13">
        <f t="shared" ca="1" si="966"/>
        <v>0</v>
      </c>
      <c r="L1884" s="15">
        <f t="shared" ca="1" si="962"/>
        <v>1</v>
      </c>
      <c r="M1884" s="15"/>
      <c r="N1884" s="15">
        <f t="shared" ca="1" si="961"/>
        <v>0</v>
      </c>
    </row>
    <row r="1885" spans="1:14" x14ac:dyDescent="0.4">
      <c r="A1885" s="11" t="s">
        <v>57</v>
      </c>
      <c r="B1885" s="40">
        <f t="shared" ca="1" si="965"/>
        <v>0</v>
      </c>
      <c r="C1885" s="40"/>
      <c r="D1885" s="40"/>
      <c r="E1885" s="40"/>
      <c r="F1885" s="13">
        <f t="shared" ca="1" si="965"/>
        <v>0</v>
      </c>
      <c r="G1885" s="17">
        <f t="shared" ca="1" si="965"/>
        <v>0</v>
      </c>
      <c r="H1885" s="17">
        <f t="shared" ca="1" si="965"/>
        <v>0</v>
      </c>
      <c r="I1885" s="13">
        <f t="shared" ca="1" si="965"/>
        <v>0</v>
      </c>
      <c r="J1885" s="16"/>
      <c r="K1885" s="13">
        <f t="shared" ca="1" si="966"/>
        <v>0</v>
      </c>
      <c r="L1885" s="15">
        <f t="shared" ca="1" si="962"/>
        <v>1</v>
      </c>
      <c r="M1885" s="15"/>
      <c r="N1885" s="15">
        <f t="shared" ca="1" si="961"/>
        <v>0</v>
      </c>
    </row>
    <row r="1886" spans="1:14" x14ac:dyDescent="0.4">
      <c r="A1886" s="11" t="s">
        <v>7</v>
      </c>
      <c r="B1886" s="40">
        <f t="shared" ref="B1886:I1888" ca="1" si="967">OFFSET(B1886,-9,0)</f>
        <v>0</v>
      </c>
      <c r="C1886" s="40"/>
      <c r="D1886" s="40"/>
      <c r="E1886" s="40"/>
      <c r="F1886" s="13">
        <f t="shared" ca="1" si="967"/>
        <v>0</v>
      </c>
      <c r="G1886" s="17">
        <f t="shared" ca="1" si="967"/>
        <v>0</v>
      </c>
      <c r="H1886" s="17">
        <f t="shared" ca="1" si="967"/>
        <v>0</v>
      </c>
      <c r="I1886" s="13">
        <f t="shared" ca="1" si="967"/>
        <v>0</v>
      </c>
      <c r="J1886" s="16"/>
      <c r="K1886" s="13">
        <f t="shared" ref="K1886:K1888" ca="1" si="968">OFFSET(K1886,-9,0)</f>
        <v>0</v>
      </c>
      <c r="L1886" s="15">
        <f t="shared" ca="1" si="962"/>
        <v>1</v>
      </c>
      <c r="M1886" s="15"/>
      <c r="N1886" s="15">
        <f t="shared" ca="1" si="961"/>
        <v>0</v>
      </c>
    </row>
    <row r="1887" spans="1:14" x14ac:dyDescent="0.4">
      <c r="A1887" s="11" t="s">
        <v>7</v>
      </c>
      <c r="B1887" s="40">
        <f t="shared" ca="1" si="967"/>
        <v>0</v>
      </c>
      <c r="C1887" s="40"/>
      <c r="D1887" s="40"/>
      <c r="E1887" s="40"/>
      <c r="F1887" s="13">
        <f t="shared" ca="1" si="967"/>
        <v>0</v>
      </c>
      <c r="G1887" s="17">
        <f t="shared" ca="1" si="967"/>
        <v>0</v>
      </c>
      <c r="H1887" s="17">
        <f t="shared" ca="1" si="967"/>
        <v>0</v>
      </c>
      <c r="I1887" s="13">
        <f t="shared" ca="1" si="967"/>
        <v>0</v>
      </c>
      <c r="J1887" s="16"/>
      <c r="K1887" s="13">
        <f t="shared" ca="1" si="968"/>
        <v>0</v>
      </c>
      <c r="L1887" s="15">
        <f t="shared" ca="1" si="962"/>
        <v>1</v>
      </c>
      <c r="M1887" s="15"/>
      <c r="N1887" s="15">
        <f t="shared" ca="1" si="961"/>
        <v>0</v>
      </c>
    </row>
    <row r="1888" spans="1:14" x14ac:dyDescent="0.4">
      <c r="A1888" s="11" t="s">
        <v>7</v>
      </c>
      <c r="B1888" s="40">
        <f t="shared" ca="1" si="967"/>
        <v>0</v>
      </c>
      <c r="C1888" s="40"/>
      <c r="D1888" s="40"/>
      <c r="E1888" s="40"/>
      <c r="F1888" s="13">
        <f t="shared" ca="1" si="967"/>
        <v>0</v>
      </c>
      <c r="G1888" s="17">
        <f t="shared" ca="1" si="967"/>
        <v>0</v>
      </c>
      <c r="H1888" s="17">
        <f t="shared" ca="1" si="967"/>
        <v>0</v>
      </c>
      <c r="I1888" s="13">
        <f t="shared" ca="1" si="967"/>
        <v>0</v>
      </c>
      <c r="J1888" s="16"/>
      <c r="K1888" s="13">
        <f t="shared" ca="1" si="968"/>
        <v>0</v>
      </c>
      <c r="L1888" s="15">
        <f t="shared" ca="1" si="962"/>
        <v>1</v>
      </c>
      <c r="M1888" s="15"/>
      <c r="N1888" s="15">
        <f t="shared" ca="1" si="961"/>
        <v>0</v>
      </c>
    </row>
    <row r="1889" spans="1:14" x14ac:dyDescent="0.4">
      <c r="A1889" s="11" t="s">
        <v>8</v>
      </c>
      <c r="B1889" s="40">
        <f t="shared" ref="B1889:I1891" ca="1" si="969">OFFSET(B1889,-12,0)</f>
        <v>0</v>
      </c>
      <c r="C1889" s="40"/>
      <c r="D1889" s="40"/>
      <c r="E1889" s="40"/>
      <c r="F1889" s="13">
        <f t="shared" ca="1" si="969"/>
        <v>0</v>
      </c>
      <c r="G1889" s="17">
        <f t="shared" ca="1" si="969"/>
        <v>0</v>
      </c>
      <c r="H1889" s="17">
        <f t="shared" ca="1" si="969"/>
        <v>0</v>
      </c>
      <c r="I1889" s="13">
        <f t="shared" ca="1" si="969"/>
        <v>0</v>
      </c>
      <c r="J1889" s="16"/>
      <c r="K1889" s="13">
        <f t="shared" ref="K1889:K1891" ca="1" si="970">OFFSET(K1889,-12,0)</f>
        <v>0</v>
      </c>
      <c r="L1889" s="15">
        <f t="shared" ca="1" si="962"/>
        <v>1</v>
      </c>
      <c r="M1889" s="15"/>
      <c r="N1889" s="15">
        <f t="shared" ca="1" si="961"/>
        <v>0</v>
      </c>
    </row>
    <row r="1890" spans="1:14" x14ac:dyDescent="0.4">
      <c r="A1890" s="11" t="s">
        <v>8</v>
      </c>
      <c r="B1890" s="40">
        <f t="shared" ca="1" si="969"/>
        <v>0</v>
      </c>
      <c r="C1890" s="40"/>
      <c r="D1890" s="40"/>
      <c r="E1890" s="40"/>
      <c r="F1890" s="13">
        <f t="shared" ca="1" si="969"/>
        <v>0</v>
      </c>
      <c r="G1890" s="17">
        <f t="shared" ca="1" si="969"/>
        <v>0</v>
      </c>
      <c r="H1890" s="17">
        <f t="shared" ca="1" si="969"/>
        <v>0</v>
      </c>
      <c r="I1890" s="13">
        <f t="shared" ca="1" si="969"/>
        <v>0</v>
      </c>
      <c r="J1890" s="16"/>
      <c r="K1890" s="13">
        <f t="shared" ca="1" si="970"/>
        <v>0</v>
      </c>
      <c r="L1890" s="15">
        <f t="shared" ca="1" si="962"/>
        <v>1</v>
      </c>
      <c r="M1890" s="15"/>
      <c r="N1890" s="15">
        <f t="shared" ca="1" si="961"/>
        <v>0</v>
      </c>
    </row>
    <row r="1891" spans="1:14" x14ac:dyDescent="0.4">
      <c r="A1891" s="11" t="s">
        <v>8</v>
      </c>
      <c r="B1891" s="40">
        <f t="shared" ca="1" si="969"/>
        <v>0</v>
      </c>
      <c r="C1891" s="40"/>
      <c r="D1891" s="40"/>
      <c r="E1891" s="40"/>
      <c r="F1891" s="13">
        <f t="shared" ca="1" si="969"/>
        <v>0</v>
      </c>
      <c r="G1891" s="17">
        <f t="shared" ca="1" si="969"/>
        <v>0</v>
      </c>
      <c r="H1891" s="17">
        <f t="shared" ca="1" si="969"/>
        <v>0</v>
      </c>
      <c r="I1891" s="13">
        <f t="shared" ca="1" si="969"/>
        <v>0</v>
      </c>
      <c r="J1891" s="16"/>
      <c r="K1891" s="13">
        <f t="shared" ca="1" si="970"/>
        <v>0</v>
      </c>
      <c r="L1891" s="15">
        <f t="shared" ca="1" si="962"/>
        <v>1</v>
      </c>
      <c r="M1891" s="15"/>
      <c r="N1891" s="15">
        <f t="shared" ca="1" si="961"/>
        <v>0</v>
      </c>
    </row>
    <row r="1892" spans="1:14" x14ac:dyDescent="0.4">
      <c r="A1892" s="11" t="s">
        <v>9</v>
      </c>
      <c r="B1892" s="41">
        <f t="shared" ref="B1892:I1894" ca="1" si="971">OFFSET(B1892,-15,0)</f>
        <v>0</v>
      </c>
      <c r="C1892" s="41"/>
      <c r="D1892" s="41"/>
      <c r="E1892" s="41"/>
      <c r="F1892" s="19">
        <f t="shared" ca="1" si="971"/>
        <v>0</v>
      </c>
      <c r="G1892" s="20">
        <f t="shared" ca="1" si="971"/>
        <v>0</v>
      </c>
      <c r="H1892" s="20">
        <f t="shared" ca="1" si="971"/>
        <v>0</v>
      </c>
      <c r="I1892" s="13">
        <f t="shared" ca="1" si="971"/>
        <v>0</v>
      </c>
      <c r="J1892" s="16"/>
      <c r="K1892" s="19">
        <f t="shared" ref="K1892:K1894" ca="1" si="972">OFFSET(K1892,-15,0)</f>
        <v>0</v>
      </c>
      <c r="L1892" s="15">
        <f t="shared" ca="1" si="962"/>
        <v>1</v>
      </c>
      <c r="M1892" s="15"/>
      <c r="N1892" s="15">
        <f t="shared" ca="1" si="961"/>
        <v>0</v>
      </c>
    </row>
    <row r="1893" spans="1:14" x14ac:dyDescent="0.4">
      <c r="A1893" s="11" t="s">
        <v>9</v>
      </c>
      <c r="B1893" s="41">
        <f t="shared" ca="1" si="971"/>
        <v>0</v>
      </c>
      <c r="C1893" s="41"/>
      <c r="D1893" s="41"/>
      <c r="E1893" s="41"/>
      <c r="F1893" s="19">
        <f t="shared" ca="1" si="971"/>
        <v>0</v>
      </c>
      <c r="G1893" s="20">
        <f t="shared" ca="1" si="971"/>
        <v>0</v>
      </c>
      <c r="H1893" s="20">
        <f t="shared" ca="1" si="971"/>
        <v>0</v>
      </c>
      <c r="I1893" s="13">
        <f t="shared" ca="1" si="971"/>
        <v>0</v>
      </c>
      <c r="J1893" s="16"/>
      <c r="K1893" s="19">
        <f t="shared" ca="1" si="972"/>
        <v>0</v>
      </c>
      <c r="L1893" s="15">
        <f t="shared" ca="1" si="962"/>
        <v>1</v>
      </c>
      <c r="M1893" s="15"/>
      <c r="N1893" s="15">
        <f t="shared" ca="1" si="961"/>
        <v>0</v>
      </c>
    </row>
    <row r="1894" spans="1:14" x14ac:dyDescent="0.4">
      <c r="A1894" s="11" t="s">
        <v>9</v>
      </c>
      <c r="B1894" s="41">
        <f t="shared" ca="1" si="971"/>
        <v>0</v>
      </c>
      <c r="C1894" s="41"/>
      <c r="D1894" s="41"/>
      <c r="E1894" s="41"/>
      <c r="F1894" s="19">
        <f t="shared" ca="1" si="971"/>
        <v>0</v>
      </c>
      <c r="G1894" s="20">
        <f t="shared" ca="1" si="971"/>
        <v>0</v>
      </c>
      <c r="H1894" s="20">
        <f t="shared" ca="1" si="971"/>
        <v>0</v>
      </c>
      <c r="I1894" s="13">
        <f t="shared" ca="1" si="971"/>
        <v>0</v>
      </c>
      <c r="J1894" s="16"/>
      <c r="K1894" s="19">
        <f t="shared" ca="1" si="972"/>
        <v>0</v>
      </c>
      <c r="L1894" s="15">
        <f t="shared" ca="1" si="962"/>
        <v>1</v>
      </c>
      <c r="M1894" s="15"/>
      <c r="N1894" s="15">
        <f t="shared" ca="1" si="961"/>
        <v>0</v>
      </c>
    </row>
    <row r="1895" spans="1:14" ht="17.399999999999999" x14ac:dyDescent="0.4">
      <c r="A1895" s="77" t="s">
        <v>27</v>
      </c>
      <c r="B1895" s="75"/>
      <c r="C1895" s="75"/>
      <c r="D1895" s="75"/>
      <c r="E1895" s="75"/>
      <c r="F1895" s="75"/>
      <c r="G1895" s="75"/>
      <c r="H1895" s="75"/>
      <c r="I1895" s="75"/>
      <c r="J1895" s="75"/>
      <c r="K1895" s="75"/>
      <c r="L1895" s="75"/>
      <c r="M1895" s="75"/>
      <c r="N1895" s="76"/>
    </row>
    <row r="1896" spans="1:14" x14ac:dyDescent="0.4">
      <c r="A1896" s="11" t="s">
        <v>5</v>
      </c>
      <c r="B1896" s="40"/>
      <c r="C1896" s="40"/>
      <c r="D1896" s="40"/>
      <c r="E1896" s="40"/>
      <c r="F1896" s="13"/>
      <c r="G1896" s="11"/>
      <c r="H1896" s="17"/>
      <c r="I1896" s="13"/>
      <c r="J1896" s="16"/>
      <c r="K1896" s="13"/>
      <c r="L1896" s="15">
        <f>ROUND((10^(K1896/10))/(10^(I1896/10)),3)</f>
        <v>1</v>
      </c>
      <c r="M1896" s="15"/>
      <c r="N1896" s="15">
        <f t="shared" ref="N1896:N1913" si="973">J1896*L1896</f>
        <v>0</v>
      </c>
    </row>
    <row r="1897" spans="1:14" x14ac:dyDescent="0.4">
      <c r="A1897" s="11" t="s">
        <v>5</v>
      </c>
      <c r="B1897" s="40"/>
      <c r="C1897" s="40"/>
      <c r="D1897" s="40"/>
      <c r="E1897" s="40"/>
      <c r="F1897" s="13"/>
      <c r="G1897" s="11"/>
      <c r="H1897" s="17"/>
      <c r="I1897" s="13"/>
      <c r="J1897" s="16"/>
      <c r="K1897" s="13"/>
      <c r="L1897" s="15">
        <f t="shared" ref="L1897:L1913" si="974">ROUND((10^(K1897/10))/(10^(I1897/10)),3)</f>
        <v>1</v>
      </c>
      <c r="M1897" s="15"/>
      <c r="N1897" s="15">
        <f t="shared" si="973"/>
        <v>0</v>
      </c>
    </row>
    <row r="1898" spans="1:14" x14ac:dyDescent="0.4">
      <c r="A1898" s="11" t="s">
        <v>5</v>
      </c>
      <c r="B1898" s="40"/>
      <c r="C1898" s="40"/>
      <c r="D1898" s="40"/>
      <c r="E1898" s="40"/>
      <c r="F1898" s="13"/>
      <c r="G1898" s="11"/>
      <c r="H1898" s="17"/>
      <c r="I1898" s="13"/>
      <c r="J1898" s="16"/>
      <c r="K1898" s="13"/>
      <c r="L1898" s="15">
        <f t="shared" si="974"/>
        <v>1</v>
      </c>
      <c r="M1898" s="15"/>
      <c r="N1898" s="15">
        <f t="shared" si="973"/>
        <v>0</v>
      </c>
    </row>
    <row r="1899" spans="1:14" x14ac:dyDescent="0.4">
      <c r="A1899" s="11" t="s">
        <v>6</v>
      </c>
      <c r="B1899" s="41">
        <f t="shared" ref="B1899:I1901" ca="1" si="975">OFFSET(B1899,-3,0)</f>
        <v>0</v>
      </c>
      <c r="C1899" s="41"/>
      <c r="D1899" s="41"/>
      <c r="E1899" s="41"/>
      <c r="F1899" s="19">
        <f t="shared" ca="1" si="975"/>
        <v>0</v>
      </c>
      <c r="G1899" s="20">
        <f t="shared" ca="1" si="975"/>
        <v>0</v>
      </c>
      <c r="H1899" s="20">
        <f t="shared" ca="1" si="975"/>
        <v>0</v>
      </c>
      <c r="I1899" s="13">
        <f t="shared" ca="1" si="975"/>
        <v>0</v>
      </c>
      <c r="J1899" s="16"/>
      <c r="K1899" s="19">
        <f t="shared" ref="K1899:K1901" ca="1" si="976">OFFSET(K1899,-3,0)</f>
        <v>0</v>
      </c>
      <c r="L1899" s="15">
        <f t="shared" ca="1" si="974"/>
        <v>1</v>
      </c>
      <c r="M1899" s="15"/>
      <c r="N1899" s="15">
        <f t="shared" ca="1" si="973"/>
        <v>0</v>
      </c>
    </row>
    <row r="1900" spans="1:14" x14ac:dyDescent="0.4">
      <c r="A1900" s="11" t="s">
        <v>6</v>
      </c>
      <c r="B1900" s="41">
        <f t="shared" ca="1" si="975"/>
        <v>0</v>
      </c>
      <c r="C1900" s="41"/>
      <c r="D1900" s="41"/>
      <c r="E1900" s="41"/>
      <c r="F1900" s="19">
        <f t="shared" ca="1" si="975"/>
        <v>0</v>
      </c>
      <c r="G1900" s="20">
        <f t="shared" ca="1" si="975"/>
        <v>0</v>
      </c>
      <c r="H1900" s="20">
        <f t="shared" ca="1" si="975"/>
        <v>0</v>
      </c>
      <c r="I1900" s="13">
        <f t="shared" ca="1" si="975"/>
        <v>0</v>
      </c>
      <c r="J1900" s="16"/>
      <c r="K1900" s="19">
        <f t="shared" ca="1" si="976"/>
        <v>0</v>
      </c>
      <c r="L1900" s="15">
        <f t="shared" ca="1" si="974"/>
        <v>1</v>
      </c>
      <c r="M1900" s="15"/>
      <c r="N1900" s="15">
        <f t="shared" ca="1" si="973"/>
        <v>0</v>
      </c>
    </row>
    <row r="1901" spans="1:14" x14ac:dyDescent="0.4">
      <c r="A1901" s="11" t="s">
        <v>6</v>
      </c>
      <c r="B1901" s="41">
        <f t="shared" ca="1" si="975"/>
        <v>0</v>
      </c>
      <c r="C1901" s="41"/>
      <c r="D1901" s="41"/>
      <c r="E1901" s="41"/>
      <c r="F1901" s="19">
        <f t="shared" ca="1" si="975"/>
        <v>0</v>
      </c>
      <c r="G1901" s="20">
        <f t="shared" ca="1" si="975"/>
        <v>0</v>
      </c>
      <c r="H1901" s="20">
        <f t="shared" ca="1" si="975"/>
        <v>0</v>
      </c>
      <c r="I1901" s="13">
        <f t="shared" ca="1" si="975"/>
        <v>0</v>
      </c>
      <c r="J1901" s="16"/>
      <c r="K1901" s="19">
        <f t="shared" ca="1" si="976"/>
        <v>0</v>
      </c>
      <c r="L1901" s="15">
        <f t="shared" ca="1" si="974"/>
        <v>1</v>
      </c>
      <c r="M1901" s="15"/>
      <c r="N1901" s="15">
        <f t="shared" ca="1" si="973"/>
        <v>0</v>
      </c>
    </row>
    <row r="1902" spans="1:14" x14ac:dyDescent="0.4">
      <c r="A1902" s="11" t="s">
        <v>57</v>
      </c>
      <c r="B1902" s="40">
        <f t="shared" ref="B1902:I1904" ca="1" si="977">OFFSET(B1902,-6,0)</f>
        <v>0</v>
      </c>
      <c r="C1902" s="40"/>
      <c r="D1902" s="40"/>
      <c r="E1902" s="40"/>
      <c r="F1902" s="13">
        <f t="shared" ca="1" si="977"/>
        <v>0</v>
      </c>
      <c r="G1902" s="17">
        <f t="shared" ca="1" si="977"/>
        <v>0</v>
      </c>
      <c r="H1902" s="17">
        <f t="shared" ca="1" si="977"/>
        <v>0</v>
      </c>
      <c r="I1902" s="13">
        <f t="shared" ca="1" si="977"/>
        <v>0</v>
      </c>
      <c r="J1902" s="16"/>
      <c r="K1902" s="13">
        <f t="shared" ref="K1902:K1904" ca="1" si="978">OFFSET(K1902,-6,0)</f>
        <v>0</v>
      </c>
      <c r="L1902" s="15">
        <f t="shared" ca="1" si="974"/>
        <v>1</v>
      </c>
      <c r="M1902" s="15"/>
      <c r="N1902" s="15">
        <f t="shared" ca="1" si="973"/>
        <v>0</v>
      </c>
    </row>
    <row r="1903" spans="1:14" x14ac:dyDescent="0.4">
      <c r="A1903" s="11" t="s">
        <v>57</v>
      </c>
      <c r="B1903" s="40">
        <f t="shared" ca="1" si="977"/>
        <v>0</v>
      </c>
      <c r="C1903" s="40"/>
      <c r="D1903" s="40"/>
      <c r="E1903" s="40"/>
      <c r="F1903" s="13">
        <f t="shared" ca="1" si="977"/>
        <v>0</v>
      </c>
      <c r="G1903" s="17">
        <f t="shared" ca="1" si="977"/>
        <v>0</v>
      </c>
      <c r="H1903" s="17">
        <f t="shared" ca="1" si="977"/>
        <v>0</v>
      </c>
      <c r="I1903" s="13">
        <f t="shared" ca="1" si="977"/>
        <v>0</v>
      </c>
      <c r="J1903" s="16"/>
      <c r="K1903" s="13">
        <f t="shared" ca="1" si="978"/>
        <v>0</v>
      </c>
      <c r="L1903" s="15">
        <f t="shared" ca="1" si="974"/>
        <v>1</v>
      </c>
      <c r="M1903" s="15"/>
      <c r="N1903" s="15">
        <f t="shared" ca="1" si="973"/>
        <v>0</v>
      </c>
    </row>
    <row r="1904" spans="1:14" x14ac:dyDescent="0.4">
      <c r="A1904" s="11" t="s">
        <v>57</v>
      </c>
      <c r="B1904" s="40">
        <f t="shared" ca="1" si="977"/>
        <v>0</v>
      </c>
      <c r="C1904" s="40"/>
      <c r="D1904" s="40"/>
      <c r="E1904" s="40"/>
      <c r="F1904" s="13">
        <f t="shared" ca="1" si="977"/>
        <v>0</v>
      </c>
      <c r="G1904" s="17">
        <f t="shared" ca="1" si="977"/>
        <v>0</v>
      </c>
      <c r="H1904" s="17">
        <f t="shared" ca="1" si="977"/>
        <v>0</v>
      </c>
      <c r="I1904" s="13">
        <f t="shared" ca="1" si="977"/>
        <v>0</v>
      </c>
      <c r="J1904" s="16"/>
      <c r="K1904" s="13">
        <f t="shared" ca="1" si="978"/>
        <v>0</v>
      </c>
      <c r="L1904" s="15">
        <f t="shared" ca="1" si="974"/>
        <v>1</v>
      </c>
      <c r="M1904" s="15"/>
      <c r="N1904" s="15">
        <f t="shared" ca="1" si="973"/>
        <v>0</v>
      </c>
    </row>
    <row r="1905" spans="1:14" x14ac:dyDescent="0.4">
      <c r="A1905" s="11" t="s">
        <v>7</v>
      </c>
      <c r="B1905" s="40">
        <f t="shared" ref="B1905:I1907" ca="1" si="979">OFFSET(B1905,-9,0)</f>
        <v>0</v>
      </c>
      <c r="C1905" s="40"/>
      <c r="D1905" s="40"/>
      <c r="E1905" s="40"/>
      <c r="F1905" s="13">
        <f t="shared" ca="1" si="979"/>
        <v>0</v>
      </c>
      <c r="G1905" s="17">
        <f t="shared" ca="1" si="979"/>
        <v>0</v>
      </c>
      <c r="H1905" s="17">
        <f t="shared" ca="1" si="979"/>
        <v>0</v>
      </c>
      <c r="I1905" s="13">
        <f t="shared" ca="1" si="979"/>
        <v>0</v>
      </c>
      <c r="J1905" s="16"/>
      <c r="K1905" s="13">
        <f t="shared" ref="K1905:K1907" ca="1" si="980">OFFSET(K1905,-9,0)</f>
        <v>0</v>
      </c>
      <c r="L1905" s="15">
        <f t="shared" ca="1" si="974"/>
        <v>1</v>
      </c>
      <c r="M1905" s="15"/>
      <c r="N1905" s="15">
        <f t="shared" ca="1" si="973"/>
        <v>0</v>
      </c>
    </row>
    <row r="1906" spans="1:14" x14ac:dyDescent="0.4">
      <c r="A1906" s="11" t="s">
        <v>7</v>
      </c>
      <c r="B1906" s="40">
        <f t="shared" ca="1" si="979"/>
        <v>0</v>
      </c>
      <c r="C1906" s="40"/>
      <c r="D1906" s="40"/>
      <c r="E1906" s="40"/>
      <c r="F1906" s="13">
        <f t="shared" ca="1" si="979"/>
        <v>0</v>
      </c>
      <c r="G1906" s="17">
        <f t="shared" ca="1" si="979"/>
        <v>0</v>
      </c>
      <c r="H1906" s="17">
        <f t="shared" ca="1" si="979"/>
        <v>0</v>
      </c>
      <c r="I1906" s="13">
        <f t="shared" ca="1" si="979"/>
        <v>0</v>
      </c>
      <c r="J1906" s="16"/>
      <c r="K1906" s="13">
        <f t="shared" ca="1" si="980"/>
        <v>0</v>
      </c>
      <c r="L1906" s="15">
        <f t="shared" ca="1" si="974"/>
        <v>1</v>
      </c>
      <c r="M1906" s="15"/>
      <c r="N1906" s="15">
        <f t="shared" ca="1" si="973"/>
        <v>0</v>
      </c>
    </row>
    <row r="1907" spans="1:14" x14ac:dyDescent="0.4">
      <c r="A1907" s="11" t="s">
        <v>7</v>
      </c>
      <c r="B1907" s="40">
        <f t="shared" ca="1" si="979"/>
        <v>0</v>
      </c>
      <c r="C1907" s="40"/>
      <c r="D1907" s="40"/>
      <c r="E1907" s="40"/>
      <c r="F1907" s="13">
        <f t="shared" ca="1" si="979"/>
        <v>0</v>
      </c>
      <c r="G1907" s="17">
        <f t="shared" ca="1" si="979"/>
        <v>0</v>
      </c>
      <c r="H1907" s="17">
        <f t="shared" ca="1" si="979"/>
        <v>0</v>
      </c>
      <c r="I1907" s="13">
        <f t="shared" ca="1" si="979"/>
        <v>0</v>
      </c>
      <c r="J1907" s="16"/>
      <c r="K1907" s="13">
        <f t="shared" ca="1" si="980"/>
        <v>0</v>
      </c>
      <c r="L1907" s="15">
        <f t="shared" ca="1" si="974"/>
        <v>1</v>
      </c>
      <c r="M1907" s="15"/>
      <c r="N1907" s="15">
        <f t="shared" ca="1" si="973"/>
        <v>0</v>
      </c>
    </row>
    <row r="1908" spans="1:14" x14ac:dyDescent="0.4">
      <c r="A1908" s="11" t="s">
        <v>8</v>
      </c>
      <c r="B1908" s="40">
        <f t="shared" ref="B1908:I1910" ca="1" si="981">OFFSET(B1908,-12,0)</f>
        <v>0</v>
      </c>
      <c r="C1908" s="40"/>
      <c r="D1908" s="40"/>
      <c r="E1908" s="40"/>
      <c r="F1908" s="13">
        <f t="shared" ca="1" si="981"/>
        <v>0</v>
      </c>
      <c r="G1908" s="17">
        <f t="shared" ca="1" si="981"/>
        <v>0</v>
      </c>
      <c r="H1908" s="17">
        <f t="shared" ca="1" si="981"/>
        <v>0</v>
      </c>
      <c r="I1908" s="13">
        <f t="shared" ca="1" si="981"/>
        <v>0</v>
      </c>
      <c r="J1908" s="16"/>
      <c r="K1908" s="13">
        <f t="shared" ref="K1908:K1910" ca="1" si="982">OFFSET(K1908,-12,0)</f>
        <v>0</v>
      </c>
      <c r="L1908" s="15">
        <f t="shared" ca="1" si="974"/>
        <v>1</v>
      </c>
      <c r="M1908" s="15"/>
      <c r="N1908" s="15">
        <f t="shared" ca="1" si="973"/>
        <v>0</v>
      </c>
    </row>
    <row r="1909" spans="1:14" x14ac:dyDescent="0.4">
      <c r="A1909" s="11" t="s">
        <v>8</v>
      </c>
      <c r="B1909" s="40">
        <f t="shared" ca="1" si="981"/>
        <v>0</v>
      </c>
      <c r="C1909" s="40"/>
      <c r="D1909" s="40"/>
      <c r="E1909" s="40"/>
      <c r="F1909" s="13">
        <f t="shared" ca="1" si="981"/>
        <v>0</v>
      </c>
      <c r="G1909" s="17">
        <f t="shared" ca="1" si="981"/>
        <v>0</v>
      </c>
      <c r="H1909" s="17">
        <f t="shared" ca="1" si="981"/>
        <v>0</v>
      </c>
      <c r="I1909" s="13">
        <f t="shared" ca="1" si="981"/>
        <v>0</v>
      </c>
      <c r="J1909" s="16"/>
      <c r="K1909" s="13">
        <f t="shared" ca="1" si="982"/>
        <v>0</v>
      </c>
      <c r="L1909" s="15">
        <f t="shared" ca="1" si="974"/>
        <v>1</v>
      </c>
      <c r="M1909" s="15"/>
      <c r="N1909" s="15">
        <f t="shared" ca="1" si="973"/>
        <v>0</v>
      </c>
    </row>
    <row r="1910" spans="1:14" x14ac:dyDescent="0.4">
      <c r="A1910" s="11" t="s">
        <v>8</v>
      </c>
      <c r="B1910" s="40">
        <f t="shared" ca="1" si="981"/>
        <v>0</v>
      </c>
      <c r="C1910" s="40"/>
      <c r="D1910" s="40"/>
      <c r="E1910" s="40"/>
      <c r="F1910" s="13">
        <f t="shared" ca="1" si="981"/>
        <v>0</v>
      </c>
      <c r="G1910" s="17">
        <f t="shared" ca="1" si="981"/>
        <v>0</v>
      </c>
      <c r="H1910" s="17">
        <f t="shared" ca="1" si="981"/>
        <v>0</v>
      </c>
      <c r="I1910" s="13">
        <f t="shared" ca="1" si="981"/>
        <v>0</v>
      </c>
      <c r="J1910" s="16"/>
      <c r="K1910" s="13">
        <f t="shared" ca="1" si="982"/>
        <v>0</v>
      </c>
      <c r="L1910" s="15">
        <f t="shared" ca="1" si="974"/>
        <v>1</v>
      </c>
      <c r="M1910" s="15"/>
      <c r="N1910" s="15">
        <f t="shared" ca="1" si="973"/>
        <v>0</v>
      </c>
    </row>
    <row r="1911" spans="1:14" x14ac:dyDescent="0.4">
      <c r="A1911" s="11" t="s">
        <v>9</v>
      </c>
      <c r="B1911" s="41">
        <f t="shared" ref="B1911:I1913" ca="1" si="983">OFFSET(B1911,-15,0)</f>
        <v>0</v>
      </c>
      <c r="C1911" s="41"/>
      <c r="D1911" s="41"/>
      <c r="E1911" s="41"/>
      <c r="F1911" s="19">
        <f t="shared" ca="1" si="983"/>
        <v>0</v>
      </c>
      <c r="G1911" s="20">
        <f t="shared" ca="1" si="983"/>
        <v>0</v>
      </c>
      <c r="H1911" s="20">
        <f t="shared" ca="1" si="983"/>
        <v>0</v>
      </c>
      <c r="I1911" s="13">
        <f t="shared" ca="1" si="983"/>
        <v>0</v>
      </c>
      <c r="J1911" s="16"/>
      <c r="K1911" s="19">
        <f t="shared" ref="K1911:K1913" ca="1" si="984">OFFSET(K1911,-15,0)</f>
        <v>0</v>
      </c>
      <c r="L1911" s="15">
        <f t="shared" ca="1" si="974"/>
        <v>1</v>
      </c>
      <c r="M1911" s="15"/>
      <c r="N1911" s="15">
        <f t="shared" ca="1" si="973"/>
        <v>0</v>
      </c>
    </row>
    <row r="1912" spans="1:14" x14ac:dyDescent="0.4">
      <c r="A1912" s="11" t="s">
        <v>9</v>
      </c>
      <c r="B1912" s="41">
        <f t="shared" ca="1" si="983"/>
        <v>0</v>
      </c>
      <c r="C1912" s="41"/>
      <c r="D1912" s="41"/>
      <c r="E1912" s="41"/>
      <c r="F1912" s="19">
        <f t="shared" ca="1" si="983"/>
        <v>0</v>
      </c>
      <c r="G1912" s="20">
        <f t="shared" ca="1" si="983"/>
        <v>0</v>
      </c>
      <c r="H1912" s="20">
        <f t="shared" ca="1" si="983"/>
        <v>0</v>
      </c>
      <c r="I1912" s="13">
        <f t="shared" ca="1" si="983"/>
        <v>0</v>
      </c>
      <c r="J1912" s="16"/>
      <c r="K1912" s="19">
        <f t="shared" ca="1" si="984"/>
        <v>0</v>
      </c>
      <c r="L1912" s="15">
        <f t="shared" ca="1" si="974"/>
        <v>1</v>
      </c>
      <c r="M1912" s="15"/>
      <c r="N1912" s="15">
        <f t="shared" ca="1" si="973"/>
        <v>0</v>
      </c>
    </row>
    <row r="1913" spans="1:14" x14ac:dyDescent="0.4">
      <c r="A1913" s="11" t="s">
        <v>9</v>
      </c>
      <c r="B1913" s="41">
        <f t="shared" ca="1" si="983"/>
        <v>0</v>
      </c>
      <c r="C1913" s="41"/>
      <c r="D1913" s="41"/>
      <c r="E1913" s="41"/>
      <c r="F1913" s="19">
        <f t="shared" ca="1" si="983"/>
        <v>0</v>
      </c>
      <c r="G1913" s="20">
        <f t="shared" ca="1" si="983"/>
        <v>0</v>
      </c>
      <c r="H1913" s="20">
        <f t="shared" ca="1" si="983"/>
        <v>0</v>
      </c>
      <c r="I1913" s="13">
        <f t="shared" ca="1" si="983"/>
        <v>0</v>
      </c>
      <c r="J1913" s="16"/>
      <c r="K1913" s="19">
        <f t="shared" ca="1" si="984"/>
        <v>0</v>
      </c>
      <c r="L1913" s="15">
        <f t="shared" ca="1" si="974"/>
        <v>1</v>
      </c>
      <c r="M1913" s="15"/>
      <c r="N1913" s="15">
        <f t="shared" ca="1" si="973"/>
        <v>0</v>
      </c>
    </row>
    <row r="1914" spans="1:14" ht="17.399999999999999" x14ac:dyDescent="0.4">
      <c r="A1914" s="77" t="s">
        <v>31</v>
      </c>
      <c r="B1914" s="75"/>
      <c r="C1914" s="75"/>
      <c r="D1914" s="75"/>
      <c r="E1914" s="75"/>
      <c r="F1914" s="75"/>
      <c r="G1914" s="75"/>
      <c r="H1914" s="75"/>
      <c r="I1914" s="75"/>
      <c r="J1914" s="75"/>
      <c r="K1914" s="75"/>
      <c r="L1914" s="75"/>
      <c r="M1914" s="75"/>
      <c r="N1914" s="76"/>
    </row>
    <row r="1915" spans="1:14" x14ac:dyDescent="0.4">
      <c r="A1915" s="11" t="s">
        <v>5</v>
      </c>
      <c r="B1915" s="40"/>
      <c r="C1915" s="40"/>
      <c r="D1915" s="40"/>
      <c r="E1915" s="40"/>
      <c r="F1915" s="13"/>
      <c r="G1915" s="11"/>
      <c r="H1915" s="17"/>
      <c r="I1915" s="13"/>
      <c r="J1915" s="16"/>
      <c r="K1915" s="13"/>
      <c r="L1915" s="15">
        <f>ROUND((10^(K1915/10))/(10^(I1915/10)),3)</f>
        <v>1</v>
      </c>
      <c r="M1915" s="15"/>
      <c r="N1915" s="15">
        <f t="shared" ref="N1915:N1932" si="985">J1915*L1915</f>
        <v>0</v>
      </c>
    </row>
    <row r="1916" spans="1:14" x14ac:dyDescent="0.4">
      <c r="A1916" s="11" t="s">
        <v>5</v>
      </c>
      <c r="B1916" s="40"/>
      <c r="C1916" s="40"/>
      <c r="D1916" s="40"/>
      <c r="E1916" s="40"/>
      <c r="F1916" s="13"/>
      <c r="G1916" s="11"/>
      <c r="H1916" s="17"/>
      <c r="I1916" s="13"/>
      <c r="J1916" s="16"/>
      <c r="K1916" s="13"/>
      <c r="L1916" s="15">
        <f t="shared" ref="L1916:L1932" si="986">ROUND((10^(K1916/10))/(10^(I1916/10)),3)</f>
        <v>1</v>
      </c>
      <c r="M1916" s="15"/>
      <c r="N1916" s="15">
        <f t="shared" si="985"/>
        <v>0</v>
      </c>
    </row>
    <row r="1917" spans="1:14" x14ac:dyDescent="0.4">
      <c r="A1917" s="11" t="s">
        <v>5</v>
      </c>
      <c r="B1917" s="40"/>
      <c r="C1917" s="40"/>
      <c r="D1917" s="40"/>
      <c r="E1917" s="40"/>
      <c r="F1917" s="13"/>
      <c r="G1917" s="11"/>
      <c r="H1917" s="17"/>
      <c r="I1917" s="13"/>
      <c r="J1917" s="16"/>
      <c r="K1917" s="13"/>
      <c r="L1917" s="15">
        <f t="shared" si="986"/>
        <v>1</v>
      </c>
      <c r="M1917" s="15"/>
      <c r="N1917" s="15">
        <f t="shared" si="985"/>
        <v>0</v>
      </c>
    </row>
    <row r="1918" spans="1:14" x14ac:dyDescent="0.4">
      <c r="A1918" s="11" t="s">
        <v>6</v>
      </c>
      <c r="B1918" s="41">
        <f t="shared" ref="B1918:I1920" ca="1" si="987">OFFSET(B1918,-3,0)</f>
        <v>0</v>
      </c>
      <c r="C1918" s="41"/>
      <c r="D1918" s="41"/>
      <c r="E1918" s="41"/>
      <c r="F1918" s="19">
        <f t="shared" ca="1" si="987"/>
        <v>0</v>
      </c>
      <c r="G1918" s="20">
        <f t="shared" ca="1" si="987"/>
        <v>0</v>
      </c>
      <c r="H1918" s="20">
        <f t="shared" ca="1" si="987"/>
        <v>0</v>
      </c>
      <c r="I1918" s="13">
        <f t="shared" ca="1" si="987"/>
        <v>0</v>
      </c>
      <c r="J1918" s="16"/>
      <c r="K1918" s="19">
        <f t="shared" ref="K1918:K1920" ca="1" si="988">OFFSET(K1918,-3,0)</f>
        <v>0</v>
      </c>
      <c r="L1918" s="15">
        <f t="shared" ca="1" si="986"/>
        <v>1</v>
      </c>
      <c r="M1918" s="15"/>
      <c r="N1918" s="15">
        <f t="shared" ca="1" si="985"/>
        <v>0</v>
      </c>
    </row>
    <row r="1919" spans="1:14" x14ac:dyDescent="0.4">
      <c r="A1919" s="11" t="s">
        <v>6</v>
      </c>
      <c r="B1919" s="41">
        <f t="shared" ca="1" si="987"/>
        <v>0</v>
      </c>
      <c r="C1919" s="41"/>
      <c r="D1919" s="41"/>
      <c r="E1919" s="41"/>
      <c r="F1919" s="19">
        <f t="shared" ca="1" si="987"/>
        <v>0</v>
      </c>
      <c r="G1919" s="20">
        <f t="shared" ca="1" si="987"/>
        <v>0</v>
      </c>
      <c r="H1919" s="20">
        <f t="shared" ca="1" si="987"/>
        <v>0</v>
      </c>
      <c r="I1919" s="13">
        <f t="shared" ca="1" si="987"/>
        <v>0</v>
      </c>
      <c r="J1919" s="16"/>
      <c r="K1919" s="19">
        <f t="shared" ca="1" si="988"/>
        <v>0</v>
      </c>
      <c r="L1919" s="15">
        <f t="shared" ca="1" si="986"/>
        <v>1</v>
      </c>
      <c r="M1919" s="15"/>
      <c r="N1919" s="15">
        <f t="shared" ca="1" si="985"/>
        <v>0</v>
      </c>
    </row>
    <row r="1920" spans="1:14" x14ac:dyDescent="0.4">
      <c r="A1920" s="11" t="s">
        <v>6</v>
      </c>
      <c r="B1920" s="41">
        <f t="shared" ca="1" si="987"/>
        <v>0</v>
      </c>
      <c r="C1920" s="41"/>
      <c r="D1920" s="41"/>
      <c r="E1920" s="41"/>
      <c r="F1920" s="19">
        <f t="shared" ca="1" si="987"/>
        <v>0</v>
      </c>
      <c r="G1920" s="20">
        <f t="shared" ca="1" si="987"/>
        <v>0</v>
      </c>
      <c r="H1920" s="20">
        <f t="shared" ca="1" si="987"/>
        <v>0</v>
      </c>
      <c r="I1920" s="13">
        <f t="shared" ca="1" si="987"/>
        <v>0</v>
      </c>
      <c r="J1920" s="16"/>
      <c r="K1920" s="19">
        <f t="shared" ca="1" si="988"/>
        <v>0</v>
      </c>
      <c r="L1920" s="15">
        <f t="shared" ca="1" si="986"/>
        <v>1</v>
      </c>
      <c r="M1920" s="15"/>
      <c r="N1920" s="15">
        <f t="shared" ca="1" si="985"/>
        <v>0</v>
      </c>
    </row>
    <row r="1921" spans="1:14" x14ac:dyDescent="0.4">
      <c r="A1921" s="11" t="s">
        <v>10</v>
      </c>
      <c r="B1921" s="40">
        <f t="shared" ref="B1921:I1923" ca="1" si="989">OFFSET(B1921,-6,0)</f>
        <v>0</v>
      </c>
      <c r="C1921" s="40"/>
      <c r="D1921" s="40"/>
      <c r="E1921" s="40"/>
      <c r="F1921" s="13">
        <f t="shared" ca="1" si="989"/>
        <v>0</v>
      </c>
      <c r="G1921" s="17">
        <f t="shared" ca="1" si="989"/>
        <v>0</v>
      </c>
      <c r="H1921" s="17">
        <f t="shared" ca="1" si="989"/>
        <v>0</v>
      </c>
      <c r="I1921" s="13">
        <f t="shared" ca="1" si="989"/>
        <v>0</v>
      </c>
      <c r="J1921" s="16"/>
      <c r="K1921" s="13">
        <f t="shared" ref="K1921:K1923" ca="1" si="990">OFFSET(K1921,-6,0)</f>
        <v>0</v>
      </c>
      <c r="L1921" s="15">
        <f t="shared" ca="1" si="986"/>
        <v>1</v>
      </c>
      <c r="M1921" s="15"/>
      <c r="N1921" s="15">
        <f t="shared" ca="1" si="985"/>
        <v>0</v>
      </c>
    </row>
    <row r="1922" spans="1:14" x14ac:dyDescent="0.4">
      <c r="A1922" s="11" t="s">
        <v>10</v>
      </c>
      <c r="B1922" s="40">
        <f t="shared" ca="1" si="989"/>
        <v>0</v>
      </c>
      <c r="C1922" s="40"/>
      <c r="D1922" s="40"/>
      <c r="E1922" s="40"/>
      <c r="F1922" s="13">
        <f t="shared" ca="1" si="989"/>
        <v>0</v>
      </c>
      <c r="G1922" s="17">
        <f t="shared" ca="1" si="989"/>
        <v>0</v>
      </c>
      <c r="H1922" s="17">
        <f t="shared" ca="1" si="989"/>
        <v>0</v>
      </c>
      <c r="I1922" s="13">
        <f t="shared" ca="1" si="989"/>
        <v>0</v>
      </c>
      <c r="J1922" s="16"/>
      <c r="K1922" s="13">
        <f t="shared" ca="1" si="990"/>
        <v>0</v>
      </c>
      <c r="L1922" s="15">
        <f t="shared" ca="1" si="986"/>
        <v>1</v>
      </c>
      <c r="M1922" s="15"/>
      <c r="N1922" s="15">
        <f t="shared" ca="1" si="985"/>
        <v>0</v>
      </c>
    </row>
    <row r="1923" spans="1:14" x14ac:dyDescent="0.4">
      <c r="A1923" s="11" t="s">
        <v>10</v>
      </c>
      <c r="B1923" s="40">
        <f t="shared" ca="1" si="989"/>
        <v>0</v>
      </c>
      <c r="C1923" s="40"/>
      <c r="D1923" s="40"/>
      <c r="E1923" s="40"/>
      <c r="F1923" s="13">
        <f t="shared" ca="1" si="989"/>
        <v>0</v>
      </c>
      <c r="G1923" s="17">
        <f t="shared" ca="1" si="989"/>
        <v>0</v>
      </c>
      <c r="H1923" s="17">
        <f t="shared" ca="1" si="989"/>
        <v>0</v>
      </c>
      <c r="I1923" s="13">
        <f t="shared" ca="1" si="989"/>
        <v>0</v>
      </c>
      <c r="J1923" s="16"/>
      <c r="K1923" s="13">
        <f t="shared" ca="1" si="990"/>
        <v>0</v>
      </c>
      <c r="L1923" s="15">
        <f t="shared" ca="1" si="986"/>
        <v>1</v>
      </c>
      <c r="M1923" s="15"/>
      <c r="N1923" s="15">
        <f t="shared" ca="1" si="985"/>
        <v>0</v>
      </c>
    </row>
    <row r="1924" spans="1:14" x14ac:dyDescent="0.4">
      <c r="A1924" s="11" t="s">
        <v>7</v>
      </c>
      <c r="B1924" s="40">
        <f t="shared" ref="B1924:I1926" ca="1" si="991">OFFSET(B1924,-9,0)</f>
        <v>0</v>
      </c>
      <c r="C1924" s="40"/>
      <c r="D1924" s="40"/>
      <c r="E1924" s="40"/>
      <c r="F1924" s="13">
        <f t="shared" ca="1" si="991"/>
        <v>0</v>
      </c>
      <c r="G1924" s="17">
        <f t="shared" ca="1" si="991"/>
        <v>0</v>
      </c>
      <c r="H1924" s="17">
        <f t="shared" ca="1" si="991"/>
        <v>0</v>
      </c>
      <c r="I1924" s="13">
        <f t="shared" ca="1" si="991"/>
        <v>0</v>
      </c>
      <c r="J1924" s="16"/>
      <c r="K1924" s="13">
        <f t="shared" ref="K1924:K1926" ca="1" si="992">OFFSET(K1924,-9,0)</f>
        <v>0</v>
      </c>
      <c r="L1924" s="15">
        <f t="shared" ca="1" si="986"/>
        <v>1</v>
      </c>
      <c r="M1924" s="15"/>
      <c r="N1924" s="15">
        <f t="shared" ca="1" si="985"/>
        <v>0</v>
      </c>
    </row>
    <row r="1925" spans="1:14" x14ac:dyDescent="0.4">
      <c r="A1925" s="11" t="s">
        <v>7</v>
      </c>
      <c r="B1925" s="40">
        <f t="shared" ca="1" si="991"/>
        <v>0</v>
      </c>
      <c r="C1925" s="40"/>
      <c r="D1925" s="40"/>
      <c r="E1925" s="40"/>
      <c r="F1925" s="13">
        <f t="shared" ca="1" si="991"/>
        <v>0</v>
      </c>
      <c r="G1925" s="17">
        <f t="shared" ca="1" si="991"/>
        <v>0</v>
      </c>
      <c r="H1925" s="17">
        <f t="shared" ca="1" si="991"/>
        <v>0</v>
      </c>
      <c r="I1925" s="13">
        <f t="shared" ca="1" si="991"/>
        <v>0</v>
      </c>
      <c r="J1925" s="16"/>
      <c r="K1925" s="13">
        <f t="shared" ca="1" si="992"/>
        <v>0</v>
      </c>
      <c r="L1925" s="15">
        <f t="shared" ca="1" si="986"/>
        <v>1</v>
      </c>
      <c r="M1925" s="15"/>
      <c r="N1925" s="15">
        <f t="shared" ca="1" si="985"/>
        <v>0</v>
      </c>
    </row>
    <row r="1926" spans="1:14" x14ac:dyDescent="0.4">
      <c r="A1926" s="11" t="s">
        <v>7</v>
      </c>
      <c r="B1926" s="40">
        <f t="shared" ca="1" si="991"/>
        <v>0</v>
      </c>
      <c r="C1926" s="40"/>
      <c r="D1926" s="40"/>
      <c r="E1926" s="40"/>
      <c r="F1926" s="13">
        <f t="shared" ca="1" si="991"/>
        <v>0</v>
      </c>
      <c r="G1926" s="17">
        <f t="shared" ca="1" si="991"/>
        <v>0</v>
      </c>
      <c r="H1926" s="17">
        <f t="shared" ca="1" si="991"/>
        <v>0</v>
      </c>
      <c r="I1926" s="13">
        <f t="shared" ca="1" si="991"/>
        <v>0</v>
      </c>
      <c r="J1926" s="16"/>
      <c r="K1926" s="13">
        <f t="shared" ca="1" si="992"/>
        <v>0</v>
      </c>
      <c r="L1926" s="15">
        <f t="shared" ca="1" si="986"/>
        <v>1</v>
      </c>
      <c r="M1926" s="15"/>
      <c r="N1926" s="15">
        <f t="shared" ca="1" si="985"/>
        <v>0</v>
      </c>
    </row>
    <row r="1927" spans="1:14" x14ac:dyDescent="0.4">
      <c r="A1927" s="11" t="s">
        <v>8</v>
      </c>
      <c r="B1927" s="40">
        <f t="shared" ref="B1927:I1929" ca="1" si="993">OFFSET(B1927,-12,0)</f>
        <v>0</v>
      </c>
      <c r="C1927" s="40"/>
      <c r="D1927" s="40"/>
      <c r="E1927" s="40"/>
      <c r="F1927" s="13">
        <f t="shared" ca="1" si="993"/>
        <v>0</v>
      </c>
      <c r="G1927" s="17">
        <f t="shared" ca="1" si="993"/>
        <v>0</v>
      </c>
      <c r="H1927" s="17">
        <f t="shared" ca="1" si="993"/>
        <v>0</v>
      </c>
      <c r="I1927" s="13">
        <f t="shared" ca="1" si="993"/>
        <v>0</v>
      </c>
      <c r="J1927" s="16"/>
      <c r="K1927" s="13">
        <f t="shared" ref="K1927:K1929" ca="1" si="994">OFFSET(K1927,-12,0)</f>
        <v>0</v>
      </c>
      <c r="L1927" s="15">
        <f t="shared" ca="1" si="986"/>
        <v>1</v>
      </c>
      <c r="M1927" s="15"/>
      <c r="N1927" s="15">
        <f t="shared" ca="1" si="985"/>
        <v>0</v>
      </c>
    </row>
    <row r="1928" spans="1:14" x14ac:dyDescent="0.4">
      <c r="A1928" s="11" t="s">
        <v>8</v>
      </c>
      <c r="B1928" s="40">
        <f t="shared" ca="1" si="993"/>
        <v>0</v>
      </c>
      <c r="C1928" s="40"/>
      <c r="D1928" s="40"/>
      <c r="E1928" s="40"/>
      <c r="F1928" s="13">
        <f t="shared" ca="1" si="993"/>
        <v>0</v>
      </c>
      <c r="G1928" s="17">
        <f t="shared" ca="1" si="993"/>
        <v>0</v>
      </c>
      <c r="H1928" s="17">
        <f t="shared" ca="1" si="993"/>
        <v>0</v>
      </c>
      <c r="I1928" s="13">
        <f t="shared" ca="1" si="993"/>
        <v>0</v>
      </c>
      <c r="J1928" s="16"/>
      <c r="K1928" s="13">
        <f t="shared" ca="1" si="994"/>
        <v>0</v>
      </c>
      <c r="L1928" s="15">
        <f t="shared" ca="1" si="986"/>
        <v>1</v>
      </c>
      <c r="M1928" s="15"/>
      <c r="N1928" s="15">
        <f t="shared" ca="1" si="985"/>
        <v>0</v>
      </c>
    </row>
    <row r="1929" spans="1:14" x14ac:dyDescent="0.4">
      <c r="A1929" s="11" t="s">
        <v>8</v>
      </c>
      <c r="B1929" s="40">
        <f t="shared" ca="1" si="993"/>
        <v>0</v>
      </c>
      <c r="C1929" s="40"/>
      <c r="D1929" s="40"/>
      <c r="E1929" s="40"/>
      <c r="F1929" s="13">
        <f t="shared" ca="1" si="993"/>
        <v>0</v>
      </c>
      <c r="G1929" s="17">
        <f t="shared" ca="1" si="993"/>
        <v>0</v>
      </c>
      <c r="H1929" s="17">
        <f t="shared" ca="1" si="993"/>
        <v>0</v>
      </c>
      <c r="I1929" s="13">
        <f t="shared" ca="1" si="993"/>
        <v>0</v>
      </c>
      <c r="J1929" s="16"/>
      <c r="K1929" s="13">
        <f t="shared" ca="1" si="994"/>
        <v>0</v>
      </c>
      <c r="L1929" s="15">
        <f t="shared" ca="1" si="986"/>
        <v>1</v>
      </c>
      <c r="M1929" s="15"/>
      <c r="N1929" s="15">
        <f t="shared" ca="1" si="985"/>
        <v>0</v>
      </c>
    </row>
    <row r="1930" spans="1:14" x14ac:dyDescent="0.4">
      <c r="A1930" s="11" t="s">
        <v>9</v>
      </c>
      <c r="B1930" s="41">
        <f t="shared" ref="B1930:I1932" ca="1" si="995">OFFSET(B1930,-15,0)</f>
        <v>0</v>
      </c>
      <c r="C1930" s="41"/>
      <c r="D1930" s="41"/>
      <c r="E1930" s="41"/>
      <c r="F1930" s="19">
        <f t="shared" ca="1" si="995"/>
        <v>0</v>
      </c>
      <c r="G1930" s="20">
        <f t="shared" ca="1" si="995"/>
        <v>0</v>
      </c>
      <c r="H1930" s="20">
        <f t="shared" ca="1" si="995"/>
        <v>0</v>
      </c>
      <c r="I1930" s="13">
        <f t="shared" ca="1" si="995"/>
        <v>0</v>
      </c>
      <c r="J1930" s="16"/>
      <c r="K1930" s="19">
        <f t="shared" ref="K1930:K1932" ca="1" si="996">OFFSET(K1930,-15,0)</f>
        <v>0</v>
      </c>
      <c r="L1930" s="15">
        <f t="shared" ca="1" si="986"/>
        <v>1</v>
      </c>
      <c r="M1930" s="15"/>
      <c r="N1930" s="15">
        <f t="shared" ca="1" si="985"/>
        <v>0</v>
      </c>
    </row>
    <row r="1931" spans="1:14" x14ac:dyDescent="0.4">
      <c r="A1931" s="11" t="s">
        <v>9</v>
      </c>
      <c r="B1931" s="41">
        <f t="shared" ca="1" si="995"/>
        <v>0</v>
      </c>
      <c r="C1931" s="41"/>
      <c r="D1931" s="41"/>
      <c r="E1931" s="41"/>
      <c r="F1931" s="19">
        <f t="shared" ca="1" si="995"/>
        <v>0</v>
      </c>
      <c r="G1931" s="20">
        <f t="shared" ca="1" si="995"/>
        <v>0</v>
      </c>
      <c r="H1931" s="20">
        <f t="shared" ca="1" si="995"/>
        <v>0</v>
      </c>
      <c r="I1931" s="13">
        <f t="shared" ca="1" si="995"/>
        <v>0</v>
      </c>
      <c r="J1931" s="16"/>
      <c r="K1931" s="19">
        <f t="shared" ca="1" si="996"/>
        <v>0</v>
      </c>
      <c r="L1931" s="15">
        <f t="shared" ca="1" si="986"/>
        <v>1</v>
      </c>
      <c r="M1931" s="15"/>
      <c r="N1931" s="15">
        <f t="shared" ca="1" si="985"/>
        <v>0</v>
      </c>
    </row>
    <row r="1932" spans="1:14" x14ac:dyDescent="0.4">
      <c r="A1932" s="11" t="s">
        <v>9</v>
      </c>
      <c r="B1932" s="41">
        <f t="shared" ca="1" si="995"/>
        <v>0</v>
      </c>
      <c r="C1932" s="41"/>
      <c r="D1932" s="41"/>
      <c r="E1932" s="41"/>
      <c r="F1932" s="19">
        <f t="shared" ca="1" si="995"/>
        <v>0</v>
      </c>
      <c r="G1932" s="20">
        <f t="shared" ca="1" si="995"/>
        <v>0</v>
      </c>
      <c r="H1932" s="20">
        <f t="shared" ca="1" si="995"/>
        <v>0</v>
      </c>
      <c r="I1932" s="13">
        <f t="shared" ca="1" si="995"/>
        <v>0</v>
      </c>
      <c r="J1932" s="16"/>
      <c r="K1932" s="19">
        <f t="shared" ca="1" si="996"/>
        <v>0</v>
      </c>
      <c r="L1932" s="15">
        <f t="shared" ca="1" si="986"/>
        <v>1</v>
      </c>
      <c r="M1932" s="15"/>
      <c r="N1932" s="15">
        <f t="shared" ca="1" si="985"/>
        <v>0</v>
      </c>
    </row>
    <row r="1933" spans="1:14" ht="17.399999999999999" x14ac:dyDescent="0.4">
      <c r="A1933" s="77" t="s">
        <v>23</v>
      </c>
      <c r="B1933" s="75"/>
      <c r="C1933" s="75"/>
      <c r="D1933" s="75"/>
      <c r="E1933" s="75"/>
      <c r="F1933" s="75"/>
      <c r="G1933" s="75"/>
      <c r="H1933" s="75"/>
      <c r="I1933" s="75"/>
      <c r="J1933" s="75"/>
      <c r="K1933" s="75"/>
      <c r="L1933" s="75"/>
      <c r="M1933" s="75"/>
      <c r="N1933" s="76"/>
    </row>
    <row r="1934" spans="1:14" x14ac:dyDescent="0.4">
      <c r="A1934" s="11" t="str">
        <f ca="1">INDEX(A1782:A1932, MATCH(MAX(N1782:N1932), N1782:N1932, 0), 0)</f>
        <v>Front</v>
      </c>
      <c r="B1934" s="40">
        <f ca="1">INDEX(B1782:B1932, MATCH(MAX(N1782:N1932), N1782:N1932, 0), 0)</f>
        <v>0</v>
      </c>
      <c r="C1934" s="40"/>
      <c r="D1934" s="40"/>
      <c r="E1934" s="40"/>
      <c r="F1934" s="13">
        <f ca="1">INDEX(F1782:F1932, MATCH(MAX(N1782:N1932), N1782:N1932, 0), 0)</f>
        <v>0</v>
      </c>
      <c r="G1934" s="11">
        <f ca="1">INDEX(G1782:G1932, MATCH(MAX(N1782:N1932), N1782:N1932, 0), 0)</f>
        <v>0</v>
      </c>
      <c r="H1934" s="17">
        <f ca="1">INDEX(H1782:H1932, MATCH(MAX(N1782:N1932), N1782:N1932, 0), 0)</f>
        <v>0</v>
      </c>
      <c r="I1934" s="13">
        <f ca="1">INDEX(I1782:I1932, MATCH(MAX(N1782:N1932), N1782:N1932, 0), 0)</f>
        <v>0</v>
      </c>
      <c r="J1934" s="16"/>
      <c r="K1934" s="13">
        <f ca="1">INDEX(K1782:K1932, MATCH(MAX(N1782:N1932), N1782:N1932, 0), 0)</f>
        <v>0</v>
      </c>
      <c r="L1934" s="15">
        <f ca="1">ROUND((10^(K1934/10))/(10^(I1934/10)),3)</f>
        <v>1</v>
      </c>
      <c r="M1934" s="15"/>
      <c r="N1934" s="15">
        <f t="shared" ref="N1934" ca="1" si="997">J1934*L1934</f>
        <v>0</v>
      </c>
    </row>
    <row r="1935" spans="1:14" x14ac:dyDescent="0.4">
      <c r="A1935" s="11"/>
      <c r="B1935" s="40"/>
      <c r="C1935" s="40"/>
      <c r="D1935" s="40"/>
      <c r="E1935" s="40"/>
      <c r="F1935" s="13"/>
      <c r="G1935" s="11"/>
      <c r="H1935" s="17"/>
      <c r="I1935" s="13"/>
      <c r="J1935" s="16"/>
      <c r="K1935" s="13"/>
      <c r="L1935" s="15"/>
      <c r="M1935" s="15"/>
      <c r="N1935" s="15"/>
    </row>
    <row r="1936" spans="1:14" x14ac:dyDescent="0.4">
      <c r="A1936" s="11"/>
      <c r="B1936" s="40"/>
      <c r="C1936" s="40"/>
      <c r="D1936" s="40"/>
      <c r="E1936" s="40"/>
      <c r="F1936" s="13"/>
      <c r="G1936" s="11"/>
      <c r="H1936" s="17"/>
      <c r="I1936" s="13"/>
      <c r="J1936" s="16"/>
      <c r="K1936" s="13"/>
      <c r="L1936" s="15"/>
      <c r="M1936" s="15"/>
      <c r="N1936" s="15"/>
    </row>
    <row r="1937" spans="1:14" x14ac:dyDescent="0.4">
      <c r="A1937" s="11"/>
      <c r="B1937" s="41"/>
      <c r="C1937" s="41"/>
      <c r="D1937" s="41"/>
      <c r="E1937" s="41"/>
      <c r="F1937" s="19"/>
      <c r="G1937" s="11"/>
      <c r="H1937" s="20"/>
      <c r="I1937" s="19"/>
      <c r="J1937" s="16"/>
      <c r="K1937" s="19"/>
      <c r="L1937" s="15"/>
      <c r="M1937" s="15"/>
      <c r="N1937" s="15"/>
    </row>
    <row r="1938" spans="1:14" x14ac:dyDescent="0.4">
      <c r="A1938" s="11"/>
      <c r="B1938" s="41"/>
      <c r="C1938" s="41"/>
      <c r="D1938" s="41"/>
      <c r="E1938" s="41"/>
      <c r="F1938" s="19"/>
      <c r="G1938" s="11"/>
      <c r="H1938" s="20"/>
      <c r="I1938" s="19"/>
      <c r="J1938" s="16"/>
      <c r="K1938" s="19"/>
      <c r="L1938" s="15"/>
      <c r="M1938" s="15"/>
      <c r="N1938" s="15"/>
    </row>
    <row r="1939" spans="1:14" x14ac:dyDescent="0.4">
      <c r="A1939" s="11"/>
      <c r="B1939" s="41"/>
      <c r="C1939" s="41"/>
      <c r="D1939" s="41"/>
      <c r="E1939" s="41"/>
      <c r="F1939" s="19"/>
      <c r="G1939" s="11"/>
      <c r="H1939" s="20"/>
      <c r="I1939" s="19"/>
      <c r="J1939" s="16"/>
      <c r="K1939" s="19"/>
      <c r="L1939" s="15"/>
      <c r="M1939" s="15"/>
      <c r="N1939" s="15"/>
    </row>
    <row r="1940" spans="1:14" x14ac:dyDescent="0.4">
      <c r="A1940" s="11"/>
      <c r="B1940" s="40"/>
      <c r="C1940" s="40"/>
      <c r="D1940" s="40"/>
      <c r="E1940" s="40"/>
      <c r="F1940" s="13"/>
      <c r="G1940" s="11"/>
      <c r="H1940" s="17"/>
      <c r="I1940" s="13"/>
      <c r="J1940" s="16"/>
      <c r="K1940" s="13"/>
      <c r="L1940" s="15"/>
      <c r="M1940" s="15"/>
      <c r="N1940" s="15"/>
    </row>
    <row r="1941" spans="1:14" x14ac:dyDescent="0.4">
      <c r="A1941" s="11"/>
      <c r="B1941" s="40"/>
      <c r="C1941" s="40"/>
      <c r="D1941" s="40"/>
      <c r="E1941" s="40"/>
      <c r="F1941" s="13"/>
      <c r="G1941" s="11"/>
      <c r="H1941" s="17"/>
      <c r="I1941" s="13"/>
      <c r="J1941" s="16"/>
      <c r="K1941" s="13"/>
      <c r="L1941" s="15"/>
      <c r="M1941" s="15"/>
      <c r="N1941" s="15"/>
    </row>
    <row r="1942" spans="1:14" x14ac:dyDescent="0.4">
      <c r="A1942" s="11"/>
      <c r="B1942" s="40"/>
      <c r="C1942" s="40"/>
      <c r="D1942" s="40"/>
      <c r="E1942" s="40"/>
      <c r="F1942" s="13"/>
      <c r="G1942" s="11"/>
      <c r="H1942" s="17"/>
      <c r="I1942" s="13"/>
      <c r="J1942" s="16"/>
      <c r="K1942" s="13"/>
      <c r="L1942" s="15"/>
      <c r="M1942" s="15"/>
      <c r="N1942" s="15"/>
    </row>
    <row r="1943" spans="1:14" x14ac:dyDescent="0.4">
      <c r="A1943" s="11"/>
      <c r="B1943" s="40"/>
      <c r="C1943" s="40"/>
      <c r="D1943" s="40"/>
      <c r="E1943" s="40"/>
      <c r="F1943" s="13"/>
      <c r="G1943" s="11"/>
      <c r="H1943" s="17"/>
      <c r="I1943" s="13"/>
      <c r="J1943" s="16"/>
      <c r="K1943" s="13"/>
      <c r="L1943" s="15"/>
      <c r="M1943" s="15"/>
      <c r="N1943" s="15"/>
    </row>
    <row r="1944" spans="1:14" x14ac:dyDescent="0.4">
      <c r="A1944" s="11"/>
      <c r="B1944" s="40"/>
      <c r="C1944" s="40"/>
      <c r="D1944" s="40"/>
      <c r="E1944" s="40"/>
      <c r="F1944" s="13"/>
      <c r="G1944" s="11"/>
      <c r="H1944" s="17"/>
      <c r="I1944" s="13"/>
      <c r="J1944" s="16"/>
      <c r="K1944" s="13"/>
      <c r="L1944" s="15"/>
      <c r="M1944" s="15"/>
      <c r="N1944" s="15"/>
    </row>
    <row r="1945" spans="1:14" x14ac:dyDescent="0.4">
      <c r="A1945" s="11"/>
      <c r="B1945" s="40"/>
      <c r="C1945" s="40"/>
      <c r="D1945" s="40"/>
      <c r="E1945" s="40"/>
      <c r="F1945" s="13"/>
      <c r="G1945" s="11"/>
      <c r="H1945" s="17"/>
      <c r="I1945" s="13"/>
      <c r="J1945" s="16"/>
      <c r="K1945" s="13"/>
      <c r="L1945" s="15"/>
      <c r="M1945" s="15"/>
      <c r="N1945" s="15"/>
    </row>
    <row r="1946" spans="1:14" x14ac:dyDescent="0.4">
      <c r="A1946" s="11"/>
      <c r="B1946" s="40"/>
      <c r="C1946" s="40"/>
      <c r="D1946" s="40"/>
      <c r="E1946" s="40"/>
      <c r="F1946" s="13"/>
      <c r="G1946" s="11"/>
      <c r="H1946" s="17"/>
      <c r="I1946" s="13"/>
      <c r="J1946" s="16"/>
      <c r="K1946" s="13"/>
      <c r="L1946" s="15"/>
      <c r="M1946" s="15"/>
      <c r="N1946" s="15"/>
    </row>
    <row r="1947" spans="1:14" x14ac:dyDescent="0.4">
      <c r="A1947" s="11"/>
      <c r="B1947" s="40"/>
      <c r="C1947" s="40"/>
      <c r="D1947" s="40"/>
      <c r="E1947" s="40"/>
      <c r="F1947" s="13"/>
      <c r="G1947" s="11"/>
      <c r="H1947" s="17"/>
      <c r="I1947" s="13"/>
      <c r="J1947" s="16"/>
      <c r="K1947" s="13"/>
      <c r="L1947" s="15"/>
      <c r="M1947" s="15"/>
      <c r="N1947" s="15"/>
    </row>
    <row r="1948" spans="1:14" x14ac:dyDescent="0.4">
      <c r="A1948" s="11"/>
      <c r="B1948" s="40"/>
      <c r="C1948" s="40"/>
      <c r="D1948" s="40"/>
      <c r="E1948" s="40"/>
      <c r="F1948" s="13"/>
      <c r="G1948" s="11"/>
      <c r="H1948" s="17"/>
      <c r="I1948" s="13"/>
      <c r="J1948" s="16"/>
      <c r="K1948" s="13"/>
      <c r="L1948" s="15"/>
      <c r="M1948" s="15"/>
      <c r="N1948" s="15"/>
    </row>
    <row r="1949" spans="1:14" x14ac:dyDescent="0.4">
      <c r="A1949" s="11"/>
      <c r="B1949" s="41"/>
      <c r="C1949" s="41"/>
      <c r="D1949" s="41"/>
      <c r="E1949" s="41"/>
      <c r="F1949" s="19"/>
      <c r="G1949" s="11"/>
      <c r="H1949" s="20"/>
      <c r="I1949" s="19"/>
      <c r="J1949" s="16"/>
      <c r="K1949" s="19"/>
      <c r="L1949" s="15"/>
      <c r="M1949" s="15"/>
      <c r="N1949" s="15"/>
    </row>
    <row r="1950" spans="1:14" x14ac:dyDescent="0.4">
      <c r="A1950" s="11"/>
      <c r="B1950" s="41"/>
      <c r="C1950" s="41"/>
      <c r="D1950" s="41"/>
      <c r="E1950" s="41"/>
      <c r="F1950" s="19"/>
      <c r="G1950" s="11"/>
      <c r="H1950" s="20"/>
      <c r="I1950" s="19"/>
      <c r="J1950" s="16"/>
      <c r="K1950" s="19"/>
      <c r="L1950" s="15"/>
      <c r="M1950" s="15"/>
      <c r="N1950" s="15"/>
    </row>
    <row r="1951" spans="1:14" x14ac:dyDescent="0.4">
      <c r="A1951" s="11"/>
      <c r="B1951" s="41"/>
      <c r="C1951" s="41"/>
      <c r="D1951" s="41"/>
      <c r="E1951" s="41"/>
      <c r="F1951" s="19"/>
      <c r="G1951" s="11"/>
      <c r="H1951" s="20"/>
      <c r="I1951" s="19"/>
      <c r="J1951" s="16"/>
      <c r="K1951" s="19"/>
      <c r="L1951" s="15"/>
      <c r="M1951" s="15"/>
      <c r="N1951" s="15"/>
    </row>
    <row r="1952" spans="1:14" ht="17.399999999999999" x14ac:dyDescent="0.4">
      <c r="A1952" s="77" t="s">
        <v>24</v>
      </c>
      <c r="B1952" s="75"/>
      <c r="C1952" s="75"/>
      <c r="D1952" s="75"/>
      <c r="E1952" s="75"/>
      <c r="F1952" s="75"/>
      <c r="G1952" s="75"/>
      <c r="H1952" s="75"/>
      <c r="I1952" s="75"/>
      <c r="J1952" s="75"/>
      <c r="K1952" s="75"/>
      <c r="L1952" s="75"/>
      <c r="M1952" s="75"/>
      <c r="N1952" s="76"/>
    </row>
    <row r="1953" spans="1:14" x14ac:dyDescent="0.4">
      <c r="A1953" s="11" t="str">
        <f ca="1">INDEX(A1782:A1932, MATCH(MAX(N1782:N1932), N1782:N1932, 0), 0)</f>
        <v>Front</v>
      </c>
      <c r="B1953" s="40">
        <f ca="1">INDEX(B1782:B1932, MATCH(MAX(N1782:N1932), N1782:N1932, 0), 0)</f>
        <v>0</v>
      </c>
      <c r="C1953" s="40"/>
      <c r="D1953" s="40"/>
      <c r="E1953" s="40"/>
      <c r="F1953" s="13">
        <f ca="1">INDEX(F1782:F1932, MATCH(MAX(N1782:N1932), N1782:N1932, 0), 0)</f>
        <v>0</v>
      </c>
      <c r="G1953" s="11">
        <f ca="1">INDEX(G1782:G1932, MATCH(MAX(N1782:N1932), N1782:N1932, 0), 0)</f>
        <v>0</v>
      </c>
      <c r="H1953" s="17">
        <f ca="1">INDEX(H1782:H1932, MATCH(MAX(N1782:N1932), N1782:N1932, 0), 0)</f>
        <v>0</v>
      </c>
      <c r="I1953" s="13">
        <f ca="1">INDEX(I1782:I1932, MATCH(MAX(N1782:N1932), N1782:N1932, 0), 0)</f>
        <v>0</v>
      </c>
      <c r="J1953" s="16"/>
      <c r="K1953" s="13">
        <f ca="1">INDEX(K1782:K1932, MATCH(MAX(N1782:N1932), N1782:N1932, 0), 0)</f>
        <v>0</v>
      </c>
      <c r="L1953" s="15">
        <f ca="1">ROUND((10^(K1953/10))/(10^(I1953/10)),3)</f>
        <v>1</v>
      </c>
      <c r="M1953" s="15"/>
      <c r="N1953" s="15">
        <f t="shared" ref="N1953" ca="1" si="998">J1953*L1953</f>
        <v>0</v>
      </c>
    </row>
    <row r="1954" spans="1:14" x14ac:dyDescent="0.4">
      <c r="A1954" s="11"/>
      <c r="B1954" s="40"/>
      <c r="C1954" s="40"/>
      <c r="D1954" s="40"/>
      <c r="E1954" s="40"/>
      <c r="F1954" s="13"/>
      <c r="G1954" s="11"/>
      <c r="H1954" s="17"/>
      <c r="I1954" s="13"/>
      <c r="J1954" s="16"/>
      <c r="K1954" s="13"/>
      <c r="L1954" s="15"/>
      <c r="M1954" s="15"/>
      <c r="N1954" s="52"/>
    </row>
    <row r="1955" spans="1:14" x14ac:dyDescent="0.4">
      <c r="A1955" s="11"/>
      <c r="B1955" s="40"/>
      <c r="C1955" s="40"/>
      <c r="D1955" s="40"/>
      <c r="E1955" s="40"/>
      <c r="F1955" s="13"/>
      <c r="G1955" s="11"/>
      <c r="H1955" s="17"/>
      <c r="I1955" s="13"/>
      <c r="J1955" s="16"/>
      <c r="K1955" s="13"/>
      <c r="L1955" s="15"/>
      <c r="M1955" s="15"/>
      <c r="N1955" s="52"/>
    </row>
    <row r="1956" spans="1:14" x14ac:dyDescent="0.4">
      <c r="A1956" s="11"/>
      <c r="B1956" s="41"/>
      <c r="C1956" s="41"/>
      <c r="D1956" s="41"/>
      <c r="E1956" s="41"/>
      <c r="F1956" s="19"/>
      <c r="G1956" s="11"/>
      <c r="H1956" s="20"/>
      <c r="I1956" s="19"/>
      <c r="J1956" s="16"/>
      <c r="K1956" s="19"/>
      <c r="L1956" s="15"/>
      <c r="M1956" s="15"/>
      <c r="N1956" s="52"/>
    </row>
    <row r="1957" spans="1:14" x14ac:dyDescent="0.4">
      <c r="A1957" s="11"/>
      <c r="B1957" s="41"/>
      <c r="C1957" s="41"/>
      <c r="D1957" s="41"/>
      <c r="E1957" s="41"/>
      <c r="F1957" s="19"/>
      <c r="G1957" s="11"/>
      <c r="H1957" s="20"/>
      <c r="I1957" s="19"/>
      <c r="J1957" s="16"/>
      <c r="K1957" s="19"/>
      <c r="L1957" s="15"/>
      <c r="M1957" s="15"/>
      <c r="N1957" s="52"/>
    </row>
    <row r="1958" spans="1:14" x14ac:dyDescent="0.4">
      <c r="A1958" s="11"/>
      <c r="B1958" s="41"/>
      <c r="C1958" s="41"/>
      <c r="D1958" s="41"/>
      <c r="E1958" s="41"/>
      <c r="F1958" s="19"/>
      <c r="G1958" s="11"/>
      <c r="H1958" s="20"/>
      <c r="I1958" s="19"/>
      <c r="J1958" s="16"/>
      <c r="K1958" s="19"/>
      <c r="L1958" s="15"/>
      <c r="M1958" s="15"/>
      <c r="N1958" s="52"/>
    </row>
    <row r="1959" spans="1:14" x14ac:dyDescent="0.4">
      <c r="A1959" s="11"/>
      <c r="B1959" s="40"/>
      <c r="C1959" s="40"/>
      <c r="D1959" s="40"/>
      <c r="E1959" s="40"/>
      <c r="F1959" s="13"/>
      <c r="G1959" s="11"/>
      <c r="H1959" s="17"/>
      <c r="I1959" s="13"/>
      <c r="J1959" s="16"/>
      <c r="K1959" s="13"/>
      <c r="L1959" s="15"/>
      <c r="M1959" s="15"/>
      <c r="N1959" s="52"/>
    </row>
    <row r="1960" spans="1:14" x14ac:dyDescent="0.4">
      <c r="A1960" s="11"/>
      <c r="B1960" s="40"/>
      <c r="C1960" s="40"/>
      <c r="D1960" s="40"/>
      <c r="E1960" s="40"/>
      <c r="F1960" s="13"/>
      <c r="G1960" s="11"/>
      <c r="H1960" s="17"/>
      <c r="I1960" s="13"/>
      <c r="J1960" s="16"/>
      <c r="K1960" s="13"/>
      <c r="L1960" s="15"/>
      <c r="M1960" s="15"/>
      <c r="N1960" s="52"/>
    </row>
    <row r="1961" spans="1:14" x14ac:dyDescent="0.4">
      <c r="A1961" s="11"/>
      <c r="B1961" s="40"/>
      <c r="C1961" s="40"/>
      <c r="D1961" s="40"/>
      <c r="E1961" s="40"/>
      <c r="F1961" s="13"/>
      <c r="G1961" s="11"/>
      <c r="H1961" s="17"/>
      <c r="I1961" s="13"/>
      <c r="J1961" s="16"/>
      <c r="K1961" s="13"/>
      <c r="L1961" s="15"/>
      <c r="M1961" s="15"/>
      <c r="N1961" s="52"/>
    </row>
    <row r="1962" spans="1:14" x14ac:dyDescent="0.4">
      <c r="A1962" s="11"/>
      <c r="B1962" s="40"/>
      <c r="C1962" s="40"/>
      <c r="D1962" s="40"/>
      <c r="E1962" s="40"/>
      <c r="F1962" s="13"/>
      <c r="G1962" s="11"/>
      <c r="H1962" s="17"/>
      <c r="I1962" s="13"/>
      <c r="J1962" s="16"/>
      <c r="K1962" s="13"/>
      <c r="L1962" s="15"/>
      <c r="M1962" s="15"/>
      <c r="N1962" s="52"/>
    </row>
    <row r="1963" spans="1:14" x14ac:dyDescent="0.4">
      <c r="A1963" s="11"/>
      <c r="B1963" s="40"/>
      <c r="C1963" s="40"/>
      <c r="D1963" s="40"/>
      <c r="E1963" s="40"/>
      <c r="F1963" s="13"/>
      <c r="G1963" s="11"/>
      <c r="H1963" s="17"/>
      <c r="I1963" s="13"/>
      <c r="J1963" s="16"/>
      <c r="K1963" s="13"/>
      <c r="L1963" s="15"/>
      <c r="M1963" s="15"/>
      <c r="N1963" s="52"/>
    </row>
    <row r="1964" spans="1:14" x14ac:dyDescent="0.4">
      <c r="A1964" s="11"/>
      <c r="B1964" s="40"/>
      <c r="C1964" s="40"/>
      <c r="D1964" s="40"/>
      <c r="E1964" s="40"/>
      <c r="F1964" s="13"/>
      <c r="G1964" s="11"/>
      <c r="H1964" s="17"/>
      <c r="I1964" s="13"/>
      <c r="J1964" s="16"/>
      <c r="K1964" s="13"/>
      <c r="L1964" s="15"/>
      <c r="M1964" s="15"/>
      <c r="N1964" s="52"/>
    </row>
    <row r="1965" spans="1:14" x14ac:dyDescent="0.4">
      <c r="A1965" s="11"/>
      <c r="B1965" s="40"/>
      <c r="C1965" s="40"/>
      <c r="D1965" s="40"/>
      <c r="E1965" s="40"/>
      <c r="F1965" s="13"/>
      <c r="G1965" s="11"/>
      <c r="H1965" s="17"/>
      <c r="I1965" s="13"/>
      <c r="J1965" s="16"/>
      <c r="K1965" s="13"/>
      <c r="L1965" s="15"/>
      <c r="M1965" s="15"/>
      <c r="N1965" s="52"/>
    </row>
    <row r="1966" spans="1:14" x14ac:dyDescent="0.4">
      <c r="A1966" s="11"/>
      <c r="B1966" s="40"/>
      <c r="C1966" s="40"/>
      <c r="D1966" s="40"/>
      <c r="E1966" s="40"/>
      <c r="F1966" s="13"/>
      <c r="G1966" s="11"/>
      <c r="H1966" s="17"/>
      <c r="I1966" s="13"/>
      <c r="J1966" s="16"/>
      <c r="K1966" s="13"/>
      <c r="L1966" s="15"/>
      <c r="M1966" s="15"/>
      <c r="N1966" s="52"/>
    </row>
    <row r="1967" spans="1:14" x14ac:dyDescent="0.4">
      <c r="A1967" s="11"/>
      <c r="B1967" s="40"/>
      <c r="C1967" s="40"/>
      <c r="D1967" s="40"/>
      <c r="E1967" s="40"/>
      <c r="F1967" s="13"/>
      <c r="G1967" s="11"/>
      <c r="H1967" s="17"/>
      <c r="I1967" s="13"/>
      <c r="J1967" s="16"/>
      <c r="K1967" s="13"/>
      <c r="L1967" s="15"/>
      <c r="M1967" s="15"/>
      <c r="N1967" s="52"/>
    </row>
    <row r="1968" spans="1:14" x14ac:dyDescent="0.4">
      <c r="A1968" s="11"/>
      <c r="B1968" s="41"/>
      <c r="C1968" s="41"/>
      <c r="D1968" s="41"/>
      <c r="E1968" s="41"/>
      <c r="F1968" s="19"/>
      <c r="G1968" s="11"/>
      <c r="H1968" s="20"/>
      <c r="I1968" s="19"/>
      <c r="J1968" s="16"/>
      <c r="K1968" s="19"/>
      <c r="L1968" s="15"/>
      <c r="M1968" s="15"/>
      <c r="N1968" s="52"/>
    </row>
    <row r="1969" spans="1:14" x14ac:dyDescent="0.4">
      <c r="A1969" s="11"/>
      <c r="B1969" s="41"/>
      <c r="C1969" s="41"/>
      <c r="D1969" s="41"/>
      <c r="E1969" s="41"/>
      <c r="F1969" s="19"/>
      <c r="G1969" s="11"/>
      <c r="H1969" s="20"/>
      <c r="I1969" s="19"/>
      <c r="J1969" s="16"/>
      <c r="K1969" s="19"/>
      <c r="L1969" s="15"/>
      <c r="M1969" s="15"/>
      <c r="N1969" s="52"/>
    </row>
    <row r="1970" spans="1:14" x14ac:dyDescent="0.4">
      <c r="A1970" s="11"/>
      <c r="B1970" s="41"/>
      <c r="C1970" s="41"/>
      <c r="D1970" s="41"/>
      <c r="E1970" s="41"/>
      <c r="F1970" s="19"/>
      <c r="G1970" s="11"/>
      <c r="H1970" s="20"/>
      <c r="I1970" s="19"/>
      <c r="J1970" s="16"/>
      <c r="K1970" s="19"/>
      <c r="L1970" s="15"/>
      <c r="M1970" s="15"/>
      <c r="N1970" s="52"/>
    </row>
  </sheetData>
  <mergeCells count="405">
    <mergeCell ref="A1857:N1857"/>
    <mergeCell ref="A1876:N1876"/>
    <mergeCell ref="A1895:N1895"/>
    <mergeCell ref="A1914:N1914"/>
    <mergeCell ref="A1933:N1933"/>
    <mergeCell ref="A1952:N1952"/>
    <mergeCell ref="F1779:F1780"/>
    <mergeCell ref="G1779:G1780"/>
    <mergeCell ref="A1781:N1781"/>
    <mergeCell ref="A1800:N1800"/>
    <mergeCell ref="A1819:N1819"/>
    <mergeCell ref="A1838:N1838"/>
    <mergeCell ref="H1778:H1780"/>
    <mergeCell ref="I1778:I1780"/>
    <mergeCell ref="J1778:J1780"/>
    <mergeCell ref="K1778:K1780"/>
    <mergeCell ref="L1778:M1779"/>
    <mergeCell ref="N1778:N1780"/>
    <mergeCell ref="A1774:I1776"/>
    <mergeCell ref="J1774:L1774"/>
    <mergeCell ref="J1775:L1775"/>
    <mergeCell ref="J1776:L1776"/>
    <mergeCell ref="A1778:A1780"/>
    <mergeCell ref="B1778:B1780"/>
    <mergeCell ref="C1778:C1780"/>
    <mergeCell ref="D1778:D1780"/>
    <mergeCell ref="E1778:E1780"/>
    <mergeCell ref="F1778:G1778"/>
    <mergeCell ref="H1758:H1760"/>
    <mergeCell ref="I1758:I1760"/>
    <mergeCell ref="J1758:J1760"/>
    <mergeCell ref="K1758:L1759"/>
    <mergeCell ref="M1758:M1760"/>
    <mergeCell ref="F1759:F1760"/>
    <mergeCell ref="G1759:G1760"/>
    <mergeCell ref="A1754:H1756"/>
    <mergeCell ref="I1754:K1754"/>
    <mergeCell ref="I1755:K1755"/>
    <mergeCell ref="I1756:K1756"/>
    <mergeCell ref="A1758:A1760"/>
    <mergeCell ref="B1758:B1760"/>
    <mergeCell ref="C1758:C1760"/>
    <mergeCell ref="D1758:D1760"/>
    <mergeCell ref="E1758:E1760"/>
    <mergeCell ref="F1758:G1758"/>
    <mergeCell ref="A1638:N1638"/>
    <mergeCell ref="A1657:N1657"/>
    <mergeCell ref="A1676:N1676"/>
    <mergeCell ref="A1695:N1695"/>
    <mergeCell ref="A1714:N1714"/>
    <mergeCell ref="A1733:N1733"/>
    <mergeCell ref="F1560:F1561"/>
    <mergeCell ref="G1560:G1561"/>
    <mergeCell ref="A1562:N1562"/>
    <mergeCell ref="A1581:N1581"/>
    <mergeCell ref="A1600:N1600"/>
    <mergeCell ref="A1619:N1619"/>
    <mergeCell ref="H1559:H1561"/>
    <mergeCell ref="I1559:I1561"/>
    <mergeCell ref="J1559:J1561"/>
    <mergeCell ref="K1559:K1561"/>
    <mergeCell ref="L1559:M1560"/>
    <mergeCell ref="N1559:N1561"/>
    <mergeCell ref="A1555:I1557"/>
    <mergeCell ref="J1555:L1555"/>
    <mergeCell ref="J1556:L1556"/>
    <mergeCell ref="J1557:L1557"/>
    <mergeCell ref="A1559:A1561"/>
    <mergeCell ref="B1559:B1561"/>
    <mergeCell ref="C1559:C1561"/>
    <mergeCell ref="D1559:D1561"/>
    <mergeCell ref="E1559:E1561"/>
    <mergeCell ref="F1559:G1559"/>
    <mergeCell ref="H1539:H1541"/>
    <mergeCell ref="I1539:I1541"/>
    <mergeCell ref="J1539:J1541"/>
    <mergeCell ref="K1539:L1540"/>
    <mergeCell ref="M1539:M1541"/>
    <mergeCell ref="F1540:F1541"/>
    <mergeCell ref="G1540:G1541"/>
    <mergeCell ref="A1535:H1537"/>
    <mergeCell ref="I1535:K1535"/>
    <mergeCell ref="I1536:K1536"/>
    <mergeCell ref="I1537:K1537"/>
    <mergeCell ref="A1539:A1541"/>
    <mergeCell ref="B1539:B1541"/>
    <mergeCell ref="C1539:C1541"/>
    <mergeCell ref="D1539:D1541"/>
    <mergeCell ref="E1539:E1541"/>
    <mergeCell ref="F1539:G1539"/>
    <mergeCell ref="A1419:N1419"/>
    <mergeCell ref="A1438:N1438"/>
    <mergeCell ref="A1457:N1457"/>
    <mergeCell ref="A1476:N1476"/>
    <mergeCell ref="A1495:N1495"/>
    <mergeCell ref="A1514:N1514"/>
    <mergeCell ref="F1341:F1342"/>
    <mergeCell ref="G1341:G1342"/>
    <mergeCell ref="A1343:N1343"/>
    <mergeCell ref="A1362:N1362"/>
    <mergeCell ref="A1381:N1381"/>
    <mergeCell ref="A1400:N1400"/>
    <mergeCell ref="H1340:H1342"/>
    <mergeCell ref="I1340:I1342"/>
    <mergeCell ref="J1340:J1342"/>
    <mergeCell ref="K1340:K1342"/>
    <mergeCell ref="L1340:M1341"/>
    <mergeCell ref="N1340:N1342"/>
    <mergeCell ref="A1336:I1338"/>
    <mergeCell ref="J1336:L1336"/>
    <mergeCell ref="J1337:L1337"/>
    <mergeCell ref="J1338:L1338"/>
    <mergeCell ref="A1340:A1342"/>
    <mergeCell ref="B1340:B1342"/>
    <mergeCell ref="C1340:C1342"/>
    <mergeCell ref="D1340:D1342"/>
    <mergeCell ref="E1340:E1342"/>
    <mergeCell ref="F1340:G1340"/>
    <mergeCell ref="H1320:H1322"/>
    <mergeCell ref="I1320:I1322"/>
    <mergeCell ref="J1320:J1322"/>
    <mergeCell ref="K1320:L1321"/>
    <mergeCell ref="M1320:M1322"/>
    <mergeCell ref="F1321:F1322"/>
    <mergeCell ref="G1321:G1322"/>
    <mergeCell ref="A1316:H1318"/>
    <mergeCell ref="I1316:K1316"/>
    <mergeCell ref="I1317:K1317"/>
    <mergeCell ref="I1318:K1318"/>
    <mergeCell ref="A1320:A1322"/>
    <mergeCell ref="B1320:B1322"/>
    <mergeCell ref="C1320:C1322"/>
    <mergeCell ref="D1320:D1322"/>
    <mergeCell ref="E1320:E1322"/>
    <mergeCell ref="F1320:G1320"/>
    <mergeCell ref="A1200:N1200"/>
    <mergeCell ref="A1219:N1219"/>
    <mergeCell ref="A1238:N1238"/>
    <mergeCell ref="A1257:N1257"/>
    <mergeCell ref="A1276:N1276"/>
    <mergeCell ref="A1295:N1295"/>
    <mergeCell ref="F1122:F1123"/>
    <mergeCell ref="G1122:G1123"/>
    <mergeCell ref="A1124:N1124"/>
    <mergeCell ref="A1143:N1143"/>
    <mergeCell ref="A1162:N1162"/>
    <mergeCell ref="A1181:N1181"/>
    <mergeCell ref="H1121:H1123"/>
    <mergeCell ref="I1121:I1123"/>
    <mergeCell ref="J1121:J1123"/>
    <mergeCell ref="K1121:K1123"/>
    <mergeCell ref="L1121:M1122"/>
    <mergeCell ref="N1121:N1123"/>
    <mergeCell ref="A1117:I1119"/>
    <mergeCell ref="J1117:L1117"/>
    <mergeCell ref="J1118:L1118"/>
    <mergeCell ref="J1119:L1119"/>
    <mergeCell ref="A1121:A1123"/>
    <mergeCell ref="B1121:B1123"/>
    <mergeCell ref="C1121:C1123"/>
    <mergeCell ref="D1121:D1123"/>
    <mergeCell ref="E1121:E1123"/>
    <mergeCell ref="F1121:G1121"/>
    <mergeCell ref="H1101:H1103"/>
    <mergeCell ref="I1101:I1103"/>
    <mergeCell ref="J1101:J1103"/>
    <mergeCell ref="K1101:L1102"/>
    <mergeCell ref="M1101:M1103"/>
    <mergeCell ref="F1102:F1103"/>
    <mergeCell ref="G1102:G1103"/>
    <mergeCell ref="A1097:H1099"/>
    <mergeCell ref="I1097:K1097"/>
    <mergeCell ref="I1098:K1098"/>
    <mergeCell ref="I1099:K1099"/>
    <mergeCell ref="A1101:A1103"/>
    <mergeCell ref="B1101:B1103"/>
    <mergeCell ref="C1101:C1103"/>
    <mergeCell ref="D1101:D1103"/>
    <mergeCell ref="E1101:E1103"/>
    <mergeCell ref="F1101:G1101"/>
    <mergeCell ref="A981:N981"/>
    <mergeCell ref="A1000:N1000"/>
    <mergeCell ref="A1019:N1019"/>
    <mergeCell ref="A1038:N1038"/>
    <mergeCell ref="A1057:N1057"/>
    <mergeCell ref="A1076:N1076"/>
    <mergeCell ref="F903:F904"/>
    <mergeCell ref="G903:G904"/>
    <mergeCell ref="A905:N905"/>
    <mergeCell ref="A924:N924"/>
    <mergeCell ref="A943:N943"/>
    <mergeCell ref="A962:N962"/>
    <mergeCell ref="H902:H904"/>
    <mergeCell ref="I902:I904"/>
    <mergeCell ref="J902:J904"/>
    <mergeCell ref="K902:K904"/>
    <mergeCell ref="L902:M903"/>
    <mergeCell ref="N902:N904"/>
    <mergeCell ref="A898:I900"/>
    <mergeCell ref="J898:L898"/>
    <mergeCell ref="J899:L899"/>
    <mergeCell ref="J900:L900"/>
    <mergeCell ref="A902:A904"/>
    <mergeCell ref="B902:B904"/>
    <mergeCell ref="C902:C904"/>
    <mergeCell ref="D902:D904"/>
    <mergeCell ref="E902:E904"/>
    <mergeCell ref="F902:G902"/>
    <mergeCell ref="H882:H884"/>
    <mergeCell ref="I882:I884"/>
    <mergeCell ref="J882:J884"/>
    <mergeCell ref="K882:L883"/>
    <mergeCell ref="M882:M884"/>
    <mergeCell ref="F883:F884"/>
    <mergeCell ref="G883:G884"/>
    <mergeCell ref="A878:H880"/>
    <mergeCell ref="I878:K878"/>
    <mergeCell ref="I879:K879"/>
    <mergeCell ref="I880:K880"/>
    <mergeCell ref="A882:A884"/>
    <mergeCell ref="B882:B884"/>
    <mergeCell ref="C882:C884"/>
    <mergeCell ref="D882:D884"/>
    <mergeCell ref="E882:E884"/>
    <mergeCell ref="F882:G882"/>
    <mergeCell ref="A762:N762"/>
    <mergeCell ref="A781:N781"/>
    <mergeCell ref="A800:N800"/>
    <mergeCell ref="A819:N819"/>
    <mergeCell ref="A838:N838"/>
    <mergeCell ref="A857:N857"/>
    <mergeCell ref="F684:F685"/>
    <mergeCell ref="G684:G685"/>
    <mergeCell ref="A686:N686"/>
    <mergeCell ref="A705:N705"/>
    <mergeCell ref="A724:N724"/>
    <mergeCell ref="A743:N743"/>
    <mergeCell ref="H683:H685"/>
    <mergeCell ref="I683:I685"/>
    <mergeCell ref="J683:J685"/>
    <mergeCell ref="K683:K685"/>
    <mergeCell ref="L683:M684"/>
    <mergeCell ref="N683:N685"/>
    <mergeCell ref="A679:I681"/>
    <mergeCell ref="J679:L679"/>
    <mergeCell ref="J680:L680"/>
    <mergeCell ref="J681:L681"/>
    <mergeCell ref="A683:A685"/>
    <mergeCell ref="B683:B685"/>
    <mergeCell ref="C683:C685"/>
    <mergeCell ref="D683:D685"/>
    <mergeCell ref="E683:E685"/>
    <mergeCell ref="F683:G683"/>
    <mergeCell ref="H663:H665"/>
    <mergeCell ref="I663:I665"/>
    <mergeCell ref="J663:J665"/>
    <mergeCell ref="K663:L664"/>
    <mergeCell ref="M663:M665"/>
    <mergeCell ref="F664:F665"/>
    <mergeCell ref="G664:G665"/>
    <mergeCell ref="A659:H661"/>
    <mergeCell ref="I659:K659"/>
    <mergeCell ref="I660:K660"/>
    <mergeCell ref="I661:K661"/>
    <mergeCell ref="A663:A665"/>
    <mergeCell ref="B663:B665"/>
    <mergeCell ref="C663:C665"/>
    <mergeCell ref="D663:D665"/>
    <mergeCell ref="E663:E665"/>
    <mergeCell ref="F663:G663"/>
    <mergeCell ref="A543:N543"/>
    <mergeCell ref="A562:N562"/>
    <mergeCell ref="A581:N581"/>
    <mergeCell ref="A600:N600"/>
    <mergeCell ref="A619:N619"/>
    <mergeCell ref="A638:N638"/>
    <mergeCell ref="F465:F466"/>
    <mergeCell ref="G465:G466"/>
    <mergeCell ref="A467:N467"/>
    <mergeCell ref="A486:N486"/>
    <mergeCell ref="A505:N505"/>
    <mergeCell ref="A524:N524"/>
    <mergeCell ref="H464:H466"/>
    <mergeCell ref="I464:I466"/>
    <mergeCell ref="J464:J466"/>
    <mergeCell ref="K464:K466"/>
    <mergeCell ref="L464:M465"/>
    <mergeCell ref="N464:N466"/>
    <mergeCell ref="A460:I462"/>
    <mergeCell ref="J460:L460"/>
    <mergeCell ref="J461:L461"/>
    <mergeCell ref="J462:L462"/>
    <mergeCell ref="A464:A466"/>
    <mergeCell ref="B464:B466"/>
    <mergeCell ref="C464:C466"/>
    <mergeCell ref="D464:D466"/>
    <mergeCell ref="E464:E466"/>
    <mergeCell ref="F464:G464"/>
    <mergeCell ref="H444:H446"/>
    <mergeCell ref="I444:I446"/>
    <mergeCell ref="J444:J446"/>
    <mergeCell ref="K444:L445"/>
    <mergeCell ref="M444:M446"/>
    <mergeCell ref="F445:F446"/>
    <mergeCell ref="G445:G446"/>
    <mergeCell ref="A440:H442"/>
    <mergeCell ref="I440:K440"/>
    <mergeCell ref="I441:K441"/>
    <mergeCell ref="I442:K442"/>
    <mergeCell ref="A444:A446"/>
    <mergeCell ref="B444:B446"/>
    <mergeCell ref="C444:C446"/>
    <mergeCell ref="D444:D446"/>
    <mergeCell ref="E444:E446"/>
    <mergeCell ref="F444:G444"/>
    <mergeCell ref="A324:N324"/>
    <mergeCell ref="A343:N343"/>
    <mergeCell ref="A362:N362"/>
    <mergeCell ref="A381:N381"/>
    <mergeCell ref="A400:N400"/>
    <mergeCell ref="A419:N419"/>
    <mergeCell ref="F246:F247"/>
    <mergeCell ref="G246:G247"/>
    <mergeCell ref="A248:N248"/>
    <mergeCell ref="A267:N267"/>
    <mergeCell ref="A286:N286"/>
    <mergeCell ref="A305:N305"/>
    <mergeCell ref="H245:H247"/>
    <mergeCell ref="I245:I247"/>
    <mergeCell ref="J245:J247"/>
    <mergeCell ref="K245:K247"/>
    <mergeCell ref="L245:M246"/>
    <mergeCell ref="N245:N247"/>
    <mergeCell ref="A241:I243"/>
    <mergeCell ref="J241:L241"/>
    <mergeCell ref="J242:L242"/>
    <mergeCell ref="J243:L243"/>
    <mergeCell ref="A245:A247"/>
    <mergeCell ref="B245:B247"/>
    <mergeCell ref="C245:C247"/>
    <mergeCell ref="D245:D247"/>
    <mergeCell ref="E245:E247"/>
    <mergeCell ref="F245:G245"/>
    <mergeCell ref="H225:H227"/>
    <mergeCell ref="I225:I227"/>
    <mergeCell ref="J225:J227"/>
    <mergeCell ref="K225:L226"/>
    <mergeCell ref="M225:M227"/>
    <mergeCell ref="F226:F227"/>
    <mergeCell ref="G226:G227"/>
    <mergeCell ref="A221:H223"/>
    <mergeCell ref="I221:K221"/>
    <mergeCell ref="I222:K222"/>
    <mergeCell ref="I223:K223"/>
    <mergeCell ref="A225:A227"/>
    <mergeCell ref="B225:B227"/>
    <mergeCell ref="C225:C227"/>
    <mergeCell ref="D225:D227"/>
    <mergeCell ref="E225:E227"/>
    <mergeCell ref="F225:G225"/>
    <mergeCell ref="A105:N105"/>
    <mergeCell ref="A124:N124"/>
    <mergeCell ref="A143:N143"/>
    <mergeCell ref="A162:N162"/>
    <mergeCell ref="A181:N181"/>
    <mergeCell ref="A200:N200"/>
    <mergeCell ref="F27:F28"/>
    <mergeCell ref="G27:G28"/>
    <mergeCell ref="A29:N29"/>
    <mergeCell ref="A48:N48"/>
    <mergeCell ref="A67:N67"/>
    <mergeCell ref="A86:N86"/>
    <mergeCell ref="H26:H28"/>
    <mergeCell ref="I26:I28"/>
    <mergeCell ref="J26:J28"/>
    <mergeCell ref="K26:K28"/>
    <mergeCell ref="L26:M27"/>
    <mergeCell ref="N26:N28"/>
    <mergeCell ref="A22:I24"/>
    <mergeCell ref="J22:L22"/>
    <mergeCell ref="J23:L23"/>
    <mergeCell ref="J24:L24"/>
    <mergeCell ref="A26:A28"/>
    <mergeCell ref="B26:B28"/>
    <mergeCell ref="C26:C28"/>
    <mergeCell ref="D26:D28"/>
    <mergeCell ref="E26:E28"/>
    <mergeCell ref="F26:G26"/>
    <mergeCell ref="H6:H8"/>
    <mergeCell ref="I6:I8"/>
    <mergeCell ref="J6:J8"/>
    <mergeCell ref="K6:L7"/>
    <mergeCell ref="M6:M8"/>
    <mergeCell ref="F7:F8"/>
    <mergeCell ref="G7:G8"/>
    <mergeCell ref="A2:H4"/>
    <mergeCell ref="I2:K2"/>
    <mergeCell ref="I3:K3"/>
    <mergeCell ref="I4:K4"/>
    <mergeCell ref="A6:A8"/>
    <mergeCell ref="B6:B8"/>
    <mergeCell ref="C6:C8"/>
    <mergeCell ref="D6:D8"/>
    <mergeCell ref="E6:E8"/>
    <mergeCell ref="F6:G6"/>
  </mergeCells>
  <phoneticPr fontId="1" type="noConversion"/>
  <conditionalFormatting sqref="H9">
    <cfRule type="cellIs" dxfId="1871" priority="1404" operator="between">
      <formula>J9</formula>
      <formula>9999</formula>
    </cfRule>
  </conditionalFormatting>
  <conditionalFormatting sqref="H10">
    <cfRule type="cellIs" dxfId="1870" priority="1403" operator="between">
      <formula>J10</formula>
      <formula>9999</formula>
    </cfRule>
  </conditionalFormatting>
  <conditionalFormatting sqref="H11">
    <cfRule type="cellIs" dxfId="1869" priority="1402" operator="between">
      <formula>J11</formula>
      <formula>9999</formula>
    </cfRule>
  </conditionalFormatting>
  <conditionalFormatting sqref="H15">
    <cfRule type="cellIs" dxfId="1868" priority="1401" operator="between">
      <formula>J15</formula>
      <formula>9999</formula>
    </cfRule>
  </conditionalFormatting>
  <conditionalFormatting sqref="H16">
    <cfRule type="cellIs" dxfId="1867" priority="1400" operator="between">
      <formula>J16</formula>
      <formula>9999</formula>
    </cfRule>
  </conditionalFormatting>
  <conditionalFormatting sqref="H17">
    <cfRule type="cellIs" dxfId="1866" priority="1399" operator="between">
      <formula>J17</formula>
      <formula>9999</formula>
    </cfRule>
  </conditionalFormatting>
  <conditionalFormatting sqref="H18">
    <cfRule type="cellIs" dxfId="1865" priority="1398" operator="between">
      <formula>J18</formula>
      <formula>9999</formula>
    </cfRule>
  </conditionalFormatting>
  <conditionalFormatting sqref="H19">
    <cfRule type="cellIs" dxfId="1864" priority="1397" operator="between">
      <formula>J19</formula>
      <formula>9999</formula>
    </cfRule>
  </conditionalFormatting>
  <conditionalFormatting sqref="H20">
    <cfRule type="cellIs" dxfId="1863" priority="1396" operator="between">
      <formula>J20</formula>
      <formula>9999</formula>
    </cfRule>
  </conditionalFormatting>
  <conditionalFormatting sqref="I30">
    <cfRule type="cellIs" dxfId="1862" priority="1395" operator="between">
      <formula>K30</formula>
      <formula>9999</formula>
    </cfRule>
  </conditionalFormatting>
  <conditionalFormatting sqref="I31">
    <cfRule type="cellIs" dxfId="1861" priority="1394" operator="between">
      <formula>K31</formula>
      <formula>9999</formula>
    </cfRule>
  </conditionalFormatting>
  <conditionalFormatting sqref="I32">
    <cfRule type="cellIs" dxfId="1860" priority="1393" operator="between">
      <formula>K32</formula>
      <formula>9999</formula>
    </cfRule>
  </conditionalFormatting>
  <conditionalFormatting sqref="I33">
    <cfRule type="cellIs" dxfId="1859" priority="1392" operator="between">
      <formula>K33</formula>
      <formula>9999</formula>
    </cfRule>
  </conditionalFormatting>
  <conditionalFormatting sqref="I34">
    <cfRule type="cellIs" dxfId="1858" priority="1391" operator="between">
      <formula>K34</formula>
      <formula>9999</formula>
    </cfRule>
  </conditionalFormatting>
  <conditionalFormatting sqref="I35">
    <cfRule type="cellIs" dxfId="1857" priority="1390" operator="between">
      <formula>K35</formula>
      <formula>9999</formula>
    </cfRule>
  </conditionalFormatting>
  <conditionalFormatting sqref="I36">
    <cfRule type="cellIs" dxfId="1856" priority="1389" operator="between">
      <formula>K36</formula>
      <formula>9999</formula>
    </cfRule>
  </conditionalFormatting>
  <conditionalFormatting sqref="I37">
    <cfRule type="cellIs" dxfId="1855" priority="1388" operator="between">
      <formula>K37</formula>
      <formula>9999</formula>
    </cfRule>
  </conditionalFormatting>
  <conditionalFormatting sqref="I38">
    <cfRule type="cellIs" dxfId="1854" priority="1387" operator="between">
      <formula>K38</formula>
      <formula>9999</formula>
    </cfRule>
  </conditionalFormatting>
  <conditionalFormatting sqref="I39">
    <cfRule type="cellIs" dxfId="1853" priority="1386" operator="between">
      <formula>K39</formula>
      <formula>9999</formula>
    </cfRule>
  </conditionalFormatting>
  <conditionalFormatting sqref="I40">
    <cfRule type="cellIs" dxfId="1852" priority="1385" operator="between">
      <formula>K40</formula>
      <formula>9999</formula>
    </cfRule>
  </conditionalFormatting>
  <conditionalFormatting sqref="I41">
    <cfRule type="cellIs" dxfId="1851" priority="1384" operator="between">
      <formula>K41</formula>
      <formula>9999</formula>
    </cfRule>
  </conditionalFormatting>
  <conditionalFormatting sqref="I42">
    <cfRule type="cellIs" dxfId="1850" priority="1383" operator="between">
      <formula>K42</formula>
      <formula>9999</formula>
    </cfRule>
  </conditionalFormatting>
  <conditionalFormatting sqref="I43">
    <cfRule type="cellIs" dxfId="1849" priority="1382" operator="between">
      <formula>K43</formula>
      <formula>9999</formula>
    </cfRule>
  </conditionalFormatting>
  <conditionalFormatting sqref="I44">
    <cfRule type="cellIs" dxfId="1848" priority="1381" operator="between">
      <formula>K44</formula>
      <formula>9999</formula>
    </cfRule>
  </conditionalFormatting>
  <conditionalFormatting sqref="I45">
    <cfRule type="cellIs" dxfId="1847" priority="1380" operator="between">
      <formula>K45</formula>
      <formula>9999</formula>
    </cfRule>
  </conditionalFormatting>
  <conditionalFormatting sqref="I46">
    <cfRule type="cellIs" dxfId="1846" priority="1379" operator="between">
      <formula>K46</formula>
      <formula>9999</formula>
    </cfRule>
  </conditionalFormatting>
  <conditionalFormatting sqref="I47">
    <cfRule type="cellIs" dxfId="1845" priority="1378" operator="between">
      <formula>K47</formula>
      <formula>9999</formula>
    </cfRule>
  </conditionalFormatting>
  <conditionalFormatting sqref="I49">
    <cfRule type="cellIs" dxfId="1844" priority="1377" operator="between">
      <formula>K49</formula>
      <formula>9999</formula>
    </cfRule>
  </conditionalFormatting>
  <conditionalFormatting sqref="I50">
    <cfRule type="cellIs" dxfId="1843" priority="1376" operator="between">
      <formula>K50</formula>
      <formula>9999</formula>
    </cfRule>
  </conditionalFormatting>
  <conditionalFormatting sqref="I51">
    <cfRule type="cellIs" dxfId="1842" priority="1375" operator="between">
      <formula>K51</formula>
      <formula>9999</formula>
    </cfRule>
  </conditionalFormatting>
  <conditionalFormatting sqref="I52">
    <cfRule type="cellIs" dxfId="1841" priority="1374" operator="between">
      <formula>K52</formula>
      <formula>9999</formula>
    </cfRule>
  </conditionalFormatting>
  <conditionalFormatting sqref="I53">
    <cfRule type="cellIs" dxfId="1840" priority="1373" operator="between">
      <formula>K53</formula>
      <formula>9999</formula>
    </cfRule>
  </conditionalFormatting>
  <conditionalFormatting sqref="I54">
    <cfRule type="cellIs" dxfId="1839" priority="1372" operator="between">
      <formula>K54</formula>
      <formula>9999</formula>
    </cfRule>
  </conditionalFormatting>
  <conditionalFormatting sqref="I55">
    <cfRule type="cellIs" dxfId="1838" priority="1371" operator="between">
      <formula>K55</formula>
      <formula>9999</formula>
    </cfRule>
  </conditionalFormatting>
  <conditionalFormatting sqref="I56">
    <cfRule type="cellIs" dxfId="1837" priority="1370" operator="between">
      <formula>K56</formula>
      <formula>9999</formula>
    </cfRule>
  </conditionalFormatting>
  <conditionalFormatting sqref="I57">
    <cfRule type="cellIs" dxfId="1836" priority="1369" operator="between">
      <formula>K57</formula>
      <formula>9999</formula>
    </cfRule>
  </conditionalFormatting>
  <conditionalFormatting sqref="I58">
    <cfRule type="cellIs" dxfId="1835" priority="1368" operator="between">
      <formula>K58</formula>
      <formula>9999</formula>
    </cfRule>
  </conditionalFormatting>
  <conditionalFormatting sqref="I59">
    <cfRule type="cellIs" dxfId="1834" priority="1367" operator="between">
      <formula>K59</formula>
      <formula>9999</formula>
    </cfRule>
  </conditionalFormatting>
  <conditionalFormatting sqref="I60">
    <cfRule type="cellIs" dxfId="1833" priority="1366" operator="between">
      <formula>K60</formula>
      <formula>9999</formula>
    </cfRule>
  </conditionalFormatting>
  <conditionalFormatting sqref="I61">
    <cfRule type="cellIs" dxfId="1832" priority="1365" operator="between">
      <formula>K61</formula>
      <formula>9999</formula>
    </cfRule>
  </conditionalFormatting>
  <conditionalFormatting sqref="I62">
    <cfRule type="cellIs" dxfId="1831" priority="1364" operator="between">
      <formula>K62</formula>
      <formula>9999</formula>
    </cfRule>
  </conditionalFormatting>
  <conditionalFormatting sqref="I63">
    <cfRule type="cellIs" dxfId="1830" priority="1363" operator="between">
      <formula>K63</formula>
      <formula>9999</formula>
    </cfRule>
  </conditionalFormatting>
  <conditionalFormatting sqref="I64">
    <cfRule type="cellIs" dxfId="1829" priority="1362" operator="between">
      <formula>K64</formula>
      <formula>9999</formula>
    </cfRule>
  </conditionalFormatting>
  <conditionalFormatting sqref="I65">
    <cfRule type="cellIs" dxfId="1828" priority="1361" operator="between">
      <formula>K65</formula>
      <formula>9999</formula>
    </cfRule>
  </conditionalFormatting>
  <conditionalFormatting sqref="I66">
    <cfRule type="cellIs" dxfId="1827" priority="1360" operator="between">
      <formula>K66</formula>
      <formula>9999</formula>
    </cfRule>
  </conditionalFormatting>
  <conditionalFormatting sqref="I68">
    <cfRule type="cellIs" dxfId="1826" priority="1359" operator="between">
      <formula>K68</formula>
      <formula>9999</formula>
    </cfRule>
  </conditionalFormatting>
  <conditionalFormatting sqref="I69">
    <cfRule type="cellIs" dxfId="1825" priority="1358" operator="between">
      <formula>K69</formula>
      <formula>9999</formula>
    </cfRule>
  </conditionalFormatting>
  <conditionalFormatting sqref="I70">
    <cfRule type="cellIs" dxfId="1824" priority="1357" operator="between">
      <formula>K70</formula>
      <formula>9999</formula>
    </cfRule>
  </conditionalFormatting>
  <conditionalFormatting sqref="I71">
    <cfRule type="cellIs" dxfId="1823" priority="1356" operator="between">
      <formula>K71</formula>
      <formula>9999</formula>
    </cfRule>
  </conditionalFormatting>
  <conditionalFormatting sqref="I72">
    <cfRule type="cellIs" dxfId="1822" priority="1355" operator="between">
      <formula>K72</formula>
      <formula>9999</formula>
    </cfRule>
  </conditionalFormatting>
  <conditionalFormatting sqref="I73">
    <cfRule type="cellIs" dxfId="1821" priority="1354" operator="between">
      <formula>K73</formula>
      <formula>9999</formula>
    </cfRule>
  </conditionalFormatting>
  <conditionalFormatting sqref="I74">
    <cfRule type="cellIs" dxfId="1820" priority="1353" operator="between">
      <formula>K74</formula>
      <formula>9999</formula>
    </cfRule>
  </conditionalFormatting>
  <conditionalFormatting sqref="I75">
    <cfRule type="cellIs" dxfId="1819" priority="1352" operator="between">
      <formula>K75</formula>
      <formula>9999</formula>
    </cfRule>
  </conditionalFormatting>
  <conditionalFormatting sqref="I76">
    <cfRule type="cellIs" dxfId="1818" priority="1351" operator="between">
      <formula>K76</formula>
      <formula>9999</formula>
    </cfRule>
  </conditionalFormatting>
  <conditionalFormatting sqref="I77">
    <cfRule type="cellIs" dxfId="1817" priority="1350" operator="between">
      <formula>K77</formula>
      <formula>9999</formula>
    </cfRule>
  </conditionalFormatting>
  <conditionalFormatting sqref="I78">
    <cfRule type="cellIs" dxfId="1816" priority="1349" operator="between">
      <formula>K78</formula>
      <formula>9999</formula>
    </cfRule>
  </conditionalFormatting>
  <conditionalFormatting sqref="I79">
    <cfRule type="cellIs" dxfId="1815" priority="1348" operator="between">
      <formula>K79</formula>
      <formula>9999</formula>
    </cfRule>
  </conditionalFormatting>
  <conditionalFormatting sqref="I80">
    <cfRule type="cellIs" dxfId="1814" priority="1347" operator="between">
      <formula>K80</formula>
      <formula>9999</formula>
    </cfRule>
  </conditionalFormatting>
  <conditionalFormatting sqref="I81">
    <cfRule type="cellIs" dxfId="1813" priority="1346" operator="between">
      <formula>K81</formula>
      <formula>9999</formula>
    </cfRule>
  </conditionalFormatting>
  <conditionalFormatting sqref="I82">
    <cfRule type="cellIs" dxfId="1812" priority="1345" operator="between">
      <formula>K82</formula>
      <formula>9999</formula>
    </cfRule>
  </conditionalFormatting>
  <conditionalFormatting sqref="I83">
    <cfRule type="cellIs" dxfId="1811" priority="1344" operator="between">
      <formula>K83</formula>
      <formula>9999</formula>
    </cfRule>
  </conditionalFormatting>
  <conditionalFormatting sqref="I84">
    <cfRule type="cellIs" dxfId="1810" priority="1343" operator="between">
      <formula>K84</formula>
      <formula>9999</formula>
    </cfRule>
  </conditionalFormatting>
  <conditionalFormatting sqref="I85">
    <cfRule type="cellIs" dxfId="1809" priority="1342" operator="between">
      <formula>K85</formula>
      <formula>9999</formula>
    </cfRule>
  </conditionalFormatting>
  <conditionalFormatting sqref="I87">
    <cfRule type="cellIs" dxfId="1808" priority="1341" operator="between">
      <formula>K87</formula>
      <formula>9999</formula>
    </cfRule>
  </conditionalFormatting>
  <conditionalFormatting sqref="I88">
    <cfRule type="cellIs" dxfId="1807" priority="1340" operator="between">
      <formula>K88</formula>
      <formula>9999</formula>
    </cfRule>
  </conditionalFormatting>
  <conditionalFormatting sqref="I89">
    <cfRule type="cellIs" dxfId="1806" priority="1339" operator="between">
      <formula>K89</formula>
      <formula>9999</formula>
    </cfRule>
  </conditionalFormatting>
  <conditionalFormatting sqref="I90">
    <cfRule type="cellIs" dxfId="1805" priority="1338" operator="between">
      <formula>K90</formula>
      <formula>9999</formula>
    </cfRule>
  </conditionalFormatting>
  <conditionalFormatting sqref="I91">
    <cfRule type="cellIs" dxfId="1804" priority="1337" operator="between">
      <formula>K91</formula>
      <formula>9999</formula>
    </cfRule>
  </conditionalFormatting>
  <conditionalFormatting sqref="I92">
    <cfRule type="cellIs" dxfId="1803" priority="1336" operator="between">
      <formula>K92</formula>
      <formula>9999</formula>
    </cfRule>
  </conditionalFormatting>
  <conditionalFormatting sqref="I93">
    <cfRule type="cellIs" dxfId="1802" priority="1335" operator="between">
      <formula>K93</formula>
      <formula>9999</formula>
    </cfRule>
  </conditionalFormatting>
  <conditionalFormatting sqref="I94">
    <cfRule type="cellIs" dxfId="1801" priority="1334" operator="between">
      <formula>K94</formula>
      <formula>9999</formula>
    </cfRule>
  </conditionalFormatting>
  <conditionalFormatting sqref="I95">
    <cfRule type="cellIs" dxfId="1800" priority="1333" operator="between">
      <formula>K95</formula>
      <formula>9999</formula>
    </cfRule>
  </conditionalFormatting>
  <conditionalFormatting sqref="I96">
    <cfRule type="cellIs" dxfId="1799" priority="1332" operator="between">
      <formula>K96</formula>
      <formula>9999</formula>
    </cfRule>
  </conditionalFormatting>
  <conditionalFormatting sqref="I97">
    <cfRule type="cellIs" dxfId="1798" priority="1331" operator="between">
      <formula>K97</formula>
      <formula>9999</formula>
    </cfRule>
  </conditionalFormatting>
  <conditionalFormatting sqref="I98">
    <cfRule type="cellIs" dxfId="1797" priority="1330" operator="between">
      <formula>K98</formula>
      <formula>9999</formula>
    </cfRule>
  </conditionalFormatting>
  <conditionalFormatting sqref="I99">
    <cfRule type="cellIs" dxfId="1796" priority="1329" operator="between">
      <formula>K99</formula>
      <formula>9999</formula>
    </cfRule>
  </conditionalFormatting>
  <conditionalFormatting sqref="I100">
    <cfRule type="cellIs" dxfId="1795" priority="1328" operator="between">
      <formula>K100</formula>
      <formula>9999</formula>
    </cfRule>
  </conditionalFormatting>
  <conditionalFormatting sqref="I101">
    <cfRule type="cellIs" dxfId="1794" priority="1327" operator="between">
      <formula>K101</formula>
      <formula>9999</formula>
    </cfRule>
  </conditionalFormatting>
  <conditionalFormatting sqref="I102">
    <cfRule type="cellIs" dxfId="1793" priority="1326" operator="between">
      <formula>K102</formula>
      <formula>9999</formula>
    </cfRule>
  </conditionalFormatting>
  <conditionalFormatting sqref="I103">
    <cfRule type="cellIs" dxfId="1792" priority="1325" operator="between">
      <formula>K103</formula>
      <formula>9999</formula>
    </cfRule>
  </conditionalFormatting>
  <conditionalFormatting sqref="I104">
    <cfRule type="cellIs" dxfId="1791" priority="1324" operator="between">
      <formula>K104</formula>
      <formula>9999</formula>
    </cfRule>
  </conditionalFormatting>
  <conditionalFormatting sqref="I106">
    <cfRule type="cellIs" dxfId="1790" priority="1323" operator="between">
      <formula>K106</formula>
      <formula>9999</formula>
    </cfRule>
  </conditionalFormatting>
  <conditionalFormatting sqref="I107">
    <cfRule type="cellIs" dxfId="1789" priority="1322" operator="between">
      <formula>K107</formula>
      <formula>9999</formula>
    </cfRule>
  </conditionalFormatting>
  <conditionalFormatting sqref="I108">
    <cfRule type="cellIs" dxfId="1788" priority="1321" operator="between">
      <formula>K108</formula>
      <formula>9999</formula>
    </cfRule>
  </conditionalFormatting>
  <conditionalFormatting sqref="I109">
    <cfRule type="cellIs" dxfId="1787" priority="1320" operator="between">
      <formula>K109</formula>
      <formula>9999</formula>
    </cfRule>
  </conditionalFormatting>
  <conditionalFormatting sqref="I110">
    <cfRule type="cellIs" dxfId="1786" priority="1319" operator="between">
      <formula>K110</formula>
      <formula>9999</formula>
    </cfRule>
  </conditionalFormatting>
  <conditionalFormatting sqref="I111">
    <cfRule type="cellIs" dxfId="1785" priority="1318" operator="between">
      <formula>K111</formula>
      <formula>9999</formula>
    </cfRule>
  </conditionalFormatting>
  <conditionalFormatting sqref="I112">
    <cfRule type="cellIs" dxfId="1784" priority="1317" operator="between">
      <formula>K112</formula>
      <formula>9999</formula>
    </cfRule>
  </conditionalFormatting>
  <conditionalFormatting sqref="I113">
    <cfRule type="cellIs" dxfId="1783" priority="1316" operator="between">
      <formula>K113</formula>
      <formula>9999</formula>
    </cfRule>
  </conditionalFormatting>
  <conditionalFormatting sqref="I114">
    <cfRule type="cellIs" dxfId="1782" priority="1315" operator="between">
      <formula>K114</formula>
      <formula>9999</formula>
    </cfRule>
  </conditionalFormatting>
  <conditionalFormatting sqref="I115">
    <cfRule type="cellIs" dxfId="1781" priority="1314" operator="between">
      <formula>K115</formula>
      <formula>9999</formula>
    </cfRule>
  </conditionalFormatting>
  <conditionalFormatting sqref="I116">
    <cfRule type="cellIs" dxfId="1780" priority="1313" operator="between">
      <formula>K116</formula>
      <formula>9999</formula>
    </cfRule>
  </conditionalFormatting>
  <conditionalFormatting sqref="I117">
    <cfRule type="cellIs" dxfId="1779" priority="1312" operator="between">
      <formula>K117</formula>
      <formula>9999</formula>
    </cfRule>
  </conditionalFormatting>
  <conditionalFormatting sqref="I118">
    <cfRule type="cellIs" dxfId="1778" priority="1311" operator="between">
      <formula>K118</formula>
      <formula>9999</formula>
    </cfRule>
  </conditionalFormatting>
  <conditionalFormatting sqref="I119">
    <cfRule type="cellIs" dxfId="1777" priority="1310" operator="between">
      <formula>K119</formula>
      <formula>9999</formula>
    </cfRule>
  </conditionalFormatting>
  <conditionalFormatting sqref="I120">
    <cfRule type="cellIs" dxfId="1776" priority="1309" operator="between">
      <formula>K120</formula>
      <formula>9999</formula>
    </cfRule>
  </conditionalFormatting>
  <conditionalFormatting sqref="I121">
    <cfRule type="cellIs" dxfId="1775" priority="1308" operator="between">
      <formula>K121</formula>
      <formula>9999</formula>
    </cfRule>
  </conditionalFormatting>
  <conditionalFormatting sqref="I122">
    <cfRule type="cellIs" dxfId="1774" priority="1307" operator="between">
      <formula>K122</formula>
      <formula>9999</formula>
    </cfRule>
  </conditionalFormatting>
  <conditionalFormatting sqref="I123">
    <cfRule type="cellIs" dxfId="1773" priority="1306" operator="between">
      <formula>K123</formula>
      <formula>9999</formula>
    </cfRule>
  </conditionalFormatting>
  <conditionalFormatting sqref="I125">
    <cfRule type="cellIs" dxfId="1772" priority="1305" operator="between">
      <formula>K125</formula>
      <formula>9999</formula>
    </cfRule>
  </conditionalFormatting>
  <conditionalFormatting sqref="I126">
    <cfRule type="cellIs" dxfId="1771" priority="1304" operator="between">
      <formula>K126</formula>
      <formula>9999</formula>
    </cfRule>
  </conditionalFormatting>
  <conditionalFormatting sqref="I127">
    <cfRule type="cellIs" dxfId="1770" priority="1303" operator="between">
      <formula>K127</formula>
      <formula>9999</formula>
    </cfRule>
  </conditionalFormatting>
  <conditionalFormatting sqref="I128">
    <cfRule type="cellIs" dxfId="1769" priority="1302" operator="between">
      <formula>K128</formula>
      <formula>9999</formula>
    </cfRule>
  </conditionalFormatting>
  <conditionalFormatting sqref="I129">
    <cfRule type="cellIs" dxfId="1768" priority="1301" operator="between">
      <formula>K129</formula>
      <formula>9999</formula>
    </cfRule>
  </conditionalFormatting>
  <conditionalFormatting sqref="I130">
    <cfRule type="cellIs" dxfId="1767" priority="1300" operator="between">
      <formula>K130</formula>
      <formula>9999</formula>
    </cfRule>
  </conditionalFormatting>
  <conditionalFormatting sqref="I131">
    <cfRule type="cellIs" dxfId="1766" priority="1299" operator="between">
      <formula>K131</formula>
      <formula>9999</formula>
    </cfRule>
  </conditionalFormatting>
  <conditionalFormatting sqref="I132">
    <cfRule type="cellIs" dxfId="1765" priority="1298" operator="between">
      <formula>K132</formula>
      <formula>9999</formula>
    </cfRule>
  </conditionalFormatting>
  <conditionalFormatting sqref="I133">
    <cfRule type="cellIs" dxfId="1764" priority="1297" operator="between">
      <formula>K133</formula>
      <formula>9999</formula>
    </cfRule>
  </conditionalFormatting>
  <conditionalFormatting sqref="I134">
    <cfRule type="cellIs" dxfId="1763" priority="1296" operator="between">
      <formula>K134</formula>
      <formula>9999</formula>
    </cfRule>
  </conditionalFormatting>
  <conditionalFormatting sqref="I135">
    <cfRule type="cellIs" dxfId="1762" priority="1295" operator="between">
      <formula>K135</formula>
      <formula>9999</formula>
    </cfRule>
  </conditionalFormatting>
  <conditionalFormatting sqref="I136">
    <cfRule type="cellIs" dxfId="1761" priority="1294" operator="between">
      <formula>K136</formula>
      <formula>9999</formula>
    </cfRule>
  </conditionalFormatting>
  <conditionalFormatting sqref="I137">
    <cfRule type="cellIs" dxfId="1760" priority="1293" operator="between">
      <formula>K137</formula>
      <formula>9999</formula>
    </cfRule>
  </conditionalFormatting>
  <conditionalFormatting sqref="I138">
    <cfRule type="cellIs" dxfId="1759" priority="1292" operator="between">
      <formula>K138</formula>
      <formula>9999</formula>
    </cfRule>
  </conditionalFormatting>
  <conditionalFormatting sqref="I139">
    <cfRule type="cellIs" dxfId="1758" priority="1291" operator="between">
      <formula>K139</formula>
      <formula>9999</formula>
    </cfRule>
  </conditionalFormatting>
  <conditionalFormatting sqref="I140">
    <cfRule type="cellIs" dxfId="1757" priority="1290" operator="between">
      <formula>K140</formula>
      <formula>9999</formula>
    </cfRule>
  </conditionalFormatting>
  <conditionalFormatting sqref="I141">
    <cfRule type="cellIs" dxfId="1756" priority="1289" operator="between">
      <formula>K141</formula>
      <formula>9999</formula>
    </cfRule>
  </conditionalFormatting>
  <conditionalFormatting sqref="I142">
    <cfRule type="cellIs" dxfId="1755" priority="1288" operator="between">
      <formula>K142</formula>
      <formula>9999</formula>
    </cfRule>
  </conditionalFormatting>
  <conditionalFormatting sqref="I144">
    <cfRule type="cellIs" dxfId="1754" priority="1287" operator="between">
      <formula>K144</formula>
      <formula>9999</formula>
    </cfRule>
  </conditionalFormatting>
  <conditionalFormatting sqref="I145">
    <cfRule type="cellIs" dxfId="1753" priority="1286" operator="between">
      <formula>K145</formula>
      <formula>9999</formula>
    </cfRule>
  </conditionalFormatting>
  <conditionalFormatting sqref="I146">
    <cfRule type="cellIs" dxfId="1752" priority="1285" operator="between">
      <formula>K146</formula>
      <formula>9999</formula>
    </cfRule>
  </conditionalFormatting>
  <conditionalFormatting sqref="I147">
    <cfRule type="cellIs" dxfId="1751" priority="1284" operator="between">
      <formula>K147</formula>
      <formula>9999</formula>
    </cfRule>
  </conditionalFormatting>
  <conditionalFormatting sqref="I148">
    <cfRule type="cellIs" dxfId="1750" priority="1283" operator="between">
      <formula>K148</formula>
      <formula>9999</formula>
    </cfRule>
  </conditionalFormatting>
  <conditionalFormatting sqref="I149">
    <cfRule type="cellIs" dxfId="1749" priority="1282" operator="between">
      <formula>K149</formula>
      <formula>9999</formula>
    </cfRule>
  </conditionalFormatting>
  <conditionalFormatting sqref="I150">
    <cfRule type="cellIs" dxfId="1748" priority="1281" operator="between">
      <formula>K150</formula>
      <formula>9999</formula>
    </cfRule>
  </conditionalFormatting>
  <conditionalFormatting sqref="I151">
    <cfRule type="cellIs" dxfId="1747" priority="1280" operator="between">
      <formula>K151</formula>
      <formula>9999</formula>
    </cfRule>
  </conditionalFormatting>
  <conditionalFormatting sqref="I152">
    <cfRule type="cellIs" dxfId="1746" priority="1279" operator="between">
      <formula>K152</formula>
      <formula>9999</formula>
    </cfRule>
  </conditionalFormatting>
  <conditionalFormatting sqref="I153">
    <cfRule type="cellIs" dxfId="1745" priority="1278" operator="between">
      <formula>K153</formula>
      <formula>9999</formula>
    </cfRule>
  </conditionalFormatting>
  <conditionalFormatting sqref="I154">
    <cfRule type="cellIs" dxfId="1744" priority="1277" operator="between">
      <formula>K154</formula>
      <formula>9999</formula>
    </cfRule>
  </conditionalFormatting>
  <conditionalFormatting sqref="I155">
    <cfRule type="cellIs" dxfId="1743" priority="1276" operator="between">
      <formula>K155</formula>
      <formula>9999</formula>
    </cfRule>
  </conditionalFormatting>
  <conditionalFormatting sqref="I156">
    <cfRule type="cellIs" dxfId="1742" priority="1275" operator="between">
      <formula>K156</formula>
      <formula>9999</formula>
    </cfRule>
  </conditionalFormatting>
  <conditionalFormatting sqref="I157">
    <cfRule type="cellIs" dxfId="1741" priority="1274" operator="between">
      <formula>K157</formula>
      <formula>9999</formula>
    </cfRule>
  </conditionalFormatting>
  <conditionalFormatting sqref="I158">
    <cfRule type="cellIs" dxfId="1740" priority="1273" operator="between">
      <formula>K158</formula>
      <formula>9999</formula>
    </cfRule>
  </conditionalFormatting>
  <conditionalFormatting sqref="I159">
    <cfRule type="cellIs" dxfId="1739" priority="1272" operator="between">
      <formula>K159</formula>
      <formula>9999</formula>
    </cfRule>
  </conditionalFormatting>
  <conditionalFormatting sqref="I160">
    <cfRule type="cellIs" dxfId="1738" priority="1271" operator="between">
      <formula>K160</formula>
      <formula>9999</formula>
    </cfRule>
  </conditionalFormatting>
  <conditionalFormatting sqref="I161">
    <cfRule type="cellIs" dxfId="1737" priority="1270" operator="between">
      <formula>K161</formula>
      <formula>9999</formula>
    </cfRule>
  </conditionalFormatting>
  <conditionalFormatting sqref="I163">
    <cfRule type="cellIs" dxfId="1736" priority="1269" operator="between">
      <formula>K163</formula>
      <formula>9999</formula>
    </cfRule>
  </conditionalFormatting>
  <conditionalFormatting sqref="I164">
    <cfRule type="cellIs" dxfId="1735" priority="1268" operator="between">
      <formula>K164</formula>
      <formula>9999</formula>
    </cfRule>
  </conditionalFormatting>
  <conditionalFormatting sqref="I165">
    <cfRule type="cellIs" dxfId="1734" priority="1267" operator="between">
      <formula>K165</formula>
      <formula>9999</formula>
    </cfRule>
  </conditionalFormatting>
  <conditionalFormatting sqref="I166">
    <cfRule type="cellIs" dxfId="1733" priority="1266" operator="between">
      <formula>K166</formula>
      <formula>9999</formula>
    </cfRule>
  </conditionalFormatting>
  <conditionalFormatting sqref="I167">
    <cfRule type="cellIs" dxfId="1732" priority="1265" operator="between">
      <formula>K167</formula>
      <formula>9999</formula>
    </cfRule>
  </conditionalFormatting>
  <conditionalFormatting sqref="I168">
    <cfRule type="cellIs" dxfId="1731" priority="1264" operator="between">
      <formula>K168</formula>
      <formula>9999</formula>
    </cfRule>
  </conditionalFormatting>
  <conditionalFormatting sqref="I169">
    <cfRule type="cellIs" dxfId="1730" priority="1263" operator="between">
      <formula>K169</formula>
      <formula>9999</formula>
    </cfRule>
  </conditionalFormatting>
  <conditionalFormatting sqref="I170">
    <cfRule type="cellIs" dxfId="1729" priority="1262" operator="between">
      <formula>K170</formula>
      <formula>9999</formula>
    </cfRule>
  </conditionalFormatting>
  <conditionalFormatting sqref="I171">
    <cfRule type="cellIs" dxfId="1728" priority="1261" operator="between">
      <formula>K171</formula>
      <formula>9999</formula>
    </cfRule>
  </conditionalFormatting>
  <conditionalFormatting sqref="I172">
    <cfRule type="cellIs" dxfId="1727" priority="1260" operator="between">
      <formula>K172</formula>
      <formula>9999</formula>
    </cfRule>
  </conditionalFormatting>
  <conditionalFormatting sqref="I173">
    <cfRule type="cellIs" dxfId="1726" priority="1259" operator="between">
      <formula>K173</formula>
      <formula>9999</formula>
    </cfRule>
  </conditionalFormatting>
  <conditionalFormatting sqref="I174">
    <cfRule type="cellIs" dxfId="1725" priority="1258" operator="between">
      <formula>K174</formula>
      <formula>9999</formula>
    </cfRule>
  </conditionalFormatting>
  <conditionalFormatting sqref="I175">
    <cfRule type="cellIs" dxfId="1724" priority="1257" operator="between">
      <formula>K175</formula>
      <formula>9999</formula>
    </cfRule>
  </conditionalFormatting>
  <conditionalFormatting sqref="I176">
    <cfRule type="cellIs" dxfId="1723" priority="1256" operator="between">
      <formula>K176</formula>
      <formula>9999</formula>
    </cfRule>
  </conditionalFormatting>
  <conditionalFormatting sqref="I177">
    <cfRule type="cellIs" dxfId="1722" priority="1255" operator="between">
      <formula>K177</formula>
      <formula>9999</formula>
    </cfRule>
  </conditionalFormatting>
  <conditionalFormatting sqref="I178">
    <cfRule type="cellIs" dxfId="1721" priority="1254" operator="between">
      <formula>K178</formula>
      <formula>9999</formula>
    </cfRule>
  </conditionalFormatting>
  <conditionalFormatting sqref="I179">
    <cfRule type="cellIs" dxfId="1720" priority="1253" operator="between">
      <formula>K179</formula>
      <formula>9999</formula>
    </cfRule>
  </conditionalFormatting>
  <conditionalFormatting sqref="I180">
    <cfRule type="cellIs" dxfId="1719" priority="1252" operator="between">
      <formula>K180</formula>
      <formula>9999</formula>
    </cfRule>
  </conditionalFormatting>
  <conditionalFormatting sqref="I182">
    <cfRule type="cellIs" dxfId="1718" priority="1251" operator="between">
      <formula>K182</formula>
      <formula>9999</formula>
    </cfRule>
  </conditionalFormatting>
  <conditionalFormatting sqref="I201">
    <cfRule type="cellIs" dxfId="1717" priority="1250" operator="between">
      <formula>K201</formula>
      <formula>9999</formula>
    </cfRule>
  </conditionalFormatting>
  <conditionalFormatting sqref="H12:H14">
    <cfRule type="cellIs" dxfId="1716" priority="1249" operator="between">
      <formula>J12</formula>
      <formula>9999</formula>
    </cfRule>
  </conditionalFormatting>
  <conditionalFormatting sqref="H228">
    <cfRule type="cellIs" dxfId="1715" priority="1248" operator="between">
      <formula>J228</formula>
      <formula>9999</formula>
    </cfRule>
  </conditionalFormatting>
  <conditionalFormatting sqref="H229">
    <cfRule type="cellIs" dxfId="1714" priority="1247" operator="between">
      <formula>J229</formula>
      <formula>9999</formula>
    </cfRule>
  </conditionalFormatting>
  <conditionalFormatting sqref="H230">
    <cfRule type="cellIs" dxfId="1713" priority="1246" operator="between">
      <formula>J230</formula>
      <formula>9999</formula>
    </cfRule>
  </conditionalFormatting>
  <conditionalFormatting sqref="H234">
    <cfRule type="cellIs" dxfId="1712" priority="1245" operator="between">
      <formula>J234</formula>
      <formula>9999</formula>
    </cfRule>
  </conditionalFormatting>
  <conditionalFormatting sqref="H235">
    <cfRule type="cellIs" dxfId="1711" priority="1244" operator="between">
      <formula>J235</formula>
      <formula>9999</formula>
    </cfRule>
  </conditionalFormatting>
  <conditionalFormatting sqref="H236">
    <cfRule type="cellIs" dxfId="1710" priority="1243" operator="between">
      <formula>J236</formula>
      <formula>9999</formula>
    </cfRule>
  </conditionalFormatting>
  <conditionalFormatting sqref="H237">
    <cfRule type="cellIs" dxfId="1709" priority="1242" operator="between">
      <formula>J237</formula>
      <formula>9999</formula>
    </cfRule>
  </conditionalFormatting>
  <conditionalFormatting sqref="H238">
    <cfRule type="cellIs" dxfId="1708" priority="1241" operator="between">
      <formula>J238</formula>
      <formula>9999</formula>
    </cfRule>
  </conditionalFormatting>
  <conditionalFormatting sqref="H239">
    <cfRule type="cellIs" dxfId="1707" priority="1240" operator="between">
      <formula>J239</formula>
      <formula>9999</formula>
    </cfRule>
  </conditionalFormatting>
  <conditionalFormatting sqref="I249">
    <cfRule type="cellIs" dxfId="1706" priority="1239" operator="between">
      <formula>K249</formula>
      <formula>9999</formula>
    </cfRule>
  </conditionalFormatting>
  <conditionalFormatting sqref="I250">
    <cfRule type="cellIs" dxfId="1705" priority="1238" operator="between">
      <formula>K250</formula>
      <formula>9999</formula>
    </cfRule>
  </conditionalFormatting>
  <conditionalFormatting sqref="I251">
    <cfRule type="cellIs" dxfId="1704" priority="1237" operator="between">
      <formula>K251</formula>
      <formula>9999</formula>
    </cfRule>
  </conditionalFormatting>
  <conditionalFormatting sqref="I252">
    <cfRule type="cellIs" dxfId="1703" priority="1236" operator="between">
      <formula>K252</formula>
      <formula>9999</formula>
    </cfRule>
  </conditionalFormatting>
  <conditionalFormatting sqref="I253">
    <cfRule type="cellIs" dxfId="1702" priority="1235" operator="between">
      <formula>K253</formula>
      <formula>9999</formula>
    </cfRule>
  </conditionalFormatting>
  <conditionalFormatting sqref="I254">
    <cfRule type="cellIs" dxfId="1701" priority="1234" operator="between">
      <formula>K254</formula>
      <formula>9999</formula>
    </cfRule>
  </conditionalFormatting>
  <conditionalFormatting sqref="I255">
    <cfRule type="cellIs" dxfId="1700" priority="1233" operator="between">
      <formula>K255</formula>
      <formula>9999</formula>
    </cfRule>
  </conditionalFormatting>
  <conditionalFormatting sqref="I256">
    <cfRule type="cellIs" dxfId="1699" priority="1232" operator="between">
      <formula>K256</formula>
      <formula>9999</formula>
    </cfRule>
  </conditionalFormatting>
  <conditionalFormatting sqref="I257">
    <cfRule type="cellIs" dxfId="1698" priority="1231" operator="between">
      <formula>K257</formula>
      <formula>9999</formula>
    </cfRule>
  </conditionalFormatting>
  <conditionalFormatting sqref="I258">
    <cfRule type="cellIs" dxfId="1697" priority="1230" operator="between">
      <formula>K258</formula>
      <formula>9999</formula>
    </cfRule>
  </conditionalFormatting>
  <conditionalFormatting sqref="I259">
    <cfRule type="cellIs" dxfId="1696" priority="1229" operator="between">
      <formula>K259</formula>
      <formula>9999</formula>
    </cfRule>
  </conditionalFormatting>
  <conditionalFormatting sqref="I260">
    <cfRule type="cellIs" dxfId="1695" priority="1228" operator="between">
      <formula>K260</formula>
      <formula>9999</formula>
    </cfRule>
  </conditionalFormatting>
  <conditionalFormatting sqref="I261">
    <cfRule type="cellIs" dxfId="1694" priority="1227" operator="between">
      <formula>K261</formula>
      <formula>9999</formula>
    </cfRule>
  </conditionalFormatting>
  <conditionalFormatting sqref="I262">
    <cfRule type="cellIs" dxfId="1693" priority="1226" operator="between">
      <formula>K262</formula>
      <formula>9999</formula>
    </cfRule>
  </conditionalFormatting>
  <conditionalFormatting sqref="I263">
    <cfRule type="cellIs" dxfId="1692" priority="1225" operator="between">
      <formula>K263</formula>
      <formula>9999</formula>
    </cfRule>
  </conditionalFormatting>
  <conditionalFormatting sqref="I264">
    <cfRule type="cellIs" dxfId="1691" priority="1224" operator="between">
      <formula>K264</formula>
      <formula>9999</formula>
    </cfRule>
  </conditionalFormatting>
  <conditionalFormatting sqref="I265">
    <cfRule type="cellIs" dxfId="1690" priority="1223" operator="between">
      <formula>K265</formula>
      <formula>9999</formula>
    </cfRule>
  </conditionalFormatting>
  <conditionalFormatting sqref="I266">
    <cfRule type="cellIs" dxfId="1689" priority="1222" operator="between">
      <formula>K266</formula>
      <formula>9999</formula>
    </cfRule>
  </conditionalFormatting>
  <conditionalFormatting sqref="I268">
    <cfRule type="cellIs" dxfId="1688" priority="1221" operator="between">
      <formula>K268</formula>
      <formula>9999</formula>
    </cfRule>
  </conditionalFormatting>
  <conditionalFormatting sqref="I269">
    <cfRule type="cellIs" dxfId="1687" priority="1220" operator="between">
      <formula>K269</formula>
      <formula>9999</formula>
    </cfRule>
  </conditionalFormatting>
  <conditionalFormatting sqref="I270">
    <cfRule type="cellIs" dxfId="1686" priority="1219" operator="between">
      <formula>K270</formula>
      <formula>9999</formula>
    </cfRule>
  </conditionalFormatting>
  <conditionalFormatting sqref="I271">
    <cfRule type="cellIs" dxfId="1685" priority="1218" operator="between">
      <formula>K271</formula>
      <formula>9999</formula>
    </cfRule>
  </conditionalFormatting>
  <conditionalFormatting sqref="I272">
    <cfRule type="cellIs" dxfId="1684" priority="1217" operator="between">
      <formula>K272</formula>
      <formula>9999</formula>
    </cfRule>
  </conditionalFormatting>
  <conditionalFormatting sqref="I273">
    <cfRule type="cellIs" dxfId="1683" priority="1216" operator="between">
      <formula>K273</formula>
      <formula>9999</formula>
    </cfRule>
  </conditionalFormatting>
  <conditionalFormatting sqref="I274">
    <cfRule type="cellIs" dxfId="1682" priority="1215" operator="between">
      <formula>K274</formula>
      <formula>9999</formula>
    </cfRule>
  </conditionalFormatting>
  <conditionalFormatting sqref="I275">
    <cfRule type="cellIs" dxfId="1681" priority="1214" operator="between">
      <formula>K275</formula>
      <formula>9999</formula>
    </cfRule>
  </conditionalFormatting>
  <conditionalFormatting sqref="I276">
    <cfRule type="cellIs" dxfId="1680" priority="1213" operator="between">
      <formula>K276</formula>
      <formula>9999</formula>
    </cfRule>
  </conditionalFormatting>
  <conditionalFormatting sqref="I277">
    <cfRule type="cellIs" dxfId="1679" priority="1212" operator="between">
      <formula>K277</formula>
      <formula>9999</formula>
    </cfRule>
  </conditionalFormatting>
  <conditionalFormatting sqref="I278">
    <cfRule type="cellIs" dxfId="1678" priority="1211" operator="between">
      <formula>K278</formula>
      <formula>9999</formula>
    </cfRule>
  </conditionalFormatting>
  <conditionalFormatting sqref="I279">
    <cfRule type="cellIs" dxfId="1677" priority="1210" operator="between">
      <formula>K279</formula>
      <formula>9999</formula>
    </cfRule>
  </conditionalFormatting>
  <conditionalFormatting sqref="I280">
    <cfRule type="cellIs" dxfId="1676" priority="1209" operator="between">
      <formula>K280</formula>
      <formula>9999</formula>
    </cfRule>
  </conditionalFormatting>
  <conditionalFormatting sqref="I281">
    <cfRule type="cellIs" dxfId="1675" priority="1208" operator="between">
      <formula>K281</formula>
      <formula>9999</formula>
    </cfRule>
  </conditionalFormatting>
  <conditionalFormatting sqref="I282">
    <cfRule type="cellIs" dxfId="1674" priority="1207" operator="between">
      <formula>K282</formula>
      <formula>9999</formula>
    </cfRule>
  </conditionalFormatting>
  <conditionalFormatting sqref="I283">
    <cfRule type="cellIs" dxfId="1673" priority="1206" operator="between">
      <formula>K283</formula>
      <formula>9999</formula>
    </cfRule>
  </conditionalFormatting>
  <conditionalFormatting sqref="I284">
    <cfRule type="cellIs" dxfId="1672" priority="1205" operator="between">
      <formula>K284</formula>
      <formula>9999</formula>
    </cfRule>
  </conditionalFormatting>
  <conditionalFormatting sqref="I285">
    <cfRule type="cellIs" dxfId="1671" priority="1204" operator="between">
      <formula>K285</formula>
      <formula>9999</formula>
    </cfRule>
  </conditionalFormatting>
  <conditionalFormatting sqref="I287">
    <cfRule type="cellIs" dxfId="1670" priority="1203" operator="between">
      <formula>K287</formula>
      <formula>9999</formula>
    </cfRule>
  </conditionalFormatting>
  <conditionalFormatting sqref="I288">
    <cfRule type="cellIs" dxfId="1669" priority="1202" operator="between">
      <formula>K288</formula>
      <formula>9999</formula>
    </cfRule>
  </conditionalFormatting>
  <conditionalFormatting sqref="I289">
    <cfRule type="cellIs" dxfId="1668" priority="1201" operator="between">
      <formula>K289</formula>
      <formula>9999</formula>
    </cfRule>
  </conditionalFormatting>
  <conditionalFormatting sqref="I290">
    <cfRule type="cellIs" dxfId="1667" priority="1200" operator="between">
      <formula>K290</formula>
      <formula>9999</formula>
    </cfRule>
  </conditionalFormatting>
  <conditionalFormatting sqref="I291">
    <cfRule type="cellIs" dxfId="1666" priority="1199" operator="between">
      <formula>K291</formula>
      <formula>9999</formula>
    </cfRule>
  </conditionalFormatting>
  <conditionalFormatting sqref="I292">
    <cfRule type="cellIs" dxfId="1665" priority="1198" operator="between">
      <formula>K292</formula>
      <formula>9999</formula>
    </cfRule>
  </conditionalFormatting>
  <conditionalFormatting sqref="I293">
    <cfRule type="cellIs" dxfId="1664" priority="1197" operator="between">
      <formula>K293</formula>
      <formula>9999</formula>
    </cfRule>
  </conditionalFormatting>
  <conditionalFormatting sqref="I294">
    <cfRule type="cellIs" dxfId="1663" priority="1196" operator="between">
      <formula>K294</formula>
      <formula>9999</formula>
    </cfRule>
  </conditionalFormatting>
  <conditionalFormatting sqref="I295">
    <cfRule type="cellIs" dxfId="1662" priority="1195" operator="between">
      <formula>K295</formula>
      <formula>9999</formula>
    </cfRule>
  </conditionalFormatting>
  <conditionalFormatting sqref="I296">
    <cfRule type="cellIs" dxfId="1661" priority="1194" operator="between">
      <formula>K296</formula>
      <formula>9999</formula>
    </cfRule>
  </conditionalFormatting>
  <conditionalFormatting sqref="I297">
    <cfRule type="cellIs" dxfId="1660" priority="1193" operator="between">
      <formula>K297</formula>
      <formula>9999</formula>
    </cfRule>
  </conditionalFormatting>
  <conditionalFormatting sqref="I298">
    <cfRule type="cellIs" dxfId="1659" priority="1192" operator="between">
      <formula>K298</formula>
      <formula>9999</formula>
    </cfRule>
  </conditionalFormatting>
  <conditionalFormatting sqref="I299">
    <cfRule type="cellIs" dxfId="1658" priority="1191" operator="between">
      <formula>K299</formula>
      <formula>9999</formula>
    </cfRule>
  </conditionalFormatting>
  <conditionalFormatting sqref="I300">
    <cfRule type="cellIs" dxfId="1657" priority="1190" operator="between">
      <formula>K300</formula>
      <formula>9999</formula>
    </cfRule>
  </conditionalFormatting>
  <conditionalFormatting sqref="I301">
    <cfRule type="cellIs" dxfId="1656" priority="1189" operator="between">
      <formula>K301</formula>
      <formula>9999</formula>
    </cfRule>
  </conditionalFormatting>
  <conditionalFormatting sqref="I302">
    <cfRule type="cellIs" dxfId="1655" priority="1188" operator="between">
      <formula>K302</formula>
      <formula>9999</formula>
    </cfRule>
  </conditionalFormatting>
  <conditionalFormatting sqref="I303">
    <cfRule type="cellIs" dxfId="1654" priority="1187" operator="between">
      <formula>K303</formula>
      <formula>9999</formula>
    </cfRule>
  </conditionalFormatting>
  <conditionalFormatting sqref="I304">
    <cfRule type="cellIs" dxfId="1653" priority="1186" operator="between">
      <formula>K304</formula>
      <formula>9999</formula>
    </cfRule>
  </conditionalFormatting>
  <conditionalFormatting sqref="I306">
    <cfRule type="cellIs" dxfId="1652" priority="1185" operator="between">
      <formula>K306</formula>
      <formula>9999</formula>
    </cfRule>
  </conditionalFormatting>
  <conditionalFormatting sqref="I307">
    <cfRule type="cellIs" dxfId="1651" priority="1184" operator="between">
      <formula>K307</formula>
      <formula>9999</formula>
    </cfRule>
  </conditionalFormatting>
  <conditionalFormatting sqref="I308">
    <cfRule type="cellIs" dxfId="1650" priority="1183" operator="between">
      <formula>K308</formula>
      <formula>9999</formula>
    </cfRule>
  </conditionalFormatting>
  <conditionalFormatting sqref="I309">
    <cfRule type="cellIs" dxfId="1649" priority="1182" operator="between">
      <formula>K309</formula>
      <formula>9999</formula>
    </cfRule>
  </conditionalFormatting>
  <conditionalFormatting sqref="I310">
    <cfRule type="cellIs" dxfId="1648" priority="1181" operator="between">
      <formula>K310</formula>
      <formula>9999</formula>
    </cfRule>
  </conditionalFormatting>
  <conditionalFormatting sqref="I311">
    <cfRule type="cellIs" dxfId="1647" priority="1180" operator="between">
      <formula>K311</formula>
      <formula>9999</formula>
    </cfRule>
  </conditionalFormatting>
  <conditionalFormatting sqref="I312">
    <cfRule type="cellIs" dxfId="1646" priority="1179" operator="between">
      <formula>K312</formula>
      <formula>9999</formula>
    </cfRule>
  </conditionalFormatting>
  <conditionalFormatting sqref="I313">
    <cfRule type="cellIs" dxfId="1645" priority="1178" operator="between">
      <formula>K313</formula>
      <formula>9999</formula>
    </cfRule>
  </conditionalFormatting>
  <conditionalFormatting sqref="I314">
    <cfRule type="cellIs" dxfId="1644" priority="1177" operator="between">
      <formula>K314</formula>
      <formula>9999</formula>
    </cfRule>
  </conditionalFormatting>
  <conditionalFormatting sqref="I315">
    <cfRule type="cellIs" dxfId="1643" priority="1176" operator="between">
      <formula>K315</formula>
      <formula>9999</formula>
    </cfRule>
  </conditionalFormatting>
  <conditionalFormatting sqref="I316">
    <cfRule type="cellIs" dxfId="1642" priority="1175" operator="between">
      <formula>K316</formula>
      <formula>9999</formula>
    </cfRule>
  </conditionalFormatting>
  <conditionalFormatting sqref="I317">
    <cfRule type="cellIs" dxfId="1641" priority="1174" operator="between">
      <formula>K317</formula>
      <formula>9999</formula>
    </cfRule>
  </conditionalFormatting>
  <conditionalFormatting sqref="I318">
    <cfRule type="cellIs" dxfId="1640" priority="1173" operator="between">
      <formula>K318</formula>
      <formula>9999</formula>
    </cfRule>
  </conditionalFormatting>
  <conditionalFormatting sqref="I319">
    <cfRule type="cellIs" dxfId="1639" priority="1172" operator="between">
      <formula>K319</formula>
      <formula>9999</formula>
    </cfRule>
  </conditionalFormatting>
  <conditionalFormatting sqref="I320">
    <cfRule type="cellIs" dxfId="1638" priority="1171" operator="between">
      <formula>K320</formula>
      <formula>9999</formula>
    </cfRule>
  </conditionalFormatting>
  <conditionalFormatting sqref="I321">
    <cfRule type="cellIs" dxfId="1637" priority="1170" operator="between">
      <formula>K321</formula>
      <formula>9999</formula>
    </cfRule>
  </conditionalFormatting>
  <conditionalFormatting sqref="I322">
    <cfRule type="cellIs" dxfId="1636" priority="1169" operator="between">
      <formula>K322</formula>
      <formula>9999</formula>
    </cfRule>
  </conditionalFormatting>
  <conditionalFormatting sqref="I323">
    <cfRule type="cellIs" dxfId="1635" priority="1168" operator="between">
      <formula>K323</formula>
      <formula>9999</formula>
    </cfRule>
  </conditionalFormatting>
  <conditionalFormatting sqref="I325">
    <cfRule type="cellIs" dxfId="1634" priority="1167" operator="between">
      <formula>K325</formula>
      <formula>9999</formula>
    </cfRule>
  </conditionalFormatting>
  <conditionalFormatting sqref="I326">
    <cfRule type="cellIs" dxfId="1633" priority="1166" operator="between">
      <formula>K326</formula>
      <formula>9999</formula>
    </cfRule>
  </conditionalFormatting>
  <conditionalFormatting sqref="I327">
    <cfRule type="cellIs" dxfId="1632" priority="1165" operator="between">
      <formula>K327</formula>
      <formula>9999</formula>
    </cfRule>
  </conditionalFormatting>
  <conditionalFormatting sqref="I328">
    <cfRule type="cellIs" dxfId="1631" priority="1164" operator="between">
      <formula>K328</formula>
      <formula>9999</formula>
    </cfRule>
  </conditionalFormatting>
  <conditionalFormatting sqref="I329">
    <cfRule type="cellIs" dxfId="1630" priority="1163" operator="between">
      <formula>K329</formula>
      <formula>9999</formula>
    </cfRule>
  </conditionalFormatting>
  <conditionalFormatting sqref="I330">
    <cfRule type="cellIs" dxfId="1629" priority="1162" operator="between">
      <formula>K330</formula>
      <formula>9999</formula>
    </cfRule>
  </conditionalFormatting>
  <conditionalFormatting sqref="I331">
    <cfRule type="cellIs" dxfId="1628" priority="1161" operator="between">
      <formula>K331</formula>
      <formula>9999</formula>
    </cfRule>
  </conditionalFormatting>
  <conditionalFormatting sqref="I332">
    <cfRule type="cellIs" dxfId="1627" priority="1160" operator="between">
      <formula>K332</formula>
      <formula>9999</formula>
    </cfRule>
  </conditionalFormatting>
  <conditionalFormatting sqref="I333">
    <cfRule type="cellIs" dxfId="1626" priority="1159" operator="between">
      <formula>K333</formula>
      <formula>9999</formula>
    </cfRule>
  </conditionalFormatting>
  <conditionalFormatting sqref="I334">
    <cfRule type="cellIs" dxfId="1625" priority="1158" operator="between">
      <formula>K334</formula>
      <formula>9999</formula>
    </cfRule>
  </conditionalFormatting>
  <conditionalFormatting sqref="I335">
    <cfRule type="cellIs" dxfId="1624" priority="1157" operator="between">
      <formula>K335</formula>
      <formula>9999</formula>
    </cfRule>
  </conditionalFormatting>
  <conditionalFormatting sqref="I336">
    <cfRule type="cellIs" dxfId="1623" priority="1156" operator="between">
      <formula>K336</formula>
      <formula>9999</formula>
    </cfRule>
  </conditionalFormatting>
  <conditionalFormatting sqref="I337">
    <cfRule type="cellIs" dxfId="1622" priority="1155" operator="between">
      <formula>K337</formula>
      <formula>9999</formula>
    </cfRule>
  </conditionalFormatting>
  <conditionalFormatting sqref="I338">
    <cfRule type="cellIs" dxfId="1621" priority="1154" operator="between">
      <formula>K338</formula>
      <formula>9999</formula>
    </cfRule>
  </conditionalFormatting>
  <conditionalFormatting sqref="I339">
    <cfRule type="cellIs" dxfId="1620" priority="1153" operator="between">
      <formula>K339</formula>
      <formula>9999</formula>
    </cfRule>
  </conditionalFormatting>
  <conditionalFormatting sqref="I340">
    <cfRule type="cellIs" dxfId="1619" priority="1152" operator="between">
      <formula>K340</formula>
      <formula>9999</formula>
    </cfRule>
  </conditionalFormatting>
  <conditionalFormatting sqref="I341">
    <cfRule type="cellIs" dxfId="1618" priority="1151" operator="between">
      <formula>K341</formula>
      <formula>9999</formula>
    </cfRule>
  </conditionalFormatting>
  <conditionalFormatting sqref="I342">
    <cfRule type="cellIs" dxfId="1617" priority="1150" operator="between">
      <formula>K342</formula>
      <formula>9999</formula>
    </cfRule>
  </conditionalFormatting>
  <conditionalFormatting sqref="I344">
    <cfRule type="cellIs" dxfId="1616" priority="1149" operator="between">
      <formula>K344</formula>
      <formula>9999</formula>
    </cfRule>
  </conditionalFormatting>
  <conditionalFormatting sqref="I345">
    <cfRule type="cellIs" dxfId="1615" priority="1148" operator="between">
      <formula>K345</formula>
      <formula>9999</formula>
    </cfRule>
  </conditionalFormatting>
  <conditionalFormatting sqref="I346">
    <cfRule type="cellIs" dxfId="1614" priority="1147" operator="between">
      <formula>K346</formula>
      <formula>9999</formula>
    </cfRule>
  </conditionalFormatting>
  <conditionalFormatting sqref="I347">
    <cfRule type="cellIs" dxfId="1613" priority="1146" operator="between">
      <formula>K347</formula>
      <formula>9999</formula>
    </cfRule>
  </conditionalFormatting>
  <conditionalFormatting sqref="I348">
    <cfRule type="cellIs" dxfId="1612" priority="1145" operator="between">
      <formula>K348</formula>
      <formula>9999</formula>
    </cfRule>
  </conditionalFormatting>
  <conditionalFormatting sqref="I349">
    <cfRule type="cellIs" dxfId="1611" priority="1144" operator="between">
      <formula>K349</formula>
      <formula>9999</formula>
    </cfRule>
  </conditionalFormatting>
  <conditionalFormatting sqref="I350">
    <cfRule type="cellIs" dxfId="1610" priority="1143" operator="between">
      <formula>K350</formula>
      <formula>9999</formula>
    </cfRule>
  </conditionalFormatting>
  <conditionalFormatting sqref="I351">
    <cfRule type="cellIs" dxfId="1609" priority="1142" operator="between">
      <formula>K351</formula>
      <formula>9999</formula>
    </cfRule>
  </conditionalFormatting>
  <conditionalFormatting sqref="I352">
    <cfRule type="cellIs" dxfId="1608" priority="1141" operator="between">
      <formula>K352</formula>
      <formula>9999</formula>
    </cfRule>
  </conditionalFormatting>
  <conditionalFormatting sqref="I353">
    <cfRule type="cellIs" dxfId="1607" priority="1140" operator="between">
      <formula>K353</formula>
      <formula>9999</formula>
    </cfRule>
  </conditionalFormatting>
  <conditionalFormatting sqref="I354">
    <cfRule type="cellIs" dxfId="1606" priority="1139" operator="between">
      <formula>K354</formula>
      <formula>9999</formula>
    </cfRule>
  </conditionalFormatting>
  <conditionalFormatting sqref="I355">
    <cfRule type="cellIs" dxfId="1605" priority="1138" operator="between">
      <formula>K355</formula>
      <formula>9999</formula>
    </cfRule>
  </conditionalFormatting>
  <conditionalFormatting sqref="I356">
    <cfRule type="cellIs" dxfId="1604" priority="1137" operator="between">
      <formula>K356</formula>
      <formula>9999</formula>
    </cfRule>
  </conditionalFormatting>
  <conditionalFormatting sqref="I357">
    <cfRule type="cellIs" dxfId="1603" priority="1136" operator="between">
      <formula>K357</formula>
      <formula>9999</formula>
    </cfRule>
  </conditionalFormatting>
  <conditionalFormatting sqref="I358">
    <cfRule type="cellIs" dxfId="1602" priority="1135" operator="between">
      <formula>K358</formula>
      <formula>9999</formula>
    </cfRule>
  </conditionalFormatting>
  <conditionalFormatting sqref="I359">
    <cfRule type="cellIs" dxfId="1601" priority="1134" operator="between">
      <formula>K359</formula>
      <formula>9999</formula>
    </cfRule>
  </conditionalFormatting>
  <conditionalFormatting sqref="I360">
    <cfRule type="cellIs" dxfId="1600" priority="1133" operator="between">
      <formula>K360</formula>
      <formula>9999</formula>
    </cfRule>
  </conditionalFormatting>
  <conditionalFormatting sqref="I361">
    <cfRule type="cellIs" dxfId="1599" priority="1132" operator="between">
      <formula>K361</formula>
      <formula>9999</formula>
    </cfRule>
  </conditionalFormatting>
  <conditionalFormatting sqref="I363">
    <cfRule type="cellIs" dxfId="1598" priority="1131" operator="between">
      <formula>K363</formula>
      <formula>9999</formula>
    </cfRule>
  </conditionalFormatting>
  <conditionalFormatting sqref="I364">
    <cfRule type="cellIs" dxfId="1597" priority="1130" operator="between">
      <formula>K364</formula>
      <formula>9999</formula>
    </cfRule>
  </conditionalFormatting>
  <conditionalFormatting sqref="I365">
    <cfRule type="cellIs" dxfId="1596" priority="1129" operator="between">
      <formula>K365</formula>
      <formula>9999</formula>
    </cfRule>
  </conditionalFormatting>
  <conditionalFormatting sqref="I366">
    <cfRule type="cellIs" dxfId="1595" priority="1128" operator="between">
      <formula>K366</formula>
      <formula>9999</formula>
    </cfRule>
  </conditionalFormatting>
  <conditionalFormatting sqref="I367">
    <cfRule type="cellIs" dxfId="1594" priority="1127" operator="between">
      <formula>K367</formula>
      <formula>9999</formula>
    </cfRule>
  </conditionalFormatting>
  <conditionalFormatting sqref="I368">
    <cfRule type="cellIs" dxfId="1593" priority="1126" operator="between">
      <formula>K368</formula>
      <formula>9999</formula>
    </cfRule>
  </conditionalFormatting>
  <conditionalFormatting sqref="I369">
    <cfRule type="cellIs" dxfId="1592" priority="1125" operator="between">
      <formula>K369</formula>
      <formula>9999</formula>
    </cfRule>
  </conditionalFormatting>
  <conditionalFormatting sqref="I370">
    <cfRule type="cellIs" dxfId="1591" priority="1124" operator="between">
      <formula>K370</formula>
      <formula>9999</formula>
    </cfRule>
  </conditionalFormatting>
  <conditionalFormatting sqref="I371">
    <cfRule type="cellIs" dxfId="1590" priority="1123" operator="between">
      <formula>K371</formula>
      <formula>9999</formula>
    </cfRule>
  </conditionalFormatting>
  <conditionalFormatting sqref="I372">
    <cfRule type="cellIs" dxfId="1589" priority="1122" operator="between">
      <formula>K372</formula>
      <formula>9999</formula>
    </cfRule>
  </conditionalFormatting>
  <conditionalFormatting sqref="I373">
    <cfRule type="cellIs" dxfId="1588" priority="1121" operator="between">
      <formula>K373</formula>
      <formula>9999</formula>
    </cfRule>
  </conditionalFormatting>
  <conditionalFormatting sqref="I374">
    <cfRule type="cellIs" dxfId="1587" priority="1120" operator="between">
      <formula>K374</formula>
      <formula>9999</formula>
    </cfRule>
  </conditionalFormatting>
  <conditionalFormatting sqref="I375">
    <cfRule type="cellIs" dxfId="1586" priority="1119" operator="between">
      <formula>K375</formula>
      <formula>9999</formula>
    </cfRule>
  </conditionalFormatting>
  <conditionalFormatting sqref="I376">
    <cfRule type="cellIs" dxfId="1585" priority="1118" operator="between">
      <formula>K376</formula>
      <formula>9999</formula>
    </cfRule>
  </conditionalFormatting>
  <conditionalFormatting sqref="I377">
    <cfRule type="cellIs" dxfId="1584" priority="1117" operator="between">
      <formula>K377</formula>
      <formula>9999</formula>
    </cfRule>
  </conditionalFormatting>
  <conditionalFormatting sqref="I378">
    <cfRule type="cellIs" dxfId="1583" priority="1116" operator="between">
      <formula>K378</formula>
      <formula>9999</formula>
    </cfRule>
  </conditionalFormatting>
  <conditionalFormatting sqref="I379">
    <cfRule type="cellIs" dxfId="1582" priority="1115" operator="between">
      <formula>K379</formula>
      <formula>9999</formula>
    </cfRule>
  </conditionalFormatting>
  <conditionalFormatting sqref="I380">
    <cfRule type="cellIs" dxfId="1581" priority="1114" operator="between">
      <formula>K380</formula>
      <formula>9999</formula>
    </cfRule>
  </conditionalFormatting>
  <conditionalFormatting sqref="I382">
    <cfRule type="cellIs" dxfId="1580" priority="1113" operator="between">
      <formula>K382</formula>
      <formula>9999</formula>
    </cfRule>
  </conditionalFormatting>
  <conditionalFormatting sqref="I383">
    <cfRule type="cellIs" dxfId="1579" priority="1112" operator="between">
      <formula>K383</formula>
      <formula>9999</formula>
    </cfRule>
  </conditionalFormatting>
  <conditionalFormatting sqref="I384">
    <cfRule type="cellIs" dxfId="1578" priority="1111" operator="between">
      <formula>K384</formula>
      <formula>9999</formula>
    </cfRule>
  </conditionalFormatting>
  <conditionalFormatting sqref="I385">
    <cfRule type="cellIs" dxfId="1577" priority="1110" operator="between">
      <formula>K385</formula>
      <formula>9999</formula>
    </cfRule>
  </conditionalFormatting>
  <conditionalFormatting sqref="I386">
    <cfRule type="cellIs" dxfId="1576" priority="1109" operator="between">
      <formula>K386</formula>
      <formula>9999</formula>
    </cfRule>
  </conditionalFormatting>
  <conditionalFormatting sqref="I387">
    <cfRule type="cellIs" dxfId="1575" priority="1108" operator="between">
      <formula>K387</formula>
      <formula>9999</formula>
    </cfRule>
  </conditionalFormatting>
  <conditionalFormatting sqref="I388">
    <cfRule type="cellIs" dxfId="1574" priority="1107" operator="between">
      <formula>K388</formula>
      <formula>9999</formula>
    </cfRule>
  </conditionalFormatting>
  <conditionalFormatting sqref="I389">
    <cfRule type="cellIs" dxfId="1573" priority="1106" operator="between">
      <formula>K389</formula>
      <formula>9999</formula>
    </cfRule>
  </conditionalFormatting>
  <conditionalFormatting sqref="I390">
    <cfRule type="cellIs" dxfId="1572" priority="1105" operator="between">
      <formula>K390</formula>
      <formula>9999</formula>
    </cfRule>
  </conditionalFormatting>
  <conditionalFormatting sqref="I391">
    <cfRule type="cellIs" dxfId="1571" priority="1104" operator="between">
      <formula>K391</formula>
      <formula>9999</formula>
    </cfRule>
  </conditionalFormatting>
  <conditionalFormatting sqref="I392">
    <cfRule type="cellIs" dxfId="1570" priority="1103" operator="between">
      <formula>K392</formula>
      <formula>9999</formula>
    </cfRule>
  </conditionalFormatting>
  <conditionalFormatting sqref="I393">
    <cfRule type="cellIs" dxfId="1569" priority="1102" operator="between">
      <formula>K393</formula>
      <formula>9999</formula>
    </cfRule>
  </conditionalFormatting>
  <conditionalFormatting sqref="I394">
    <cfRule type="cellIs" dxfId="1568" priority="1101" operator="between">
      <formula>K394</formula>
      <formula>9999</formula>
    </cfRule>
  </conditionalFormatting>
  <conditionalFormatting sqref="I395">
    <cfRule type="cellIs" dxfId="1567" priority="1100" operator="between">
      <formula>K395</formula>
      <formula>9999</formula>
    </cfRule>
  </conditionalFormatting>
  <conditionalFormatting sqref="I396">
    <cfRule type="cellIs" dxfId="1566" priority="1099" operator="between">
      <formula>K396</formula>
      <formula>9999</formula>
    </cfRule>
  </conditionalFormatting>
  <conditionalFormatting sqref="I397">
    <cfRule type="cellIs" dxfId="1565" priority="1098" operator="between">
      <formula>K397</formula>
      <formula>9999</formula>
    </cfRule>
  </conditionalFormatting>
  <conditionalFormatting sqref="I398">
    <cfRule type="cellIs" dxfId="1564" priority="1097" operator="between">
      <formula>K398</formula>
      <formula>9999</formula>
    </cfRule>
  </conditionalFormatting>
  <conditionalFormatting sqref="I399">
    <cfRule type="cellIs" dxfId="1563" priority="1096" operator="between">
      <formula>K399</formula>
      <formula>9999</formula>
    </cfRule>
  </conditionalFormatting>
  <conditionalFormatting sqref="I401">
    <cfRule type="cellIs" dxfId="1562" priority="1095" operator="between">
      <formula>K401</formula>
      <formula>9999</formula>
    </cfRule>
  </conditionalFormatting>
  <conditionalFormatting sqref="I420">
    <cfRule type="cellIs" dxfId="1561" priority="1094" operator="between">
      <formula>K420</formula>
      <formula>9999</formula>
    </cfRule>
  </conditionalFormatting>
  <conditionalFormatting sqref="H231:H233">
    <cfRule type="cellIs" dxfId="1560" priority="1093" operator="between">
      <formula>J231</formula>
      <formula>9999</formula>
    </cfRule>
  </conditionalFormatting>
  <conditionalFormatting sqref="H447">
    <cfRule type="cellIs" dxfId="1559" priority="1092" operator="between">
      <formula>J447</formula>
      <formula>9999</formula>
    </cfRule>
  </conditionalFormatting>
  <conditionalFormatting sqref="H448">
    <cfRule type="cellIs" dxfId="1558" priority="1091" operator="between">
      <formula>J448</formula>
      <formula>9999</formula>
    </cfRule>
  </conditionalFormatting>
  <conditionalFormatting sqref="H449">
    <cfRule type="cellIs" dxfId="1557" priority="1090" operator="between">
      <formula>J449</formula>
      <formula>9999</formula>
    </cfRule>
  </conditionalFormatting>
  <conditionalFormatting sqref="H453">
    <cfRule type="cellIs" dxfId="1556" priority="1089" operator="between">
      <formula>J453</formula>
      <formula>9999</formula>
    </cfRule>
  </conditionalFormatting>
  <conditionalFormatting sqref="H454">
    <cfRule type="cellIs" dxfId="1555" priority="1088" operator="between">
      <formula>J454</formula>
      <formula>9999</formula>
    </cfRule>
  </conditionalFormatting>
  <conditionalFormatting sqref="H455">
    <cfRule type="cellIs" dxfId="1554" priority="1087" operator="between">
      <formula>J455</formula>
      <formula>9999</formula>
    </cfRule>
  </conditionalFormatting>
  <conditionalFormatting sqref="H456">
    <cfRule type="cellIs" dxfId="1553" priority="1086" operator="between">
      <formula>J456</formula>
      <formula>9999</formula>
    </cfRule>
  </conditionalFormatting>
  <conditionalFormatting sqref="H457">
    <cfRule type="cellIs" dxfId="1552" priority="1085" operator="between">
      <formula>J457</formula>
      <formula>9999</formula>
    </cfRule>
  </conditionalFormatting>
  <conditionalFormatting sqref="H458">
    <cfRule type="cellIs" dxfId="1551" priority="1084" operator="between">
      <formula>J458</formula>
      <formula>9999</formula>
    </cfRule>
  </conditionalFormatting>
  <conditionalFormatting sqref="I468">
    <cfRule type="cellIs" dxfId="1550" priority="1083" operator="between">
      <formula>K468</formula>
      <formula>9999</formula>
    </cfRule>
  </conditionalFormatting>
  <conditionalFormatting sqref="I469">
    <cfRule type="cellIs" dxfId="1549" priority="1082" operator="between">
      <formula>K469</formula>
      <formula>9999</formula>
    </cfRule>
  </conditionalFormatting>
  <conditionalFormatting sqref="I470">
    <cfRule type="cellIs" dxfId="1548" priority="1081" operator="between">
      <formula>K470</formula>
      <formula>9999</formula>
    </cfRule>
  </conditionalFormatting>
  <conditionalFormatting sqref="I471">
    <cfRule type="cellIs" dxfId="1547" priority="1080" operator="between">
      <formula>K471</formula>
      <formula>9999</formula>
    </cfRule>
  </conditionalFormatting>
  <conditionalFormatting sqref="I472">
    <cfRule type="cellIs" dxfId="1546" priority="1079" operator="between">
      <formula>K472</formula>
      <formula>9999</formula>
    </cfRule>
  </conditionalFormatting>
  <conditionalFormatting sqref="I473">
    <cfRule type="cellIs" dxfId="1545" priority="1078" operator="between">
      <formula>K473</formula>
      <formula>9999</formula>
    </cfRule>
  </conditionalFormatting>
  <conditionalFormatting sqref="I474">
    <cfRule type="cellIs" dxfId="1544" priority="1077" operator="between">
      <formula>K474</formula>
      <formula>9999</formula>
    </cfRule>
  </conditionalFormatting>
  <conditionalFormatting sqref="I475">
    <cfRule type="cellIs" dxfId="1543" priority="1076" operator="between">
      <formula>K475</formula>
      <formula>9999</formula>
    </cfRule>
  </conditionalFormatting>
  <conditionalFormatting sqref="I476">
    <cfRule type="cellIs" dxfId="1542" priority="1075" operator="between">
      <formula>K476</formula>
      <formula>9999</formula>
    </cfRule>
  </conditionalFormatting>
  <conditionalFormatting sqref="I477">
    <cfRule type="cellIs" dxfId="1541" priority="1074" operator="between">
      <formula>K477</formula>
      <formula>9999</formula>
    </cfRule>
  </conditionalFormatting>
  <conditionalFormatting sqref="I478">
    <cfRule type="cellIs" dxfId="1540" priority="1073" operator="between">
      <formula>K478</formula>
      <formula>9999</formula>
    </cfRule>
  </conditionalFormatting>
  <conditionalFormatting sqref="I479">
    <cfRule type="cellIs" dxfId="1539" priority="1072" operator="between">
      <formula>K479</formula>
      <formula>9999</formula>
    </cfRule>
  </conditionalFormatting>
  <conditionalFormatting sqref="I480">
    <cfRule type="cellIs" dxfId="1538" priority="1071" operator="between">
      <formula>K480</formula>
      <formula>9999</formula>
    </cfRule>
  </conditionalFormatting>
  <conditionalFormatting sqref="I481">
    <cfRule type="cellIs" dxfId="1537" priority="1070" operator="between">
      <formula>K481</formula>
      <formula>9999</formula>
    </cfRule>
  </conditionalFormatting>
  <conditionalFormatting sqref="I482">
    <cfRule type="cellIs" dxfId="1536" priority="1069" operator="between">
      <formula>K482</formula>
      <formula>9999</formula>
    </cfRule>
  </conditionalFormatting>
  <conditionalFormatting sqref="I483">
    <cfRule type="cellIs" dxfId="1535" priority="1068" operator="between">
      <formula>K483</formula>
      <formula>9999</formula>
    </cfRule>
  </conditionalFormatting>
  <conditionalFormatting sqref="I484">
    <cfRule type="cellIs" dxfId="1534" priority="1067" operator="between">
      <formula>K484</formula>
      <formula>9999</formula>
    </cfRule>
  </conditionalFormatting>
  <conditionalFormatting sqref="I485">
    <cfRule type="cellIs" dxfId="1533" priority="1066" operator="between">
      <formula>K485</formula>
      <formula>9999</formula>
    </cfRule>
  </conditionalFormatting>
  <conditionalFormatting sqref="I487">
    <cfRule type="cellIs" dxfId="1532" priority="1065" operator="between">
      <formula>K487</formula>
      <formula>9999</formula>
    </cfRule>
  </conditionalFormatting>
  <conditionalFormatting sqref="I488">
    <cfRule type="cellIs" dxfId="1531" priority="1064" operator="between">
      <formula>K488</formula>
      <formula>9999</formula>
    </cfRule>
  </conditionalFormatting>
  <conditionalFormatting sqref="I489">
    <cfRule type="cellIs" dxfId="1530" priority="1063" operator="between">
      <formula>K489</formula>
      <formula>9999</formula>
    </cfRule>
  </conditionalFormatting>
  <conditionalFormatting sqref="I490">
    <cfRule type="cellIs" dxfId="1529" priority="1062" operator="between">
      <formula>K490</formula>
      <formula>9999</formula>
    </cfRule>
  </conditionalFormatting>
  <conditionalFormatting sqref="I491">
    <cfRule type="cellIs" dxfId="1528" priority="1061" operator="between">
      <formula>K491</formula>
      <formula>9999</formula>
    </cfRule>
  </conditionalFormatting>
  <conditionalFormatting sqref="I492">
    <cfRule type="cellIs" dxfId="1527" priority="1060" operator="between">
      <formula>K492</formula>
      <formula>9999</formula>
    </cfRule>
  </conditionalFormatting>
  <conditionalFormatting sqref="I493">
    <cfRule type="cellIs" dxfId="1526" priority="1059" operator="between">
      <formula>K493</formula>
      <formula>9999</formula>
    </cfRule>
  </conditionalFormatting>
  <conditionalFormatting sqref="I494">
    <cfRule type="cellIs" dxfId="1525" priority="1058" operator="between">
      <formula>K494</formula>
      <formula>9999</formula>
    </cfRule>
  </conditionalFormatting>
  <conditionalFormatting sqref="I495">
    <cfRule type="cellIs" dxfId="1524" priority="1057" operator="between">
      <formula>K495</formula>
      <formula>9999</formula>
    </cfRule>
  </conditionalFormatting>
  <conditionalFormatting sqref="I496">
    <cfRule type="cellIs" dxfId="1523" priority="1056" operator="between">
      <formula>K496</formula>
      <formula>9999</formula>
    </cfRule>
  </conditionalFormatting>
  <conditionalFormatting sqref="I497">
    <cfRule type="cellIs" dxfId="1522" priority="1055" operator="between">
      <formula>K497</formula>
      <formula>9999</formula>
    </cfRule>
  </conditionalFormatting>
  <conditionalFormatting sqref="I498">
    <cfRule type="cellIs" dxfId="1521" priority="1054" operator="between">
      <formula>K498</formula>
      <formula>9999</formula>
    </cfRule>
  </conditionalFormatting>
  <conditionalFormatting sqref="I499">
    <cfRule type="cellIs" dxfId="1520" priority="1053" operator="between">
      <formula>K499</formula>
      <formula>9999</formula>
    </cfRule>
  </conditionalFormatting>
  <conditionalFormatting sqref="I500">
    <cfRule type="cellIs" dxfId="1519" priority="1052" operator="between">
      <formula>K500</formula>
      <formula>9999</formula>
    </cfRule>
  </conditionalFormatting>
  <conditionalFormatting sqref="I501">
    <cfRule type="cellIs" dxfId="1518" priority="1051" operator="between">
      <formula>K501</formula>
      <formula>9999</formula>
    </cfRule>
  </conditionalFormatting>
  <conditionalFormatting sqref="I502">
    <cfRule type="cellIs" dxfId="1517" priority="1050" operator="between">
      <formula>K502</formula>
      <formula>9999</formula>
    </cfRule>
  </conditionalFormatting>
  <conditionalFormatting sqref="I503">
    <cfRule type="cellIs" dxfId="1516" priority="1049" operator="between">
      <formula>K503</formula>
      <formula>9999</formula>
    </cfRule>
  </conditionalFormatting>
  <conditionalFormatting sqref="I504">
    <cfRule type="cellIs" dxfId="1515" priority="1048" operator="between">
      <formula>K504</formula>
      <formula>9999</formula>
    </cfRule>
  </conditionalFormatting>
  <conditionalFormatting sqref="I506">
    <cfRule type="cellIs" dxfId="1514" priority="1047" operator="between">
      <formula>K506</formula>
      <formula>9999</formula>
    </cfRule>
  </conditionalFormatting>
  <conditionalFormatting sqref="I507">
    <cfRule type="cellIs" dxfId="1513" priority="1046" operator="between">
      <formula>K507</formula>
      <formula>9999</formula>
    </cfRule>
  </conditionalFormatting>
  <conditionalFormatting sqref="I508">
    <cfRule type="cellIs" dxfId="1512" priority="1045" operator="between">
      <formula>K508</formula>
      <formula>9999</formula>
    </cfRule>
  </conditionalFormatting>
  <conditionalFormatting sqref="I509">
    <cfRule type="cellIs" dxfId="1511" priority="1044" operator="between">
      <formula>K509</formula>
      <formula>9999</formula>
    </cfRule>
  </conditionalFormatting>
  <conditionalFormatting sqref="I510">
    <cfRule type="cellIs" dxfId="1510" priority="1043" operator="between">
      <formula>K510</formula>
      <formula>9999</formula>
    </cfRule>
  </conditionalFormatting>
  <conditionalFormatting sqref="I511">
    <cfRule type="cellIs" dxfId="1509" priority="1042" operator="between">
      <formula>K511</formula>
      <formula>9999</formula>
    </cfRule>
  </conditionalFormatting>
  <conditionalFormatting sqref="I512">
    <cfRule type="cellIs" dxfId="1508" priority="1041" operator="between">
      <formula>K512</formula>
      <formula>9999</formula>
    </cfRule>
  </conditionalFormatting>
  <conditionalFormatting sqref="I513">
    <cfRule type="cellIs" dxfId="1507" priority="1040" operator="between">
      <formula>K513</formula>
      <formula>9999</formula>
    </cfRule>
  </conditionalFormatting>
  <conditionalFormatting sqref="I514">
    <cfRule type="cellIs" dxfId="1506" priority="1039" operator="between">
      <formula>K514</formula>
      <formula>9999</formula>
    </cfRule>
  </conditionalFormatting>
  <conditionalFormatting sqref="I515">
    <cfRule type="cellIs" dxfId="1505" priority="1038" operator="between">
      <formula>K515</formula>
      <formula>9999</formula>
    </cfRule>
  </conditionalFormatting>
  <conditionalFormatting sqref="I516">
    <cfRule type="cellIs" dxfId="1504" priority="1037" operator="between">
      <formula>K516</formula>
      <formula>9999</formula>
    </cfRule>
  </conditionalFormatting>
  <conditionalFormatting sqref="I517">
    <cfRule type="cellIs" dxfId="1503" priority="1036" operator="between">
      <formula>K517</formula>
      <formula>9999</formula>
    </cfRule>
  </conditionalFormatting>
  <conditionalFormatting sqref="I518">
    <cfRule type="cellIs" dxfId="1502" priority="1035" operator="between">
      <formula>K518</formula>
      <formula>9999</formula>
    </cfRule>
  </conditionalFormatting>
  <conditionalFormatting sqref="I519">
    <cfRule type="cellIs" dxfId="1501" priority="1034" operator="between">
      <formula>K519</formula>
      <formula>9999</formula>
    </cfRule>
  </conditionalFormatting>
  <conditionalFormatting sqref="I520">
    <cfRule type="cellIs" dxfId="1500" priority="1033" operator="between">
      <formula>K520</formula>
      <formula>9999</formula>
    </cfRule>
  </conditionalFormatting>
  <conditionalFormatting sqref="I521">
    <cfRule type="cellIs" dxfId="1499" priority="1032" operator="between">
      <formula>K521</formula>
      <formula>9999</formula>
    </cfRule>
  </conditionalFormatting>
  <conditionalFormatting sqref="I522">
    <cfRule type="cellIs" dxfId="1498" priority="1031" operator="between">
      <formula>K522</formula>
      <formula>9999</formula>
    </cfRule>
  </conditionalFormatting>
  <conditionalFormatting sqref="I523">
    <cfRule type="cellIs" dxfId="1497" priority="1030" operator="between">
      <formula>K523</formula>
      <formula>9999</formula>
    </cfRule>
  </conditionalFormatting>
  <conditionalFormatting sqref="I525">
    <cfRule type="cellIs" dxfId="1496" priority="1029" operator="between">
      <formula>K525</formula>
      <formula>9999</formula>
    </cfRule>
  </conditionalFormatting>
  <conditionalFormatting sqref="I526">
    <cfRule type="cellIs" dxfId="1495" priority="1028" operator="between">
      <formula>K526</formula>
      <formula>9999</formula>
    </cfRule>
  </conditionalFormatting>
  <conditionalFormatting sqref="I527">
    <cfRule type="cellIs" dxfId="1494" priority="1027" operator="between">
      <formula>K527</formula>
      <formula>9999</formula>
    </cfRule>
  </conditionalFormatting>
  <conditionalFormatting sqref="I528">
    <cfRule type="cellIs" dxfId="1493" priority="1026" operator="between">
      <formula>K528</formula>
      <formula>9999</formula>
    </cfRule>
  </conditionalFormatting>
  <conditionalFormatting sqref="I529">
    <cfRule type="cellIs" dxfId="1492" priority="1025" operator="between">
      <formula>K529</formula>
      <formula>9999</formula>
    </cfRule>
  </conditionalFormatting>
  <conditionalFormatting sqref="I530">
    <cfRule type="cellIs" dxfId="1491" priority="1024" operator="between">
      <formula>K530</formula>
      <formula>9999</formula>
    </cfRule>
  </conditionalFormatting>
  <conditionalFormatting sqref="I531">
    <cfRule type="cellIs" dxfId="1490" priority="1023" operator="between">
      <formula>K531</formula>
      <formula>9999</formula>
    </cfRule>
  </conditionalFormatting>
  <conditionalFormatting sqref="I532">
    <cfRule type="cellIs" dxfId="1489" priority="1022" operator="between">
      <formula>K532</formula>
      <formula>9999</formula>
    </cfRule>
  </conditionalFormatting>
  <conditionalFormatting sqref="I533">
    <cfRule type="cellIs" dxfId="1488" priority="1021" operator="between">
      <formula>K533</formula>
      <formula>9999</formula>
    </cfRule>
  </conditionalFormatting>
  <conditionalFormatting sqref="I534">
    <cfRule type="cellIs" dxfId="1487" priority="1020" operator="between">
      <formula>K534</formula>
      <formula>9999</formula>
    </cfRule>
  </conditionalFormatting>
  <conditionalFormatting sqref="I535">
    <cfRule type="cellIs" dxfId="1486" priority="1019" operator="between">
      <formula>K535</formula>
      <formula>9999</formula>
    </cfRule>
  </conditionalFormatting>
  <conditionalFormatting sqref="I536">
    <cfRule type="cellIs" dxfId="1485" priority="1018" operator="between">
      <formula>K536</formula>
      <formula>9999</formula>
    </cfRule>
  </conditionalFormatting>
  <conditionalFormatting sqref="I537">
    <cfRule type="cellIs" dxfId="1484" priority="1017" operator="between">
      <formula>K537</formula>
      <formula>9999</formula>
    </cfRule>
  </conditionalFormatting>
  <conditionalFormatting sqref="I538">
    <cfRule type="cellIs" dxfId="1483" priority="1016" operator="between">
      <formula>K538</formula>
      <formula>9999</formula>
    </cfRule>
  </conditionalFormatting>
  <conditionalFormatting sqref="I539">
    <cfRule type="cellIs" dxfId="1482" priority="1015" operator="between">
      <formula>K539</formula>
      <formula>9999</formula>
    </cfRule>
  </conditionalFormatting>
  <conditionalFormatting sqref="I540">
    <cfRule type="cellIs" dxfId="1481" priority="1014" operator="between">
      <formula>K540</formula>
      <formula>9999</formula>
    </cfRule>
  </conditionalFormatting>
  <conditionalFormatting sqref="I541">
    <cfRule type="cellIs" dxfId="1480" priority="1013" operator="between">
      <formula>K541</formula>
      <formula>9999</formula>
    </cfRule>
  </conditionalFormatting>
  <conditionalFormatting sqref="I542">
    <cfRule type="cellIs" dxfId="1479" priority="1012" operator="between">
      <formula>K542</formula>
      <formula>9999</formula>
    </cfRule>
  </conditionalFormatting>
  <conditionalFormatting sqref="I544">
    <cfRule type="cellIs" dxfId="1478" priority="1011" operator="between">
      <formula>K544</formula>
      <formula>9999</formula>
    </cfRule>
  </conditionalFormatting>
  <conditionalFormatting sqref="I545">
    <cfRule type="cellIs" dxfId="1477" priority="1010" operator="between">
      <formula>K545</formula>
      <formula>9999</formula>
    </cfRule>
  </conditionalFormatting>
  <conditionalFormatting sqref="I546">
    <cfRule type="cellIs" dxfId="1476" priority="1009" operator="between">
      <formula>K546</formula>
      <formula>9999</formula>
    </cfRule>
  </conditionalFormatting>
  <conditionalFormatting sqref="I547">
    <cfRule type="cellIs" dxfId="1475" priority="1008" operator="between">
      <formula>K547</formula>
      <formula>9999</formula>
    </cfRule>
  </conditionalFormatting>
  <conditionalFormatting sqref="I548">
    <cfRule type="cellIs" dxfId="1474" priority="1007" operator="between">
      <formula>K548</formula>
      <formula>9999</formula>
    </cfRule>
  </conditionalFormatting>
  <conditionalFormatting sqref="I549">
    <cfRule type="cellIs" dxfId="1473" priority="1006" operator="between">
      <formula>K549</formula>
      <formula>9999</formula>
    </cfRule>
  </conditionalFormatting>
  <conditionalFormatting sqref="I550">
    <cfRule type="cellIs" dxfId="1472" priority="1005" operator="between">
      <formula>K550</formula>
      <formula>9999</formula>
    </cfRule>
  </conditionalFormatting>
  <conditionalFormatting sqref="I551">
    <cfRule type="cellIs" dxfId="1471" priority="1004" operator="between">
      <formula>K551</formula>
      <formula>9999</formula>
    </cfRule>
  </conditionalFormatting>
  <conditionalFormatting sqref="I552">
    <cfRule type="cellIs" dxfId="1470" priority="1003" operator="between">
      <formula>K552</formula>
      <formula>9999</formula>
    </cfRule>
  </conditionalFormatting>
  <conditionalFormatting sqref="I553">
    <cfRule type="cellIs" dxfId="1469" priority="1002" operator="between">
      <formula>K553</formula>
      <formula>9999</formula>
    </cfRule>
  </conditionalFormatting>
  <conditionalFormatting sqref="I554">
    <cfRule type="cellIs" dxfId="1468" priority="1001" operator="between">
      <formula>K554</formula>
      <formula>9999</formula>
    </cfRule>
  </conditionalFormatting>
  <conditionalFormatting sqref="I555">
    <cfRule type="cellIs" dxfId="1467" priority="1000" operator="between">
      <formula>K555</formula>
      <formula>9999</formula>
    </cfRule>
  </conditionalFormatting>
  <conditionalFormatting sqref="I556">
    <cfRule type="cellIs" dxfId="1466" priority="999" operator="between">
      <formula>K556</formula>
      <formula>9999</formula>
    </cfRule>
  </conditionalFormatting>
  <conditionalFormatting sqref="I557">
    <cfRule type="cellIs" dxfId="1465" priority="998" operator="between">
      <formula>K557</formula>
      <formula>9999</formula>
    </cfRule>
  </conditionalFormatting>
  <conditionalFormatting sqref="I558">
    <cfRule type="cellIs" dxfId="1464" priority="997" operator="between">
      <formula>K558</formula>
      <formula>9999</formula>
    </cfRule>
  </conditionalFormatting>
  <conditionalFormatting sqref="I559">
    <cfRule type="cellIs" dxfId="1463" priority="996" operator="between">
      <formula>K559</formula>
      <formula>9999</formula>
    </cfRule>
  </conditionalFormatting>
  <conditionalFormatting sqref="I560">
    <cfRule type="cellIs" dxfId="1462" priority="995" operator="between">
      <formula>K560</formula>
      <formula>9999</formula>
    </cfRule>
  </conditionalFormatting>
  <conditionalFormatting sqref="I561">
    <cfRule type="cellIs" dxfId="1461" priority="994" operator="between">
      <formula>K561</formula>
      <formula>9999</formula>
    </cfRule>
  </conditionalFormatting>
  <conditionalFormatting sqref="I563">
    <cfRule type="cellIs" dxfId="1460" priority="993" operator="between">
      <formula>K563</formula>
      <formula>9999</formula>
    </cfRule>
  </conditionalFormatting>
  <conditionalFormatting sqref="I564">
    <cfRule type="cellIs" dxfId="1459" priority="992" operator="between">
      <formula>K564</formula>
      <formula>9999</formula>
    </cfRule>
  </conditionalFormatting>
  <conditionalFormatting sqref="I565">
    <cfRule type="cellIs" dxfId="1458" priority="991" operator="between">
      <formula>K565</formula>
      <formula>9999</formula>
    </cfRule>
  </conditionalFormatting>
  <conditionalFormatting sqref="I566">
    <cfRule type="cellIs" dxfId="1457" priority="990" operator="between">
      <formula>K566</formula>
      <formula>9999</formula>
    </cfRule>
  </conditionalFormatting>
  <conditionalFormatting sqref="I567">
    <cfRule type="cellIs" dxfId="1456" priority="989" operator="between">
      <formula>K567</formula>
      <formula>9999</formula>
    </cfRule>
  </conditionalFormatting>
  <conditionalFormatting sqref="I568">
    <cfRule type="cellIs" dxfId="1455" priority="988" operator="between">
      <formula>K568</formula>
      <formula>9999</formula>
    </cfRule>
  </conditionalFormatting>
  <conditionalFormatting sqref="I569">
    <cfRule type="cellIs" dxfId="1454" priority="987" operator="between">
      <formula>K569</formula>
      <formula>9999</formula>
    </cfRule>
  </conditionalFormatting>
  <conditionalFormatting sqref="I570">
    <cfRule type="cellIs" dxfId="1453" priority="986" operator="between">
      <formula>K570</formula>
      <formula>9999</formula>
    </cfRule>
  </conditionalFormatting>
  <conditionalFormatting sqref="I571">
    <cfRule type="cellIs" dxfId="1452" priority="985" operator="between">
      <formula>K571</formula>
      <formula>9999</formula>
    </cfRule>
  </conditionalFormatting>
  <conditionalFormatting sqref="I572">
    <cfRule type="cellIs" dxfId="1451" priority="984" operator="between">
      <formula>K572</formula>
      <formula>9999</formula>
    </cfRule>
  </conditionalFormatting>
  <conditionalFormatting sqref="I573">
    <cfRule type="cellIs" dxfId="1450" priority="983" operator="between">
      <formula>K573</formula>
      <formula>9999</formula>
    </cfRule>
  </conditionalFormatting>
  <conditionalFormatting sqref="I574">
    <cfRule type="cellIs" dxfId="1449" priority="982" operator="between">
      <formula>K574</formula>
      <formula>9999</formula>
    </cfRule>
  </conditionalFormatting>
  <conditionalFormatting sqref="I575">
    <cfRule type="cellIs" dxfId="1448" priority="981" operator="between">
      <formula>K575</formula>
      <formula>9999</formula>
    </cfRule>
  </conditionalFormatting>
  <conditionalFormatting sqref="I576">
    <cfRule type="cellIs" dxfId="1447" priority="980" operator="between">
      <formula>K576</formula>
      <formula>9999</formula>
    </cfRule>
  </conditionalFormatting>
  <conditionalFormatting sqref="I577">
    <cfRule type="cellIs" dxfId="1446" priority="979" operator="between">
      <formula>K577</formula>
      <formula>9999</formula>
    </cfRule>
  </conditionalFormatting>
  <conditionalFormatting sqref="I578">
    <cfRule type="cellIs" dxfId="1445" priority="978" operator="between">
      <formula>K578</formula>
      <formula>9999</formula>
    </cfRule>
  </conditionalFormatting>
  <conditionalFormatting sqref="I579">
    <cfRule type="cellIs" dxfId="1444" priority="977" operator="between">
      <formula>K579</formula>
      <formula>9999</formula>
    </cfRule>
  </conditionalFormatting>
  <conditionalFormatting sqref="I580">
    <cfRule type="cellIs" dxfId="1443" priority="976" operator="between">
      <formula>K580</formula>
      <formula>9999</formula>
    </cfRule>
  </conditionalFormatting>
  <conditionalFormatting sqref="I582">
    <cfRule type="cellIs" dxfId="1442" priority="975" operator="between">
      <formula>K582</formula>
      <formula>9999</formula>
    </cfRule>
  </conditionalFormatting>
  <conditionalFormatting sqref="I583">
    <cfRule type="cellIs" dxfId="1441" priority="974" operator="between">
      <formula>K583</formula>
      <formula>9999</formula>
    </cfRule>
  </conditionalFormatting>
  <conditionalFormatting sqref="I584">
    <cfRule type="cellIs" dxfId="1440" priority="973" operator="between">
      <formula>K584</formula>
      <formula>9999</formula>
    </cfRule>
  </conditionalFormatting>
  <conditionalFormatting sqref="I585">
    <cfRule type="cellIs" dxfId="1439" priority="972" operator="between">
      <formula>K585</formula>
      <formula>9999</formula>
    </cfRule>
  </conditionalFormatting>
  <conditionalFormatting sqref="I586">
    <cfRule type="cellIs" dxfId="1438" priority="971" operator="between">
      <formula>K586</formula>
      <formula>9999</formula>
    </cfRule>
  </conditionalFormatting>
  <conditionalFormatting sqref="I587">
    <cfRule type="cellIs" dxfId="1437" priority="970" operator="between">
      <formula>K587</formula>
      <formula>9999</formula>
    </cfRule>
  </conditionalFormatting>
  <conditionalFormatting sqref="I588">
    <cfRule type="cellIs" dxfId="1436" priority="969" operator="between">
      <formula>K588</formula>
      <formula>9999</formula>
    </cfRule>
  </conditionalFormatting>
  <conditionalFormatting sqref="I589">
    <cfRule type="cellIs" dxfId="1435" priority="968" operator="between">
      <formula>K589</formula>
      <formula>9999</formula>
    </cfRule>
  </conditionalFormatting>
  <conditionalFormatting sqref="I590">
    <cfRule type="cellIs" dxfId="1434" priority="967" operator="between">
      <formula>K590</formula>
      <formula>9999</formula>
    </cfRule>
  </conditionalFormatting>
  <conditionalFormatting sqref="I591">
    <cfRule type="cellIs" dxfId="1433" priority="966" operator="between">
      <formula>K591</formula>
      <formula>9999</formula>
    </cfRule>
  </conditionalFormatting>
  <conditionalFormatting sqref="I592">
    <cfRule type="cellIs" dxfId="1432" priority="965" operator="between">
      <formula>K592</formula>
      <formula>9999</formula>
    </cfRule>
  </conditionalFormatting>
  <conditionalFormatting sqref="I593">
    <cfRule type="cellIs" dxfId="1431" priority="964" operator="between">
      <formula>K593</formula>
      <formula>9999</formula>
    </cfRule>
  </conditionalFormatting>
  <conditionalFormatting sqref="I594">
    <cfRule type="cellIs" dxfId="1430" priority="963" operator="between">
      <formula>K594</formula>
      <formula>9999</formula>
    </cfRule>
  </conditionalFormatting>
  <conditionalFormatting sqref="I595">
    <cfRule type="cellIs" dxfId="1429" priority="962" operator="between">
      <formula>K595</formula>
      <formula>9999</formula>
    </cfRule>
  </conditionalFormatting>
  <conditionalFormatting sqref="I596">
    <cfRule type="cellIs" dxfId="1428" priority="961" operator="between">
      <formula>K596</formula>
      <formula>9999</formula>
    </cfRule>
  </conditionalFormatting>
  <conditionalFormatting sqref="I597">
    <cfRule type="cellIs" dxfId="1427" priority="960" operator="between">
      <formula>K597</formula>
      <formula>9999</formula>
    </cfRule>
  </conditionalFormatting>
  <conditionalFormatting sqref="I598">
    <cfRule type="cellIs" dxfId="1426" priority="959" operator="between">
      <formula>K598</formula>
      <formula>9999</formula>
    </cfRule>
  </conditionalFormatting>
  <conditionalFormatting sqref="I599">
    <cfRule type="cellIs" dxfId="1425" priority="958" operator="between">
      <formula>K599</formula>
      <formula>9999</formula>
    </cfRule>
  </conditionalFormatting>
  <conditionalFormatting sqref="I601">
    <cfRule type="cellIs" dxfId="1424" priority="957" operator="between">
      <formula>K601</formula>
      <formula>9999</formula>
    </cfRule>
  </conditionalFormatting>
  <conditionalFormatting sqref="I602">
    <cfRule type="cellIs" dxfId="1423" priority="956" operator="between">
      <formula>K602</formula>
      <formula>9999</formula>
    </cfRule>
  </conditionalFormatting>
  <conditionalFormatting sqref="I603">
    <cfRule type="cellIs" dxfId="1422" priority="955" operator="between">
      <formula>K603</formula>
      <formula>9999</formula>
    </cfRule>
  </conditionalFormatting>
  <conditionalFormatting sqref="I604">
    <cfRule type="cellIs" dxfId="1421" priority="954" operator="between">
      <formula>K604</formula>
      <formula>9999</formula>
    </cfRule>
  </conditionalFormatting>
  <conditionalFormatting sqref="I605">
    <cfRule type="cellIs" dxfId="1420" priority="953" operator="between">
      <formula>K605</formula>
      <formula>9999</formula>
    </cfRule>
  </conditionalFormatting>
  <conditionalFormatting sqref="I606">
    <cfRule type="cellIs" dxfId="1419" priority="952" operator="between">
      <formula>K606</formula>
      <formula>9999</formula>
    </cfRule>
  </conditionalFormatting>
  <conditionalFormatting sqref="I607">
    <cfRule type="cellIs" dxfId="1418" priority="951" operator="between">
      <formula>K607</formula>
      <formula>9999</formula>
    </cfRule>
  </conditionalFormatting>
  <conditionalFormatting sqref="I608">
    <cfRule type="cellIs" dxfId="1417" priority="950" operator="between">
      <formula>K608</formula>
      <formula>9999</formula>
    </cfRule>
  </conditionalFormatting>
  <conditionalFormatting sqref="I609">
    <cfRule type="cellIs" dxfId="1416" priority="949" operator="between">
      <formula>K609</formula>
      <formula>9999</formula>
    </cfRule>
  </conditionalFormatting>
  <conditionalFormatting sqref="I610">
    <cfRule type="cellIs" dxfId="1415" priority="948" operator="between">
      <formula>K610</formula>
      <formula>9999</formula>
    </cfRule>
  </conditionalFormatting>
  <conditionalFormatting sqref="I611">
    <cfRule type="cellIs" dxfId="1414" priority="947" operator="between">
      <formula>K611</formula>
      <formula>9999</formula>
    </cfRule>
  </conditionalFormatting>
  <conditionalFormatting sqref="I612">
    <cfRule type="cellIs" dxfId="1413" priority="946" operator="between">
      <formula>K612</formula>
      <formula>9999</formula>
    </cfRule>
  </conditionalFormatting>
  <conditionalFormatting sqref="I613">
    <cfRule type="cellIs" dxfId="1412" priority="945" operator="between">
      <formula>K613</formula>
      <formula>9999</formula>
    </cfRule>
  </conditionalFormatting>
  <conditionalFormatting sqref="I614">
    <cfRule type="cellIs" dxfId="1411" priority="944" operator="between">
      <formula>K614</formula>
      <formula>9999</formula>
    </cfRule>
  </conditionalFormatting>
  <conditionalFormatting sqref="I615">
    <cfRule type="cellIs" dxfId="1410" priority="943" operator="between">
      <formula>K615</formula>
      <formula>9999</formula>
    </cfRule>
  </conditionalFormatting>
  <conditionalFormatting sqref="I616">
    <cfRule type="cellIs" dxfId="1409" priority="942" operator="between">
      <formula>K616</formula>
      <formula>9999</formula>
    </cfRule>
  </conditionalFormatting>
  <conditionalFormatting sqref="I617">
    <cfRule type="cellIs" dxfId="1408" priority="941" operator="between">
      <formula>K617</formula>
      <formula>9999</formula>
    </cfRule>
  </conditionalFormatting>
  <conditionalFormatting sqref="I618">
    <cfRule type="cellIs" dxfId="1407" priority="940" operator="between">
      <formula>K618</formula>
      <formula>9999</formula>
    </cfRule>
  </conditionalFormatting>
  <conditionalFormatting sqref="I620">
    <cfRule type="cellIs" dxfId="1406" priority="939" operator="between">
      <formula>K620</formula>
      <formula>9999</formula>
    </cfRule>
  </conditionalFormatting>
  <conditionalFormatting sqref="I639">
    <cfRule type="cellIs" dxfId="1405" priority="938" operator="between">
      <formula>K639</formula>
      <formula>9999</formula>
    </cfRule>
  </conditionalFormatting>
  <conditionalFormatting sqref="H450:H452">
    <cfRule type="cellIs" dxfId="1404" priority="937" operator="between">
      <formula>J450</formula>
      <formula>9999</formula>
    </cfRule>
  </conditionalFormatting>
  <conditionalFormatting sqref="H666">
    <cfRule type="cellIs" dxfId="1403" priority="936" operator="between">
      <formula>J666</formula>
      <formula>9999</formula>
    </cfRule>
  </conditionalFormatting>
  <conditionalFormatting sqref="H667">
    <cfRule type="cellIs" dxfId="1402" priority="935" operator="between">
      <formula>J667</formula>
      <formula>9999</formula>
    </cfRule>
  </conditionalFormatting>
  <conditionalFormatting sqref="H668">
    <cfRule type="cellIs" dxfId="1401" priority="934" operator="between">
      <formula>J668</formula>
      <formula>9999</formula>
    </cfRule>
  </conditionalFormatting>
  <conditionalFormatting sqref="H672">
    <cfRule type="cellIs" dxfId="1400" priority="933" operator="between">
      <formula>J672</formula>
      <formula>9999</formula>
    </cfRule>
  </conditionalFormatting>
  <conditionalFormatting sqref="H673">
    <cfRule type="cellIs" dxfId="1399" priority="932" operator="between">
      <formula>J673</formula>
      <formula>9999</formula>
    </cfRule>
  </conditionalFormatting>
  <conditionalFormatting sqref="H674">
    <cfRule type="cellIs" dxfId="1398" priority="931" operator="between">
      <formula>J674</formula>
      <formula>9999</formula>
    </cfRule>
  </conditionalFormatting>
  <conditionalFormatting sqref="H675">
    <cfRule type="cellIs" dxfId="1397" priority="930" operator="between">
      <formula>J675</formula>
      <formula>9999</formula>
    </cfRule>
  </conditionalFormatting>
  <conditionalFormatting sqref="H676">
    <cfRule type="cellIs" dxfId="1396" priority="929" operator="between">
      <formula>J676</formula>
      <formula>9999</formula>
    </cfRule>
  </conditionalFormatting>
  <conditionalFormatting sqref="H677">
    <cfRule type="cellIs" dxfId="1395" priority="928" operator="between">
      <formula>J677</formula>
      <formula>9999</formula>
    </cfRule>
  </conditionalFormatting>
  <conditionalFormatting sqref="I687">
    <cfRule type="cellIs" dxfId="1394" priority="927" operator="between">
      <formula>K687</formula>
      <formula>9999</formula>
    </cfRule>
  </conditionalFormatting>
  <conditionalFormatting sqref="I688">
    <cfRule type="cellIs" dxfId="1393" priority="926" operator="between">
      <formula>K688</formula>
      <formula>9999</formula>
    </cfRule>
  </conditionalFormatting>
  <conditionalFormatting sqref="I689">
    <cfRule type="cellIs" dxfId="1392" priority="925" operator="between">
      <formula>K689</formula>
      <formula>9999</formula>
    </cfRule>
  </conditionalFormatting>
  <conditionalFormatting sqref="I690">
    <cfRule type="cellIs" dxfId="1391" priority="924" operator="between">
      <formula>K690</formula>
      <formula>9999</formula>
    </cfRule>
  </conditionalFormatting>
  <conditionalFormatting sqref="I691">
    <cfRule type="cellIs" dxfId="1390" priority="923" operator="between">
      <formula>K691</formula>
      <formula>9999</formula>
    </cfRule>
  </conditionalFormatting>
  <conditionalFormatting sqref="I692">
    <cfRule type="cellIs" dxfId="1389" priority="922" operator="between">
      <formula>K692</formula>
      <formula>9999</formula>
    </cfRule>
  </conditionalFormatting>
  <conditionalFormatting sqref="I693">
    <cfRule type="cellIs" dxfId="1388" priority="921" operator="between">
      <formula>K693</formula>
      <formula>9999</formula>
    </cfRule>
  </conditionalFormatting>
  <conditionalFormatting sqref="I694">
    <cfRule type="cellIs" dxfId="1387" priority="920" operator="between">
      <formula>K694</formula>
      <formula>9999</formula>
    </cfRule>
  </conditionalFormatting>
  <conditionalFormatting sqref="I695">
    <cfRule type="cellIs" dxfId="1386" priority="919" operator="between">
      <formula>K695</formula>
      <formula>9999</formula>
    </cfRule>
  </conditionalFormatting>
  <conditionalFormatting sqref="I696">
    <cfRule type="cellIs" dxfId="1385" priority="918" operator="between">
      <formula>K696</formula>
      <formula>9999</formula>
    </cfRule>
  </conditionalFormatting>
  <conditionalFormatting sqref="I697">
    <cfRule type="cellIs" dxfId="1384" priority="917" operator="between">
      <formula>K697</formula>
      <formula>9999</formula>
    </cfRule>
  </conditionalFormatting>
  <conditionalFormatting sqref="I698">
    <cfRule type="cellIs" dxfId="1383" priority="916" operator="between">
      <formula>K698</formula>
      <formula>9999</formula>
    </cfRule>
  </conditionalFormatting>
  <conditionalFormatting sqref="I699">
    <cfRule type="cellIs" dxfId="1382" priority="915" operator="between">
      <formula>K699</formula>
      <formula>9999</formula>
    </cfRule>
  </conditionalFormatting>
  <conditionalFormatting sqref="I700">
    <cfRule type="cellIs" dxfId="1381" priority="914" operator="between">
      <formula>K700</formula>
      <formula>9999</formula>
    </cfRule>
  </conditionalFormatting>
  <conditionalFormatting sqref="I701">
    <cfRule type="cellIs" dxfId="1380" priority="913" operator="between">
      <formula>K701</formula>
      <formula>9999</formula>
    </cfRule>
  </conditionalFormatting>
  <conditionalFormatting sqref="I702">
    <cfRule type="cellIs" dxfId="1379" priority="912" operator="between">
      <formula>K702</formula>
      <formula>9999</formula>
    </cfRule>
  </conditionalFormatting>
  <conditionalFormatting sqref="I703">
    <cfRule type="cellIs" dxfId="1378" priority="911" operator="between">
      <formula>K703</formula>
      <formula>9999</formula>
    </cfRule>
  </conditionalFormatting>
  <conditionalFormatting sqref="I704">
    <cfRule type="cellIs" dxfId="1377" priority="910" operator="between">
      <formula>K704</formula>
      <formula>9999</formula>
    </cfRule>
  </conditionalFormatting>
  <conditionalFormatting sqref="I706">
    <cfRule type="cellIs" dxfId="1376" priority="909" operator="between">
      <formula>K706</formula>
      <formula>9999</formula>
    </cfRule>
  </conditionalFormatting>
  <conditionalFormatting sqref="I707">
    <cfRule type="cellIs" dxfId="1375" priority="908" operator="between">
      <formula>K707</formula>
      <formula>9999</formula>
    </cfRule>
  </conditionalFormatting>
  <conditionalFormatting sqref="I708">
    <cfRule type="cellIs" dxfId="1374" priority="907" operator="between">
      <formula>K708</formula>
      <formula>9999</formula>
    </cfRule>
  </conditionalFormatting>
  <conditionalFormatting sqref="I709">
    <cfRule type="cellIs" dxfId="1373" priority="906" operator="between">
      <formula>K709</formula>
      <formula>9999</formula>
    </cfRule>
  </conditionalFormatting>
  <conditionalFormatting sqref="I710">
    <cfRule type="cellIs" dxfId="1372" priority="905" operator="between">
      <formula>K710</formula>
      <formula>9999</formula>
    </cfRule>
  </conditionalFormatting>
  <conditionalFormatting sqref="I711">
    <cfRule type="cellIs" dxfId="1371" priority="904" operator="between">
      <formula>K711</formula>
      <formula>9999</formula>
    </cfRule>
  </conditionalFormatting>
  <conditionalFormatting sqref="I712">
    <cfRule type="cellIs" dxfId="1370" priority="903" operator="between">
      <formula>K712</formula>
      <formula>9999</formula>
    </cfRule>
  </conditionalFormatting>
  <conditionalFormatting sqref="I713">
    <cfRule type="cellIs" dxfId="1369" priority="902" operator="between">
      <formula>K713</formula>
      <formula>9999</formula>
    </cfRule>
  </conditionalFormatting>
  <conditionalFormatting sqref="I714">
    <cfRule type="cellIs" dxfId="1368" priority="901" operator="between">
      <formula>K714</formula>
      <formula>9999</formula>
    </cfRule>
  </conditionalFormatting>
  <conditionalFormatting sqref="I715">
    <cfRule type="cellIs" dxfId="1367" priority="900" operator="between">
      <formula>K715</formula>
      <formula>9999</formula>
    </cfRule>
  </conditionalFormatting>
  <conditionalFormatting sqref="I716">
    <cfRule type="cellIs" dxfId="1366" priority="899" operator="between">
      <formula>K716</formula>
      <formula>9999</formula>
    </cfRule>
  </conditionalFormatting>
  <conditionalFormatting sqref="I717">
    <cfRule type="cellIs" dxfId="1365" priority="898" operator="between">
      <formula>K717</formula>
      <formula>9999</formula>
    </cfRule>
  </conditionalFormatting>
  <conditionalFormatting sqref="I718">
    <cfRule type="cellIs" dxfId="1364" priority="897" operator="between">
      <formula>K718</formula>
      <formula>9999</formula>
    </cfRule>
  </conditionalFormatting>
  <conditionalFormatting sqref="I719">
    <cfRule type="cellIs" dxfId="1363" priority="896" operator="between">
      <formula>K719</formula>
      <formula>9999</formula>
    </cfRule>
  </conditionalFormatting>
  <conditionalFormatting sqref="I720">
    <cfRule type="cellIs" dxfId="1362" priority="895" operator="between">
      <formula>K720</formula>
      <formula>9999</formula>
    </cfRule>
  </conditionalFormatting>
  <conditionalFormatting sqref="I721">
    <cfRule type="cellIs" dxfId="1361" priority="894" operator="between">
      <formula>K721</formula>
      <formula>9999</formula>
    </cfRule>
  </conditionalFormatting>
  <conditionalFormatting sqref="I722">
    <cfRule type="cellIs" dxfId="1360" priority="893" operator="between">
      <formula>K722</formula>
      <formula>9999</formula>
    </cfRule>
  </conditionalFormatting>
  <conditionalFormatting sqref="I723">
    <cfRule type="cellIs" dxfId="1359" priority="892" operator="between">
      <formula>K723</formula>
      <formula>9999</formula>
    </cfRule>
  </conditionalFormatting>
  <conditionalFormatting sqref="I725">
    <cfRule type="cellIs" dxfId="1358" priority="891" operator="between">
      <formula>K725</formula>
      <formula>9999</formula>
    </cfRule>
  </conditionalFormatting>
  <conditionalFormatting sqref="I726">
    <cfRule type="cellIs" dxfId="1357" priority="890" operator="between">
      <formula>K726</formula>
      <formula>9999</formula>
    </cfRule>
  </conditionalFormatting>
  <conditionalFormatting sqref="I727">
    <cfRule type="cellIs" dxfId="1356" priority="889" operator="between">
      <formula>K727</formula>
      <formula>9999</formula>
    </cfRule>
  </conditionalFormatting>
  <conditionalFormatting sqref="I728">
    <cfRule type="cellIs" dxfId="1355" priority="888" operator="between">
      <formula>K728</formula>
      <formula>9999</formula>
    </cfRule>
  </conditionalFormatting>
  <conditionalFormatting sqref="I729">
    <cfRule type="cellIs" dxfId="1354" priority="887" operator="between">
      <formula>K729</formula>
      <formula>9999</formula>
    </cfRule>
  </conditionalFormatting>
  <conditionalFormatting sqref="I730">
    <cfRule type="cellIs" dxfId="1353" priority="886" operator="between">
      <formula>K730</formula>
      <formula>9999</formula>
    </cfRule>
  </conditionalFormatting>
  <conditionalFormatting sqref="I731">
    <cfRule type="cellIs" dxfId="1352" priority="885" operator="between">
      <formula>K731</formula>
      <formula>9999</formula>
    </cfRule>
  </conditionalFormatting>
  <conditionalFormatting sqref="I732">
    <cfRule type="cellIs" dxfId="1351" priority="884" operator="between">
      <formula>K732</formula>
      <formula>9999</formula>
    </cfRule>
  </conditionalFormatting>
  <conditionalFormatting sqref="I733">
    <cfRule type="cellIs" dxfId="1350" priority="883" operator="between">
      <formula>K733</formula>
      <formula>9999</formula>
    </cfRule>
  </conditionalFormatting>
  <conditionalFormatting sqref="I734">
    <cfRule type="cellIs" dxfId="1349" priority="882" operator="between">
      <formula>K734</formula>
      <formula>9999</formula>
    </cfRule>
  </conditionalFormatting>
  <conditionalFormatting sqref="I735">
    <cfRule type="cellIs" dxfId="1348" priority="881" operator="between">
      <formula>K735</formula>
      <formula>9999</formula>
    </cfRule>
  </conditionalFormatting>
  <conditionalFormatting sqref="I736">
    <cfRule type="cellIs" dxfId="1347" priority="880" operator="between">
      <formula>K736</formula>
      <formula>9999</formula>
    </cfRule>
  </conditionalFormatting>
  <conditionalFormatting sqref="I737">
    <cfRule type="cellIs" dxfId="1346" priority="879" operator="between">
      <formula>K737</formula>
      <formula>9999</formula>
    </cfRule>
  </conditionalFormatting>
  <conditionalFormatting sqref="I738">
    <cfRule type="cellIs" dxfId="1345" priority="878" operator="between">
      <formula>K738</formula>
      <formula>9999</formula>
    </cfRule>
  </conditionalFormatting>
  <conditionalFormatting sqref="I739">
    <cfRule type="cellIs" dxfId="1344" priority="877" operator="between">
      <formula>K739</formula>
      <formula>9999</formula>
    </cfRule>
  </conditionalFormatting>
  <conditionalFormatting sqref="I740">
    <cfRule type="cellIs" dxfId="1343" priority="876" operator="between">
      <formula>K740</formula>
      <formula>9999</formula>
    </cfRule>
  </conditionalFormatting>
  <conditionalFormatting sqref="I741">
    <cfRule type="cellIs" dxfId="1342" priority="875" operator="between">
      <formula>K741</formula>
      <formula>9999</formula>
    </cfRule>
  </conditionalFormatting>
  <conditionalFormatting sqref="I742">
    <cfRule type="cellIs" dxfId="1341" priority="874" operator="between">
      <formula>K742</formula>
      <formula>9999</formula>
    </cfRule>
  </conditionalFormatting>
  <conditionalFormatting sqref="I744">
    <cfRule type="cellIs" dxfId="1340" priority="873" operator="between">
      <formula>K744</formula>
      <formula>9999</formula>
    </cfRule>
  </conditionalFormatting>
  <conditionalFormatting sqref="I745">
    <cfRule type="cellIs" dxfId="1339" priority="872" operator="between">
      <formula>K745</formula>
      <formula>9999</formula>
    </cfRule>
  </conditionalFormatting>
  <conditionalFormatting sqref="I746">
    <cfRule type="cellIs" dxfId="1338" priority="871" operator="between">
      <formula>K746</formula>
      <formula>9999</formula>
    </cfRule>
  </conditionalFormatting>
  <conditionalFormatting sqref="I747">
    <cfRule type="cellIs" dxfId="1337" priority="870" operator="between">
      <formula>K747</formula>
      <formula>9999</formula>
    </cfRule>
  </conditionalFormatting>
  <conditionalFormatting sqref="I748">
    <cfRule type="cellIs" dxfId="1336" priority="869" operator="between">
      <formula>K748</formula>
      <formula>9999</formula>
    </cfRule>
  </conditionalFormatting>
  <conditionalFormatting sqref="I749">
    <cfRule type="cellIs" dxfId="1335" priority="868" operator="between">
      <formula>K749</formula>
      <formula>9999</formula>
    </cfRule>
  </conditionalFormatting>
  <conditionalFormatting sqref="I750">
    <cfRule type="cellIs" dxfId="1334" priority="867" operator="between">
      <formula>K750</formula>
      <formula>9999</formula>
    </cfRule>
  </conditionalFormatting>
  <conditionalFormatting sqref="I751">
    <cfRule type="cellIs" dxfId="1333" priority="866" operator="between">
      <formula>K751</formula>
      <formula>9999</formula>
    </cfRule>
  </conditionalFormatting>
  <conditionalFormatting sqref="I752">
    <cfRule type="cellIs" dxfId="1332" priority="865" operator="between">
      <formula>K752</formula>
      <formula>9999</formula>
    </cfRule>
  </conditionalFormatting>
  <conditionalFormatting sqref="I753">
    <cfRule type="cellIs" dxfId="1331" priority="864" operator="between">
      <formula>K753</formula>
      <formula>9999</formula>
    </cfRule>
  </conditionalFormatting>
  <conditionalFormatting sqref="I754">
    <cfRule type="cellIs" dxfId="1330" priority="863" operator="between">
      <formula>K754</formula>
      <formula>9999</formula>
    </cfRule>
  </conditionalFormatting>
  <conditionalFormatting sqref="I755">
    <cfRule type="cellIs" dxfId="1329" priority="862" operator="between">
      <formula>K755</formula>
      <formula>9999</formula>
    </cfRule>
  </conditionalFormatting>
  <conditionalFormatting sqref="I756">
    <cfRule type="cellIs" dxfId="1328" priority="861" operator="between">
      <formula>K756</formula>
      <formula>9999</formula>
    </cfRule>
  </conditionalFormatting>
  <conditionalFormatting sqref="I757">
    <cfRule type="cellIs" dxfId="1327" priority="860" operator="between">
      <formula>K757</formula>
      <formula>9999</formula>
    </cfRule>
  </conditionalFormatting>
  <conditionalFormatting sqref="I758">
    <cfRule type="cellIs" dxfId="1326" priority="859" operator="between">
      <formula>K758</formula>
      <formula>9999</formula>
    </cfRule>
  </conditionalFormatting>
  <conditionalFormatting sqref="I759">
    <cfRule type="cellIs" dxfId="1325" priority="858" operator="between">
      <formula>K759</formula>
      <formula>9999</formula>
    </cfRule>
  </conditionalFormatting>
  <conditionalFormatting sqref="I760">
    <cfRule type="cellIs" dxfId="1324" priority="857" operator="between">
      <formula>K760</formula>
      <formula>9999</formula>
    </cfRule>
  </conditionalFormatting>
  <conditionalFormatting sqref="I761">
    <cfRule type="cellIs" dxfId="1323" priority="856" operator="between">
      <formula>K761</formula>
      <formula>9999</formula>
    </cfRule>
  </conditionalFormatting>
  <conditionalFormatting sqref="I763">
    <cfRule type="cellIs" dxfId="1322" priority="855" operator="between">
      <formula>K763</formula>
      <formula>9999</formula>
    </cfRule>
  </conditionalFormatting>
  <conditionalFormatting sqref="I764">
    <cfRule type="cellIs" dxfId="1321" priority="854" operator="between">
      <formula>K764</formula>
      <formula>9999</formula>
    </cfRule>
  </conditionalFormatting>
  <conditionalFormatting sqref="I765">
    <cfRule type="cellIs" dxfId="1320" priority="853" operator="between">
      <formula>K765</formula>
      <formula>9999</formula>
    </cfRule>
  </conditionalFormatting>
  <conditionalFormatting sqref="I766">
    <cfRule type="cellIs" dxfId="1319" priority="852" operator="between">
      <formula>K766</formula>
      <formula>9999</formula>
    </cfRule>
  </conditionalFormatting>
  <conditionalFormatting sqref="I767">
    <cfRule type="cellIs" dxfId="1318" priority="851" operator="between">
      <formula>K767</formula>
      <formula>9999</formula>
    </cfRule>
  </conditionalFormatting>
  <conditionalFormatting sqref="I768">
    <cfRule type="cellIs" dxfId="1317" priority="850" operator="between">
      <formula>K768</formula>
      <formula>9999</formula>
    </cfRule>
  </conditionalFormatting>
  <conditionalFormatting sqref="I769">
    <cfRule type="cellIs" dxfId="1316" priority="849" operator="between">
      <formula>K769</formula>
      <formula>9999</formula>
    </cfRule>
  </conditionalFormatting>
  <conditionalFormatting sqref="I770">
    <cfRule type="cellIs" dxfId="1315" priority="848" operator="between">
      <formula>K770</formula>
      <formula>9999</formula>
    </cfRule>
  </conditionalFormatting>
  <conditionalFormatting sqref="I771">
    <cfRule type="cellIs" dxfId="1314" priority="847" operator="between">
      <formula>K771</formula>
      <formula>9999</formula>
    </cfRule>
  </conditionalFormatting>
  <conditionalFormatting sqref="I772">
    <cfRule type="cellIs" dxfId="1313" priority="846" operator="between">
      <formula>K772</formula>
      <formula>9999</formula>
    </cfRule>
  </conditionalFormatting>
  <conditionalFormatting sqref="I773">
    <cfRule type="cellIs" dxfId="1312" priority="845" operator="between">
      <formula>K773</formula>
      <formula>9999</formula>
    </cfRule>
  </conditionalFormatting>
  <conditionalFormatting sqref="I774">
    <cfRule type="cellIs" dxfId="1311" priority="844" operator="between">
      <formula>K774</formula>
      <formula>9999</formula>
    </cfRule>
  </conditionalFormatting>
  <conditionalFormatting sqref="I775">
    <cfRule type="cellIs" dxfId="1310" priority="843" operator="between">
      <formula>K775</formula>
      <formula>9999</formula>
    </cfRule>
  </conditionalFormatting>
  <conditionalFormatting sqref="I776">
    <cfRule type="cellIs" dxfId="1309" priority="842" operator="between">
      <formula>K776</formula>
      <formula>9999</formula>
    </cfRule>
  </conditionalFormatting>
  <conditionalFormatting sqref="I777">
    <cfRule type="cellIs" dxfId="1308" priority="841" operator="between">
      <formula>K777</formula>
      <formula>9999</formula>
    </cfRule>
  </conditionalFormatting>
  <conditionalFormatting sqref="I778">
    <cfRule type="cellIs" dxfId="1307" priority="840" operator="between">
      <formula>K778</formula>
      <formula>9999</formula>
    </cfRule>
  </conditionalFormatting>
  <conditionalFormatting sqref="I779">
    <cfRule type="cellIs" dxfId="1306" priority="839" operator="between">
      <formula>K779</formula>
      <formula>9999</formula>
    </cfRule>
  </conditionalFormatting>
  <conditionalFormatting sqref="I780">
    <cfRule type="cellIs" dxfId="1305" priority="838" operator="between">
      <formula>K780</formula>
      <formula>9999</formula>
    </cfRule>
  </conditionalFormatting>
  <conditionalFormatting sqref="I782">
    <cfRule type="cellIs" dxfId="1304" priority="837" operator="between">
      <formula>K782</formula>
      <formula>9999</formula>
    </cfRule>
  </conditionalFormatting>
  <conditionalFormatting sqref="I783">
    <cfRule type="cellIs" dxfId="1303" priority="836" operator="between">
      <formula>K783</formula>
      <formula>9999</formula>
    </cfRule>
  </conditionalFormatting>
  <conditionalFormatting sqref="I784">
    <cfRule type="cellIs" dxfId="1302" priority="835" operator="between">
      <formula>K784</formula>
      <formula>9999</formula>
    </cfRule>
  </conditionalFormatting>
  <conditionalFormatting sqref="I785">
    <cfRule type="cellIs" dxfId="1301" priority="834" operator="between">
      <formula>K785</formula>
      <formula>9999</formula>
    </cfRule>
  </conditionalFormatting>
  <conditionalFormatting sqref="I786">
    <cfRule type="cellIs" dxfId="1300" priority="833" operator="between">
      <formula>K786</formula>
      <formula>9999</formula>
    </cfRule>
  </conditionalFormatting>
  <conditionalFormatting sqref="I787">
    <cfRule type="cellIs" dxfId="1299" priority="832" operator="between">
      <formula>K787</formula>
      <formula>9999</formula>
    </cfRule>
  </conditionalFormatting>
  <conditionalFormatting sqref="I788">
    <cfRule type="cellIs" dxfId="1298" priority="831" operator="between">
      <formula>K788</formula>
      <formula>9999</formula>
    </cfRule>
  </conditionalFormatting>
  <conditionalFormatting sqref="I789">
    <cfRule type="cellIs" dxfId="1297" priority="830" operator="between">
      <formula>K789</formula>
      <formula>9999</formula>
    </cfRule>
  </conditionalFormatting>
  <conditionalFormatting sqref="I790">
    <cfRule type="cellIs" dxfId="1296" priority="829" operator="between">
      <formula>K790</formula>
      <formula>9999</formula>
    </cfRule>
  </conditionalFormatting>
  <conditionalFormatting sqref="I791">
    <cfRule type="cellIs" dxfId="1295" priority="828" operator="between">
      <formula>K791</formula>
      <formula>9999</formula>
    </cfRule>
  </conditionalFormatting>
  <conditionalFormatting sqref="I792">
    <cfRule type="cellIs" dxfId="1294" priority="827" operator="between">
      <formula>K792</formula>
      <formula>9999</formula>
    </cfRule>
  </conditionalFormatting>
  <conditionalFormatting sqref="I793">
    <cfRule type="cellIs" dxfId="1293" priority="826" operator="between">
      <formula>K793</formula>
      <formula>9999</formula>
    </cfRule>
  </conditionalFormatting>
  <conditionalFormatting sqref="I794">
    <cfRule type="cellIs" dxfId="1292" priority="825" operator="between">
      <formula>K794</formula>
      <formula>9999</formula>
    </cfRule>
  </conditionalFormatting>
  <conditionalFormatting sqref="I795">
    <cfRule type="cellIs" dxfId="1291" priority="824" operator="between">
      <formula>K795</formula>
      <formula>9999</formula>
    </cfRule>
  </conditionalFormatting>
  <conditionalFormatting sqref="I796">
    <cfRule type="cellIs" dxfId="1290" priority="823" operator="between">
      <formula>K796</formula>
      <formula>9999</formula>
    </cfRule>
  </conditionalFormatting>
  <conditionalFormatting sqref="I797">
    <cfRule type="cellIs" dxfId="1289" priority="822" operator="between">
      <formula>K797</formula>
      <formula>9999</formula>
    </cfRule>
  </conditionalFormatting>
  <conditionalFormatting sqref="I798">
    <cfRule type="cellIs" dxfId="1288" priority="821" operator="between">
      <formula>K798</formula>
      <formula>9999</formula>
    </cfRule>
  </conditionalFormatting>
  <conditionalFormatting sqref="I799">
    <cfRule type="cellIs" dxfId="1287" priority="820" operator="between">
      <formula>K799</formula>
      <formula>9999</formula>
    </cfRule>
  </conditionalFormatting>
  <conditionalFormatting sqref="I801">
    <cfRule type="cellIs" dxfId="1286" priority="819" operator="between">
      <formula>K801</formula>
      <formula>9999</formula>
    </cfRule>
  </conditionalFormatting>
  <conditionalFormatting sqref="I802">
    <cfRule type="cellIs" dxfId="1285" priority="818" operator="between">
      <formula>K802</formula>
      <formula>9999</formula>
    </cfRule>
  </conditionalFormatting>
  <conditionalFormatting sqref="I803">
    <cfRule type="cellIs" dxfId="1284" priority="817" operator="between">
      <formula>K803</formula>
      <formula>9999</formula>
    </cfRule>
  </conditionalFormatting>
  <conditionalFormatting sqref="I804">
    <cfRule type="cellIs" dxfId="1283" priority="816" operator="between">
      <formula>K804</formula>
      <formula>9999</formula>
    </cfRule>
  </conditionalFormatting>
  <conditionalFormatting sqref="I805">
    <cfRule type="cellIs" dxfId="1282" priority="815" operator="between">
      <formula>K805</formula>
      <formula>9999</formula>
    </cfRule>
  </conditionalFormatting>
  <conditionalFormatting sqref="I806">
    <cfRule type="cellIs" dxfId="1281" priority="814" operator="between">
      <formula>K806</formula>
      <formula>9999</formula>
    </cfRule>
  </conditionalFormatting>
  <conditionalFormatting sqref="I807">
    <cfRule type="cellIs" dxfId="1280" priority="813" operator="between">
      <formula>K807</formula>
      <formula>9999</formula>
    </cfRule>
  </conditionalFormatting>
  <conditionalFormatting sqref="I808">
    <cfRule type="cellIs" dxfId="1279" priority="812" operator="between">
      <formula>K808</formula>
      <formula>9999</formula>
    </cfRule>
  </conditionalFormatting>
  <conditionalFormatting sqref="I809">
    <cfRule type="cellIs" dxfId="1278" priority="811" operator="between">
      <formula>K809</formula>
      <formula>9999</formula>
    </cfRule>
  </conditionalFormatting>
  <conditionalFormatting sqref="I810">
    <cfRule type="cellIs" dxfId="1277" priority="810" operator="between">
      <formula>K810</formula>
      <formula>9999</formula>
    </cfRule>
  </conditionalFormatting>
  <conditionalFormatting sqref="I811">
    <cfRule type="cellIs" dxfId="1276" priority="809" operator="between">
      <formula>K811</formula>
      <formula>9999</formula>
    </cfRule>
  </conditionalFormatting>
  <conditionalFormatting sqref="I812">
    <cfRule type="cellIs" dxfId="1275" priority="808" operator="between">
      <formula>K812</formula>
      <formula>9999</formula>
    </cfRule>
  </conditionalFormatting>
  <conditionalFormatting sqref="I813">
    <cfRule type="cellIs" dxfId="1274" priority="807" operator="between">
      <formula>K813</formula>
      <formula>9999</formula>
    </cfRule>
  </conditionalFormatting>
  <conditionalFormatting sqref="I814">
    <cfRule type="cellIs" dxfId="1273" priority="806" operator="between">
      <formula>K814</formula>
      <formula>9999</formula>
    </cfRule>
  </conditionalFormatting>
  <conditionalFormatting sqref="I815">
    <cfRule type="cellIs" dxfId="1272" priority="805" operator="between">
      <formula>K815</formula>
      <formula>9999</formula>
    </cfRule>
  </conditionalFormatting>
  <conditionalFormatting sqref="I816">
    <cfRule type="cellIs" dxfId="1271" priority="804" operator="between">
      <formula>K816</formula>
      <formula>9999</formula>
    </cfRule>
  </conditionalFormatting>
  <conditionalFormatting sqref="I817">
    <cfRule type="cellIs" dxfId="1270" priority="803" operator="between">
      <formula>K817</formula>
      <formula>9999</formula>
    </cfRule>
  </conditionalFormatting>
  <conditionalFormatting sqref="I818">
    <cfRule type="cellIs" dxfId="1269" priority="802" operator="between">
      <formula>K818</formula>
      <formula>9999</formula>
    </cfRule>
  </conditionalFormatting>
  <conditionalFormatting sqref="I820">
    <cfRule type="cellIs" dxfId="1268" priority="801" operator="between">
      <formula>K820</formula>
      <formula>9999</formula>
    </cfRule>
  </conditionalFormatting>
  <conditionalFormatting sqref="I821">
    <cfRule type="cellIs" dxfId="1267" priority="800" operator="between">
      <formula>K821</formula>
      <formula>9999</formula>
    </cfRule>
  </conditionalFormatting>
  <conditionalFormatting sqref="I822">
    <cfRule type="cellIs" dxfId="1266" priority="799" operator="between">
      <formula>K822</formula>
      <formula>9999</formula>
    </cfRule>
  </conditionalFormatting>
  <conditionalFormatting sqref="I823">
    <cfRule type="cellIs" dxfId="1265" priority="798" operator="between">
      <formula>K823</formula>
      <formula>9999</formula>
    </cfRule>
  </conditionalFormatting>
  <conditionalFormatting sqref="I824">
    <cfRule type="cellIs" dxfId="1264" priority="797" operator="between">
      <formula>K824</formula>
      <formula>9999</formula>
    </cfRule>
  </conditionalFormatting>
  <conditionalFormatting sqref="I825">
    <cfRule type="cellIs" dxfId="1263" priority="796" operator="between">
      <formula>K825</formula>
      <formula>9999</formula>
    </cfRule>
  </conditionalFormatting>
  <conditionalFormatting sqref="I826">
    <cfRule type="cellIs" dxfId="1262" priority="795" operator="between">
      <formula>K826</formula>
      <formula>9999</formula>
    </cfRule>
  </conditionalFormatting>
  <conditionalFormatting sqref="I827">
    <cfRule type="cellIs" dxfId="1261" priority="794" operator="between">
      <formula>K827</formula>
      <formula>9999</formula>
    </cfRule>
  </conditionalFormatting>
  <conditionalFormatting sqref="I828">
    <cfRule type="cellIs" dxfId="1260" priority="793" operator="between">
      <formula>K828</formula>
      <formula>9999</formula>
    </cfRule>
  </conditionalFormatting>
  <conditionalFormatting sqref="I829">
    <cfRule type="cellIs" dxfId="1259" priority="792" operator="between">
      <formula>K829</formula>
      <formula>9999</formula>
    </cfRule>
  </conditionalFormatting>
  <conditionalFormatting sqref="I830">
    <cfRule type="cellIs" dxfId="1258" priority="791" operator="between">
      <formula>K830</formula>
      <formula>9999</formula>
    </cfRule>
  </conditionalFormatting>
  <conditionalFormatting sqref="I831">
    <cfRule type="cellIs" dxfId="1257" priority="790" operator="between">
      <formula>K831</formula>
      <formula>9999</formula>
    </cfRule>
  </conditionalFormatting>
  <conditionalFormatting sqref="I832">
    <cfRule type="cellIs" dxfId="1256" priority="789" operator="between">
      <formula>K832</formula>
      <formula>9999</formula>
    </cfRule>
  </conditionalFormatting>
  <conditionalFormatting sqref="I833">
    <cfRule type="cellIs" dxfId="1255" priority="788" operator="between">
      <formula>K833</formula>
      <formula>9999</formula>
    </cfRule>
  </conditionalFormatting>
  <conditionalFormatting sqref="I834">
    <cfRule type="cellIs" dxfId="1254" priority="787" operator="between">
      <formula>K834</formula>
      <formula>9999</formula>
    </cfRule>
  </conditionalFormatting>
  <conditionalFormatting sqref="I835">
    <cfRule type="cellIs" dxfId="1253" priority="786" operator="between">
      <formula>K835</formula>
      <formula>9999</formula>
    </cfRule>
  </conditionalFormatting>
  <conditionalFormatting sqref="I836">
    <cfRule type="cellIs" dxfId="1252" priority="785" operator="between">
      <formula>K836</formula>
      <formula>9999</formula>
    </cfRule>
  </conditionalFormatting>
  <conditionalFormatting sqref="I837">
    <cfRule type="cellIs" dxfId="1251" priority="784" operator="between">
      <formula>K837</formula>
      <formula>9999</formula>
    </cfRule>
  </conditionalFormatting>
  <conditionalFormatting sqref="I839">
    <cfRule type="cellIs" dxfId="1250" priority="783" operator="between">
      <formula>K839</formula>
      <formula>9999</formula>
    </cfRule>
  </conditionalFormatting>
  <conditionalFormatting sqref="I858">
    <cfRule type="cellIs" dxfId="1249" priority="782" operator="between">
      <formula>K858</formula>
      <formula>9999</formula>
    </cfRule>
  </conditionalFormatting>
  <conditionalFormatting sqref="H669:H671">
    <cfRule type="cellIs" dxfId="1248" priority="781" operator="between">
      <formula>J669</formula>
      <formula>9999</formula>
    </cfRule>
  </conditionalFormatting>
  <conditionalFormatting sqref="H885">
    <cfRule type="cellIs" dxfId="1247" priority="780" operator="between">
      <formula>J885</formula>
      <formula>9999</formula>
    </cfRule>
  </conditionalFormatting>
  <conditionalFormatting sqref="H886">
    <cfRule type="cellIs" dxfId="1246" priority="779" operator="between">
      <formula>J886</formula>
      <formula>9999</formula>
    </cfRule>
  </conditionalFormatting>
  <conditionalFormatting sqref="H887">
    <cfRule type="cellIs" dxfId="1245" priority="778" operator="between">
      <formula>J887</formula>
      <formula>9999</formula>
    </cfRule>
  </conditionalFormatting>
  <conditionalFormatting sqref="H891">
    <cfRule type="cellIs" dxfId="1244" priority="777" operator="between">
      <formula>J891</formula>
      <formula>9999</formula>
    </cfRule>
  </conditionalFormatting>
  <conditionalFormatting sqref="H892">
    <cfRule type="cellIs" dxfId="1243" priority="776" operator="between">
      <formula>J892</formula>
      <formula>9999</formula>
    </cfRule>
  </conditionalFormatting>
  <conditionalFormatting sqref="H893">
    <cfRule type="cellIs" dxfId="1242" priority="775" operator="between">
      <formula>J893</formula>
      <formula>9999</formula>
    </cfRule>
  </conditionalFormatting>
  <conditionalFormatting sqref="H894">
    <cfRule type="cellIs" dxfId="1241" priority="774" operator="between">
      <formula>J894</formula>
      <formula>9999</formula>
    </cfRule>
  </conditionalFormatting>
  <conditionalFormatting sqref="H895">
    <cfRule type="cellIs" dxfId="1240" priority="773" operator="between">
      <formula>J895</formula>
      <formula>9999</formula>
    </cfRule>
  </conditionalFormatting>
  <conditionalFormatting sqref="H896">
    <cfRule type="cellIs" dxfId="1239" priority="772" operator="between">
      <formula>J896</formula>
      <formula>9999</formula>
    </cfRule>
  </conditionalFormatting>
  <conditionalFormatting sqref="I906">
    <cfRule type="cellIs" dxfId="1238" priority="771" operator="between">
      <formula>K906</formula>
      <formula>9999</formula>
    </cfRule>
  </conditionalFormatting>
  <conditionalFormatting sqref="I907">
    <cfRule type="cellIs" dxfId="1237" priority="770" operator="between">
      <formula>K907</formula>
      <formula>9999</formula>
    </cfRule>
  </conditionalFormatting>
  <conditionalFormatting sqref="I908">
    <cfRule type="cellIs" dxfId="1236" priority="769" operator="between">
      <formula>K908</formula>
      <formula>9999</formula>
    </cfRule>
  </conditionalFormatting>
  <conditionalFormatting sqref="I909">
    <cfRule type="cellIs" dxfId="1235" priority="768" operator="between">
      <formula>K909</formula>
      <formula>9999</formula>
    </cfRule>
  </conditionalFormatting>
  <conditionalFormatting sqref="I910">
    <cfRule type="cellIs" dxfId="1234" priority="767" operator="between">
      <formula>K910</formula>
      <formula>9999</formula>
    </cfRule>
  </conditionalFormatting>
  <conditionalFormatting sqref="I911">
    <cfRule type="cellIs" dxfId="1233" priority="766" operator="between">
      <formula>K911</formula>
      <formula>9999</formula>
    </cfRule>
  </conditionalFormatting>
  <conditionalFormatting sqref="I912">
    <cfRule type="cellIs" dxfId="1232" priority="765" operator="between">
      <formula>K912</formula>
      <formula>9999</formula>
    </cfRule>
  </conditionalFormatting>
  <conditionalFormatting sqref="I913">
    <cfRule type="cellIs" dxfId="1231" priority="764" operator="between">
      <formula>K913</formula>
      <formula>9999</formula>
    </cfRule>
  </conditionalFormatting>
  <conditionalFormatting sqref="I914">
    <cfRule type="cellIs" dxfId="1230" priority="763" operator="between">
      <formula>K914</formula>
      <formula>9999</formula>
    </cfRule>
  </conditionalFormatting>
  <conditionalFormatting sqref="I915">
    <cfRule type="cellIs" dxfId="1229" priority="762" operator="between">
      <formula>K915</formula>
      <formula>9999</formula>
    </cfRule>
  </conditionalFormatting>
  <conditionalFormatting sqref="I916">
    <cfRule type="cellIs" dxfId="1228" priority="761" operator="between">
      <formula>K916</formula>
      <formula>9999</formula>
    </cfRule>
  </conditionalFormatting>
  <conditionalFormatting sqref="I917">
    <cfRule type="cellIs" dxfId="1227" priority="760" operator="between">
      <formula>K917</formula>
      <formula>9999</formula>
    </cfRule>
  </conditionalFormatting>
  <conditionalFormatting sqref="I918">
    <cfRule type="cellIs" dxfId="1226" priority="759" operator="between">
      <formula>K918</formula>
      <formula>9999</formula>
    </cfRule>
  </conditionalFormatting>
  <conditionalFormatting sqref="I919">
    <cfRule type="cellIs" dxfId="1225" priority="758" operator="between">
      <formula>K919</formula>
      <formula>9999</formula>
    </cfRule>
  </conditionalFormatting>
  <conditionalFormatting sqref="I920">
    <cfRule type="cellIs" dxfId="1224" priority="757" operator="between">
      <formula>K920</formula>
      <formula>9999</formula>
    </cfRule>
  </conditionalFormatting>
  <conditionalFormatting sqref="I921">
    <cfRule type="cellIs" dxfId="1223" priority="756" operator="between">
      <formula>K921</formula>
      <formula>9999</formula>
    </cfRule>
  </conditionalFormatting>
  <conditionalFormatting sqref="I922">
    <cfRule type="cellIs" dxfId="1222" priority="755" operator="between">
      <formula>K922</formula>
      <formula>9999</formula>
    </cfRule>
  </conditionalFormatting>
  <conditionalFormatting sqref="I923">
    <cfRule type="cellIs" dxfId="1221" priority="754" operator="between">
      <formula>K923</formula>
      <formula>9999</formula>
    </cfRule>
  </conditionalFormatting>
  <conditionalFormatting sqref="I925">
    <cfRule type="cellIs" dxfId="1220" priority="753" operator="between">
      <formula>K925</formula>
      <formula>9999</formula>
    </cfRule>
  </conditionalFormatting>
  <conditionalFormatting sqref="I926">
    <cfRule type="cellIs" dxfId="1219" priority="752" operator="between">
      <formula>K926</formula>
      <formula>9999</formula>
    </cfRule>
  </conditionalFormatting>
  <conditionalFormatting sqref="I927">
    <cfRule type="cellIs" dxfId="1218" priority="751" operator="between">
      <formula>K927</formula>
      <formula>9999</formula>
    </cfRule>
  </conditionalFormatting>
  <conditionalFormatting sqref="I928">
    <cfRule type="cellIs" dxfId="1217" priority="750" operator="between">
      <formula>K928</formula>
      <formula>9999</formula>
    </cfRule>
  </conditionalFormatting>
  <conditionalFormatting sqref="I929">
    <cfRule type="cellIs" dxfId="1216" priority="749" operator="between">
      <formula>K929</formula>
      <formula>9999</formula>
    </cfRule>
  </conditionalFormatting>
  <conditionalFormatting sqref="I930">
    <cfRule type="cellIs" dxfId="1215" priority="748" operator="between">
      <formula>K930</formula>
      <formula>9999</formula>
    </cfRule>
  </conditionalFormatting>
  <conditionalFormatting sqref="I931">
    <cfRule type="cellIs" dxfId="1214" priority="747" operator="between">
      <formula>K931</formula>
      <formula>9999</formula>
    </cfRule>
  </conditionalFormatting>
  <conditionalFormatting sqref="I932">
    <cfRule type="cellIs" dxfId="1213" priority="746" operator="between">
      <formula>K932</formula>
      <formula>9999</formula>
    </cfRule>
  </conditionalFormatting>
  <conditionalFormatting sqref="I933">
    <cfRule type="cellIs" dxfId="1212" priority="745" operator="between">
      <formula>K933</formula>
      <formula>9999</formula>
    </cfRule>
  </conditionalFormatting>
  <conditionalFormatting sqref="I934">
    <cfRule type="cellIs" dxfId="1211" priority="744" operator="between">
      <formula>K934</formula>
      <formula>9999</formula>
    </cfRule>
  </conditionalFormatting>
  <conditionalFormatting sqref="I935">
    <cfRule type="cellIs" dxfId="1210" priority="743" operator="between">
      <formula>K935</formula>
      <formula>9999</formula>
    </cfRule>
  </conditionalFormatting>
  <conditionalFormatting sqref="I936">
    <cfRule type="cellIs" dxfId="1209" priority="742" operator="between">
      <formula>K936</formula>
      <formula>9999</formula>
    </cfRule>
  </conditionalFormatting>
  <conditionalFormatting sqref="I937">
    <cfRule type="cellIs" dxfId="1208" priority="741" operator="between">
      <formula>K937</formula>
      <formula>9999</formula>
    </cfRule>
  </conditionalFormatting>
  <conditionalFormatting sqref="I938">
    <cfRule type="cellIs" dxfId="1207" priority="740" operator="between">
      <formula>K938</formula>
      <formula>9999</formula>
    </cfRule>
  </conditionalFormatting>
  <conditionalFormatting sqref="I939">
    <cfRule type="cellIs" dxfId="1206" priority="739" operator="between">
      <formula>K939</formula>
      <formula>9999</formula>
    </cfRule>
  </conditionalFormatting>
  <conditionalFormatting sqref="I940">
    <cfRule type="cellIs" dxfId="1205" priority="738" operator="between">
      <formula>K940</formula>
      <formula>9999</formula>
    </cfRule>
  </conditionalFormatting>
  <conditionalFormatting sqref="I941">
    <cfRule type="cellIs" dxfId="1204" priority="737" operator="between">
      <formula>K941</formula>
      <formula>9999</formula>
    </cfRule>
  </conditionalFormatting>
  <conditionalFormatting sqref="I942">
    <cfRule type="cellIs" dxfId="1203" priority="736" operator="between">
      <formula>K942</formula>
      <formula>9999</formula>
    </cfRule>
  </conditionalFormatting>
  <conditionalFormatting sqref="I944">
    <cfRule type="cellIs" dxfId="1202" priority="735" operator="between">
      <formula>K944</formula>
      <formula>9999</formula>
    </cfRule>
  </conditionalFormatting>
  <conditionalFormatting sqref="I945">
    <cfRule type="cellIs" dxfId="1201" priority="734" operator="between">
      <formula>K945</formula>
      <formula>9999</formula>
    </cfRule>
  </conditionalFormatting>
  <conditionalFormatting sqref="I946">
    <cfRule type="cellIs" dxfId="1200" priority="733" operator="between">
      <formula>K946</formula>
      <formula>9999</formula>
    </cfRule>
  </conditionalFormatting>
  <conditionalFormatting sqref="I947">
    <cfRule type="cellIs" dxfId="1199" priority="732" operator="between">
      <formula>K947</formula>
      <formula>9999</formula>
    </cfRule>
  </conditionalFormatting>
  <conditionalFormatting sqref="I948">
    <cfRule type="cellIs" dxfId="1198" priority="731" operator="between">
      <formula>K948</formula>
      <formula>9999</formula>
    </cfRule>
  </conditionalFormatting>
  <conditionalFormatting sqref="I949">
    <cfRule type="cellIs" dxfId="1197" priority="730" operator="between">
      <formula>K949</formula>
      <formula>9999</formula>
    </cfRule>
  </conditionalFormatting>
  <conditionalFormatting sqref="I950">
    <cfRule type="cellIs" dxfId="1196" priority="729" operator="between">
      <formula>K950</formula>
      <formula>9999</formula>
    </cfRule>
  </conditionalFormatting>
  <conditionalFormatting sqref="I951">
    <cfRule type="cellIs" dxfId="1195" priority="728" operator="between">
      <formula>K951</formula>
      <formula>9999</formula>
    </cfRule>
  </conditionalFormatting>
  <conditionalFormatting sqref="I952">
    <cfRule type="cellIs" dxfId="1194" priority="727" operator="between">
      <formula>K952</formula>
      <formula>9999</formula>
    </cfRule>
  </conditionalFormatting>
  <conditionalFormatting sqref="I953">
    <cfRule type="cellIs" dxfId="1193" priority="726" operator="between">
      <formula>K953</formula>
      <formula>9999</formula>
    </cfRule>
  </conditionalFormatting>
  <conditionalFormatting sqref="I954">
    <cfRule type="cellIs" dxfId="1192" priority="725" operator="between">
      <formula>K954</formula>
      <formula>9999</formula>
    </cfRule>
  </conditionalFormatting>
  <conditionalFormatting sqref="I955">
    <cfRule type="cellIs" dxfId="1191" priority="724" operator="between">
      <formula>K955</formula>
      <formula>9999</formula>
    </cfRule>
  </conditionalFormatting>
  <conditionalFormatting sqref="I956">
    <cfRule type="cellIs" dxfId="1190" priority="723" operator="between">
      <formula>K956</formula>
      <formula>9999</formula>
    </cfRule>
  </conditionalFormatting>
  <conditionalFormatting sqref="I957">
    <cfRule type="cellIs" dxfId="1189" priority="722" operator="between">
      <formula>K957</formula>
      <formula>9999</formula>
    </cfRule>
  </conditionalFormatting>
  <conditionalFormatting sqref="I958">
    <cfRule type="cellIs" dxfId="1188" priority="721" operator="between">
      <formula>K958</formula>
      <formula>9999</formula>
    </cfRule>
  </conditionalFormatting>
  <conditionalFormatting sqref="I959">
    <cfRule type="cellIs" dxfId="1187" priority="720" operator="between">
      <formula>K959</formula>
      <formula>9999</formula>
    </cfRule>
  </conditionalFormatting>
  <conditionalFormatting sqref="I960">
    <cfRule type="cellIs" dxfId="1186" priority="719" operator="between">
      <formula>K960</formula>
      <formula>9999</formula>
    </cfRule>
  </conditionalFormatting>
  <conditionalFormatting sqref="I961">
    <cfRule type="cellIs" dxfId="1185" priority="718" operator="between">
      <formula>K961</formula>
      <formula>9999</formula>
    </cfRule>
  </conditionalFormatting>
  <conditionalFormatting sqref="I963">
    <cfRule type="cellIs" dxfId="1184" priority="717" operator="between">
      <formula>K963</formula>
      <formula>9999</formula>
    </cfRule>
  </conditionalFormatting>
  <conditionalFormatting sqref="I964">
    <cfRule type="cellIs" dxfId="1183" priority="716" operator="between">
      <formula>K964</formula>
      <formula>9999</formula>
    </cfRule>
  </conditionalFormatting>
  <conditionalFormatting sqref="I965">
    <cfRule type="cellIs" dxfId="1182" priority="715" operator="between">
      <formula>K965</formula>
      <formula>9999</formula>
    </cfRule>
  </conditionalFormatting>
  <conditionalFormatting sqref="I966">
    <cfRule type="cellIs" dxfId="1181" priority="714" operator="between">
      <formula>K966</formula>
      <formula>9999</formula>
    </cfRule>
  </conditionalFormatting>
  <conditionalFormatting sqref="I967">
    <cfRule type="cellIs" dxfId="1180" priority="713" operator="between">
      <formula>K967</formula>
      <formula>9999</formula>
    </cfRule>
  </conditionalFormatting>
  <conditionalFormatting sqref="I968">
    <cfRule type="cellIs" dxfId="1179" priority="712" operator="between">
      <formula>K968</formula>
      <formula>9999</formula>
    </cfRule>
  </conditionalFormatting>
  <conditionalFormatting sqref="I969">
    <cfRule type="cellIs" dxfId="1178" priority="711" operator="between">
      <formula>K969</formula>
      <formula>9999</formula>
    </cfRule>
  </conditionalFormatting>
  <conditionalFormatting sqref="I970">
    <cfRule type="cellIs" dxfId="1177" priority="710" operator="between">
      <formula>K970</formula>
      <formula>9999</formula>
    </cfRule>
  </conditionalFormatting>
  <conditionalFormatting sqref="I971">
    <cfRule type="cellIs" dxfId="1176" priority="709" operator="between">
      <formula>K971</formula>
      <formula>9999</formula>
    </cfRule>
  </conditionalFormatting>
  <conditionalFormatting sqref="I972">
    <cfRule type="cellIs" dxfId="1175" priority="708" operator="between">
      <formula>K972</formula>
      <formula>9999</formula>
    </cfRule>
  </conditionalFormatting>
  <conditionalFormatting sqref="I973">
    <cfRule type="cellIs" dxfId="1174" priority="707" operator="between">
      <formula>K973</formula>
      <formula>9999</formula>
    </cfRule>
  </conditionalFormatting>
  <conditionalFormatting sqref="I974">
    <cfRule type="cellIs" dxfId="1173" priority="706" operator="between">
      <formula>K974</formula>
      <formula>9999</formula>
    </cfRule>
  </conditionalFormatting>
  <conditionalFormatting sqref="I975">
    <cfRule type="cellIs" dxfId="1172" priority="705" operator="between">
      <formula>K975</formula>
      <formula>9999</formula>
    </cfRule>
  </conditionalFormatting>
  <conditionalFormatting sqref="I976">
    <cfRule type="cellIs" dxfId="1171" priority="704" operator="between">
      <formula>K976</formula>
      <formula>9999</formula>
    </cfRule>
  </conditionalFormatting>
  <conditionalFormatting sqref="I977">
    <cfRule type="cellIs" dxfId="1170" priority="703" operator="between">
      <formula>K977</formula>
      <formula>9999</formula>
    </cfRule>
  </conditionalFormatting>
  <conditionalFormatting sqref="I978">
    <cfRule type="cellIs" dxfId="1169" priority="702" operator="between">
      <formula>K978</formula>
      <formula>9999</formula>
    </cfRule>
  </conditionalFormatting>
  <conditionalFormatting sqref="I979">
    <cfRule type="cellIs" dxfId="1168" priority="701" operator="between">
      <formula>K979</formula>
      <formula>9999</formula>
    </cfRule>
  </conditionalFormatting>
  <conditionalFormatting sqref="I980">
    <cfRule type="cellIs" dxfId="1167" priority="700" operator="between">
      <formula>K980</formula>
      <formula>9999</formula>
    </cfRule>
  </conditionalFormatting>
  <conditionalFormatting sqref="I982">
    <cfRule type="cellIs" dxfId="1166" priority="699" operator="between">
      <formula>K982</formula>
      <formula>9999</formula>
    </cfRule>
  </conditionalFormatting>
  <conditionalFormatting sqref="I983">
    <cfRule type="cellIs" dxfId="1165" priority="698" operator="between">
      <formula>K983</formula>
      <formula>9999</formula>
    </cfRule>
  </conditionalFormatting>
  <conditionalFormatting sqref="I984">
    <cfRule type="cellIs" dxfId="1164" priority="697" operator="between">
      <formula>K984</formula>
      <formula>9999</formula>
    </cfRule>
  </conditionalFormatting>
  <conditionalFormatting sqref="I985">
    <cfRule type="cellIs" dxfId="1163" priority="696" operator="between">
      <formula>K985</formula>
      <formula>9999</formula>
    </cfRule>
  </conditionalFormatting>
  <conditionalFormatting sqref="I986">
    <cfRule type="cellIs" dxfId="1162" priority="695" operator="between">
      <formula>K986</formula>
      <formula>9999</formula>
    </cfRule>
  </conditionalFormatting>
  <conditionalFormatting sqref="I987">
    <cfRule type="cellIs" dxfId="1161" priority="694" operator="between">
      <formula>K987</formula>
      <formula>9999</formula>
    </cfRule>
  </conditionalFormatting>
  <conditionalFormatting sqref="I988">
    <cfRule type="cellIs" dxfId="1160" priority="693" operator="between">
      <formula>K988</formula>
      <formula>9999</formula>
    </cfRule>
  </conditionalFormatting>
  <conditionalFormatting sqref="I989">
    <cfRule type="cellIs" dxfId="1159" priority="692" operator="between">
      <formula>K989</formula>
      <formula>9999</formula>
    </cfRule>
  </conditionalFormatting>
  <conditionalFormatting sqref="I990">
    <cfRule type="cellIs" dxfId="1158" priority="691" operator="between">
      <formula>K990</formula>
      <formula>9999</formula>
    </cfRule>
  </conditionalFormatting>
  <conditionalFormatting sqref="I991">
    <cfRule type="cellIs" dxfId="1157" priority="690" operator="between">
      <formula>K991</formula>
      <formula>9999</formula>
    </cfRule>
  </conditionalFormatting>
  <conditionalFormatting sqref="I992">
    <cfRule type="cellIs" dxfId="1156" priority="689" operator="between">
      <formula>K992</formula>
      <formula>9999</formula>
    </cfRule>
  </conditionalFormatting>
  <conditionalFormatting sqref="I993">
    <cfRule type="cellIs" dxfId="1155" priority="688" operator="between">
      <formula>K993</formula>
      <formula>9999</formula>
    </cfRule>
  </conditionalFormatting>
  <conditionalFormatting sqref="I994">
    <cfRule type="cellIs" dxfId="1154" priority="687" operator="between">
      <formula>K994</formula>
      <formula>9999</formula>
    </cfRule>
  </conditionalFormatting>
  <conditionalFormatting sqref="I995">
    <cfRule type="cellIs" dxfId="1153" priority="686" operator="between">
      <formula>K995</formula>
      <formula>9999</formula>
    </cfRule>
  </conditionalFormatting>
  <conditionalFormatting sqref="I996">
    <cfRule type="cellIs" dxfId="1152" priority="685" operator="between">
      <formula>K996</formula>
      <formula>9999</formula>
    </cfRule>
  </conditionalFormatting>
  <conditionalFormatting sqref="I997">
    <cfRule type="cellIs" dxfId="1151" priority="684" operator="between">
      <formula>K997</formula>
      <formula>9999</formula>
    </cfRule>
  </conditionalFormatting>
  <conditionalFormatting sqref="I998">
    <cfRule type="cellIs" dxfId="1150" priority="683" operator="between">
      <formula>K998</formula>
      <formula>9999</formula>
    </cfRule>
  </conditionalFormatting>
  <conditionalFormatting sqref="I999">
    <cfRule type="cellIs" dxfId="1149" priority="682" operator="between">
      <formula>K999</formula>
      <formula>9999</formula>
    </cfRule>
  </conditionalFormatting>
  <conditionalFormatting sqref="I1001">
    <cfRule type="cellIs" dxfId="1148" priority="681" operator="between">
      <formula>K1001</formula>
      <formula>9999</formula>
    </cfRule>
  </conditionalFormatting>
  <conditionalFormatting sqref="I1002">
    <cfRule type="cellIs" dxfId="1147" priority="680" operator="between">
      <formula>K1002</formula>
      <formula>9999</formula>
    </cfRule>
  </conditionalFormatting>
  <conditionalFormatting sqref="I1003">
    <cfRule type="cellIs" dxfId="1146" priority="679" operator="between">
      <formula>K1003</formula>
      <formula>9999</formula>
    </cfRule>
  </conditionalFormatting>
  <conditionalFormatting sqref="I1004">
    <cfRule type="cellIs" dxfId="1145" priority="678" operator="between">
      <formula>K1004</formula>
      <formula>9999</formula>
    </cfRule>
  </conditionalFormatting>
  <conditionalFormatting sqref="I1005">
    <cfRule type="cellIs" dxfId="1144" priority="677" operator="between">
      <formula>K1005</formula>
      <formula>9999</formula>
    </cfRule>
  </conditionalFormatting>
  <conditionalFormatting sqref="I1006">
    <cfRule type="cellIs" dxfId="1143" priority="676" operator="between">
      <formula>K1006</formula>
      <formula>9999</formula>
    </cfRule>
  </conditionalFormatting>
  <conditionalFormatting sqref="I1007">
    <cfRule type="cellIs" dxfId="1142" priority="675" operator="between">
      <formula>K1007</formula>
      <formula>9999</formula>
    </cfRule>
  </conditionalFormatting>
  <conditionalFormatting sqref="I1008">
    <cfRule type="cellIs" dxfId="1141" priority="674" operator="between">
      <formula>K1008</formula>
      <formula>9999</formula>
    </cfRule>
  </conditionalFormatting>
  <conditionalFormatting sqref="I1009">
    <cfRule type="cellIs" dxfId="1140" priority="673" operator="between">
      <formula>K1009</formula>
      <formula>9999</formula>
    </cfRule>
  </conditionalFormatting>
  <conditionalFormatting sqref="I1010">
    <cfRule type="cellIs" dxfId="1139" priority="672" operator="between">
      <formula>K1010</formula>
      <formula>9999</formula>
    </cfRule>
  </conditionalFormatting>
  <conditionalFormatting sqref="I1011">
    <cfRule type="cellIs" dxfId="1138" priority="671" operator="between">
      <formula>K1011</formula>
      <formula>9999</formula>
    </cfRule>
  </conditionalFormatting>
  <conditionalFormatting sqref="I1012">
    <cfRule type="cellIs" dxfId="1137" priority="670" operator="between">
      <formula>K1012</formula>
      <formula>9999</formula>
    </cfRule>
  </conditionalFormatting>
  <conditionalFormatting sqref="I1013">
    <cfRule type="cellIs" dxfId="1136" priority="669" operator="between">
      <formula>K1013</formula>
      <formula>9999</formula>
    </cfRule>
  </conditionalFormatting>
  <conditionalFormatting sqref="I1014">
    <cfRule type="cellIs" dxfId="1135" priority="668" operator="between">
      <formula>K1014</formula>
      <formula>9999</formula>
    </cfRule>
  </conditionalFormatting>
  <conditionalFormatting sqref="I1015">
    <cfRule type="cellIs" dxfId="1134" priority="667" operator="between">
      <formula>K1015</formula>
      <formula>9999</formula>
    </cfRule>
  </conditionalFormatting>
  <conditionalFormatting sqref="I1016">
    <cfRule type="cellIs" dxfId="1133" priority="666" operator="between">
      <formula>K1016</formula>
      <formula>9999</formula>
    </cfRule>
  </conditionalFormatting>
  <conditionalFormatting sqref="I1017">
    <cfRule type="cellIs" dxfId="1132" priority="665" operator="between">
      <formula>K1017</formula>
      <formula>9999</formula>
    </cfRule>
  </conditionalFormatting>
  <conditionalFormatting sqref="I1018">
    <cfRule type="cellIs" dxfId="1131" priority="664" operator="between">
      <formula>K1018</formula>
      <formula>9999</formula>
    </cfRule>
  </conditionalFormatting>
  <conditionalFormatting sqref="I1020">
    <cfRule type="cellIs" dxfId="1130" priority="663" operator="between">
      <formula>K1020</formula>
      <formula>9999</formula>
    </cfRule>
  </conditionalFormatting>
  <conditionalFormatting sqref="I1021">
    <cfRule type="cellIs" dxfId="1129" priority="662" operator="between">
      <formula>K1021</formula>
      <formula>9999</formula>
    </cfRule>
  </conditionalFormatting>
  <conditionalFormatting sqref="I1022">
    <cfRule type="cellIs" dxfId="1128" priority="661" operator="between">
      <formula>K1022</formula>
      <formula>9999</formula>
    </cfRule>
  </conditionalFormatting>
  <conditionalFormatting sqref="I1023">
    <cfRule type="cellIs" dxfId="1127" priority="660" operator="between">
      <formula>K1023</formula>
      <formula>9999</formula>
    </cfRule>
  </conditionalFormatting>
  <conditionalFormatting sqref="I1024">
    <cfRule type="cellIs" dxfId="1126" priority="659" operator="between">
      <formula>K1024</formula>
      <formula>9999</formula>
    </cfRule>
  </conditionalFormatting>
  <conditionalFormatting sqref="I1025">
    <cfRule type="cellIs" dxfId="1125" priority="658" operator="between">
      <formula>K1025</formula>
      <formula>9999</formula>
    </cfRule>
  </conditionalFormatting>
  <conditionalFormatting sqref="I1026">
    <cfRule type="cellIs" dxfId="1124" priority="657" operator="between">
      <formula>K1026</formula>
      <formula>9999</formula>
    </cfRule>
  </conditionalFormatting>
  <conditionalFormatting sqref="I1027">
    <cfRule type="cellIs" dxfId="1123" priority="656" operator="between">
      <formula>K1027</formula>
      <formula>9999</formula>
    </cfRule>
  </conditionalFormatting>
  <conditionalFormatting sqref="I1028">
    <cfRule type="cellIs" dxfId="1122" priority="655" operator="between">
      <formula>K1028</formula>
      <formula>9999</formula>
    </cfRule>
  </conditionalFormatting>
  <conditionalFormatting sqref="I1029">
    <cfRule type="cellIs" dxfId="1121" priority="654" operator="between">
      <formula>K1029</formula>
      <formula>9999</formula>
    </cfRule>
  </conditionalFormatting>
  <conditionalFormatting sqref="I1030">
    <cfRule type="cellIs" dxfId="1120" priority="653" operator="between">
      <formula>K1030</formula>
      <formula>9999</formula>
    </cfRule>
  </conditionalFormatting>
  <conditionalFormatting sqref="I1031">
    <cfRule type="cellIs" dxfId="1119" priority="652" operator="between">
      <formula>K1031</formula>
      <formula>9999</formula>
    </cfRule>
  </conditionalFormatting>
  <conditionalFormatting sqref="I1032">
    <cfRule type="cellIs" dxfId="1118" priority="651" operator="between">
      <formula>K1032</formula>
      <formula>9999</formula>
    </cfRule>
  </conditionalFormatting>
  <conditionalFormatting sqref="I1033">
    <cfRule type="cellIs" dxfId="1117" priority="650" operator="between">
      <formula>K1033</formula>
      <formula>9999</formula>
    </cfRule>
  </conditionalFormatting>
  <conditionalFormatting sqref="I1034">
    <cfRule type="cellIs" dxfId="1116" priority="649" operator="between">
      <formula>K1034</formula>
      <formula>9999</formula>
    </cfRule>
  </conditionalFormatting>
  <conditionalFormatting sqref="I1035">
    <cfRule type="cellIs" dxfId="1115" priority="648" operator="between">
      <formula>K1035</formula>
      <formula>9999</formula>
    </cfRule>
  </conditionalFormatting>
  <conditionalFormatting sqref="I1036">
    <cfRule type="cellIs" dxfId="1114" priority="647" operator="between">
      <formula>K1036</formula>
      <formula>9999</formula>
    </cfRule>
  </conditionalFormatting>
  <conditionalFormatting sqref="I1037">
    <cfRule type="cellIs" dxfId="1113" priority="646" operator="between">
      <formula>K1037</formula>
      <formula>9999</formula>
    </cfRule>
  </conditionalFormatting>
  <conditionalFormatting sqref="I1039">
    <cfRule type="cellIs" dxfId="1112" priority="645" operator="between">
      <formula>K1039</formula>
      <formula>9999</formula>
    </cfRule>
  </conditionalFormatting>
  <conditionalFormatting sqref="I1040">
    <cfRule type="cellIs" dxfId="1111" priority="644" operator="between">
      <formula>K1040</formula>
      <formula>9999</formula>
    </cfRule>
  </conditionalFormatting>
  <conditionalFormatting sqref="I1041">
    <cfRule type="cellIs" dxfId="1110" priority="643" operator="between">
      <formula>K1041</formula>
      <formula>9999</formula>
    </cfRule>
  </conditionalFormatting>
  <conditionalFormatting sqref="I1042">
    <cfRule type="cellIs" dxfId="1109" priority="642" operator="between">
      <formula>K1042</formula>
      <formula>9999</formula>
    </cfRule>
  </conditionalFormatting>
  <conditionalFormatting sqref="I1043">
    <cfRule type="cellIs" dxfId="1108" priority="641" operator="between">
      <formula>K1043</formula>
      <formula>9999</formula>
    </cfRule>
  </conditionalFormatting>
  <conditionalFormatting sqref="I1044">
    <cfRule type="cellIs" dxfId="1107" priority="640" operator="between">
      <formula>K1044</formula>
      <formula>9999</formula>
    </cfRule>
  </conditionalFormatting>
  <conditionalFormatting sqref="I1045">
    <cfRule type="cellIs" dxfId="1106" priority="639" operator="between">
      <formula>K1045</formula>
      <formula>9999</formula>
    </cfRule>
  </conditionalFormatting>
  <conditionalFormatting sqref="I1046">
    <cfRule type="cellIs" dxfId="1105" priority="638" operator="between">
      <formula>K1046</formula>
      <formula>9999</formula>
    </cfRule>
  </conditionalFormatting>
  <conditionalFormatting sqref="I1047">
    <cfRule type="cellIs" dxfId="1104" priority="637" operator="between">
      <formula>K1047</formula>
      <formula>9999</formula>
    </cfRule>
  </conditionalFormatting>
  <conditionalFormatting sqref="I1048">
    <cfRule type="cellIs" dxfId="1103" priority="636" operator="between">
      <formula>K1048</formula>
      <formula>9999</formula>
    </cfRule>
  </conditionalFormatting>
  <conditionalFormatting sqref="I1049">
    <cfRule type="cellIs" dxfId="1102" priority="635" operator="between">
      <formula>K1049</formula>
      <formula>9999</formula>
    </cfRule>
  </conditionalFormatting>
  <conditionalFormatting sqref="I1050">
    <cfRule type="cellIs" dxfId="1101" priority="634" operator="between">
      <formula>K1050</formula>
      <formula>9999</formula>
    </cfRule>
  </conditionalFormatting>
  <conditionalFormatting sqref="I1051">
    <cfRule type="cellIs" dxfId="1100" priority="633" operator="between">
      <formula>K1051</formula>
      <formula>9999</formula>
    </cfRule>
  </conditionalFormatting>
  <conditionalFormatting sqref="I1052">
    <cfRule type="cellIs" dxfId="1099" priority="632" operator="between">
      <formula>K1052</formula>
      <formula>9999</formula>
    </cfRule>
  </conditionalFormatting>
  <conditionalFormatting sqref="I1053">
    <cfRule type="cellIs" dxfId="1098" priority="631" operator="between">
      <formula>K1053</formula>
      <formula>9999</formula>
    </cfRule>
  </conditionalFormatting>
  <conditionalFormatting sqref="I1054">
    <cfRule type="cellIs" dxfId="1097" priority="630" operator="between">
      <formula>K1054</formula>
      <formula>9999</formula>
    </cfRule>
  </conditionalFormatting>
  <conditionalFormatting sqref="I1055">
    <cfRule type="cellIs" dxfId="1096" priority="629" operator="between">
      <formula>K1055</formula>
      <formula>9999</formula>
    </cfRule>
  </conditionalFormatting>
  <conditionalFormatting sqref="I1056">
    <cfRule type="cellIs" dxfId="1095" priority="628" operator="between">
      <formula>K1056</formula>
      <formula>9999</formula>
    </cfRule>
  </conditionalFormatting>
  <conditionalFormatting sqref="I1058">
    <cfRule type="cellIs" dxfId="1094" priority="627" operator="between">
      <formula>K1058</formula>
      <formula>9999</formula>
    </cfRule>
  </conditionalFormatting>
  <conditionalFormatting sqref="I1077">
    <cfRule type="cellIs" dxfId="1093" priority="626" operator="between">
      <formula>K1077</formula>
      <formula>9999</formula>
    </cfRule>
  </conditionalFormatting>
  <conditionalFormatting sqref="H888:H890">
    <cfRule type="cellIs" dxfId="1092" priority="625" operator="between">
      <formula>J888</formula>
      <formula>9999</formula>
    </cfRule>
  </conditionalFormatting>
  <conditionalFormatting sqref="H1104">
    <cfRule type="cellIs" dxfId="1091" priority="624" operator="between">
      <formula>J1104</formula>
      <formula>9999</formula>
    </cfRule>
  </conditionalFormatting>
  <conditionalFormatting sqref="H1105">
    <cfRule type="cellIs" dxfId="1090" priority="623" operator="between">
      <formula>J1105</formula>
      <formula>9999</formula>
    </cfRule>
  </conditionalFormatting>
  <conditionalFormatting sqref="H1106">
    <cfRule type="cellIs" dxfId="1089" priority="622" operator="between">
      <formula>J1106</formula>
      <formula>9999</formula>
    </cfRule>
  </conditionalFormatting>
  <conditionalFormatting sqref="H1110">
    <cfRule type="cellIs" dxfId="1088" priority="621" operator="between">
      <formula>J1110</formula>
      <formula>9999</formula>
    </cfRule>
  </conditionalFormatting>
  <conditionalFormatting sqref="H1111">
    <cfRule type="cellIs" dxfId="1087" priority="620" operator="between">
      <formula>J1111</formula>
      <formula>9999</formula>
    </cfRule>
  </conditionalFormatting>
  <conditionalFormatting sqref="H1112">
    <cfRule type="cellIs" dxfId="1086" priority="619" operator="between">
      <formula>J1112</formula>
      <formula>9999</formula>
    </cfRule>
  </conditionalFormatting>
  <conditionalFormatting sqref="H1113">
    <cfRule type="cellIs" dxfId="1085" priority="618" operator="between">
      <formula>J1113</formula>
      <formula>9999</formula>
    </cfRule>
  </conditionalFormatting>
  <conditionalFormatting sqref="H1114">
    <cfRule type="cellIs" dxfId="1084" priority="617" operator="between">
      <formula>J1114</formula>
      <formula>9999</formula>
    </cfRule>
  </conditionalFormatting>
  <conditionalFormatting sqref="H1115">
    <cfRule type="cellIs" dxfId="1083" priority="616" operator="between">
      <formula>J1115</formula>
      <formula>9999</formula>
    </cfRule>
  </conditionalFormatting>
  <conditionalFormatting sqref="I1125">
    <cfRule type="cellIs" dxfId="1082" priority="615" operator="between">
      <formula>K1125</formula>
      <formula>9999</formula>
    </cfRule>
  </conditionalFormatting>
  <conditionalFormatting sqref="I1126">
    <cfRule type="cellIs" dxfId="1081" priority="614" operator="between">
      <formula>K1126</formula>
      <formula>9999</formula>
    </cfRule>
  </conditionalFormatting>
  <conditionalFormatting sqref="I1127">
    <cfRule type="cellIs" dxfId="1080" priority="613" operator="between">
      <formula>K1127</formula>
      <formula>9999</formula>
    </cfRule>
  </conditionalFormatting>
  <conditionalFormatting sqref="I1128">
    <cfRule type="cellIs" dxfId="1079" priority="612" operator="between">
      <formula>K1128</formula>
      <formula>9999</formula>
    </cfRule>
  </conditionalFormatting>
  <conditionalFormatting sqref="I1129">
    <cfRule type="cellIs" dxfId="1078" priority="611" operator="between">
      <formula>K1129</formula>
      <formula>9999</formula>
    </cfRule>
  </conditionalFormatting>
  <conditionalFormatting sqref="I1130">
    <cfRule type="cellIs" dxfId="1077" priority="610" operator="between">
      <formula>K1130</formula>
      <formula>9999</formula>
    </cfRule>
  </conditionalFormatting>
  <conditionalFormatting sqref="I1131">
    <cfRule type="cellIs" dxfId="1076" priority="609" operator="between">
      <formula>K1131</formula>
      <formula>9999</formula>
    </cfRule>
  </conditionalFormatting>
  <conditionalFormatting sqref="I1132">
    <cfRule type="cellIs" dxfId="1075" priority="608" operator="between">
      <formula>K1132</formula>
      <formula>9999</formula>
    </cfRule>
  </conditionalFormatting>
  <conditionalFormatting sqref="I1133">
    <cfRule type="cellIs" dxfId="1074" priority="607" operator="between">
      <formula>K1133</formula>
      <formula>9999</formula>
    </cfRule>
  </conditionalFormatting>
  <conditionalFormatting sqref="I1134">
    <cfRule type="cellIs" dxfId="1073" priority="606" operator="between">
      <formula>K1134</formula>
      <formula>9999</formula>
    </cfRule>
  </conditionalFormatting>
  <conditionalFormatting sqref="I1135">
    <cfRule type="cellIs" dxfId="1072" priority="605" operator="between">
      <formula>K1135</formula>
      <formula>9999</formula>
    </cfRule>
  </conditionalFormatting>
  <conditionalFormatting sqref="I1136">
    <cfRule type="cellIs" dxfId="1071" priority="604" operator="between">
      <formula>K1136</formula>
      <formula>9999</formula>
    </cfRule>
  </conditionalFormatting>
  <conditionalFormatting sqref="I1137">
    <cfRule type="cellIs" dxfId="1070" priority="603" operator="between">
      <formula>K1137</formula>
      <formula>9999</formula>
    </cfRule>
  </conditionalFormatting>
  <conditionalFormatting sqref="I1138">
    <cfRule type="cellIs" dxfId="1069" priority="602" operator="between">
      <formula>K1138</formula>
      <formula>9999</formula>
    </cfRule>
  </conditionalFormatting>
  <conditionalFormatting sqref="I1139">
    <cfRule type="cellIs" dxfId="1068" priority="601" operator="between">
      <formula>K1139</formula>
      <formula>9999</formula>
    </cfRule>
  </conditionalFormatting>
  <conditionalFormatting sqref="I1140">
    <cfRule type="cellIs" dxfId="1067" priority="600" operator="between">
      <formula>K1140</formula>
      <formula>9999</formula>
    </cfRule>
  </conditionalFormatting>
  <conditionalFormatting sqref="I1141">
    <cfRule type="cellIs" dxfId="1066" priority="599" operator="between">
      <formula>K1141</formula>
      <formula>9999</formula>
    </cfRule>
  </conditionalFormatting>
  <conditionalFormatting sqref="I1142">
    <cfRule type="cellIs" dxfId="1065" priority="598" operator="between">
      <formula>K1142</formula>
      <formula>9999</formula>
    </cfRule>
  </conditionalFormatting>
  <conditionalFormatting sqref="I1144">
    <cfRule type="cellIs" dxfId="1064" priority="597" operator="between">
      <formula>K1144</formula>
      <formula>9999</formula>
    </cfRule>
  </conditionalFormatting>
  <conditionalFormatting sqref="I1145">
    <cfRule type="cellIs" dxfId="1063" priority="596" operator="between">
      <formula>K1145</formula>
      <formula>9999</formula>
    </cfRule>
  </conditionalFormatting>
  <conditionalFormatting sqref="I1146">
    <cfRule type="cellIs" dxfId="1062" priority="595" operator="between">
      <formula>K1146</formula>
      <formula>9999</formula>
    </cfRule>
  </conditionalFormatting>
  <conditionalFormatting sqref="I1147">
    <cfRule type="cellIs" dxfId="1061" priority="594" operator="between">
      <formula>K1147</formula>
      <formula>9999</formula>
    </cfRule>
  </conditionalFormatting>
  <conditionalFormatting sqref="I1148">
    <cfRule type="cellIs" dxfId="1060" priority="593" operator="between">
      <formula>K1148</formula>
      <formula>9999</formula>
    </cfRule>
  </conditionalFormatting>
  <conditionalFormatting sqref="I1149">
    <cfRule type="cellIs" dxfId="1059" priority="592" operator="between">
      <formula>K1149</formula>
      <formula>9999</formula>
    </cfRule>
  </conditionalFormatting>
  <conditionalFormatting sqref="I1150">
    <cfRule type="cellIs" dxfId="1058" priority="591" operator="between">
      <formula>K1150</formula>
      <formula>9999</formula>
    </cfRule>
  </conditionalFormatting>
  <conditionalFormatting sqref="I1151">
    <cfRule type="cellIs" dxfId="1057" priority="590" operator="between">
      <formula>K1151</formula>
      <formula>9999</formula>
    </cfRule>
  </conditionalFormatting>
  <conditionalFormatting sqref="I1152">
    <cfRule type="cellIs" dxfId="1056" priority="589" operator="between">
      <formula>K1152</formula>
      <formula>9999</formula>
    </cfRule>
  </conditionalFormatting>
  <conditionalFormatting sqref="I1153">
    <cfRule type="cellIs" dxfId="1055" priority="588" operator="between">
      <formula>K1153</formula>
      <formula>9999</formula>
    </cfRule>
  </conditionalFormatting>
  <conditionalFormatting sqref="I1154">
    <cfRule type="cellIs" dxfId="1054" priority="587" operator="between">
      <formula>K1154</formula>
      <formula>9999</formula>
    </cfRule>
  </conditionalFormatting>
  <conditionalFormatting sqref="I1155">
    <cfRule type="cellIs" dxfId="1053" priority="586" operator="between">
      <formula>K1155</formula>
      <formula>9999</formula>
    </cfRule>
  </conditionalFormatting>
  <conditionalFormatting sqref="I1156">
    <cfRule type="cellIs" dxfId="1052" priority="585" operator="between">
      <formula>K1156</formula>
      <formula>9999</formula>
    </cfRule>
  </conditionalFormatting>
  <conditionalFormatting sqref="I1157">
    <cfRule type="cellIs" dxfId="1051" priority="584" operator="between">
      <formula>K1157</formula>
      <formula>9999</formula>
    </cfRule>
  </conditionalFormatting>
  <conditionalFormatting sqref="I1158">
    <cfRule type="cellIs" dxfId="1050" priority="583" operator="between">
      <formula>K1158</formula>
      <formula>9999</formula>
    </cfRule>
  </conditionalFormatting>
  <conditionalFormatting sqref="I1159">
    <cfRule type="cellIs" dxfId="1049" priority="582" operator="between">
      <formula>K1159</formula>
      <formula>9999</formula>
    </cfRule>
  </conditionalFormatting>
  <conditionalFormatting sqref="I1160">
    <cfRule type="cellIs" dxfId="1048" priority="581" operator="between">
      <formula>K1160</formula>
      <formula>9999</formula>
    </cfRule>
  </conditionalFormatting>
  <conditionalFormatting sqref="I1161">
    <cfRule type="cellIs" dxfId="1047" priority="580" operator="between">
      <formula>K1161</formula>
      <formula>9999</formula>
    </cfRule>
  </conditionalFormatting>
  <conditionalFormatting sqref="I1163">
    <cfRule type="cellIs" dxfId="1046" priority="579" operator="between">
      <formula>K1163</formula>
      <formula>9999</formula>
    </cfRule>
  </conditionalFormatting>
  <conditionalFormatting sqref="I1164">
    <cfRule type="cellIs" dxfId="1045" priority="578" operator="between">
      <formula>K1164</formula>
      <formula>9999</formula>
    </cfRule>
  </conditionalFormatting>
  <conditionalFormatting sqref="I1165">
    <cfRule type="cellIs" dxfId="1044" priority="577" operator="between">
      <formula>K1165</formula>
      <formula>9999</formula>
    </cfRule>
  </conditionalFormatting>
  <conditionalFormatting sqref="I1166">
    <cfRule type="cellIs" dxfId="1043" priority="576" operator="between">
      <formula>K1166</formula>
      <formula>9999</formula>
    </cfRule>
  </conditionalFormatting>
  <conditionalFormatting sqref="I1167">
    <cfRule type="cellIs" dxfId="1042" priority="575" operator="between">
      <formula>K1167</formula>
      <formula>9999</formula>
    </cfRule>
  </conditionalFormatting>
  <conditionalFormatting sqref="I1168">
    <cfRule type="cellIs" dxfId="1041" priority="574" operator="between">
      <formula>K1168</formula>
      <formula>9999</formula>
    </cfRule>
  </conditionalFormatting>
  <conditionalFormatting sqref="I1169">
    <cfRule type="cellIs" dxfId="1040" priority="573" operator="between">
      <formula>K1169</formula>
      <formula>9999</formula>
    </cfRule>
  </conditionalFormatting>
  <conditionalFormatting sqref="I1170">
    <cfRule type="cellIs" dxfId="1039" priority="572" operator="between">
      <formula>K1170</formula>
      <formula>9999</formula>
    </cfRule>
  </conditionalFormatting>
  <conditionalFormatting sqref="I1171">
    <cfRule type="cellIs" dxfId="1038" priority="571" operator="between">
      <formula>K1171</formula>
      <formula>9999</formula>
    </cfRule>
  </conditionalFormatting>
  <conditionalFormatting sqref="I1172">
    <cfRule type="cellIs" dxfId="1037" priority="570" operator="between">
      <formula>K1172</formula>
      <formula>9999</formula>
    </cfRule>
  </conditionalFormatting>
  <conditionalFormatting sqref="I1173">
    <cfRule type="cellIs" dxfId="1036" priority="569" operator="between">
      <formula>K1173</formula>
      <formula>9999</formula>
    </cfRule>
  </conditionalFormatting>
  <conditionalFormatting sqref="I1174">
    <cfRule type="cellIs" dxfId="1035" priority="568" operator="between">
      <formula>K1174</formula>
      <formula>9999</formula>
    </cfRule>
  </conditionalFormatting>
  <conditionalFormatting sqref="I1175">
    <cfRule type="cellIs" dxfId="1034" priority="567" operator="between">
      <formula>K1175</formula>
      <formula>9999</formula>
    </cfRule>
  </conditionalFormatting>
  <conditionalFormatting sqref="I1176">
    <cfRule type="cellIs" dxfId="1033" priority="566" operator="between">
      <formula>K1176</formula>
      <formula>9999</formula>
    </cfRule>
  </conditionalFormatting>
  <conditionalFormatting sqref="I1177">
    <cfRule type="cellIs" dxfId="1032" priority="565" operator="between">
      <formula>K1177</formula>
      <formula>9999</formula>
    </cfRule>
  </conditionalFormatting>
  <conditionalFormatting sqref="I1178">
    <cfRule type="cellIs" dxfId="1031" priority="564" operator="between">
      <formula>K1178</formula>
      <formula>9999</formula>
    </cfRule>
  </conditionalFormatting>
  <conditionalFormatting sqref="I1179">
    <cfRule type="cellIs" dxfId="1030" priority="563" operator="between">
      <formula>K1179</formula>
      <formula>9999</formula>
    </cfRule>
  </conditionalFormatting>
  <conditionalFormatting sqref="I1180">
    <cfRule type="cellIs" dxfId="1029" priority="562" operator="between">
      <formula>K1180</formula>
      <formula>9999</formula>
    </cfRule>
  </conditionalFormatting>
  <conditionalFormatting sqref="I1182">
    <cfRule type="cellIs" dxfId="1028" priority="561" operator="between">
      <formula>K1182</formula>
      <formula>9999</formula>
    </cfRule>
  </conditionalFormatting>
  <conditionalFormatting sqref="I1183">
    <cfRule type="cellIs" dxfId="1027" priority="560" operator="between">
      <formula>K1183</formula>
      <formula>9999</formula>
    </cfRule>
  </conditionalFormatting>
  <conditionalFormatting sqref="I1184">
    <cfRule type="cellIs" dxfId="1026" priority="559" operator="between">
      <formula>K1184</formula>
      <formula>9999</formula>
    </cfRule>
  </conditionalFormatting>
  <conditionalFormatting sqref="I1185">
    <cfRule type="cellIs" dxfId="1025" priority="558" operator="between">
      <formula>K1185</formula>
      <formula>9999</formula>
    </cfRule>
  </conditionalFormatting>
  <conditionalFormatting sqref="I1186">
    <cfRule type="cellIs" dxfId="1024" priority="557" operator="between">
      <formula>K1186</formula>
      <formula>9999</formula>
    </cfRule>
  </conditionalFormatting>
  <conditionalFormatting sqref="I1187">
    <cfRule type="cellIs" dxfId="1023" priority="556" operator="between">
      <formula>K1187</formula>
      <formula>9999</formula>
    </cfRule>
  </conditionalFormatting>
  <conditionalFormatting sqref="I1188">
    <cfRule type="cellIs" dxfId="1022" priority="555" operator="between">
      <formula>K1188</formula>
      <formula>9999</formula>
    </cfRule>
  </conditionalFormatting>
  <conditionalFormatting sqref="I1189">
    <cfRule type="cellIs" dxfId="1021" priority="554" operator="between">
      <formula>K1189</formula>
      <formula>9999</formula>
    </cfRule>
  </conditionalFormatting>
  <conditionalFormatting sqref="I1190">
    <cfRule type="cellIs" dxfId="1020" priority="553" operator="between">
      <formula>K1190</formula>
      <formula>9999</formula>
    </cfRule>
  </conditionalFormatting>
  <conditionalFormatting sqref="I1191">
    <cfRule type="cellIs" dxfId="1019" priority="552" operator="between">
      <formula>K1191</formula>
      <formula>9999</formula>
    </cfRule>
  </conditionalFormatting>
  <conditionalFormatting sqref="I1192">
    <cfRule type="cellIs" dxfId="1018" priority="551" operator="between">
      <formula>K1192</formula>
      <formula>9999</formula>
    </cfRule>
  </conditionalFormatting>
  <conditionalFormatting sqref="I1193">
    <cfRule type="cellIs" dxfId="1017" priority="550" operator="between">
      <formula>K1193</formula>
      <formula>9999</formula>
    </cfRule>
  </conditionalFormatting>
  <conditionalFormatting sqref="I1194">
    <cfRule type="cellIs" dxfId="1016" priority="549" operator="between">
      <formula>K1194</formula>
      <formula>9999</formula>
    </cfRule>
  </conditionalFormatting>
  <conditionalFormatting sqref="I1195">
    <cfRule type="cellIs" dxfId="1015" priority="548" operator="between">
      <formula>K1195</formula>
      <formula>9999</formula>
    </cfRule>
  </conditionalFormatting>
  <conditionalFormatting sqref="I1196">
    <cfRule type="cellIs" dxfId="1014" priority="547" operator="between">
      <formula>K1196</formula>
      <formula>9999</formula>
    </cfRule>
  </conditionalFormatting>
  <conditionalFormatting sqref="I1197">
    <cfRule type="cellIs" dxfId="1013" priority="546" operator="between">
      <formula>K1197</formula>
      <formula>9999</formula>
    </cfRule>
  </conditionalFormatting>
  <conditionalFormatting sqref="I1198">
    <cfRule type="cellIs" dxfId="1012" priority="545" operator="between">
      <formula>K1198</formula>
      <formula>9999</formula>
    </cfRule>
  </conditionalFormatting>
  <conditionalFormatting sqref="I1199">
    <cfRule type="cellIs" dxfId="1011" priority="544" operator="between">
      <formula>K1199</formula>
      <formula>9999</formula>
    </cfRule>
  </conditionalFormatting>
  <conditionalFormatting sqref="I1201">
    <cfRule type="cellIs" dxfId="1010" priority="543" operator="between">
      <formula>K1201</formula>
      <formula>9999</formula>
    </cfRule>
  </conditionalFormatting>
  <conditionalFormatting sqref="I1202">
    <cfRule type="cellIs" dxfId="1009" priority="542" operator="between">
      <formula>K1202</formula>
      <formula>9999</formula>
    </cfRule>
  </conditionalFormatting>
  <conditionalFormatting sqref="I1203">
    <cfRule type="cellIs" dxfId="1008" priority="541" operator="between">
      <formula>K1203</formula>
      <formula>9999</formula>
    </cfRule>
  </conditionalFormatting>
  <conditionalFormatting sqref="I1204">
    <cfRule type="cellIs" dxfId="1007" priority="540" operator="between">
      <formula>K1204</formula>
      <formula>9999</formula>
    </cfRule>
  </conditionalFormatting>
  <conditionalFormatting sqref="I1205">
    <cfRule type="cellIs" dxfId="1006" priority="539" operator="between">
      <formula>K1205</formula>
      <formula>9999</formula>
    </cfRule>
  </conditionalFormatting>
  <conditionalFormatting sqref="I1206">
    <cfRule type="cellIs" dxfId="1005" priority="538" operator="between">
      <formula>K1206</formula>
      <formula>9999</formula>
    </cfRule>
  </conditionalFormatting>
  <conditionalFormatting sqref="I1207">
    <cfRule type="cellIs" dxfId="1004" priority="537" operator="between">
      <formula>K1207</formula>
      <formula>9999</formula>
    </cfRule>
  </conditionalFormatting>
  <conditionalFormatting sqref="I1208">
    <cfRule type="cellIs" dxfId="1003" priority="536" operator="between">
      <formula>K1208</formula>
      <formula>9999</formula>
    </cfRule>
  </conditionalFormatting>
  <conditionalFormatting sqref="I1209">
    <cfRule type="cellIs" dxfId="1002" priority="535" operator="between">
      <formula>K1209</formula>
      <formula>9999</formula>
    </cfRule>
  </conditionalFormatting>
  <conditionalFormatting sqref="I1210">
    <cfRule type="cellIs" dxfId="1001" priority="534" operator="between">
      <formula>K1210</formula>
      <formula>9999</formula>
    </cfRule>
  </conditionalFormatting>
  <conditionalFormatting sqref="I1211">
    <cfRule type="cellIs" dxfId="1000" priority="533" operator="between">
      <formula>K1211</formula>
      <formula>9999</formula>
    </cfRule>
  </conditionalFormatting>
  <conditionalFormatting sqref="I1212">
    <cfRule type="cellIs" dxfId="999" priority="532" operator="between">
      <formula>K1212</formula>
      <formula>9999</formula>
    </cfRule>
  </conditionalFormatting>
  <conditionalFormatting sqref="I1213">
    <cfRule type="cellIs" dxfId="998" priority="531" operator="between">
      <formula>K1213</formula>
      <formula>9999</formula>
    </cfRule>
  </conditionalFormatting>
  <conditionalFormatting sqref="I1214">
    <cfRule type="cellIs" dxfId="997" priority="530" operator="between">
      <formula>K1214</formula>
      <formula>9999</formula>
    </cfRule>
  </conditionalFormatting>
  <conditionalFormatting sqref="I1215">
    <cfRule type="cellIs" dxfId="996" priority="529" operator="between">
      <formula>K1215</formula>
      <formula>9999</formula>
    </cfRule>
  </conditionalFormatting>
  <conditionalFormatting sqref="I1216">
    <cfRule type="cellIs" dxfId="995" priority="528" operator="between">
      <formula>K1216</formula>
      <formula>9999</formula>
    </cfRule>
  </conditionalFormatting>
  <conditionalFormatting sqref="I1217">
    <cfRule type="cellIs" dxfId="994" priority="527" operator="between">
      <formula>K1217</formula>
      <formula>9999</formula>
    </cfRule>
  </conditionalFormatting>
  <conditionalFormatting sqref="I1218">
    <cfRule type="cellIs" dxfId="993" priority="526" operator="between">
      <formula>K1218</formula>
      <formula>9999</formula>
    </cfRule>
  </conditionalFormatting>
  <conditionalFormatting sqref="I1220">
    <cfRule type="cellIs" dxfId="992" priority="525" operator="between">
      <formula>K1220</formula>
      <formula>9999</formula>
    </cfRule>
  </conditionalFormatting>
  <conditionalFormatting sqref="I1221">
    <cfRule type="cellIs" dxfId="991" priority="524" operator="between">
      <formula>K1221</formula>
      <formula>9999</formula>
    </cfRule>
  </conditionalFormatting>
  <conditionalFormatting sqref="I1222">
    <cfRule type="cellIs" dxfId="990" priority="523" operator="between">
      <formula>K1222</formula>
      <formula>9999</formula>
    </cfRule>
  </conditionalFormatting>
  <conditionalFormatting sqref="I1223">
    <cfRule type="cellIs" dxfId="989" priority="522" operator="between">
      <formula>K1223</formula>
      <formula>9999</formula>
    </cfRule>
  </conditionalFormatting>
  <conditionalFormatting sqref="I1224">
    <cfRule type="cellIs" dxfId="988" priority="521" operator="between">
      <formula>K1224</formula>
      <formula>9999</formula>
    </cfRule>
  </conditionalFormatting>
  <conditionalFormatting sqref="I1225">
    <cfRule type="cellIs" dxfId="987" priority="520" operator="between">
      <formula>K1225</formula>
      <formula>9999</formula>
    </cfRule>
  </conditionalFormatting>
  <conditionalFormatting sqref="I1226">
    <cfRule type="cellIs" dxfId="986" priority="519" operator="between">
      <formula>K1226</formula>
      <formula>9999</formula>
    </cfRule>
  </conditionalFormatting>
  <conditionalFormatting sqref="I1227">
    <cfRule type="cellIs" dxfId="985" priority="518" operator="between">
      <formula>K1227</formula>
      <formula>9999</formula>
    </cfRule>
  </conditionalFormatting>
  <conditionalFormatting sqref="I1228">
    <cfRule type="cellIs" dxfId="984" priority="517" operator="between">
      <formula>K1228</formula>
      <formula>9999</formula>
    </cfRule>
  </conditionalFormatting>
  <conditionalFormatting sqref="I1229">
    <cfRule type="cellIs" dxfId="983" priority="516" operator="between">
      <formula>K1229</formula>
      <formula>9999</formula>
    </cfRule>
  </conditionalFormatting>
  <conditionalFormatting sqref="I1230">
    <cfRule type="cellIs" dxfId="982" priority="515" operator="between">
      <formula>K1230</formula>
      <formula>9999</formula>
    </cfRule>
  </conditionalFormatting>
  <conditionalFormatting sqref="I1231">
    <cfRule type="cellIs" dxfId="981" priority="514" operator="between">
      <formula>K1231</formula>
      <formula>9999</formula>
    </cfRule>
  </conditionalFormatting>
  <conditionalFormatting sqref="I1232">
    <cfRule type="cellIs" dxfId="980" priority="513" operator="between">
      <formula>K1232</formula>
      <formula>9999</formula>
    </cfRule>
  </conditionalFormatting>
  <conditionalFormatting sqref="I1233">
    <cfRule type="cellIs" dxfId="979" priority="512" operator="between">
      <formula>K1233</formula>
      <formula>9999</formula>
    </cfRule>
  </conditionalFormatting>
  <conditionalFormatting sqref="I1234">
    <cfRule type="cellIs" dxfId="978" priority="511" operator="between">
      <formula>K1234</formula>
      <formula>9999</formula>
    </cfRule>
  </conditionalFormatting>
  <conditionalFormatting sqref="I1235">
    <cfRule type="cellIs" dxfId="977" priority="510" operator="between">
      <formula>K1235</formula>
      <formula>9999</formula>
    </cfRule>
  </conditionalFormatting>
  <conditionalFormatting sqref="I1236">
    <cfRule type="cellIs" dxfId="976" priority="509" operator="between">
      <formula>K1236</formula>
      <formula>9999</formula>
    </cfRule>
  </conditionalFormatting>
  <conditionalFormatting sqref="I1237">
    <cfRule type="cellIs" dxfId="975" priority="508" operator="between">
      <formula>K1237</formula>
      <formula>9999</formula>
    </cfRule>
  </conditionalFormatting>
  <conditionalFormatting sqref="I1239">
    <cfRule type="cellIs" dxfId="974" priority="507" operator="between">
      <formula>K1239</formula>
      <formula>9999</formula>
    </cfRule>
  </conditionalFormatting>
  <conditionalFormatting sqref="I1240">
    <cfRule type="cellIs" dxfId="973" priority="506" operator="between">
      <formula>K1240</formula>
      <formula>9999</formula>
    </cfRule>
  </conditionalFormatting>
  <conditionalFormatting sqref="I1241">
    <cfRule type="cellIs" dxfId="972" priority="505" operator="between">
      <formula>K1241</formula>
      <formula>9999</formula>
    </cfRule>
  </conditionalFormatting>
  <conditionalFormatting sqref="I1242">
    <cfRule type="cellIs" dxfId="971" priority="504" operator="between">
      <formula>K1242</formula>
      <formula>9999</formula>
    </cfRule>
  </conditionalFormatting>
  <conditionalFormatting sqref="I1243">
    <cfRule type="cellIs" dxfId="970" priority="503" operator="between">
      <formula>K1243</formula>
      <formula>9999</formula>
    </cfRule>
  </conditionalFormatting>
  <conditionalFormatting sqref="I1244">
    <cfRule type="cellIs" dxfId="969" priority="502" operator="between">
      <formula>K1244</formula>
      <formula>9999</formula>
    </cfRule>
  </conditionalFormatting>
  <conditionalFormatting sqref="I1245">
    <cfRule type="cellIs" dxfId="968" priority="501" operator="between">
      <formula>K1245</formula>
      <formula>9999</formula>
    </cfRule>
  </conditionalFormatting>
  <conditionalFormatting sqref="I1246">
    <cfRule type="cellIs" dxfId="967" priority="500" operator="between">
      <formula>K1246</formula>
      <formula>9999</formula>
    </cfRule>
  </conditionalFormatting>
  <conditionalFormatting sqref="I1247">
    <cfRule type="cellIs" dxfId="966" priority="499" operator="between">
      <formula>K1247</formula>
      <formula>9999</formula>
    </cfRule>
  </conditionalFormatting>
  <conditionalFormatting sqref="I1248">
    <cfRule type="cellIs" dxfId="965" priority="498" operator="between">
      <formula>K1248</formula>
      <formula>9999</formula>
    </cfRule>
  </conditionalFormatting>
  <conditionalFormatting sqref="I1249">
    <cfRule type="cellIs" dxfId="964" priority="497" operator="between">
      <formula>K1249</formula>
      <formula>9999</formula>
    </cfRule>
  </conditionalFormatting>
  <conditionalFormatting sqref="I1250">
    <cfRule type="cellIs" dxfId="963" priority="496" operator="between">
      <formula>K1250</formula>
      <formula>9999</formula>
    </cfRule>
  </conditionalFormatting>
  <conditionalFormatting sqref="I1251">
    <cfRule type="cellIs" dxfId="962" priority="495" operator="between">
      <formula>K1251</formula>
      <formula>9999</formula>
    </cfRule>
  </conditionalFormatting>
  <conditionalFormatting sqref="I1252">
    <cfRule type="cellIs" dxfId="961" priority="494" operator="between">
      <formula>K1252</formula>
      <formula>9999</formula>
    </cfRule>
  </conditionalFormatting>
  <conditionalFormatting sqref="I1253">
    <cfRule type="cellIs" dxfId="960" priority="493" operator="between">
      <formula>K1253</formula>
      <formula>9999</formula>
    </cfRule>
  </conditionalFormatting>
  <conditionalFormatting sqref="I1254">
    <cfRule type="cellIs" dxfId="959" priority="492" operator="between">
      <formula>K1254</formula>
      <formula>9999</formula>
    </cfRule>
  </conditionalFormatting>
  <conditionalFormatting sqref="I1255">
    <cfRule type="cellIs" dxfId="958" priority="491" operator="between">
      <formula>K1255</formula>
      <formula>9999</formula>
    </cfRule>
  </conditionalFormatting>
  <conditionalFormatting sqref="I1256">
    <cfRule type="cellIs" dxfId="957" priority="490" operator="between">
      <formula>K1256</formula>
      <formula>9999</formula>
    </cfRule>
  </conditionalFormatting>
  <conditionalFormatting sqref="I1258">
    <cfRule type="cellIs" dxfId="956" priority="489" operator="between">
      <formula>K1258</formula>
      <formula>9999</formula>
    </cfRule>
  </conditionalFormatting>
  <conditionalFormatting sqref="I1259">
    <cfRule type="cellIs" dxfId="955" priority="488" operator="between">
      <formula>K1259</formula>
      <formula>9999</formula>
    </cfRule>
  </conditionalFormatting>
  <conditionalFormatting sqref="I1260">
    <cfRule type="cellIs" dxfId="954" priority="487" operator="between">
      <formula>K1260</formula>
      <formula>9999</formula>
    </cfRule>
  </conditionalFormatting>
  <conditionalFormatting sqref="I1261">
    <cfRule type="cellIs" dxfId="953" priority="486" operator="between">
      <formula>K1261</formula>
      <formula>9999</formula>
    </cfRule>
  </conditionalFormatting>
  <conditionalFormatting sqref="I1262">
    <cfRule type="cellIs" dxfId="952" priority="485" operator="between">
      <formula>K1262</formula>
      <formula>9999</formula>
    </cfRule>
  </conditionalFormatting>
  <conditionalFormatting sqref="I1263">
    <cfRule type="cellIs" dxfId="951" priority="484" operator="between">
      <formula>K1263</formula>
      <formula>9999</formula>
    </cfRule>
  </conditionalFormatting>
  <conditionalFormatting sqref="I1264">
    <cfRule type="cellIs" dxfId="950" priority="483" operator="between">
      <formula>K1264</formula>
      <formula>9999</formula>
    </cfRule>
  </conditionalFormatting>
  <conditionalFormatting sqref="I1265">
    <cfRule type="cellIs" dxfId="949" priority="482" operator="between">
      <formula>K1265</formula>
      <formula>9999</formula>
    </cfRule>
  </conditionalFormatting>
  <conditionalFormatting sqref="I1266">
    <cfRule type="cellIs" dxfId="948" priority="481" operator="between">
      <formula>K1266</formula>
      <formula>9999</formula>
    </cfRule>
  </conditionalFormatting>
  <conditionalFormatting sqref="I1267">
    <cfRule type="cellIs" dxfId="947" priority="480" operator="between">
      <formula>K1267</formula>
      <formula>9999</formula>
    </cfRule>
  </conditionalFormatting>
  <conditionalFormatting sqref="I1268">
    <cfRule type="cellIs" dxfId="946" priority="479" operator="between">
      <formula>K1268</formula>
      <formula>9999</formula>
    </cfRule>
  </conditionalFormatting>
  <conditionalFormatting sqref="I1269">
    <cfRule type="cellIs" dxfId="945" priority="478" operator="between">
      <formula>K1269</formula>
      <formula>9999</formula>
    </cfRule>
  </conditionalFormatting>
  <conditionalFormatting sqref="I1270">
    <cfRule type="cellIs" dxfId="944" priority="477" operator="between">
      <formula>K1270</formula>
      <formula>9999</formula>
    </cfRule>
  </conditionalFormatting>
  <conditionalFormatting sqref="I1271">
    <cfRule type="cellIs" dxfId="943" priority="476" operator="between">
      <formula>K1271</formula>
      <formula>9999</formula>
    </cfRule>
  </conditionalFormatting>
  <conditionalFormatting sqref="I1272">
    <cfRule type="cellIs" dxfId="942" priority="475" operator="between">
      <formula>K1272</formula>
      <formula>9999</formula>
    </cfRule>
  </conditionalFormatting>
  <conditionalFormatting sqref="I1273">
    <cfRule type="cellIs" dxfId="941" priority="474" operator="between">
      <formula>K1273</formula>
      <formula>9999</formula>
    </cfRule>
  </conditionalFormatting>
  <conditionalFormatting sqref="I1274">
    <cfRule type="cellIs" dxfId="940" priority="473" operator="between">
      <formula>K1274</formula>
      <formula>9999</formula>
    </cfRule>
  </conditionalFormatting>
  <conditionalFormatting sqref="I1275">
    <cfRule type="cellIs" dxfId="939" priority="472" operator="between">
      <formula>K1275</formula>
      <formula>9999</formula>
    </cfRule>
  </conditionalFormatting>
  <conditionalFormatting sqref="I1277">
    <cfRule type="cellIs" dxfId="938" priority="471" operator="between">
      <formula>K1277</formula>
      <formula>9999</formula>
    </cfRule>
  </conditionalFormatting>
  <conditionalFormatting sqref="I1296">
    <cfRule type="cellIs" dxfId="937" priority="470" operator="between">
      <formula>K1296</formula>
      <formula>9999</formula>
    </cfRule>
  </conditionalFormatting>
  <conditionalFormatting sqref="H1107:H1109">
    <cfRule type="cellIs" dxfId="936" priority="469" operator="between">
      <formula>J1107</formula>
      <formula>9999</formula>
    </cfRule>
  </conditionalFormatting>
  <conditionalFormatting sqref="H1323">
    <cfRule type="cellIs" dxfId="935" priority="468" operator="between">
      <formula>J1323</formula>
      <formula>9999</formula>
    </cfRule>
  </conditionalFormatting>
  <conditionalFormatting sqref="H1324">
    <cfRule type="cellIs" dxfId="934" priority="467" operator="between">
      <formula>J1324</formula>
      <formula>9999</formula>
    </cfRule>
  </conditionalFormatting>
  <conditionalFormatting sqref="H1325">
    <cfRule type="cellIs" dxfId="933" priority="466" operator="between">
      <formula>J1325</formula>
      <formula>9999</formula>
    </cfRule>
  </conditionalFormatting>
  <conditionalFormatting sqref="H1329">
    <cfRule type="cellIs" dxfId="932" priority="465" operator="between">
      <formula>J1329</formula>
      <formula>9999</formula>
    </cfRule>
  </conditionalFormatting>
  <conditionalFormatting sqref="H1330">
    <cfRule type="cellIs" dxfId="931" priority="464" operator="between">
      <formula>J1330</formula>
      <formula>9999</formula>
    </cfRule>
  </conditionalFormatting>
  <conditionalFormatting sqref="H1331">
    <cfRule type="cellIs" dxfId="930" priority="463" operator="between">
      <formula>J1331</formula>
      <formula>9999</formula>
    </cfRule>
  </conditionalFormatting>
  <conditionalFormatting sqref="H1332">
    <cfRule type="cellIs" dxfId="929" priority="462" operator="between">
      <formula>J1332</formula>
      <formula>9999</formula>
    </cfRule>
  </conditionalFormatting>
  <conditionalFormatting sqref="H1333">
    <cfRule type="cellIs" dxfId="928" priority="461" operator="between">
      <formula>J1333</formula>
      <formula>9999</formula>
    </cfRule>
  </conditionalFormatting>
  <conditionalFormatting sqref="H1334">
    <cfRule type="cellIs" dxfId="927" priority="460" operator="between">
      <formula>J1334</formula>
      <formula>9999</formula>
    </cfRule>
  </conditionalFormatting>
  <conditionalFormatting sqref="I1344">
    <cfRule type="cellIs" dxfId="926" priority="459" operator="between">
      <formula>K1344</formula>
      <formula>9999</formula>
    </cfRule>
  </conditionalFormatting>
  <conditionalFormatting sqref="I1345">
    <cfRule type="cellIs" dxfId="925" priority="458" operator="between">
      <formula>K1345</formula>
      <formula>9999</formula>
    </cfRule>
  </conditionalFormatting>
  <conditionalFormatting sqref="I1346">
    <cfRule type="cellIs" dxfId="924" priority="457" operator="between">
      <formula>K1346</formula>
      <formula>9999</formula>
    </cfRule>
  </conditionalFormatting>
  <conditionalFormatting sqref="I1347">
    <cfRule type="cellIs" dxfId="923" priority="456" operator="between">
      <formula>K1347</formula>
      <formula>9999</formula>
    </cfRule>
  </conditionalFormatting>
  <conditionalFormatting sqref="I1348">
    <cfRule type="cellIs" dxfId="922" priority="455" operator="between">
      <formula>K1348</formula>
      <formula>9999</formula>
    </cfRule>
  </conditionalFormatting>
  <conditionalFormatting sqref="I1349">
    <cfRule type="cellIs" dxfId="921" priority="454" operator="between">
      <formula>K1349</formula>
      <formula>9999</formula>
    </cfRule>
  </conditionalFormatting>
  <conditionalFormatting sqref="I1350">
    <cfRule type="cellIs" dxfId="920" priority="453" operator="between">
      <formula>K1350</formula>
      <formula>9999</formula>
    </cfRule>
  </conditionalFormatting>
  <conditionalFormatting sqref="I1351">
    <cfRule type="cellIs" dxfId="919" priority="452" operator="between">
      <formula>K1351</formula>
      <formula>9999</formula>
    </cfRule>
  </conditionalFormatting>
  <conditionalFormatting sqref="I1352">
    <cfRule type="cellIs" dxfId="918" priority="451" operator="between">
      <formula>K1352</formula>
      <formula>9999</formula>
    </cfRule>
  </conditionalFormatting>
  <conditionalFormatting sqref="I1353">
    <cfRule type="cellIs" dxfId="917" priority="450" operator="between">
      <formula>K1353</formula>
      <formula>9999</formula>
    </cfRule>
  </conditionalFormatting>
  <conditionalFormatting sqref="I1354">
    <cfRule type="cellIs" dxfId="916" priority="449" operator="between">
      <formula>K1354</formula>
      <formula>9999</formula>
    </cfRule>
  </conditionalFormatting>
  <conditionalFormatting sqref="I1355">
    <cfRule type="cellIs" dxfId="915" priority="448" operator="between">
      <formula>K1355</formula>
      <formula>9999</formula>
    </cfRule>
  </conditionalFormatting>
  <conditionalFormatting sqref="I1356">
    <cfRule type="cellIs" dxfId="914" priority="447" operator="between">
      <formula>K1356</formula>
      <formula>9999</formula>
    </cfRule>
  </conditionalFormatting>
  <conditionalFormatting sqref="I1357">
    <cfRule type="cellIs" dxfId="913" priority="446" operator="between">
      <formula>K1357</formula>
      <formula>9999</formula>
    </cfRule>
  </conditionalFormatting>
  <conditionalFormatting sqref="I1358">
    <cfRule type="cellIs" dxfId="912" priority="445" operator="between">
      <formula>K1358</formula>
      <formula>9999</formula>
    </cfRule>
  </conditionalFormatting>
  <conditionalFormatting sqref="I1359">
    <cfRule type="cellIs" dxfId="911" priority="444" operator="between">
      <formula>K1359</formula>
      <formula>9999</formula>
    </cfRule>
  </conditionalFormatting>
  <conditionalFormatting sqref="I1360">
    <cfRule type="cellIs" dxfId="910" priority="443" operator="between">
      <formula>K1360</formula>
      <formula>9999</formula>
    </cfRule>
  </conditionalFormatting>
  <conditionalFormatting sqref="I1361">
    <cfRule type="cellIs" dxfId="909" priority="442" operator="between">
      <formula>K1361</formula>
      <formula>9999</formula>
    </cfRule>
  </conditionalFormatting>
  <conditionalFormatting sqref="I1363">
    <cfRule type="cellIs" dxfId="908" priority="441" operator="between">
      <formula>K1363</formula>
      <formula>9999</formula>
    </cfRule>
  </conditionalFormatting>
  <conditionalFormatting sqref="I1364">
    <cfRule type="cellIs" dxfId="907" priority="440" operator="between">
      <formula>K1364</formula>
      <formula>9999</formula>
    </cfRule>
  </conditionalFormatting>
  <conditionalFormatting sqref="I1365">
    <cfRule type="cellIs" dxfId="906" priority="439" operator="between">
      <formula>K1365</formula>
      <formula>9999</formula>
    </cfRule>
  </conditionalFormatting>
  <conditionalFormatting sqref="I1366">
    <cfRule type="cellIs" dxfId="905" priority="438" operator="between">
      <formula>K1366</formula>
      <formula>9999</formula>
    </cfRule>
  </conditionalFormatting>
  <conditionalFormatting sqref="I1367">
    <cfRule type="cellIs" dxfId="904" priority="437" operator="between">
      <formula>K1367</formula>
      <formula>9999</formula>
    </cfRule>
  </conditionalFormatting>
  <conditionalFormatting sqref="I1368">
    <cfRule type="cellIs" dxfId="903" priority="436" operator="between">
      <formula>K1368</formula>
      <formula>9999</formula>
    </cfRule>
  </conditionalFormatting>
  <conditionalFormatting sqref="I1369">
    <cfRule type="cellIs" dxfId="902" priority="435" operator="between">
      <formula>K1369</formula>
      <formula>9999</formula>
    </cfRule>
  </conditionalFormatting>
  <conditionalFormatting sqref="I1370">
    <cfRule type="cellIs" dxfId="901" priority="434" operator="between">
      <formula>K1370</formula>
      <formula>9999</formula>
    </cfRule>
  </conditionalFormatting>
  <conditionalFormatting sqref="I1371">
    <cfRule type="cellIs" dxfId="900" priority="433" operator="between">
      <formula>K1371</formula>
      <formula>9999</formula>
    </cfRule>
  </conditionalFormatting>
  <conditionalFormatting sqref="I1372">
    <cfRule type="cellIs" dxfId="899" priority="432" operator="between">
      <formula>K1372</formula>
      <formula>9999</formula>
    </cfRule>
  </conditionalFormatting>
  <conditionalFormatting sqref="I1373">
    <cfRule type="cellIs" dxfId="898" priority="431" operator="between">
      <formula>K1373</formula>
      <formula>9999</formula>
    </cfRule>
  </conditionalFormatting>
  <conditionalFormatting sqref="I1374">
    <cfRule type="cellIs" dxfId="897" priority="430" operator="between">
      <formula>K1374</formula>
      <formula>9999</formula>
    </cfRule>
  </conditionalFormatting>
  <conditionalFormatting sqref="I1375">
    <cfRule type="cellIs" dxfId="896" priority="429" operator="between">
      <formula>K1375</formula>
      <formula>9999</formula>
    </cfRule>
  </conditionalFormatting>
  <conditionalFormatting sqref="I1376">
    <cfRule type="cellIs" dxfId="895" priority="428" operator="between">
      <formula>K1376</formula>
      <formula>9999</formula>
    </cfRule>
  </conditionalFormatting>
  <conditionalFormatting sqref="I1377">
    <cfRule type="cellIs" dxfId="894" priority="427" operator="between">
      <formula>K1377</formula>
      <formula>9999</formula>
    </cfRule>
  </conditionalFormatting>
  <conditionalFormatting sqref="I1378">
    <cfRule type="cellIs" dxfId="893" priority="426" operator="between">
      <formula>K1378</formula>
      <formula>9999</formula>
    </cfRule>
  </conditionalFormatting>
  <conditionalFormatting sqref="I1379">
    <cfRule type="cellIs" dxfId="892" priority="425" operator="between">
      <formula>K1379</formula>
      <formula>9999</formula>
    </cfRule>
  </conditionalFormatting>
  <conditionalFormatting sqref="I1380">
    <cfRule type="cellIs" dxfId="891" priority="424" operator="between">
      <formula>K1380</formula>
      <formula>9999</formula>
    </cfRule>
  </conditionalFormatting>
  <conditionalFormatting sqref="I1382">
    <cfRule type="cellIs" dxfId="890" priority="423" operator="between">
      <formula>K1382</formula>
      <formula>9999</formula>
    </cfRule>
  </conditionalFormatting>
  <conditionalFormatting sqref="I1383">
    <cfRule type="cellIs" dxfId="889" priority="422" operator="between">
      <formula>K1383</formula>
      <formula>9999</formula>
    </cfRule>
  </conditionalFormatting>
  <conditionalFormatting sqref="I1384">
    <cfRule type="cellIs" dxfId="888" priority="421" operator="between">
      <formula>K1384</formula>
      <formula>9999</formula>
    </cfRule>
  </conditionalFormatting>
  <conditionalFormatting sqref="I1385">
    <cfRule type="cellIs" dxfId="887" priority="420" operator="between">
      <formula>K1385</formula>
      <formula>9999</formula>
    </cfRule>
  </conditionalFormatting>
  <conditionalFormatting sqref="I1386">
    <cfRule type="cellIs" dxfId="886" priority="419" operator="between">
      <formula>K1386</formula>
      <formula>9999</formula>
    </cfRule>
  </conditionalFormatting>
  <conditionalFormatting sqref="I1387">
    <cfRule type="cellIs" dxfId="885" priority="418" operator="between">
      <formula>K1387</formula>
      <formula>9999</formula>
    </cfRule>
  </conditionalFormatting>
  <conditionalFormatting sqref="I1388">
    <cfRule type="cellIs" dxfId="884" priority="417" operator="between">
      <formula>K1388</formula>
      <formula>9999</formula>
    </cfRule>
  </conditionalFormatting>
  <conditionalFormatting sqref="I1389">
    <cfRule type="cellIs" dxfId="883" priority="416" operator="between">
      <formula>K1389</formula>
      <formula>9999</formula>
    </cfRule>
  </conditionalFormatting>
  <conditionalFormatting sqref="I1390">
    <cfRule type="cellIs" dxfId="882" priority="415" operator="between">
      <formula>K1390</formula>
      <formula>9999</formula>
    </cfRule>
  </conditionalFormatting>
  <conditionalFormatting sqref="I1391">
    <cfRule type="cellIs" dxfId="881" priority="414" operator="between">
      <formula>K1391</formula>
      <formula>9999</formula>
    </cfRule>
  </conditionalFormatting>
  <conditionalFormatting sqref="I1392">
    <cfRule type="cellIs" dxfId="880" priority="413" operator="between">
      <formula>K1392</formula>
      <formula>9999</formula>
    </cfRule>
  </conditionalFormatting>
  <conditionalFormatting sqref="I1393">
    <cfRule type="cellIs" dxfId="879" priority="412" operator="between">
      <formula>K1393</formula>
      <formula>9999</formula>
    </cfRule>
  </conditionalFormatting>
  <conditionalFormatting sqref="I1394">
    <cfRule type="cellIs" dxfId="878" priority="411" operator="between">
      <formula>K1394</formula>
      <formula>9999</formula>
    </cfRule>
  </conditionalFormatting>
  <conditionalFormatting sqref="I1395">
    <cfRule type="cellIs" dxfId="877" priority="410" operator="between">
      <formula>K1395</formula>
      <formula>9999</formula>
    </cfRule>
  </conditionalFormatting>
  <conditionalFormatting sqref="I1396">
    <cfRule type="cellIs" dxfId="876" priority="409" operator="between">
      <formula>K1396</formula>
      <formula>9999</formula>
    </cfRule>
  </conditionalFormatting>
  <conditionalFormatting sqref="I1397">
    <cfRule type="cellIs" dxfId="875" priority="408" operator="between">
      <formula>K1397</formula>
      <formula>9999</formula>
    </cfRule>
  </conditionalFormatting>
  <conditionalFormatting sqref="I1398">
    <cfRule type="cellIs" dxfId="874" priority="407" operator="between">
      <formula>K1398</formula>
      <formula>9999</formula>
    </cfRule>
  </conditionalFormatting>
  <conditionalFormatting sqref="I1399">
    <cfRule type="cellIs" dxfId="873" priority="406" operator="between">
      <formula>K1399</formula>
      <formula>9999</formula>
    </cfRule>
  </conditionalFormatting>
  <conditionalFormatting sqref="I1401">
    <cfRule type="cellIs" dxfId="872" priority="405" operator="between">
      <formula>K1401</formula>
      <formula>9999</formula>
    </cfRule>
  </conditionalFormatting>
  <conditionalFormatting sqref="I1402">
    <cfRule type="cellIs" dxfId="871" priority="404" operator="between">
      <formula>K1402</formula>
      <formula>9999</formula>
    </cfRule>
  </conditionalFormatting>
  <conditionalFormatting sqref="I1403">
    <cfRule type="cellIs" dxfId="870" priority="403" operator="between">
      <formula>K1403</formula>
      <formula>9999</formula>
    </cfRule>
  </conditionalFormatting>
  <conditionalFormatting sqref="I1404">
    <cfRule type="cellIs" dxfId="869" priority="402" operator="between">
      <formula>K1404</formula>
      <formula>9999</formula>
    </cfRule>
  </conditionalFormatting>
  <conditionalFormatting sqref="I1405">
    <cfRule type="cellIs" dxfId="868" priority="401" operator="between">
      <formula>K1405</formula>
      <formula>9999</formula>
    </cfRule>
  </conditionalFormatting>
  <conditionalFormatting sqref="I1406">
    <cfRule type="cellIs" dxfId="867" priority="400" operator="between">
      <formula>K1406</formula>
      <formula>9999</formula>
    </cfRule>
  </conditionalFormatting>
  <conditionalFormatting sqref="I1407">
    <cfRule type="cellIs" dxfId="866" priority="399" operator="between">
      <formula>K1407</formula>
      <formula>9999</formula>
    </cfRule>
  </conditionalFormatting>
  <conditionalFormatting sqref="I1408">
    <cfRule type="cellIs" dxfId="865" priority="398" operator="between">
      <formula>K1408</formula>
      <formula>9999</formula>
    </cfRule>
  </conditionalFormatting>
  <conditionalFormatting sqref="I1409">
    <cfRule type="cellIs" dxfId="864" priority="397" operator="between">
      <formula>K1409</formula>
      <formula>9999</formula>
    </cfRule>
  </conditionalFormatting>
  <conditionalFormatting sqref="I1410">
    <cfRule type="cellIs" dxfId="863" priority="396" operator="between">
      <formula>K1410</formula>
      <formula>9999</formula>
    </cfRule>
  </conditionalFormatting>
  <conditionalFormatting sqref="I1411">
    <cfRule type="cellIs" dxfId="862" priority="395" operator="between">
      <formula>K1411</formula>
      <formula>9999</formula>
    </cfRule>
  </conditionalFormatting>
  <conditionalFormatting sqref="I1412">
    <cfRule type="cellIs" dxfId="861" priority="394" operator="between">
      <formula>K1412</formula>
      <formula>9999</formula>
    </cfRule>
  </conditionalFormatting>
  <conditionalFormatting sqref="I1413">
    <cfRule type="cellIs" dxfId="860" priority="393" operator="between">
      <formula>K1413</formula>
      <formula>9999</formula>
    </cfRule>
  </conditionalFormatting>
  <conditionalFormatting sqref="I1414">
    <cfRule type="cellIs" dxfId="859" priority="392" operator="between">
      <formula>K1414</formula>
      <formula>9999</formula>
    </cfRule>
  </conditionalFormatting>
  <conditionalFormatting sqref="I1415">
    <cfRule type="cellIs" dxfId="858" priority="391" operator="between">
      <formula>K1415</formula>
      <formula>9999</formula>
    </cfRule>
  </conditionalFormatting>
  <conditionalFormatting sqref="I1416">
    <cfRule type="cellIs" dxfId="857" priority="390" operator="between">
      <formula>K1416</formula>
      <formula>9999</formula>
    </cfRule>
  </conditionalFormatting>
  <conditionalFormatting sqref="I1417">
    <cfRule type="cellIs" dxfId="856" priority="389" operator="between">
      <formula>K1417</formula>
      <formula>9999</formula>
    </cfRule>
  </conditionalFormatting>
  <conditionalFormatting sqref="I1418">
    <cfRule type="cellIs" dxfId="855" priority="388" operator="between">
      <formula>K1418</formula>
      <formula>9999</formula>
    </cfRule>
  </conditionalFormatting>
  <conditionalFormatting sqref="I1420">
    <cfRule type="cellIs" dxfId="854" priority="387" operator="between">
      <formula>K1420</formula>
      <formula>9999</formula>
    </cfRule>
  </conditionalFormatting>
  <conditionalFormatting sqref="I1421">
    <cfRule type="cellIs" dxfId="853" priority="386" operator="between">
      <formula>K1421</formula>
      <formula>9999</formula>
    </cfRule>
  </conditionalFormatting>
  <conditionalFormatting sqref="I1422">
    <cfRule type="cellIs" dxfId="852" priority="385" operator="between">
      <formula>K1422</formula>
      <formula>9999</formula>
    </cfRule>
  </conditionalFormatting>
  <conditionalFormatting sqref="I1423">
    <cfRule type="cellIs" dxfId="851" priority="384" operator="between">
      <formula>K1423</formula>
      <formula>9999</formula>
    </cfRule>
  </conditionalFormatting>
  <conditionalFormatting sqref="I1424">
    <cfRule type="cellIs" dxfId="850" priority="383" operator="between">
      <formula>K1424</formula>
      <formula>9999</formula>
    </cfRule>
  </conditionalFormatting>
  <conditionalFormatting sqref="I1425">
    <cfRule type="cellIs" dxfId="849" priority="382" operator="between">
      <formula>K1425</formula>
      <formula>9999</formula>
    </cfRule>
  </conditionalFormatting>
  <conditionalFormatting sqref="I1426">
    <cfRule type="cellIs" dxfId="848" priority="381" operator="between">
      <formula>K1426</formula>
      <formula>9999</formula>
    </cfRule>
  </conditionalFormatting>
  <conditionalFormatting sqref="I1427">
    <cfRule type="cellIs" dxfId="847" priority="380" operator="between">
      <formula>K1427</formula>
      <formula>9999</formula>
    </cfRule>
  </conditionalFormatting>
  <conditionalFormatting sqref="I1428">
    <cfRule type="cellIs" dxfId="846" priority="379" operator="between">
      <formula>K1428</formula>
      <formula>9999</formula>
    </cfRule>
  </conditionalFormatting>
  <conditionalFormatting sqref="I1429">
    <cfRule type="cellIs" dxfId="845" priority="378" operator="between">
      <formula>K1429</formula>
      <formula>9999</formula>
    </cfRule>
  </conditionalFormatting>
  <conditionalFormatting sqref="I1430">
    <cfRule type="cellIs" dxfId="844" priority="377" operator="between">
      <formula>K1430</formula>
      <formula>9999</formula>
    </cfRule>
  </conditionalFormatting>
  <conditionalFormatting sqref="I1431">
    <cfRule type="cellIs" dxfId="843" priority="376" operator="between">
      <formula>K1431</formula>
      <formula>9999</formula>
    </cfRule>
  </conditionalFormatting>
  <conditionalFormatting sqref="I1432">
    <cfRule type="cellIs" dxfId="842" priority="375" operator="between">
      <formula>K1432</formula>
      <formula>9999</formula>
    </cfRule>
  </conditionalFormatting>
  <conditionalFormatting sqref="I1433">
    <cfRule type="cellIs" dxfId="841" priority="374" operator="between">
      <formula>K1433</formula>
      <formula>9999</formula>
    </cfRule>
  </conditionalFormatting>
  <conditionalFormatting sqref="I1434">
    <cfRule type="cellIs" dxfId="840" priority="373" operator="between">
      <formula>K1434</formula>
      <formula>9999</formula>
    </cfRule>
  </conditionalFormatting>
  <conditionalFormatting sqref="I1435">
    <cfRule type="cellIs" dxfId="839" priority="372" operator="between">
      <formula>K1435</formula>
      <formula>9999</formula>
    </cfRule>
  </conditionalFormatting>
  <conditionalFormatting sqref="I1436">
    <cfRule type="cellIs" dxfId="838" priority="371" operator="between">
      <formula>K1436</formula>
      <formula>9999</formula>
    </cfRule>
  </conditionalFormatting>
  <conditionalFormatting sqref="I1437">
    <cfRule type="cellIs" dxfId="837" priority="370" operator="between">
      <formula>K1437</formula>
      <formula>9999</formula>
    </cfRule>
  </conditionalFormatting>
  <conditionalFormatting sqref="I1439">
    <cfRule type="cellIs" dxfId="836" priority="369" operator="between">
      <formula>K1439</formula>
      <formula>9999</formula>
    </cfRule>
  </conditionalFormatting>
  <conditionalFormatting sqref="I1440">
    <cfRule type="cellIs" dxfId="835" priority="368" operator="between">
      <formula>K1440</formula>
      <formula>9999</formula>
    </cfRule>
  </conditionalFormatting>
  <conditionalFormatting sqref="I1441">
    <cfRule type="cellIs" dxfId="834" priority="367" operator="between">
      <formula>K1441</formula>
      <formula>9999</formula>
    </cfRule>
  </conditionalFormatting>
  <conditionalFormatting sqref="I1442">
    <cfRule type="cellIs" dxfId="833" priority="366" operator="between">
      <formula>K1442</formula>
      <formula>9999</formula>
    </cfRule>
  </conditionalFormatting>
  <conditionalFormatting sqref="I1443">
    <cfRule type="cellIs" dxfId="832" priority="365" operator="between">
      <formula>K1443</formula>
      <formula>9999</formula>
    </cfRule>
  </conditionalFormatting>
  <conditionalFormatting sqref="I1444">
    <cfRule type="cellIs" dxfId="831" priority="364" operator="between">
      <formula>K1444</formula>
      <formula>9999</formula>
    </cfRule>
  </conditionalFormatting>
  <conditionalFormatting sqref="I1445">
    <cfRule type="cellIs" dxfId="830" priority="363" operator="between">
      <formula>K1445</formula>
      <formula>9999</formula>
    </cfRule>
  </conditionalFormatting>
  <conditionalFormatting sqref="I1446">
    <cfRule type="cellIs" dxfId="829" priority="362" operator="between">
      <formula>K1446</formula>
      <formula>9999</formula>
    </cfRule>
  </conditionalFormatting>
  <conditionalFormatting sqref="I1447">
    <cfRule type="cellIs" dxfId="828" priority="361" operator="between">
      <formula>K1447</formula>
      <formula>9999</formula>
    </cfRule>
  </conditionalFormatting>
  <conditionalFormatting sqref="I1448">
    <cfRule type="cellIs" dxfId="827" priority="360" operator="between">
      <formula>K1448</formula>
      <formula>9999</formula>
    </cfRule>
  </conditionalFormatting>
  <conditionalFormatting sqref="I1449">
    <cfRule type="cellIs" dxfId="826" priority="359" operator="between">
      <formula>K1449</formula>
      <formula>9999</formula>
    </cfRule>
  </conditionalFormatting>
  <conditionalFormatting sqref="I1450">
    <cfRule type="cellIs" dxfId="825" priority="358" operator="between">
      <formula>K1450</formula>
      <formula>9999</formula>
    </cfRule>
  </conditionalFormatting>
  <conditionalFormatting sqref="I1451">
    <cfRule type="cellIs" dxfId="824" priority="357" operator="between">
      <formula>K1451</formula>
      <formula>9999</formula>
    </cfRule>
  </conditionalFormatting>
  <conditionalFormatting sqref="I1452">
    <cfRule type="cellIs" dxfId="823" priority="356" operator="between">
      <formula>K1452</formula>
      <formula>9999</formula>
    </cfRule>
  </conditionalFormatting>
  <conditionalFormatting sqref="I1453">
    <cfRule type="cellIs" dxfId="822" priority="355" operator="between">
      <formula>K1453</formula>
      <formula>9999</formula>
    </cfRule>
  </conditionalFormatting>
  <conditionalFormatting sqref="I1454">
    <cfRule type="cellIs" dxfId="821" priority="354" operator="between">
      <formula>K1454</formula>
      <formula>9999</formula>
    </cfRule>
  </conditionalFormatting>
  <conditionalFormatting sqref="I1455">
    <cfRule type="cellIs" dxfId="820" priority="353" operator="between">
      <formula>K1455</formula>
      <formula>9999</formula>
    </cfRule>
  </conditionalFormatting>
  <conditionalFormatting sqref="I1456">
    <cfRule type="cellIs" dxfId="819" priority="352" operator="between">
      <formula>K1456</formula>
      <formula>9999</formula>
    </cfRule>
  </conditionalFormatting>
  <conditionalFormatting sqref="I1458">
    <cfRule type="cellIs" dxfId="818" priority="351" operator="between">
      <formula>K1458</formula>
      <formula>9999</formula>
    </cfRule>
  </conditionalFormatting>
  <conditionalFormatting sqref="I1459">
    <cfRule type="cellIs" dxfId="817" priority="350" operator="between">
      <formula>K1459</formula>
      <formula>9999</formula>
    </cfRule>
  </conditionalFormatting>
  <conditionalFormatting sqref="I1460">
    <cfRule type="cellIs" dxfId="816" priority="349" operator="between">
      <formula>K1460</formula>
      <formula>9999</formula>
    </cfRule>
  </conditionalFormatting>
  <conditionalFormatting sqref="I1461">
    <cfRule type="cellIs" dxfId="815" priority="348" operator="between">
      <formula>K1461</formula>
      <formula>9999</formula>
    </cfRule>
  </conditionalFormatting>
  <conditionalFormatting sqref="I1462">
    <cfRule type="cellIs" dxfId="814" priority="347" operator="between">
      <formula>K1462</formula>
      <formula>9999</formula>
    </cfRule>
  </conditionalFormatting>
  <conditionalFormatting sqref="I1463">
    <cfRule type="cellIs" dxfId="813" priority="346" operator="between">
      <formula>K1463</formula>
      <formula>9999</formula>
    </cfRule>
  </conditionalFormatting>
  <conditionalFormatting sqref="I1464">
    <cfRule type="cellIs" dxfId="812" priority="345" operator="between">
      <formula>K1464</formula>
      <formula>9999</formula>
    </cfRule>
  </conditionalFormatting>
  <conditionalFormatting sqref="I1465">
    <cfRule type="cellIs" dxfId="811" priority="344" operator="between">
      <formula>K1465</formula>
      <formula>9999</formula>
    </cfRule>
  </conditionalFormatting>
  <conditionalFormatting sqref="I1466">
    <cfRule type="cellIs" dxfId="810" priority="343" operator="between">
      <formula>K1466</formula>
      <formula>9999</formula>
    </cfRule>
  </conditionalFormatting>
  <conditionalFormatting sqref="I1467">
    <cfRule type="cellIs" dxfId="809" priority="342" operator="between">
      <formula>K1467</formula>
      <formula>9999</formula>
    </cfRule>
  </conditionalFormatting>
  <conditionalFormatting sqref="I1468">
    <cfRule type="cellIs" dxfId="808" priority="341" operator="between">
      <formula>K1468</formula>
      <formula>9999</formula>
    </cfRule>
  </conditionalFormatting>
  <conditionalFormatting sqref="I1469">
    <cfRule type="cellIs" dxfId="807" priority="340" operator="between">
      <formula>K1469</formula>
      <formula>9999</formula>
    </cfRule>
  </conditionalFormatting>
  <conditionalFormatting sqref="I1470">
    <cfRule type="cellIs" dxfId="806" priority="339" operator="between">
      <formula>K1470</formula>
      <formula>9999</formula>
    </cfRule>
  </conditionalFormatting>
  <conditionalFormatting sqref="I1471">
    <cfRule type="cellIs" dxfId="805" priority="338" operator="between">
      <formula>K1471</formula>
      <formula>9999</formula>
    </cfRule>
  </conditionalFormatting>
  <conditionalFormatting sqref="I1472">
    <cfRule type="cellIs" dxfId="804" priority="337" operator="between">
      <formula>K1472</formula>
      <formula>9999</formula>
    </cfRule>
  </conditionalFormatting>
  <conditionalFormatting sqref="I1473">
    <cfRule type="cellIs" dxfId="803" priority="336" operator="between">
      <formula>K1473</formula>
      <formula>9999</formula>
    </cfRule>
  </conditionalFormatting>
  <conditionalFormatting sqref="I1474">
    <cfRule type="cellIs" dxfId="802" priority="335" operator="between">
      <formula>K1474</formula>
      <formula>9999</formula>
    </cfRule>
  </conditionalFormatting>
  <conditionalFormatting sqref="I1475">
    <cfRule type="cellIs" dxfId="801" priority="334" operator="between">
      <formula>K1475</formula>
      <formula>9999</formula>
    </cfRule>
  </conditionalFormatting>
  <conditionalFormatting sqref="I1477">
    <cfRule type="cellIs" dxfId="800" priority="333" operator="between">
      <formula>K1477</formula>
      <formula>9999</formula>
    </cfRule>
  </conditionalFormatting>
  <conditionalFormatting sqref="I1478">
    <cfRule type="cellIs" dxfId="799" priority="332" operator="between">
      <formula>K1478</formula>
      <formula>9999</formula>
    </cfRule>
  </conditionalFormatting>
  <conditionalFormatting sqref="I1479">
    <cfRule type="cellIs" dxfId="798" priority="331" operator="between">
      <formula>K1479</formula>
      <formula>9999</formula>
    </cfRule>
  </conditionalFormatting>
  <conditionalFormatting sqref="I1480">
    <cfRule type="cellIs" dxfId="797" priority="330" operator="between">
      <formula>K1480</formula>
      <formula>9999</formula>
    </cfRule>
  </conditionalFormatting>
  <conditionalFormatting sqref="I1481">
    <cfRule type="cellIs" dxfId="796" priority="329" operator="between">
      <formula>K1481</formula>
      <formula>9999</formula>
    </cfRule>
  </conditionalFormatting>
  <conditionalFormatting sqref="I1482">
    <cfRule type="cellIs" dxfId="795" priority="328" operator="between">
      <formula>K1482</formula>
      <formula>9999</formula>
    </cfRule>
  </conditionalFormatting>
  <conditionalFormatting sqref="I1483">
    <cfRule type="cellIs" dxfId="794" priority="327" operator="between">
      <formula>K1483</formula>
      <formula>9999</formula>
    </cfRule>
  </conditionalFormatting>
  <conditionalFormatting sqref="I1484">
    <cfRule type="cellIs" dxfId="793" priority="326" operator="between">
      <formula>K1484</formula>
      <formula>9999</formula>
    </cfRule>
  </conditionalFormatting>
  <conditionalFormatting sqref="I1485">
    <cfRule type="cellIs" dxfId="792" priority="325" operator="between">
      <formula>K1485</formula>
      <formula>9999</formula>
    </cfRule>
  </conditionalFormatting>
  <conditionalFormatting sqref="I1486">
    <cfRule type="cellIs" dxfId="791" priority="324" operator="between">
      <formula>K1486</formula>
      <formula>9999</formula>
    </cfRule>
  </conditionalFormatting>
  <conditionalFormatting sqref="I1487">
    <cfRule type="cellIs" dxfId="790" priority="323" operator="between">
      <formula>K1487</formula>
      <formula>9999</formula>
    </cfRule>
  </conditionalFormatting>
  <conditionalFormatting sqref="I1488">
    <cfRule type="cellIs" dxfId="789" priority="322" operator="between">
      <formula>K1488</formula>
      <formula>9999</formula>
    </cfRule>
  </conditionalFormatting>
  <conditionalFormatting sqref="I1489">
    <cfRule type="cellIs" dxfId="788" priority="321" operator="between">
      <formula>K1489</formula>
      <formula>9999</formula>
    </cfRule>
  </conditionalFormatting>
  <conditionalFormatting sqref="I1490">
    <cfRule type="cellIs" dxfId="787" priority="320" operator="between">
      <formula>K1490</formula>
      <formula>9999</formula>
    </cfRule>
  </conditionalFormatting>
  <conditionalFormatting sqref="I1491">
    <cfRule type="cellIs" dxfId="786" priority="319" operator="between">
      <formula>K1491</formula>
      <formula>9999</formula>
    </cfRule>
  </conditionalFormatting>
  <conditionalFormatting sqref="I1492">
    <cfRule type="cellIs" dxfId="785" priority="318" operator="between">
      <formula>K1492</formula>
      <formula>9999</formula>
    </cfRule>
  </conditionalFormatting>
  <conditionalFormatting sqref="I1493">
    <cfRule type="cellIs" dxfId="784" priority="317" operator="between">
      <formula>K1493</formula>
      <formula>9999</formula>
    </cfRule>
  </conditionalFormatting>
  <conditionalFormatting sqref="I1494">
    <cfRule type="cellIs" dxfId="783" priority="316" operator="between">
      <formula>K1494</formula>
      <formula>9999</formula>
    </cfRule>
  </conditionalFormatting>
  <conditionalFormatting sqref="I1496">
    <cfRule type="cellIs" dxfId="782" priority="315" operator="between">
      <formula>K1496</formula>
      <formula>9999</formula>
    </cfRule>
  </conditionalFormatting>
  <conditionalFormatting sqref="I1515">
    <cfRule type="cellIs" dxfId="781" priority="314" operator="between">
      <formula>K1515</formula>
      <formula>9999</formula>
    </cfRule>
  </conditionalFormatting>
  <conditionalFormatting sqref="H1326:H1328">
    <cfRule type="cellIs" dxfId="780" priority="313" operator="between">
      <formula>J1326</formula>
      <formula>9999</formula>
    </cfRule>
  </conditionalFormatting>
  <conditionalFormatting sqref="H1542">
    <cfRule type="cellIs" dxfId="779" priority="312" operator="between">
      <formula>J1542</formula>
      <formula>9999</formula>
    </cfRule>
  </conditionalFormatting>
  <conditionalFormatting sqref="H1543">
    <cfRule type="cellIs" dxfId="778" priority="311" operator="between">
      <formula>J1543</formula>
      <formula>9999</formula>
    </cfRule>
  </conditionalFormatting>
  <conditionalFormatting sqref="H1544">
    <cfRule type="cellIs" dxfId="777" priority="310" operator="between">
      <formula>J1544</formula>
      <formula>9999</formula>
    </cfRule>
  </conditionalFormatting>
  <conditionalFormatting sqref="H1548">
    <cfRule type="cellIs" dxfId="776" priority="309" operator="between">
      <formula>J1548</formula>
      <formula>9999</formula>
    </cfRule>
  </conditionalFormatting>
  <conditionalFormatting sqref="H1549">
    <cfRule type="cellIs" dxfId="775" priority="308" operator="between">
      <formula>J1549</formula>
      <formula>9999</formula>
    </cfRule>
  </conditionalFormatting>
  <conditionalFormatting sqref="H1550">
    <cfRule type="cellIs" dxfId="774" priority="307" operator="between">
      <formula>J1550</formula>
      <formula>9999</formula>
    </cfRule>
  </conditionalFormatting>
  <conditionalFormatting sqref="H1551">
    <cfRule type="cellIs" dxfId="773" priority="306" operator="between">
      <formula>J1551</formula>
      <formula>9999</formula>
    </cfRule>
  </conditionalFormatting>
  <conditionalFormatting sqref="H1552">
    <cfRule type="cellIs" dxfId="772" priority="305" operator="between">
      <formula>J1552</formula>
      <formula>9999</formula>
    </cfRule>
  </conditionalFormatting>
  <conditionalFormatting sqref="H1553">
    <cfRule type="cellIs" dxfId="771" priority="304" operator="between">
      <formula>J1553</formula>
      <formula>9999</formula>
    </cfRule>
  </conditionalFormatting>
  <conditionalFormatting sqref="I1563">
    <cfRule type="cellIs" dxfId="770" priority="303" operator="between">
      <formula>K1563</formula>
      <formula>9999</formula>
    </cfRule>
  </conditionalFormatting>
  <conditionalFormatting sqref="I1564">
    <cfRule type="cellIs" dxfId="769" priority="302" operator="between">
      <formula>K1564</formula>
      <formula>9999</formula>
    </cfRule>
  </conditionalFormatting>
  <conditionalFormatting sqref="I1565">
    <cfRule type="cellIs" dxfId="768" priority="301" operator="between">
      <formula>K1565</formula>
      <formula>9999</formula>
    </cfRule>
  </conditionalFormatting>
  <conditionalFormatting sqref="I1566">
    <cfRule type="cellIs" dxfId="767" priority="300" operator="between">
      <formula>K1566</formula>
      <formula>9999</formula>
    </cfRule>
  </conditionalFormatting>
  <conditionalFormatting sqref="I1567">
    <cfRule type="cellIs" dxfId="766" priority="299" operator="between">
      <formula>K1567</formula>
      <formula>9999</formula>
    </cfRule>
  </conditionalFormatting>
  <conditionalFormatting sqref="I1568">
    <cfRule type="cellIs" dxfId="765" priority="298" operator="between">
      <formula>K1568</formula>
      <formula>9999</formula>
    </cfRule>
  </conditionalFormatting>
  <conditionalFormatting sqref="I1569">
    <cfRule type="cellIs" dxfId="764" priority="297" operator="between">
      <formula>K1569</formula>
      <formula>9999</formula>
    </cfRule>
  </conditionalFormatting>
  <conditionalFormatting sqref="I1570">
    <cfRule type="cellIs" dxfId="763" priority="296" operator="between">
      <formula>K1570</formula>
      <formula>9999</formula>
    </cfRule>
  </conditionalFormatting>
  <conditionalFormatting sqref="I1571">
    <cfRule type="cellIs" dxfId="762" priority="295" operator="between">
      <formula>K1571</formula>
      <formula>9999</formula>
    </cfRule>
  </conditionalFormatting>
  <conditionalFormatting sqref="I1572">
    <cfRule type="cellIs" dxfId="761" priority="294" operator="between">
      <formula>K1572</formula>
      <formula>9999</formula>
    </cfRule>
  </conditionalFormatting>
  <conditionalFormatting sqref="I1573">
    <cfRule type="cellIs" dxfId="760" priority="293" operator="between">
      <formula>K1573</formula>
      <formula>9999</formula>
    </cfRule>
  </conditionalFormatting>
  <conditionalFormatting sqref="I1574">
    <cfRule type="cellIs" dxfId="759" priority="292" operator="between">
      <formula>K1574</formula>
      <formula>9999</formula>
    </cfRule>
  </conditionalFormatting>
  <conditionalFormatting sqref="I1575">
    <cfRule type="cellIs" dxfId="758" priority="291" operator="between">
      <formula>K1575</formula>
      <formula>9999</formula>
    </cfRule>
  </conditionalFormatting>
  <conditionalFormatting sqref="I1576">
    <cfRule type="cellIs" dxfId="757" priority="290" operator="between">
      <formula>K1576</formula>
      <formula>9999</formula>
    </cfRule>
  </conditionalFormatting>
  <conditionalFormatting sqref="I1577">
    <cfRule type="cellIs" dxfId="756" priority="289" operator="between">
      <formula>K1577</formula>
      <formula>9999</formula>
    </cfRule>
  </conditionalFormatting>
  <conditionalFormatting sqref="I1578">
    <cfRule type="cellIs" dxfId="755" priority="288" operator="between">
      <formula>K1578</formula>
      <formula>9999</formula>
    </cfRule>
  </conditionalFormatting>
  <conditionalFormatting sqref="I1579">
    <cfRule type="cellIs" dxfId="754" priority="287" operator="between">
      <formula>K1579</formula>
      <formula>9999</formula>
    </cfRule>
  </conditionalFormatting>
  <conditionalFormatting sqref="I1580">
    <cfRule type="cellIs" dxfId="753" priority="286" operator="between">
      <formula>K1580</formula>
      <formula>9999</formula>
    </cfRule>
  </conditionalFormatting>
  <conditionalFormatting sqref="I1582">
    <cfRule type="cellIs" dxfId="752" priority="285" operator="between">
      <formula>K1582</formula>
      <formula>9999</formula>
    </cfRule>
  </conditionalFormatting>
  <conditionalFormatting sqref="I1583">
    <cfRule type="cellIs" dxfId="751" priority="284" operator="between">
      <formula>K1583</formula>
      <formula>9999</formula>
    </cfRule>
  </conditionalFormatting>
  <conditionalFormatting sqref="I1584">
    <cfRule type="cellIs" dxfId="750" priority="283" operator="between">
      <formula>K1584</formula>
      <formula>9999</formula>
    </cfRule>
  </conditionalFormatting>
  <conditionalFormatting sqref="I1585">
    <cfRule type="cellIs" dxfId="749" priority="282" operator="between">
      <formula>K1585</formula>
      <formula>9999</formula>
    </cfRule>
  </conditionalFormatting>
  <conditionalFormatting sqref="I1586">
    <cfRule type="cellIs" dxfId="748" priority="281" operator="between">
      <formula>K1586</formula>
      <formula>9999</formula>
    </cfRule>
  </conditionalFormatting>
  <conditionalFormatting sqref="I1587">
    <cfRule type="cellIs" dxfId="747" priority="280" operator="between">
      <formula>K1587</formula>
      <formula>9999</formula>
    </cfRule>
  </conditionalFormatting>
  <conditionalFormatting sqref="I1588">
    <cfRule type="cellIs" dxfId="746" priority="279" operator="between">
      <formula>K1588</formula>
      <formula>9999</formula>
    </cfRule>
  </conditionalFormatting>
  <conditionalFormatting sqref="I1589">
    <cfRule type="cellIs" dxfId="745" priority="278" operator="between">
      <formula>K1589</formula>
      <formula>9999</formula>
    </cfRule>
  </conditionalFormatting>
  <conditionalFormatting sqref="I1590">
    <cfRule type="cellIs" dxfId="744" priority="277" operator="between">
      <formula>K1590</formula>
      <formula>9999</formula>
    </cfRule>
  </conditionalFormatting>
  <conditionalFormatting sqref="I1591">
    <cfRule type="cellIs" dxfId="743" priority="276" operator="between">
      <formula>K1591</formula>
      <formula>9999</formula>
    </cfRule>
  </conditionalFormatting>
  <conditionalFormatting sqref="I1592">
    <cfRule type="cellIs" dxfId="742" priority="275" operator="between">
      <formula>K1592</formula>
      <formula>9999</formula>
    </cfRule>
  </conditionalFormatting>
  <conditionalFormatting sqref="I1593">
    <cfRule type="cellIs" dxfId="741" priority="274" operator="between">
      <formula>K1593</formula>
      <formula>9999</formula>
    </cfRule>
  </conditionalFormatting>
  <conditionalFormatting sqref="I1594">
    <cfRule type="cellIs" dxfId="740" priority="273" operator="between">
      <formula>K1594</formula>
      <formula>9999</formula>
    </cfRule>
  </conditionalFormatting>
  <conditionalFormatting sqref="I1595">
    <cfRule type="cellIs" dxfId="739" priority="272" operator="between">
      <formula>K1595</formula>
      <formula>9999</formula>
    </cfRule>
  </conditionalFormatting>
  <conditionalFormatting sqref="I1596">
    <cfRule type="cellIs" dxfId="738" priority="271" operator="between">
      <formula>K1596</formula>
      <formula>9999</formula>
    </cfRule>
  </conditionalFormatting>
  <conditionalFormatting sqref="I1597">
    <cfRule type="cellIs" dxfId="737" priority="270" operator="between">
      <formula>K1597</formula>
      <formula>9999</formula>
    </cfRule>
  </conditionalFormatting>
  <conditionalFormatting sqref="I1598">
    <cfRule type="cellIs" dxfId="736" priority="269" operator="between">
      <formula>K1598</formula>
      <formula>9999</formula>
    </cfRule>
  </conditionalFormatting>
  <conditionalFormatting sqref="I1599">
    <cfRule type="cellIs" dxfId="735" priority="268" operator="between">
      <formula>K1599</formula>
      <formula>9999</formula>
    </cfRule>
  </conditionalFormatting>
  <conditionalFormatting sqref="I1601">
    <cfRule type="cellIs" dxfId="734" priority="267" operator="between">
      <formula>K1601</formula>
      <formula>9999</formula>
    </cfRule>
  </conditionalFormatting>
  <conditionalFormatting sqref="I1602">
    <cfRule type="cellIs" dxfId="733" priority="266" operator="between">
      <formula>K1602</formula>
      <formula>9999</formula>
    </cfRule>
  </conditionalFormatting>
  <conditionalFormatting sqref="I1603">
    <cfRule type="cellIs" dxfId="732" priority="265" operator="between">
      <formula>K1603</formula>
      <formula>9999</formula>
    </cfRule>
  </conditionalFormatting>
  <conditionalFormatting sqref="I1604">
    <cfRule type="cellIs" dxfId="731" priority="264" operator="between">
      <formula>K1604</formula>
      <formula>9999</formula>
    </cfRule>
  </conditionalFormatting>
  <conditionalFormatting sqref="I1605">
    <cfRule type="cellIs" dxfId="730" priority="263" operator="between">
      <formula>K1605</formula>
      <formula>9999</formula>
    </cfRule>
  </conditionalFormatting>
  <conditionalFormatting sqref="I1606">
    <cfRule type="cellIs" dxfId="729" priority="262" operator="between">
      <formula>K1606</formula>
      <formula>9999</formula>
    </cfRule>
  </conditionalFormatting>
  <conditionalFormatting sqref="I1607">
    <cfRule type="cellIs" dxfId="728" priority="261" operator="between">
      <formula>K1607</formula>
      <formula>9999</formula>
    </cfRule>
  </conditionalFormatting>
  <conditionalFormatting sqref="I1608">
    <cfRule type="cellIs" dxfId="727" priority="260" operator="between">
      <formula>K1608</formula>
      <formula>9999</formula>
    </cfRule>
  </conditionalFormatting>
  <conditionalFormatting sqref="I1609">
    <cfRule type="cellIs" dxfId="726" priority="259" operator="between">
      <formula>K1609</formula>
      <formula>9999</formula>
    </cfRule>
  </conditionalFormatting>
  <conditionalFormatting sqref="I1610">
    <cfRule type="cellIs" dxfId="725" priority="258" operator="between">
      <formula>K1610</formula>
      <formula>9999</formula>
    </cfRule>
  </conditionalFormatting>
  <conditionalFormatting sqref="I1611">
    <cfRule type="cellIs" dxfId="724" priority="257" operator="between">
      <formula>K1611</formula>
      <formula>9999</formula>
    </cfRule>
  </conditionalFormatting>
  <conditionalFormatting sqref="I1612">
    <cfRule type="cellIs" dxfId="723" priority="256" operator="between">
      <formula>K1612</formula>
      <formula>9999</formula>
    </cfRule>
  </conditionalFormatting>
  <conditionalFormatting sqref="I1613">
    <cfRule type="cellIs" dxfId="722" priority="255" operator="between">
      <formula>K1613</formula>
      <formula>9999</formula>
    </cfRule>
  </conditionalFormatting>
  <conditionalFormatting sqref="I1614">
    <cfRule type="cellIs" dxfId="721" priority="254" operator="between">
      <formula>K1614</formula>
      <formula>9999</formula>
    </cfRule>
  </conditionalFormatting>
  <conditionalFormatting sqref="I1615">
    <cfRule type="cellIs" dxfId="720" priority="253" operator="between">
      <formula>K1615</formula>
      <formula>9999</formula>
    </cfRule>
  </conditionalFormatting>
  <conditionalFormatting sqref="I1616">
    <cfRule type="cellIs" dxfId="719" priority="252" operator="between">
      <formula>K1616</formula>
      <formula>9999</formula>
    </cfRule>
  </conditionalFormatting>
  <conditionalFormatting sqref="I1617">
    <cfRule type="cellIs" dxfId="718" priority="251" operator="between">
      <formula>K1617</formula>
      <formula>9999</formula>
    </cfRule>
  </conditionalFormatting>
  <conditionalFormatting sqref="I1618">
    <cfRule type="cellIs" dxfId="717" priority="250" operator="between">
      <formula>K1618</formula>
      <formula>9999</formula>
    </cfRule>
  </conditionalFormatting>
  <conditionalFormatting sqref="I1620">
    <cfRule type="cellIs" dxfId="716" priority="249" operator="between">
      <formula>K1620</formula>
      <formula>9999</formula>
    </cfRule>
  </conditionalFormatting>
  <conditionalFormatting sqref="I1621">
    <cfRule type="cellIs" dxfId="715" priority="248" operator="between">
      <formula>K1621</formula>
      <formula>9999</formula>
    </cfRule>
  </conditionalFormatting>
  <conditionalFormatting sqref="I1622">
    <cfRule type="cellIs" dxfId="714" priority="247" operator="between">
      <formula>K1622</formula>
      <formula>9999</formula>
    </cfRule>
  </conditionalFormatting>
  <conditionalFormatting sqref="I1623">
    <cfRule type="cellIs" dxfId="713" priority="246" operator="between">
      <formula>K1623</formula>
      <formula>9999</formula>
    </cfRule>
  </conditionalFormatting>
  <conditionalFormatting sqref="I1624">
    <cfRule type="cellIs" dxfId="712" priority="245" operator="between">
      <formula>K1624</formula>
      <formula>9999</formula>
    </cfRule>
  </conditionalFormatting>
  <conditionalFormatting sqref="I1625">
    <cfRule type="cellIs" dxfId="711" priority="244" operator="between">
      <formula>K1625</formula>
      <formula>9999</formula>
    </cfRule>
  </conditionalFormatting>
  <conditionalFormatting sqref="I1626">
    <cfRule type="cellIs" dxfId="710" priority="243" operator="between">
      <formula>K1626</formula>
      <formula>9999</formula>
    </cfRule>
  </conditionalFormatting>
  <conditionalFormatting sqref="I1627">
    <cfRule type="cellIs" dxfId="709" priority="242" operator="between">
      <formula>K1627</formula>
      <formula>9999</formula>
    </cfRule>
  </conditionalFormatting>
  <conditionalFormatting sqref="I1628">
    <cfRule type="cellIs" dxfId="708" priority="241" operator="between">
      <formula>K1628</formula>
      <formula>9999</formula>
    </cfRule>
  </conditionalFormatting>
  <conditionalFormatting sqref="I1629">
    <cfRule type="cellIs" dxfId="707" priority="240" operator="between">
      <formula>K1629</formula>
      <formula>9999</formula>
    </cfRule>
  </conditionalFormatting>
  <conditionalFormatting sqref="I1630">
    <cfRule type="cellIs" dxfId="706" priority="239" operator="between">
      <formula>K1630</formula>
      <formula>9999</formula>
    </cfRule>
  </conditionalFormatting>
  <conditionalFormatting sqref="I1631">
    <cfRule type="cellIs" dxfId="705" priority="238" operator="between">
      <formula>K1631</formula>
      <formula>9999</formula>
    </cfRule>
  </conditionalFormatting>
  <conditionalFormatting sqref="I1632">
    <cfRule type="cellIs" dxfId="704" priority="237" operator="between">
      <formula>K1632</formula>
      <formula>9999</formula>
    </cfRule>
  </conditionalFormatting>
  <conditionalFormatting sqref="I1633">
    <cfRule type="cellIs" dxfId="703" priority="236" operator="between">
      <formula>K1633</formula>
      <formula>9999</formula>
    </cfRule>
  </conditionalFormatting>
  <conditionalFormatting sqref="I1634">
    <cfRule type="cellIs" dxfId="702" priority="235" operator="between">
      <formula>K1634</formula>
      <formula>9999</formula>
    </cfRule>
  </conditionalFormatting>
  <conditionalFormatting sqref="I1635">
    <cfRule type="cellIs" dxfId="701" priority="234" operator="between">
      <formula>K1635</formula>
      <formula>9999</formula>
    </cfRule>
  </conditionalFormatting>
  <conditionalFormatting sqref="I1636">
    <cfRule type="cellIs" dxfId="700" priority="233" operator="between">
      <formula>K1636</formula>
      <formula>9999</formula>
    </cfRule>
  </conditionalFormatting>
  <conditionalFormatting sqref="I1637">
    <cfRule type="cellIs" dxfId="699" priority="232" operator="between">
      <formula>K1637</formula>
      <formula>9999</formula>
    </cfRule>
  </conditionalFormatting>
  <conditionalFormatting sqref="I1639">
    <cfRule type="cellIs" dxfId="698" priority="231" operator="between">
      <formula>K1639</formula>
      <formula>9999</formula>
    </cfRule>
  </conditionalFormatting>
  <conditionalFormatting sqref="I1640">
    <cfRule type="cellIs" dxfId="697" priority="230" operator="between">
      <formula>K1640</formula>
      <formula>9999</formula>
    </cfRule>
  </conditionalFormatting>
  <conditionalFormatting sqref="I1641">
    <cfRule type="cellIs" dxfId="696" priority="229" operator="between">
      <formula>K1641</formula>
      <formula>9999</formula>
    </cfRule>
  </conditionalFormatting>
  <conditionalFormatting sqref="I1642">
    <cfRule type="cellIs" dxfId="695" priority="228" operator="between">
      <formula>K1642</formula>
      <formula>9999</formula>
    </cfRule>
  </conditionalFormatting>
  <conditionalFormatting sqref="I1643">
    <cfRule type="cellIs" dxfId="694" priority="227" operator="between">
      <formula>K1643</formula>
      <formula>9999</formula>
    </cfRule>
  </conditionalFormatting>
  <conditionalFormatting sqref="I1644">
    <cfRule type="cellIs" dxfId="693" priority="226" operator="between">
      <formula>K1644</formula>
      <formula>9999</formula>
    </cfRule>
  </conditionalFormatting>
  <conditionalFormatting sqref="I1645">
    <cfRule type="cellIs" dxfId="692" priority="225" operator="between">
      <formula>K1645</formula>
      <formula>9999</formula>
    </cfRule>
  </conditionalFormatting>
  <conditionalFormatting sqref="I1646">
    <cfRule type="cellIs" dxfId="691" priority="224" operator="between">
      <formula>K1646</formula>
      <formula>9999</formula>
    </cfRule>
  </conditionalFormatting>
  <conditionalFormatting sqref="I1647">
    <cfRule type="cellIs" dxfId="690" priority="223" operator="between">
      <formula>K1647</formula>
      <formula>9999</formula>
    </cfRule>
  </conditionalFormatting>
  <conditionalFormatting sqref="I1648">
    <cfRule type="cellIs" dxfId="689" priority="222" operator="between">
      <formula>K1648</formula>
      <formula>9999</formula>
    </cfRule>
  </conditionalFormatting>
  <conditionalFormatting sqref="I1649">
    <cfRule type="cellIs" dxfId="688" priority="221" operator="between">
      <formula>K1649</formula>
      <formula>9999</formula>
    </cfRule>
  </conditionalFormatting>
  <conditionalFormatting sqref="I1650">
    <cfRule type="cellIs" dxfId="687" priority="220" operator="between">
      <formula>K1650</formula>
      <formula>9999</formula>
    </cfRule>
  </conditionalFormatting>
  <conditionalFormatting sqref="I1651">
    <cfRule type="cellIs" dxfId="686" priority="219" operator="between">
      <formula>K1651</formula>
      <formula>9999</formula>
    </cfRule>
  </conditionalFormatting>
  <conditionalFormatting sqref="I1652">
    <cfRule type="cellIs" dxfId="685" priority="218" operator="between">
      <formula>K1652</formula>
      <formula>9999</formula>
    </cfRule>
  </conditionalFormatting>
  <conditionalFormatting sqref="I1653">
    <cfRule type="cellIs" dxfId="684" priority="217" operator="between">
      <formula>K1653</formula>
      <formula>9999</formula>
    </cfRule>
  </conditionalFormatting>
  <conditionalFormatting sqref="I1654">
    <cfRule type="cellIs" dxfId="683" priority="216" operator="between">
      <formula>K1654</formula>
      <formula>9999</formula>
    </cfRule>
  </conditionalFormatting>
  <conditionalFormatting sqref="I1655">
    <cfRule type="cellIs" dxfId="682" priority="215" operator="between">
      <formula>K1655</formula>
      <formula>9999</formula>
    </cfRule>
  </conditionalFormatting>
  <conditionalFormatting sqref="I1656">
    <cfRule type="cellIs" dxfId="681" priority="214" operator="between">
      <formula>K1656</formula>
      <formula>9999</formula>
    </cfRule>
  </conditionalFormatting>
  <conditionalFormatting sqref="I1658">
    <cfRule type="cellIs" dxfId="680" priority="213" operator="between">
      <formula>K1658</formula>
      <formula>9999</formula>
    </cfRule>
  </conditionalFormatting>
  <conditionalFormatting sqref="I1659">
    <cfRule type="cellIs" dxfId="679" priority="212" operator="between">
      <formula>K1659</formula>
      <formula>9999</formula>
    </cfRule>
  </conditionalFormatting>
  <conditionalFormatting sqref="I1660">
    <cfRule type="cellIs" dxfId="678" priority="211" operator="between">
      <formula>K1660</formula>
      <formula>9999</formula>
    </cfRule>
  </conditionalFormatting>
  <conditionalFormatting sqref="I1661">
    <cfRule type="cellIs" dxfId="677" priority="210" operator="between">
      <formula>K1661</formula>
      <formula>9999</formula>
    </cfRule>
  </conditionalFormatting>
  <conditionalFormatting sqref="I1662">
    <cfRule type="cellIs" dxfId="676" priority="209" operator="between">
      <formula>K1662</formula>
      <formula>9999</formula>
    </cfRule>
  </conditionalFormatting>
  <conditionalFormatting sqref="I1663">
    <cfRule type="cellIs" dxfId="675" priority="208" operator="between">
      <formula>K1663</formula>
      <formula>9999</formula>
    </cfRule>
  </conditionalFormatting>
  <conditionalFormatting sqref="I1664">
    <cfRule type="cellIs" dxfId="674" priority="207" operator="between">
      <formula>K1664</formula>
      <formula>9999</formula>
    </cfRule>
  </conditionalFormatting>
  <conditionalFormatting sqref="I1665">
    <cfRule type="cellIs" dxfId="673" priority="206" operator="between">
      <formula>K1665</formula>
      <formula>9999</formula>
    </cfRule>
  </conditionalFormatting>
  <conditionalFormatting sqref="I1666">
    <cfRule type="cellIs" dxfId="672" priority="205" operator="between">
      <formula>K1666</formula>
      <formula>9999</formula>
    </cfRule>
  </conditionalFormatting>
  <conditionalFormatting sqref="I1667">
    <cfRule type="cellIs" dxfId="671" priority="204" operator="between">
      <formula>K1667</formula>
      <formula>9999</formula>
    </cfRule>
  </conditionalFormatting>
  <conditionalFormatting sqref="I1668">
    <cfRule type="cellIs" dxfId="670" priority="203" operator="between">
      <formula>K1668</formula>
      <formula>9999</formula>
    </cfRule>
  </conditionalFormatting>
  <conditionalFormatting sqref="I1669">
    <cfRule type="cellIs" dxfId="669" priority="202" operator="between">
      <formula>K1669</formula>
      <formula>9999</formula>
    </cfRule>
  </conditionalFormatting>
  <conditionalFormatting sqref="I1670">
    <cfRule type="cellIs" dxfId="668" priority="201" operator="between">
      <formula>K1670</formula>
      <formula>9999</formula>
    </cfRule>
  </conditionalFormatting>
  <conditionalFormatting sqref="I1671">
    <cfRule type="cellIs" dxfId="667" priority="200" operator="between">
      <formula>K1671</formula>
      <formula>9999</formula>
    </cfRule>
  </conditionalFormatting>
  <conditionalFormatting sqref="I1672">
    <cfRule type="cellIs" dxfId="666" priority="199" operator="between">
      <formula>K1672</formula>
      <formula>9999</formula>
    </cfRule>
  </conditionalFormatting>
  <conditionalFormatting sqref="I1673">
    <cfRule type="cellIs" dxfId="665" priority="198" operator="between">
      <formula>K1673</formula>
      <formula>9999</formula>
    </cfRule>
  </conditionalFormatting>
  <conditionalFormatting sqref="I1674">
    <cfRule type="cellIs" dxfId="664" priority="197" operator="between">
      <formula>K1674</formula>
      <formula>9999</formula>
    </cfRule>
  </conditionalFormatting>
  <conditionalFormatting sqref="I1675">
    <cfRule type="cellIs" dxfId="663" priority="196" operator="between">
      <formula>K1675</formula>
      <formula>9999</formula>
    </cfRule>
  </conditionalFormatting>
  <conditionalFormatting sqref="I1677">
    <cfRule type="cellIs" dxfId="662" priority="195" operator="between">
      <formula>K1677</formula>
      <formula>9999</formula>
    </cfRule>
  </conditionalFormatting>
  <conditionalFormatting sqref="I1678">
    <cfRule type="cellIs" dxfId="661" priority="194" operator="between">
      <formula>K1678</formula>
      <formula>9999</formula>
    </cfRule>
  </conditionalFormatting>
  <conditionalFormatting sqref="I1679">
    <cfRule type="cellIs" dxfId="660" priority="193" operator="between">
      <formula>K1679</formula>
      <formula>9999</formula>
    </cfRule>
  </conditionalFormatting>
  <conditionalFormatting sqref="I1680">
    <cfRule type="cellIs" dxfId="659" priority="192" operator="between">
      <formula>K1680</formula>
      <formula>9999</formula>
    </cfRule>
  </conditionalFormatting>
  <conditionalFormatting sqref="I1681">
    <cfRule type="cellIs" dxfId="658" priority="191" operator="between">
      <formula>K1681</formula>
      <formula>9999</formula>
    </cfRule>
  </conditionalFormatting>
  <conditionalFormatting sqref="I1682">
    <cfRule type="cellIs" dxfId="657" priority="190" operator="between">
      <formula>K1682</formula>
      <formula>9999</formula>
    </cfRule>
  </conditionalFormatting>
  <conditionalFormatting sqref="I1683">
    <cfRule type="cellIs" dxfId="656" priority="189" operator="between">
      <formula>K1683</formula>
      <formula>9999</formula>
    </cfRule>
  </conditionalFormatting>
  <conditionalFormatting sqref="I1684">
    <cfRule type="cellIs" dxfId="655" priority="188" operator="between">
      <formula>K1684</formula>
      <formula>9999</formula>
    </cfRule>
  </conditionalFormatting>
  <conditionalFormatting sqref="I1685">
    <cfRule type="cellIs" dxfId="654" priority="187" operator="between">
      <formula>K1685</formula>
      <formula>9999</formula>
    </cfRule>
  </conditionalFormatting>
  <conditionalFormatting sqref="I1686">
    <cfRule type="cellIs" dxfId="653" priority="186" operator="between">
      <formula>K1686</formula>
      <formula>9999</formula>
    </cfRule>
  </conditionalFormatting>
  <conditionalFormatting sqref="I1687">
    <cfRule type="cellIs" dxfId="652" priority="185" operator="between">
      <formula>K1687</formula>
      <formula>9999</formula>
    </cfRule>
  </conditionalFormatting>
  <conditionalFormatting sqref="I1688">
    <cfRule type="cellIs" dxfId="651" priority="184" operator="between">
      <formula>K1688</formula>
      <formula>9999</formula>
    </cfRule>
  </conditionalFormatting>
  <conditionalFormatting sqref="I1689">
    <cfRule type="cellIs" dxfId="650" priority="183" operator="between">
      <formula>K1689</formula>
      <formula>9999</formula>
    </cfRule>
  </conditionalFormatting>
  <conditionalFormatting sqref="I1690">
    <cfRule type="cellIs" dxfId="649" priority="182" operator="between">
      <formula>K1690</formula>
      <formula>9999</formula>
    </cfRule>
  </conditionalFormatting>
  <conditionalFormatting sqref="I1691">
    <cfRule type="cellIs" dxfId="648" priority="181" operator="between">
      <formula>K1691</formula>
      <formula>9999</formula>
    </cfRule>
  </conditionalFormatting>
  <conditionalFormatting sqref="I1692">
    <cfRule type="cellIs" dxfId="647" priority="180" operator="between">
      <formula>K1692</formula>
      <formula>9999</formula>
    </cfRule>
  </conditionalFormatting>
  <conditionalFormatting sqref="I1693">
    <cfRule type="cellIs" dxfId="646" priority="179" operator="between">
      <formula>K1693</formula>
      <formula>9999</formula>
    </cfRule>
  </conditionalFormatting>
  <conditionalFormatting sqref="I1694">
    <cfRule type="cellIs" dxfId="645" priority="178" operator="between">
      <formula>K1694</formula>
      <formula>9999</formula>
    </cfRule>
  </conditionalFormatting>
  <conditionalFormatting sqref="I1696">
    <cfRule type="cellIs" dxfId="644" priority="177" operator="between">
      <formula>K1696</formula>
      <formula>9999</formula>
    </cfRule>
  </conditionalFormatting>
  <conditionalFormatting sqref="I1697">
    <cfRule type="cellIs" dxfId="643" priority="176" operator="between">
      <formula>K1697</formula>
      <formula>9999</formula>
    </cfRule>
  </conditionalFormatting>
  <conditionalFormatting sqref="I1698">
    <cfRule type="cellIs" dxfId="642" priority="175" operator="between">
      <formula>K1698</formula>
      <formula>9999</formula>
    </cfRule>
  </conditionalFormatting>
  <conditionalFormatting sqref="I1699">
    <cfRule type="cellIs" dxfId="641" priority="174" operator="between">
      <formula>K1699</formula>
      <formula>9999</formula>
    </cfRule>
  </conditionalFormatting>
  <conditionalFormatting sqref="I1700">
    <cfRule type="cellIs" dxfId="640" priority="173" operator="between">
      <formula>K1700</formula>
      <formula>9999</formula>
    </cfRule>
  </conditionalFormatting>
  <conditionalFormatting sqref="I1701">
    <cfRule type="cellIs" dxfId="639" priority="172" operator="between">
      <formula>K1701</formula>
      <formula>9999</formula>
    </cfRule>
  </conditionalFormatting>
  <conditionalFormatting sqref="I1702">
    <cfRule type="cellIs" dxfId="638" priority="171" operator="between">
      <formula>K1702</formula>
      <formula>9999</formula>
    </cfRule>
  </conditionalFormatting>
  <conditionalFormatting sqref="I1703">
    <cfRule type="cellIs" dxfId="637" priority="170" operator="between">
      <formula>K1703</formula>
      <formula>9999</formula>
    </cfRule>
  </conditionalFormatting>
  <conditionalFormatting sqref="I1704">
    <cfRule type="cellIs" dxfId="636" priority="169" operator="between">
      <formula>K1704</formula>
      <formula>9999</formula>
    </cfRule>
  </conditionalFormatting>
  <conditionalFormatting sqref="I1705">
    <cfRule type="cellIs" dxfId="635" priority="168" operator="between">
      <formula>K1705</formula>
      <formula>9999</formula>
    </cfRule>
  </conditionalFormatting>
  <conditionalFormatting sqref="I1706">
    <cfRule type="cellIs" dxfId="634" priority="167" operator="between">
      <formula>K1706</formula>
      <formula>9999</formula>
    </cfRule>
  </conditionalFormatting>
  <conditionalFormatting sqref="I1707">
    <cfRule type="cellIs" dxfId="633" priority="166" operator="between">
      <formula>K1707</formula>
      <formula>9999</formula>
    </cfRule>
  </conditionalFormatting>
  <conditionalFormatting sqref="I1708">
    <cfRule type="cellIs" dxfId="632" priority="165" operator="between">
      <formula>K1708</formula>
      <formula>9999</formula>
    </cfRule>
  </conditionalFormatting>
  <conditionalFormatting sqref="I1709">
    <cfRule type="cellIs" dxfId="631" priority="164" operator="between">
      <formula>K1709</formula>
      <formula>9999</formula>
    </cfRule>
  </conditionalFormatting>
  <conditionalFormatting sqref="I1710">
    <cfRule type="cellIs" dxfId="630" priority="163" operator="between">
      <formula>K1710</formula>
      <formula>9999</formula>
    </cfRule>
  </conditionalFormatting>
  <conditionalFormatting sqref="I1711">
    <cfRule type="cellIs" dxfId="629" priority="162" operator="between">
      <formula>K1711</formula>
      <formula>9999</formula>
    </cfRule>
  </conditionalFormatting>
  <conditionalFormatting sqref="I1712">
    <cfRule type="cellIs" dxfId="628" priority="161" operator="between">
      <formula>K1712</formula>
      <formula>9999</formula>
    </cfRule>
  </conditionalFormatting>
  <conditionalFormatting sqref="I1713">
    <cfRule type="cellIs" dxfId="627" priority="160" operator="between">
      <formula>K1713</formula>
      <formula>9999</formula>
    </cfRule>
  </conditionalFormatting>
  <conditionalFormatting sqref="I1715">
    <cfRule type="cellIs" dxfId="626" priority="159" operator="between">
      <formula>K1715</formula>
      <formula>9999</formula>
    </cfRule>
  </conditionalFormatting>
  <conditionalFormatting sqref="I1734">
    <cfRule type="cellIs" dxfId="625" priority="158" operator="between">
      <formula>K1734</formula>
      <formula>9999</formula>
    </cfRule>
  </conditionalFormatting>
  <conditionalFormatting sqref="H1545:H1547">
    <cfRule type="cellIs" dxfId="624" priority="157" operator="between">
      <formula>J1545</formula>
      <formula>9999</formula>
    </cfRule>
  </conditionalFormatting>
  <conditionalFormatting sqref="H1761">
    <cfRule type="cellIs" dxfId="623" priority="156" operator="between">
      <formula>J1761</formula>
      <formula>9999</formula>
    </cfRule>
  </conditionalFormatting>
  <conditionalFormatting sqref="H1762">
    <cfRule type="cellIs" dxfId="622" priority="155" operator="between">
      <formula>J1762</formula>
      <formula>9999</formula>
    </cfRule>
  </conditionalFormatting>
  <conditionalFormatting sqref="H1763">
    <cfRule type="cellIs" dxfId="621" priority="154" operator="between">
      <formula>J1763</formula>
      <formula>9999</formula>
    </cfRule>
  </conditionalFormatting>
  <conditionalFormatting sqref="H1767">
    <cfRule type="cellIs" dxfId="620" priority="153" operator="between">
      <formula>J1767</formula>
      <formula>9999</formula>
    </cfRule>
  </conditionalFormatting>
  <conditionalFormatting sqref="H1768">
    <cfRule type="cellIs" dxfId="619" priority="152" operator="between">
      <formula>J1768</formula>
      <formula>9999</formula>
    </cfRule>
  </conditionalFormatting>
  <conditionalFormatting sqref="H1769">
    <cfRule type="cellIs" dxfId="618" priority="151" operator="between">
      <formula>J1769</formula>
      <formula>9999</formula>
    </cfRule>
  </conditionalFormatting>
  <conditionalFormatting sqref="H1770">
    <cfRule type="cellIs" dxfId="617" priority="150" operator="between">
      <formula>J1770</formula>
      <formula>9999</formula>
    </cfRule>
  </conditionalFormatting>
  <conditionalFormatting sqref="H1771">
    <cfRule type="cellIs" dxfId="616" priority="149" operator="between">
      <formula>J1771</formula>
      <formula>9999</formula>
    </cfRule>
  </conditionalFormatting>
  <conditionalFormatting sqref="H1772">
    <cfRule type="cellIs" dxfId="615" priority="148" operator="between">
      <formula>J1772</formula>
      <formula>9999</formula>
    </cfRule>
  </conditionalFormatting>
  <conditionalFormatting sqref="I1782">
    <cfRule type="cellIs" dxfId="614" priority="147" operator="between">
      <formula>K1782</formula>
      <formula>9999</formula>
    </cfRule>
  </conditionalFormatting>
  <conditionalFormatting sqref="I1783">
    <cfRule type="cellIs" dxfId="613" priority="146" operator="between">
      <formula>K1783</formula>
      <formula>9999</formula>
    </cfRule>
  </conditionalFormatting>
  <conditionalFormatting sqref="I1784">
    <cfRule type="cellIs" dxfId="612" priority="145" operator="between">
      <formula>K1784</formula>
      <formula>9999</formula>
    </cfRule>
  </conditionalFormatting>
  <conditionalFormatting sqref="I1785">
    <cfRule type="cellIs" dxfId="611" priority="144" operator="between">
      <formula>K1785</formula>
      <formula>9999</formula>
    </cfRule>
  </conditionalFormatting>
  <conditionalFormatting sqref="I1786">
    <cfRule type="cellIs" dxfId="610" priority="143" operator="between">
      <formula>K1786</formula>
      <formula>9999</formula>
    </cfRule>
  </conditionalFormatting>
  <conditionalFormatting sqref="I1787">
    <cfRule type="cellIs" dxfId="609" priority="142" operator="between">
      <formula>K1787</formula>
      <formula>9999</formula>
    </cfRule>
  </conditionalFormatting>
  <conditionalFormatting sqref="I1788">
    <cfRule type="cellIs" dxfId="608" priority="141" operator="between">
      <formula>K1788</formula>
      <formula>9999</formula>
    </cfRule>
  </conditionalFormatting>
  <conditionalFormatting sqref="I1789">
    <cfRule type="cellIs" dxfId="607" priority="140" operator="between">
      <formula>K1789</formula>
      <formula>9999</formula>
    </cfRule>
  </conditionalFormatting>
  <conditionalFormatting sqref="I1790">
    <cfRule type="cellIs" dxfId="606" priority="139" operator="between">
      <formula>K1790</formula>
      <formula>9999</formula>
    </cfRule>
  </conditionalFormatting>
  <conditionalFormatting sqref="I1791">
    <cfRule type="cellIs" dxfId="605" priority="138" operator="between">
      <formula>K1791</formula>
      <formula>9999</formula>
    </cfRule>
  </conditionalFormatting>
  <conditionalFormatting sqref="I1792">
    <cfRule type="cellIs" dxfId="604" priority="137" operator="between">
      <formula>K1792</formula>
      <formula>9999</formula>
    </cfRule>
  </conditionalFormatting>
  <conditionalFormatting sqref="I1793">
    <cfRule type="cellIs" dxfId="603" priority="136" operator="between">
      <formula>K1793</formula>
      <formula>9999</formula>
    </cfRule>
  </conditionalFormatting>
  <conditionalFormatting sqref="I1794">
    <cfRule type="cellIs" dxfId="602" priority="135" operator="between">
      <formula>K1794</formula>
      <formula>9999</formula>
    </cfRule>
  </conditionalFormatting>
  <conditionalFormatting sqref="I1795">
    <cfRule type="cellIs" dxfId="601" priority="134" operator="between">
      <formula>K1795</formula>
      <formula>9999</formula>
    </cfRule>
  </conditionalFormatting>
  <conditionalFormatting sqref="I1796">
    <cfRule type="cellIs" dxfId="600" priority="133" operator="between">
      <formula>K1796</formula>
      <formula>9999</formula>
    </cfRule>
  </conditionalFormatting>
  <conditionalFormatting sqref="I1797">
    <cfRule type="cellIs" dxfId="599" priority="132" operator="between">
      <formula>K1797</formula>
      <formula>9999</formula>
    </cfRule>
  </conditionalFormatting>
  <conditionalFormatting sqref="I1798">
    <cfRule type="cellIs" dxfId="598" priority="131" operator="between">
      <formula>K1798</formula>
      <formula>9999</formula>
    </cfRule>
  </conditionalFormatting>
  <conditionalFormatting sqref="I1799">
    <cfRule type="cellIs" dxfId="597" priority="130" operator="between">
      <formula>K1799</formula>
      <formula>9999</formula>
    </cfRule>
  </conditionalFormatting>
  <conditionalFormatting sqref="I1801">
    <cfRule type="cellIs" dxfId="596" priority="129" operator="between">
      <formula>K1801</formula>
      <formula>9999</formula>
    </cfRule>
  </conditionalFormatting>
  <conditionalFormatting sqref="I1802">
    <cfRule type="cellIs" dxfId="595" priority="128" operator="between">
      <formula>K1802</formula>
      <formula>9999</formula>
    </cfRule>
  </conditionalFormatting>
  <conditionalFormatting sqref="I1803">
    <cfRule type="cellIs" dxfId="594" priority="127" operator="between">
      <formula>K1803</formula>
      <formula>9999</formula>
    </cfRule>
  </conditionalFormatting>
  <conditionalFormatting sqref="I1804">
    <cfRule type="cellIs" dxfId="593" priority="126" operator="between">
      <formula>K1804</formula>
      <formula>9999</formula>
    </cfRule>
  </conditionalFormatting>
  <conditionalFormatting sqref="I1805">
    <cfRule type="cellIs" dxfId="592" priority="125" operator="between">
      <formula>K1805</formula>
      <formula>9999</formula>
    </cfRule>
  </conditionalFormatting>
  <conditionalFormatting sqref="I1806">
    <cfRule type="cellIs" dxfId="591" priority="124" operator="between">
      <formula>K1806</formula>
      <formula>9999</formula>
    </cfRule>
  </conditionalFormatting>
  <conditionalFormatting sqref="I1807">
    <cfRule type="cellIs" dxfId="590" priority="123" operator="between">
      <formula>K1807</formula>
      <formula>9999</formula>
    </cfRule>
  </conditionalFormatting>
  <conditionalFormatting sqref="I1808">
    <cfRule type="cellIs" dxfId="589" priority="122" operator="between">
      <formula>K1808</formula>
      <formula>9999</formula>
    </cfRule>
  </conditionalFormatting>
  <conditionalFormatting sqref="I1809">
    <cfRule type="cellIs" dxfId="588" priority="121" operator="between">
      <formula>K1809</formula>
      <formula>9999</formula>
    </cfRule>
  </conditionalFormatting>
  <conditionalFormatting sqref="I1810">
    <cfRule type="cellIs" dxfId="587" priority="120" operator="between">
      <formula>K1810</formula>
      <formula>9999</formula>
    </cfRule>
  </conditionalFormatting>
  <conditionalFormatting sqref="I1811">
    <cfRule type="cellIs" dxfId="586" priority="119" operator="between">
      <formula>K1811</formula>
      <formula>9999</formula>
    </cfRule>
  </conditionalFormatting>
  <conditionalFormatting sqref="I1812">
    <cfRule type="cellIs" dxfId="585" priority="118" operator="between">
      <formula>K1812</formula>
      <formula>9999</formula>
    </cfRule>
  </conditionalFormatting>
  <conditionalFormatting sqref="I1813">
    <cfRule type="cellIs" dxfId="584" priority="117" operator="between">
      <formula>K1813</formula>
      <formula>9999</formula>
    </cfRule>
  </conditionalFormatting>
  <conditionalFormatting sqref="I1814">
    <cfRule type="cellIs" dxfId="583" priority="116" operator="between">
      <formula>K1814</formula>
      <formula>9999</formula>
    </cfRule>
  </conditionalFormatting>
  <conditionalFormatting sqref="I1815">
    <cfRule type="cellIs" dxfId="582" priority="115" operator="between">
      <formula>K1815</formula>
      <formula>9999</formula>
    </cfRule>
  </conditionalFormatting>
  <conditionalFormatting sqref="I1816">
    <cfRule type="cellIs" dxfId="581" priority="114" operator="between">
      <formula>K1816</formula>
      <formula>9999</formula>
    </cfRule>
  </conditionalFormatting>
  <conditionalFormatting sqref="I1817">
    <cfRule type="cellIs" dxfId="580" priority="113" operator="between">
      <formula>K1817</formula>
      <formula>9999</formula>
    </cfRule>
  </conditionalFormatting>
  <conditionalFormatting sqref="I1818">
    <cfRule type="cellIs" dxfId="579" priority="112" operator="between">
      <formula>K1818</formula>
      <formula>9999</formula>
    </cfRule>
  </conditionalFormatting>
  <conditionalFormatting sqref="I1820">
    <cfRule type="cellIs" dxfId="578" priority="111" operator="between">
      <formula>K1820</formula>
      <formula>9999</formula>
    </cfRule>
  </conditionalFormatting>
  <conditionalFormatting sqref="I1821">
    <cfRule type="cellIs" dxfId="577" priority="110" operator="between">
      <formula>K1821</formula>
      <formula>9999</formula>
    </cfRule>
  </conditionalFormatting>
  <conditionalFormatting sqref="I1822">
    <cfRule type="cellIs" dxfId="576" priority="109" operator="between">
      <formula>K1822</formula>
      <formula>9999</formula>
    </cfRule>
  </conditionalFormatting>
  <conditionalFormatting sqref="I1823">
    <cfRule type="cellIs" dxfId="575" priority="108" operator="between">
      <formula>K1823</formula>
      <formula>9999</formula>
    </cfRule>
  </conditionalFormatting>
  <conditionalFormatting sqref="I1824">
    <cfRule type="cellIs" dxfId="574" priority="107" operator="between">
      <formula>K1824</formula>
      <formula>9999</formula>
    </cfRule>
  </conditionalFormatting>
  <conditionalFormatting sqref="I1825">
    <cfRule type="cellIs" dxfId="573" priority="106" operator="between">
      <formula>K1825</formula>
      <formula>9999</formula>
    </cfRule>
  </conditionalFormatting>
  <conditionalFormatting sqref="I1826">
    <cfRule type="cellIs" dxfId="572" priority="105" operator="between">
      <formula>K1826</formula>
      <formula>9999</formula>
    </cfRule>
  </conditionalFormatting>
  <conditionalFormatting sqref="I1827">
    <cfRule type="cellIs" dxfId="571" priority="104" operator="between">
      <formula>K1827</formula>
      <formula>9999</formula>
    </cfRule>
  </conditionalFormatting>
  <conditionalFormatting sqref="I1828">
    <cfRule type="cellIs" dxfId="570" priority="103" operator="between">
      <formula>K1828</formula>
      <formula>9999</formula>
    </cfRule>
  </conditionalFormatting>
  <conditionalFormatting sqref="I1829">
    <cfRule type="cellIs" dxfId="569" priority="102" operator="between">
      <formula>K1829</formula>
      <formula>9999</formula>
    </cfRule>
  </conditionalFormatting>
  <conditionalFormatting sqref="I1830">
    <cfRule type="cellIs" dxfId="568" priority="101" operator="between">
      <formula>K1830</formula>
      <formula>9999</formula>
    </cfRule>
  </conditionalFormatting>
  <conditionalFormatting sqref="I1831">
    <cfRule type="cellIs" dxfId="567" priority="100" operator="between">
      <formula>K1831</formula>
      <formula>9999</formula>
    </cfRule>
  </conditionalFormatting>
  <conditionalFormatting sqref="I1832">
    <cfRule type="cellIs" dxfId="566" priority="99" operator="between">
      <formula>K1832</formula>
      <formula>9999</formula>
    </cfRule>
  </conditionalFormatting>
  <conditionalFormatting sqref="I1833">
    <cfRule type="cellIs" dxfId="565" priority="98" operator="between">
      <formula>K1833</formula>
      <formula>9999</formula>
    </cfRule>
  </conditionalFormatting>
  <conditionalFormatting sqref="I1834">
    <cfRule type="cellIs" dxfId="564" priority="97" operator="between">
      <formula>K1834</formula>
      <formula>9999</formula>
    </cfRule>
  </conditionalFormatting>
  <conditionalFormatting sqref="I1835">
    <cfRule type="cellIs" dxfId="563" priority="96" operator="between">
      <formula>K1835</formula>
      <formula>9999</formula>
    </cfRule>
  </conditionalFormatting>
  <conditionalFormatting sqref="I1836">
    <cfRule type="cellIs" dxfId="562" priority="95" operator="between">
      <formula>K1836</formula>
      <formula>9999</formula>
    </cfRule>
  </conditionalFormatting>
  <conditionalFormatting sqref="I1837">
    <cfRule type="cellIs" dxfId="561" priority="94" operator="between">
      <formula>K1837</formula>
      <formula>9999</formula>
    </cfRule>
  </conditionalFormatting>
  <conditionalFormatting sqref="I1839">
    <cfRule type="cellIs" dxfId="560" priority="93" operator="between">
      <formula>K1839</formula>
      <formula>9999</formula>
    </cfRule>
  </conditionalFormatting>
  <conditionalFormatting sqref="I1840">
    <cfRule type="cellIs" dxfId="559" priority="92" operator="between">
      <formula>K1840</formula>
      <formula>9999</formula>
    </cfRule>
  </conditionalFormatting>
  <conditionalFormatting sqref="I1841">
    <cfRule type="cellIs" dxfId="558" priority="91" operator="between">
      <formula>K1841</formula>
      <formula>9999</formula>
    </cfRule>
  </conditionalFormatting>
  <conditionalFormatting sqref="I1842">
    <cfRule type="cellIs" dxfId="557" priority="90" operator="between">
      <formula>K1842</formula>
      <formula>9999</formula>
    </cfRule>
  </conditionalFormatting>
  <conditionalFormatting sqref="I1843">
    <cfRule type="cellIs" dxfId="556" priority="89" operator="between">
      <formula>K1843</formula>
      <formula>9999</formula>
    </cfRule>
  </conditionalFormatting>
  <conditionalFormatting sqref="I1844">
    <cfRule type="cellIs" dxfId="555" priority="88" operator="between">
      <formula>K1844</formula>
      <formula>9999</formula>
    </cfRule>
  </conditionalFormatting>
  <conditionalFormatting sqref="I1845">
    <cfRule type="cellIs" dxfId="554" priority="87" operator="between">
      <formula>K1845</formula>
      <formula>9999</formula>
    </cfRule>
  </conditionalFormatting>
  <conditionalFormatting sqref="I1846">
    <cfRule type="cellIs" dxfId="553" priority="86" operator="between">
      <formula>K1846</formula>
      <formula>9999</formula>
    </cfRule>
  </conditionalFormatting>
  <conditionalFormatting sqref="I1847">
    <cfRule type="cellIs" dxfId="552" priority="85" operator="between">
      <formula>K1847</formula>
      <formula>9999</formula>
    </cfRule>
  </conditionalFormatting>
  <conditionalFormatting sqref="I1848">
    <cfRule type="cellIs" dxfId="551" priority="84" operator="between">
      <formula>K1848</formula>
      <formula>9999</formula>
    </cfRule>
  </conditionalFormatting>
  <conditionalFormatting sqref="I1849">
    <cfRule type="cellIs" dxfId="550" priority="83" operator="between">
      <formula>K1849</formula>
      <formula>9999</formula>
    </cfRule>
  </conditionalFormatting>
  <conditionalFormatting sqref="I1850">
    <cfRule type="cellIs" dxfId="549" priority="82" operator="between">
      <formula>K1850</formula>
      <formula>9999</formula>
    </cfRule>
  </conditionalFormatting>
  <conditionalFormatting sqref="I1851">
    <cfRule type="cellIs" dxfId="548" priority="81" operator="between">
      <formula>K1851</formula>
      <formula>9999</formula>
    </cfRule>
  </conditionalFormatting>
  <conditionalFormatting sqref="I1852">
    <cfRule type="cellIs" dxfId="547" priority="80" operator="between">
      <formula>K1852</formula>
      <formula>9999</formula>
    </cfRule>
  </conditionalFormatting>
  <conditionalFormatting sqref="I1853">
    <cfRule type="cellIs" dxfId="546" priority="79" operator="between">
      <formula>K1853</formula>
      <formula>9999</formula>
    </cfRule>
  </conditionalFormatting>
  <conditionalFormatting sqref="I1854">
    <cfRule type="cellIs" dxfId="545" priority="78" operator="between">
      <formula>K1854</formula>
      <formula>9999</formula>
    </cfRule>
  </conditionalFormatting>
  <conditionalFormatting sqref="I1855">
    <cfRule type="cellIs" dxfId="544" priority="77" operator="between">
      <formula>K1855</formula>
      <formula>9999</formula>
    </cfRule>
  </conditionalFormatting>
  <conditionalFormatting sqref="I1856">
    <cfRule type="cellIs" dxfId="543" priority="76" operator="between">
      <formula>K1856</formula>
      <formula>9999</formula>
    </cfRule>
  </conditionalFormatting>
  <conditionalFormatting sqref="I1858">
    <cfRule type="cellIs" dxfId="542" priority="75" operator="between">
      <formula>K1858</formula>
      <formula>9999</formula>
    </cfRule>
  </conditionalFormatting>
  <conditionalFormatting sqref="I1859">
    <cfRule type="cellIs" dxfId="541" priority="74" operator="between">
      <formula>K1859</formula>
      <formula>9999</formula>
    </cfRule>
  </conditionalFormatting>
  <conditionalFormatting sqref="I1860">
    <cfRule type="cellIs" dxfId="540" priority="73" operator="between">
      <formula>K1860</formula>
      <formula>9999</formula>
    </cfRule>
  </conditionalFormatting>
  <conditionalFormatting sqref="I1861">
    <cfRule type="cellIs" dxfId="539" priority="72" operator="between">
      <formula>K1861</formula>
      <formula>9999</formula>
    </cfRule>
  </conditionalFormatting>
  <conditionalFormatting sqref="I1862">
    <cfRule type="cellIs" dxfId="538" priority="71" operator="between">
      <formula>K1862</formula>
      <formula>9999</formula>
    </cfRule>
  </conditionalFormatting>
  <conditionalFormatting sqref="I1863">
    <cfRule type="cellIs" dxfId="537" priority="70" operator="between">
      <formula>K1863</formula>
      <formula>9999</formula>
    </cfRule>
  </conditionalFormatting>
  <conditionalFormatting sqref="I1864">
    <cfRule type="cellIs" dxfId="536" priority="69" operator="between">
      <formula>K1864</formula>
      <formula>9999</formula>
    </cfRule>
  </conditionalFormatting>
  <conditionalFormatting sqref="I1865">
    <cfRule type="cellIs" dxfId="535" priority="68" operator="between">
      <formula>K1865</formula>
      <formula>9999</formula>
    </cfRule>
  </conditionalFormatting>
  <conditionalFormatting sqref="I1866">
    <cfRule type="cellIs" dxfId="534" priority="67" operator="between">
      <formula>K1866</formula>
      <formula>9999</formula>
    </cfRule>
  </conditionalFormatting>
  <conditionalFormatting sqref="I1867">
    <cfRule type="cellIs" dxfId="533" priority="66" operator="between">
      <formula>K1867</formula>
      <formula>9999</formula>
    </cfRule>
  </conditionalFormatting>
  <conditionalFormatting sqref="I1868">
    <cfRule type="cellIs" dxfId="532" priority="65" operator="between">
      <formula>K1868</formula>
      <formula>9999</formula>
    </cfRule>
  </conditionalFormatting>
  <conditionalFormatting sqref="I1869">
    <cfRule type="cellIs" dxfId="531" priority="64" operator="between">
      <formula>K1869</formula>
      <formula>9999</formula>
    </cfRule>
  </conditionalFormatting>
  <conditionalFormatting sqref="I1870">
    <cfRule type="cellIs" dxfId="530" priority="63" operator="between">
      <formula>K1870</formula>
      <formula>9999</formula>
    </cfRule>
  </conditionalFormatting>
  <conditionalFormatting sqref="I1871">
    <cfRule type="cellIs" dxfId="529" priority="62" operator="between">
      <formula>K1871</formula>
      <formula>9999</formula>
    </cfRule>
  </conditionalFormatting>
  <conditionalFormatting sqref="I1872">
    <cfRule type="cellIs" dxfId="528" priority="61" operator="between">
      <formula>K1872</formula>
      <formula>9999</formula>
    </cfRule>
  </conditionalFormatting>
  <conditionalFormatting sqref="I1873">
    <cfRule type="cellIs" dxfId="527" priority="60" operator="between">
      <formula>K1873</formula>
      <formula>9999</formula>
    </cfRule>
  </conditionalFormatting>
  <conditionalFormatting sqref="I1874">
    <cfRule type="cellIs" dxfId="526" priority="59" operator="between">
      <formula>K1874</formula>
      <formula>9999</formula>
    </cfRule>
  </conditionalFormatting>
  <conditionalFormatting sqref="I1875">
    <cfRule type="cellIs" dxfId="525" priority="58" operator="between">
      <formula>K1875</formula>
      <formula>9999</formula>
    </cfRule>
  </conditionalFormatting>
  <conditionalFormatting sqref="I1877">
    <cfRule type="cellIs" dxfId="524" priority="57" operator="between">
      <formula>K1877</formula>
      <formula>9999</formula>
    </cfRule>
  </conditionalFormatting>
  <conditionalFormatting sqref="I1878">
    <cfRule type="cellIs" dxfId="523" priority="56" operator="between">
      <formula>K1878</formula>
      <formula>9999</formula>
    </cfRule>
  </conditionalFormatting>
  <conditionalFormatting sqref="I1879">
    <cfRule type="cellIs" dxfId="522" priority="55" operator="between">
      <formula>K1879</formula>
      <formula>9999</formula>
    </cfRule>
  </conditionalFormatting>
  <conditionalFormatting sqref="I1880">
    <cfRule type="cellIs" dxfId="521" priority="54" operator="between">
      <formula>K1880</formula>
      <formula>9999</formula>
    </cfRule>
  </conditionalFormatting>
  <conditionalFormatting sqref="I1881">
    <cfRule type="cellIs" dxfId="520" priority="53" operator="between">
      <formula>K1881</formula>
      <formula>9999</formula>
    </cfRule>
  </conditionalFormatting>
  <conditionalFormatting sqref="I1882">
    <cfRule type="cellIs" dxfId="519" priority="52" operator="between">
      <formula>K1882</formula>
      <formula>9999</formula>
    </cfRule>
  </conditionalFormatting>
  <conditionalFormatting sqref="I1883">
    <cfRule type="cellIs" dxfId="518" priority="51" operator="between">
      <formula>K1883</formula>
      <formula>9999</formula>
    </cfRule>
  </conditionalFormatting>
  <conditionalFormatting sqref="I1884">
    <cfRule type="cellIs" dxfId="517" priority="50" operator="between">
      <formula>K1884</formula>
      <formula>9999</formula>
    </cfRule>
  </conditionalFormatting>
  <conditionalFormatting sqref="I1885">
    <cfRule type="cellIs" dxfId="516" priority="49" operator="between">
      <formula>K1885</formula>
      <formula>9999</formula>
    </cfRule>
  </conditionalFormatting>
  <conditionalFormatting sqref="I1886">
    <cfRule type="cellIs" dxfId="515" priority="48" operator="between">
      <formula>K1886</formula>
      <formula>9999</formula>
    </cfRule>
  </conditionalFormatting>
  <conditionalFormatting sqref="I1887">
    <cfRule type="cellIs" dxfId="514" priority="47" operator="between">
      <formula>K1887</formula>
      <formula>9999</formula>
    </cfRule>
  </conditionalFormatting>
  <conditionalFormatting sqref="I1888">
    <cfRule type="cellIs" dxfId="513" priority="46" operator="between">
      <formula>K1888</formula>
      <formula>9999</formula>
    </cfRule>
  </conditionalFormatting>
  <conditionalFormatting sqref="I1889">
    <cfRule type="cellIs" dxfId="512" priority="45" operator="between">
      <formula>K1889</formula>
      <formula>9999</formula>
    </cfRule>
  </conditionalFormatting>
  <conditionalFormatting sqref="I1890">
    <cfRule type="cellIs" dxfId="511" priority="44" operator="between">
      <formula>K1890</formula>
      <formula>9999</formula>
    </cfRule>
  </conditionalFormatting>
  <conditionalFormatting sqref="I1891">
    <cfRule type="cellIs" dxfId="510" priority="43" operator="between">
      <formula>K1891</formula>
      <formula>9999</formula>
    </cfRule>
  </conditionalFormatting>
  <conditionalFormatting sqref="I1892">
    <cfRule type="cellIs" dxfId="509" priority="42" operator="between">
      <formula>K1892</formula>
      <formula>9999</formula>
    </cfRule>
  </conditionalFormatting>
  <conditionalFormatting sqref="I1893">
    <cfRule type="cellIs" dxfId="508" priority="41" operator="between">
      <formula>K1893</formula>
      <formula>9999</formula>
    </cfRule>
  </conditionalFormatting>
  <conditionalFormatting sqref="I1894">
    <cfRule type="cellIs" dxfId="507" priority="40" operator="between">
      <formula>K1894</formula>
      <formula>9999</formula>
    </cfRule>
  </conditionalFormatting>
  <conditionalFormatting sqref="I1896">
    <cfRule type="cellIs" dxfId="506" priority="39" operator="between">
      <formula>K1896</formula>
      <formula>9999</formula>
    </cfRule>
  </conditionalFormatting>
  <conditionalFormatting sqref="I1897">
    <cfRule type="cellIs" dxfId="505" priority="38" operator="between">
      <formula>K1897</formula>
      <formula>9999</formula>
    </cfRule>
  </conditionalFormatting>
  <conditionalFormatting sqref="I1898">
    <cfRule type="cellIs" dxfId="504" priority="37" operator="between">
      <formula>K1898</formula>
      <formula>9999</formula>
    </cfRule>
  </conditionalFormatting>
  <conditionalFormatting sqref="I1899">
    <cfRule type="cellIs" dxfId="503" priority="36" operator="between">
      <formula>K1899</formula>
      <formula>9999</formula>
    </cfRule>
  </conditionalFormatting>
  <conditionalFormatting sqref="I1900">
    <cfRule type="cellIs" dxfId="502" priority="35" operator="between">
      <formula>K1900</formula>
      <formula>9999</formula>
    </cfRule>
  </conditionalFormatting>
  <conditionalFormatting sqref="I1901">
    <cfRule type="cellIs" dxfId="501" priority="34" operator="between">
      <formula>K1901</formula>
      <formula>9999</formula>
    </cfRule>
  </conditionalFormatting>
  <conditionalFormatting sqref="I1902">
    <cfRule type="cellIs" dxfId="500" priority="33" operator="between">
      <formula>K1902</formula>
      <formula>9999</formula>
    </cfRule>
  </conditionalFormatting>
  <conditionalFormatting sqref="I1903">
    <cfRule type="cellIs" dxfId="499" priority="32" operator="between">
      <formula>K1903</formula>
      <formula>9999</formula>
    </cfRule>
  </conditionalFormatting>
  <conditionalFormatting sqref="I1904">
    <cfRule type="cellIs" dxfId="498" priority="31" operator="between">
      <formula>K1904</formula>
      <formula>9999</formula>
    </cfRule>
  </conditionalFormatting>
  <conditionalFormatting sqref="I1905">
    <cfRule type="cellIs" dxfId="497" priority="30" operator="between">
      <formula>K1905</formula>
      <formula>9999</formula>
    </cfRule>
  </conditionalFormatting>
  <conditionalFormatting sqref="I1906">
    <cfRule type="cellIs" dxfId="496" priority="29" operator="between">
      <formula>K1906</formula>
      <formula>9999</formula>
    </cfRule>
  </conditionalFormatting>
  <conditionalFormatting sqref="I1907">
    <cfRule type="cellIs" dxfId="495" priority="28" operator="between">
      <formula>K1907</formula>
      <formula>9999</formula>
    </cfRule>
  </conditionalFormatting>
  <conditionalFormatting sqref="I1908">
    <cfRule type="cellIs" dxfId="494" priority="27" operator="between">
      <formula>K1908</formula>
      <formula>9999</formula>
    </cfRule>
  </conditionalFormatting>
  <conditionalFormatting sqref="I1909">
    <cfRule type="cellIs" dxfId="493" priority="26" operator="between">
      <formula>K1909</formula>
      <formula>9999</formula>
    </cfRule>
  </conditionalFormatting>
  <conditionalFormatting sqref="I1910">
    <cfRule type="cellIs" dxfId="492" priority="25" operator="between">
      <formula>K1910</formula>
      <formula>9999</formula>
    </cfRule>
  </conditionalFormatting>
  <conditionalFormatting sqref="I1911">
    <cfRule type="cellIs" dxfId="491" priority="24" operator="between">
      <formula>K1911</formula>
      <formula>9999</formula>
    </cfRule>
  </conditionalFormatting>
  <conditionalFormatting sqref="I1912">
    <cfRule type="cellIs" dxfId="490" priority="23" operator="between">
      <formula>K1912</formula>
      <formula>9999</formula>
    </cfRule>
  </conditionalFormatting>
  <conditionalFormatting sqref="I1913">
    <cfRule type="cellIs" dxfId="489" priority="22" operator="between">
      <formula>K1913</formula>
      <formula>9999</formula>
    </cfRule>
  </conditionalFormatting>
  <conditionalFormatting sqref="I1915">
    <cfRule type="cellIs" dxfId="488" priority="21" operator="between">
      <formula>K1915</formula>
      <formula>9999</formula>
    </cfRule>
  </conditionalFormatting>
  <conditionalFormatting sqref="I1916">
    <cfRule type="cellIs" dxfId="487" priority="20" operator="between">
      <formula>K1916</formula>
      <formula>9999</formula>
    </cfRule>
  </conditionalFormatting>
  <conditionalFormatting sqref="I1917">
    <cfRule type="cellIs" dxfId="486" priority="19" operator="between">
      <formula>K1917</formula>
      <formula>9999</formula>
    </cfRule>
  </conditionalFormatting>
  <conditionalFormatting sqref="I1918">
    <cfRule type="cellIs" dxfId="485" priority="18" operator="between">
      <formula>K1918</formula>
      <formula>9999</formula>
    </cfRule>
  </conditionalFormatting>
  <conditionalFormatting sqref="I1919">
    <cfRule type="cellIs" dxfId="484" priority="17" operator="between">
      <formula>K1919</formula>
      <formula>9999</formula>
    </cfRule>
  </conditionalFormatting>
  <conditionalFormatting sqref="I1920">
    <cfRule type="cellIs" dxfId="483" priority="16" operator="between">
      <formula>K1920</formula>
      <formula>9999</formula>
    </cfRule>
  </conditionalFormatting>
  <conditionalFormatting sqref="I1921">
    <cfRule type="cellIs" dxfId="482" priority="15" operator="between">
      <formula>K1921</formula>
      <formula>9999</formula>
    </cfRule>
  </conditionalFormatting>
  <conditionalFormatting sqref="I1922">
    <cfRule type="cellIs" dxfId="481" priority="14" operator="between">
      <formula>K1922</formula>
      <formula>9999</formula>
    </cfRule>
  </conditionalFormatting>
  <conditionalFormatting sqref="I1923">
    <cfRule type="cellIs" dxfId="480" priority="13" operator="between">
      <formula>K1923</formula>
      <formula>9999</formula>
    </cfRule>
  </conditionalFormatting>
  <conditionalFormatting sqref="I1924">
    <cfRule type="cellIs" dxfId="479" priority="12" operator="between">
      <formula>K1924</formula>
      <formula>9999</formula>
    </cfRule>
  </conditionalFormatting>
  <conditionalFormatting sqref="I1925">
    <cfRule type="cellIs" dxfId="478" priority="11" operator="between">
      <formula>K1925</formula>
      <formula>9999</formula>
    </cfRule>
  </conditionalFormatting>
  <conditionalFormatting sqref="I1926">
    <cfRule type="cellIs" dxfId="477" priority="10" operator="between">
      <formula>K1926</formula>
      <formula>9999</formula>
    </cfRule>
  </conditionalFormatting>
  <conditionalFormatting sqref="I1927">
    <cfRule type="cellIs" dxfId="476" priority="9" operator="between">
      <formula>K1927</formula>
      <formula>9999</formula>
    </cfRule>
  </conditionalFormatting>
  <conditionalFormatting sqref="I1928">
    <cfRule type="cellIs" dxfId="475" priority="8" operator="between">
      <formula>K1928</formula>
      <formula>9999</formula>
    </cfRule>
  </conditionalFormatting>
  <conditionalFormatting sqref="I1929">
    <cfRule type="cellIs" dxfId="474" priority="7" operator="between">
      <formula>K1929</formula>
      <formula>9999</formula>
    </cfRule>
  </conditionalFormatting>
  <conditionalFormatting sqref="I1930">
    <cfRule type="cellIs" dxfId="473" priority="6" operator="between">
      <formula>K1930</formula>
      <formula>9999</formula>
    </cfRule>
  </conditionalFormatting>
  <conditionalFormatting sqref="I1931">
    <cfRule type="cellIs" dxfId="472" priority="5" operator="between">
      <formula>K1931</formula>
      <formula>9999</formula>
    </cfRule>
  </conditionalFormatting>
  <conditionalFormatting sqref="I1932">
    <cfRule type="cellIs" dxfId="471" priority="4" operator="between">
      <formula>K1932</formula>
      <formula>9999</formula>
    </cfRule>
  </conditionalFormatting>
  <conditionalFormatting sqref="I1934">
    <cfRule type="cellIs" dxfId="470" priority="3" operator="between">
      <formula>K1934</formula>
      <formula>9999</formula>
    </cfRule>
  </conditionalFormatting>
  <conditionalFormatting sqref="I1953">
    <cfRule type="cellIs" dxfId="469" priority="2" operator="between">
      <formula>K1953</formula>
      <formula>9999</formula>
    </cfRule>
  </conditionalFormatting>
  <conditionalFormatting sqref="H1764:H1766">
    <cfRule type="cellIs" dxfId="468" priority="1" operator="between">
      <formula>J1764</formula>
      <formula>9999</formula>
    </cfRule>
  </conditionalFormatting>
  <printOptions horizontalCentered="1"/>
  <pageMargins left="0.23622047244094491" right="0.23622047244094491" top="0.98425196850393704" bottom="0.74803149606299213" header="0.47244094488188981" footer="0.31496062992125984"/>
  <pageSetup paperSize="9" scale="54" fitToHeight="0" orientation="portrait" r:id="rId1"/>
  <headerFooter scaleWithDoc="0">
    <oddHeader>&amp;L&amp;G&amp;C&amp;"-,굵게"&amp;25SAR Test Worksheet</oddHeader>
    <oddFooter>&amp;LRTT5041-49(2018.01.01)(5)                                                      &amp;C&amp;P/&amp;N&amp;RA4(210mm*297mm)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3073" r:id="rId5" name="cbxApplyCode">
          <controlPr defaultSize="0" autoLine="0" r:id="rId6">
            <anchor moveWithCells="1">
              <from>
                <xdr:col>11</xdr:col>
                <xdr:colOff>792480</xdr:colOff>
                <xdr:row>0</xdr:row>
                <xdr:rowOff>15240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3073" r:id="rId5" name="cbxApplyCod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A2:S437"/>
  <sheetViews>
    <sheetView showGridLines="0" view="pageBreakPreview" zoomScaleNormal="100" zoomScaleSheetLayoutView="100" zoomScalePageLayoutView="40" workbookViewId="0">
      <selection activeCell="F11" sqref="F11"/>
    </sheetView>
  </sheetViews>
  <sheetFormatPr defaultColWidth="9" defaultRowHeight="15.6" x14ac:dyDescent="0.4"/>
  <cols>
    <col min="1" max="2" width="13" style="38" customWidth="1"/>
    <col min="3" max="3" width="12.19921875" style="38" customWidth="1"/>
    <col min="4" max="4" width="11.69921875" style="38" customWidth="1"/>
    <col min="5" max="5" width="11.19921875" style="38" customWidth="1"/>
    <col min="6" max="6" width="10.5" style="38" customWidth="1"/>
    <col min="7" max="10" width="11.5" style="38" customWidth="1"/>
    <col min="11" max="11" width="11.5" style="6" customWidth="1"/>
    <col min="12" max="12" width="11.5" style="2" customWidth="1"/>
    <col min="13" max="13" width="19.59765625" style="2" bestFit="1" customWidth="1"/>
    <col min="14" max="18" width="9" style="2"/>
    <col min="19" max="19" width="9" style="2" hidden="1" customWidth="1"/>
    <col min="20" max="16384" width="9" style="2"/>
  </cols>
  <sheetData>
    <row r="2" spans="1:11" x14ac:dyDescent="0.4">
      <c r="A2" s="58" t="s">
        <v>176</v>
      </c>
      <c r="B2" s="59"/>
      <c r="C2" s="59"/>
      <c r="D2" s="59"/>
      <c r="E2" s="60"/>
      <c r="F2" s="54" t="s">
        <v>3</v>
      </c>
      <c r="G2" s="54"/>
      <c r="H2" s="54"/>
      <c r="I2" s="7"/>
      <c r="J2" s="7"/>
      <c r="K2" s="8"/>
    </row>
    <row r="3" spans="1:11" x14ac:dyDescent="0.4">
      <c r="A3" s="61"/>
      <c r="B3" s="62"/>
      <c r="C3" s="62"/>
      <c r="D3" s="62"/>
      <c r="E3" s="63"/>
      <c r="F3" s="54" t="s">
        <v>4</v>
      </c>
      <c r="G3" s="54"/>
      <c r="H3" s="54"/>
      <c r="I3" s="7"/>
      <c r="J3" s="7"/>
      <c r="K3" s="8"/>
    </row>
    <row r="4" spans="1:11" x14ac:dyDescent="0.4">
      <c r="A4" s="64"/>
      <c r="B4" s="65"/>
      <c r="C4" s="65"/>
      <c r="D4" s="65"/>
      <c r="E4" s="66"/>
      <c r="F4" s="54" t="s">
        <v>0</v>
      </c>
      <c r="G4" s="54"/>
      <c r="H4" s="54"/>
      <c r="I4" s="9"/>
      <c r="J4" s="9"/>
      <c r="K4" s="8"/>
    </row>
    <row r="5" spans="1:11" x14ac:dyDescent="0.4">
      <c r="A5" s="39"/>
      <c r="B5" s="39"/>
      <c r="C5" s="39"/>
      <c r="D5" s="39"/>
      <c r="E5" s="39"/>
      <c r="F5" s="39"/>
      <c r="G5" s="39"/>
      <c r="H5" s="39"/>
      <c r="I5" s="39"/>
    </row>
    <row r="6" spans="1:11" x14ac:dyDescent="0.4">
      <c r="A6" s="53" t="s">
        <v>14</v>
      </c>
      <c r="B6" s="55" t="s">
        <v>34</v>
      </c>
      <c r="C6" s="53" t="s">
        <v>1</v>
      </c>
      <c r="D6" s="53"/>
      <c r="E6" s="57" t="s">
        <v>15</v>
      </c>
      <c r="F6" s="57" t="s">
        <v>16</v>
      </c>
      <c r="G6" s="53" t="s">
        <v>17</v>
      </c>
      <c r="H6" s="67" t="s">
        <v>84</v>
      </c>
      <c r="I6" s="68"/>
      <c r="J6" s="53" t="s">
        <v>20</v>
      </c>
      <c r="K6" s="8"/>
    </row>
    <row r="7" spans="1:11" x14ac:dyDescent="0.4">
      <c r="A7" s="53"/>
      <c r="B7" s="55"/>
      <c r="C7" s="53" t="s">
        <v>18</v>
      </c>
      <c r="D7" s="53" t="s">
        <v>2</v>
      </c>
      <c r="E7" s="57"/>
      <c r="F7" s="57"/>
      <c r="G7" s="53"/>
      <c r="H7" s="69"/>
      <c r="I7" s="70"/>
      <c r="J7" s="53"/>
      <c r="K7" s="8"/>
    </row>
    <row r="8" spans="1:11" x14ac:dyDescent="0.4">
      <c r="A8" s="53"/>
      <c r="B8" s="56"/>
      <c r="C8" s="53"/>
      <c r="D8" s="53"/>
      <c r="E8" s="57"/>
      <c r="F8" s="57"/>
      <c r="G8" s="53"/>
      <c r="H8" s="42" t="s">
        <v>85</v>
      </c>
      <c r="I8" s="42" t="s">
        <v>86</v>
      </c>
      <c r="J8" s="53"/>
      <c r="K8" s="8"/>
    </row>
    <row r="9" spans="1:11" x14ac:dyDescent="0.4">
      <c r="A9" s="11" t="s">
        <v>11</v>
      </c>
      <c r="B9" s="40"/>
      <c r="C9" s="13"/>
      <c r="D9" s="11"/>
      <c r="E9" s="13"/>
      <c r="F9" s="14"/>
      <c r="G9" s="13"/>
      <c r="H9" s="15">
        <f>ROUND((10^(G9/10))/(10^(E9/10)),3)</f>
        <v>1</v>
      </c>
      <c r="I9" s="15"/>
      <c r="J9" s="15">
        <f t="shared" ref="J9:J20" si="0">F9*H9</f>
        <v>0</v>
      </c>
      <c r="K9" s="8"/>
    </row>
    <row r="10" spans="1:11" x14ac:dyDescent="0.4">
      <c r="A10" s="11" t="s">
        <v>11</v>
      </c>
      <c r="B10" s="40"/>
      <c r="C10" s="13"/>
      <c r="D10" s="11"/>
      <c r="E10" s="13"/>
      <c r="F10" s="14"/>
      <c r="G10" s="13"/>
      <c r="H10" s="15">
        <f t="shared" ref="H10:H20" si="1">ROUND((10^(G10/10))/(10^(E10/10)),3)</f>
        <v>1</v>
      </c>
      <c r="I10" s="15"/>
      <c r="J10" s="15">
        <f t="shared" si="0"/>
        <v>0</v>
      </c>
      <c r="K10" s="8"/>
    </row>
    <row r="11" spans="1:11" x14ac:dyDescent="0.4">
      <c r="A11" s="11" t="s">
        <v>11</v>
      </c>
      <c r="B11" s="40"/>
      <c r="C11" s="13"/>
      <c r="D11" s="11"/>
      <c r="E11" s="13"/>
      <c r="F11" s="14"/>
      <c r="G11" s="13"/>
      <c r="H11" s="15">
        <f t="shared" si="1"/>
        <v>1</v>
      </c>
      <c r="I11" s="15"/>
      <c r="J11" s="15">
        <f t="shared" si="0"/>
        <v>0</v>
      </c>
      <c r="K11" s="8"/>
    </row>
    <row r="12" spans="1:11" x14ac:dyDescent="0.4">
      <c r="A12" s="11" t="s">
        <v>13</v>
      </c>
      <c r="B12" s="40">
        <f t="shared" ref="B12:B14" si="2">B9</f>
        <v>0</v>
      </c>
      <c r="C12" s="13">
        <f t="shared" ref="C12:E14" si="3">C9</f>
        <v>0</v>
      </c>
      <c r="D12" s="40">
        <f t="shared" si="3"/>
        <v>0</v>
      </c>
      <c r="E12" s="13">
        <f>E9</f>
        <v>0</v>
      </c>
      <c r="F12" s="16"/>
      <c r="G12" s="13">
        <f t="shared" ref="G12:G14" si="4">G9</f>
        <v>0</v>
      </c>
      <c r="H12" s="15">
        <f t="shared" si="1"/>
        <v>1</v>
      </c>
      <c r="I12" s="15"/>
      <c r="J12" s="15">
        <f t="shared" si="0"/>
        <v>0</v>
      </c>
      <c r="K12" s="8"/>
    </row>
    <row r="13" spans="1:11" x14ac:dyDescent="0.4">
      <c r="A13" s="11" t="s">
        <v>13</v>
      </c>
      <c r="B13" s="40">
        <f t="shared" si="2"/>
        <v>0</v>
      </c>
      <c r="C13" s="13">
        <f t="shared" si="3"/>
        <v>0</v>
      </c>
      <c r="D13" s="40">
        <f t="shared" si="3"/>
        <v>0</v>
      </c>
      <c r="E13" s="13">
        <f t="shared" si="3"/>
        <v>0</v>
      </c>
      <c r="F13" s="16"/>
      <c r="G13" s="13">
        <f t="shared" si="4"/>
        <v>0</v>
      </c>
      <c r="H13" s="15">
        <f t="shared" si="1"/>
        <v>1</v>
      </c>
      <c r="I13" s="15"/>
      <c r="J13" s="15">
        <f t="shared" si="0"/>
        <v>0</v>
      </c>
      <c r="K13" s="8"/>
    </row>
    <row r="14" spans="1:11" x14ac:dyDescent="0.4">
      <c r="A14" s="11" t="s">
        <v>13</v>
      </c>
      <c r="B14" s="40">
        <f t="shared" si="2"/>
        <v>0</v>
      </c>
      <c r="C14" s="13">
        <f t="shared" si="3"/>
        <v>0</v>
      </c>
      <c r="D14" s="40">
        <f t="shared" si="3"/>
        <v>0</v>
      </c>
      <c r="E14" s="13">
        <f t="shared" si="3"/>
        <v>0</v>
      </c>
      <c r="F14" s="16"/>
      <c r="G14" s="13">
        <f t="shared" si="4"/>
        <v>0</v>
      </c>
      <c r="H14" s="15">
        <f t="shared" si="1"/>
        <v>1</v>
      </c>
      <c r="I14" s="15"/>
      <c r="J14" s="15">
        <f t="shared" si="0"/>
        <v>0</v>
      </c>
      <c r="K14" s="8"/>
    </row>
    <row r="15" spans="1:11" x14ac:dyDescent="0.4">
      <c r="A15" s="11" t="s">
        <v>12</v>
      </c>
      <c r="B15" s="40">
        <f t="shared" ref="B15:G20" ca="1" si="5">OFFSET(B15,-6,0)</f>
        <v>0</v>
      </c>
      <c r="C15" s="13">
        <f t="shared" ca="1" si="5"/>
        <v>0</v>
      </c>
      <c r="D15" s="17">
        <f t="shared" ca="1" si="5"/>
        <v>0</v>
      </c>
      <c r="E15" s="13">
        <f t="shared" ca="1" si="5"/>
        <v>0</v>
      </c>
      <c r="F15" s="16"/>
      <c r="G15" s="13">
        <f t="shared" ca="1" si="5"/>
        <v>0</v>
      </c>
      <c r="H15" s="15">
        <f t="shared" ca="1" si="1"/>
        <v>1</v>
      </c>
      <c r="I15" s="15"/>
      <c r="J15" s="15">
        <f t="shared" ca="1" si="0"/>
        <v>0</v>
      </c>
      <c r="K15" s="8"/>
    </row>
    <row r="16" spans="1:11" x14ac:dyDescent="0.4">
      <c r="A16" s="11" t="s">
        <v>12</v>
      </c>
      <c r="B16" s="40">
        <f t="shared" ca="1" si="5"/>
        <v>0</v>
      </c>
      <c r="C16" s="13">
        <f t="shared" ca="1" si="5"/>
        <v>0</v>
      </c>
      <c r="D16" s="17">
        <f t="shared" ca="1" si="5"/>
        <v>0</v>
      </c>
      <c r="E16" s="13">
        <f t="shared" ca="1" si="5"/>
        <v>0</v>
      </c>
      <c r="F16" s="16"/>
      <c r="G16" s="13">
        <f t="shared" ca="1" si="5"/>
        <v>0</v>
      </c>
      <c r="H16" s="15">
        <f t="shared" ca="1" si="1"/>
        <v>1</v>
      </c>
      <c r="I16" s="15"/>
      <c r="J16" s="15">
        <f t="shared" ca="1" si="0"/>
        <v>0</v>
      </c>
      <c r="K16" s="8"/>
    </row>
    <row r="17" spans="1:11" x14ac:dyDescent="0.4">
      <c r="A17" s="11" t="s">
        <v>12</v>
      </c>
      <c r="B17" s="40">
        <f t="shared" ca="1" si="5"/>
        <v>0</v>
      </c>
      <c r="C17" s="13">
        <f t="shared" ca="1" si="5"/>
        <v>0</v>
      </c>
      <c r="D17" s="17">
        <f t="shared" ca="1" si="5"/>
        <v>0</v>
      </c>
      <c r="E17" s="13">
        <f t="shared" ca="1" si="5"/>
        <v>0</v>
      </c>
      <c r="F17" s="16"/>
      <c r="G17" s="13">
        <f t="shared" ca="1" si="5"/>
        <v>0</v>
      </c>
      <c r="H17" s="15">
        <f t="shared" ca="1" si="1"/>
        <v>1</v>
      </c>
      <c r="I17" s="15"/>
      <c r="J17" s="15">
        <f t="shared" ca="1" si="0"/>
        <v>0</v>
      </c>
      <c r="K17" s="8"/>
    </row>
    <row r="18" spans="1:11" x14ac:dyDescent="0.4">
      <c r="A18" s="11" t="s">
        <v>21</v>
      </c>
      <c r="B18" s="40">
        <f t="shared" ca="1" si="5"/>
        <v>0</v>
      </c>
      <c r="C18" s="13">
        <f t="shared" ca="1" si="5"/>
        <v>0</v>
      </c>
      <c r="D18" s="17">
        <f t="shared" ca="1" si="5"/>
        <v>0</v>
      </c>
      <c r="E18" s="13">
        <f t="shared" ca="1" si="5"/>
        <v>0</v>
      </c>
      <c r="F18" s="16"/>
      <c r="G18" s="13">
        <f t="shared" ca="1" si="5"/>
        <v>0</v>
      </c>
      <c r="H18" s="15">
        <f t="shared" ca="1" si="1"/>
        <v>1</v>
      </c>
      <c r="I18" s="15"/>
      <c r="J18" s="15">
        <f t="shared" ca="1" si="0"/>
        <v>0</v>
      </c>
      <c r="K18" s="8"/>
    </row>
    <row r="19" spans="1:11" x14ac:dyDescent="0.4">
      <c r="A19" s="11" t="s">
        <v>21</v>
      </c>
      <c r="B19" s="40">
        <f t="shared" ca="1" si="5"/>
        <v>0</v>
      </c>
      <c r="C19" s="13">
        <f t="shared" ca="1" si="5"/>
        <v>0</v>
      </c>
      <c r="D19" s="17">
        <f t="shared" ca="1" si="5"/>
        <v>0</v>
      </c>
      <c r="E19" s="13">
        <f t="shared" ca="1" si="5"/>
        <v>0</v>
      </c>
      <c r="F19" s="16"/>
      <c r="G19" s="13">
        <f t="shared" ca="1" si="5"/>
        <v>0</v>
      </c>
      <c r="H19" s="15">
        <f t="shared" ca="1" si="1"/>
        <v>1</v>
      </c>
      <c r="I19" s="15"/>
      <c r="J19" s="15">
        <f t="shared" ca="1" si="0"/>
        <v>0</v>
      </c>
      <c r="K19" s="8"/>
    </row>
    <row r="20" spans="1:11" x14ac:dyDescent="0.4">
      <c r="A20" s="11" t="s">
        <v>21</v>
      </c>
      <c r="B20" s="40">
        <f t="shared" ca="1" si="5"/>
        <v>0</v>
      </c>
      <c r="C20" s="13">
        <f t="shared" ca="1" si="5"/>
        <v>0</v>
      </c>
      <c r="D20" s="17">
        <f t="shared" ca="1" si="5"/>
        <v>0</v>
      </c>
      <c r="E20" s="13">
        <f t="shared" ca="1" si="5"/>
        <v>0</v>
      </c>
      <c r="F20" s="16"/>
      <c r="G20" s="13">
        <f t="shared" ca="1" si="5"/>
        <v>0</v>
      </c>
      <c r="H20" s="15">
        <f t="shared" ca="1" si="1"/>
        <v>1</v>
      </c>
      <c r="I20" s="15"/>
      <c r="J20" s="15">
        <f t="shared" ca="1" si="0"/>
        <v>0</v>
      </c>
      <c r="K20" s="8"/>
    </row>
    <row r="21" spans="1:11" x14ac:dyDescent="0.4">
      <c r="A21" s="36"/>
      <c r="B21" s="36"/>
      <c r="C21" s="36"/>
      <c r="D21" s="36"/>
      <c r="E21" s="36"/>
      <c r="F21" s="36"/>
      <c r="G21" s="36"/>
      <c r="H21" s="36"/>
      <c r="I21" s="36"/>
      <c r="J21" s="37"/>
    </row>
    <row r="22" spans="1:11" x14ac:dyDescent="0.4">
      <c r="A22" s="58" t="s">
        <v>177</v>
      </c>
      <c r="B22" s="59"/>
      <c r="C22" s="59"/>
      <c r="D22" s="59"/>
      <c r="E22" s="59"/>
      <c r="F22" s="60"/>
      <c r="G22" s="54" t="s">
        <v>3</v>
      </c>
      <c r="H22" s="54"/>
      <c r="I22" s="54"/>
      <c r="J22" s="7"/>
      <c r="K22" s="7"/>
    </row>
    <row r="23" spans="1:11" x14ac:dyDescent="0.4">
      <c r="A23" s="61"/>
      <c r="B23" s="62"/>
      <c r="C23" s="62"/>
      <c r="D23" s="62"/>
      <c r="E23" s="62"/>
      <c r="F23" s="63"/>
      <c r="G23" s="54" t="s">
        <v>4</v>
      </c>
      <c r="H23" s="54"/>
      <c r="I23" s="54"/>
      <c r="J23" s="7"/>
      <c r="K23" s="7"/>
    </row>
    <row r="24" spans="1:11" x14ac:dyDescent="0.4">
      <c r="A24" s="64"/>
      <c r="B24" s="65"/>
      <c r="C24" s="65"/>
      <c r="D24" s="65"/>
      <c r="E24" s="65"/>
      <c r="F24" s="66"/>
      <c r="G24" s="54" t="s">
        <v>0</v>
      </c>
      <c r="H24" s="54"/>
      <c r="I24" s="54"/>
      <c r="J24" s="9"/>
      <c r="K24" s="9"/>
    </row>
    <row r="25" spans="1:11" x14ac:dyDescent="0.4">
      <c r="A25" s="39"/>
      <c r="B25" s="39"/>
      <c r="C25" s="39"/>
      <c r="D25" s="39"/>
      <c r="E25" s="39"/>
      <c r="F25" s="39"/>
      <c r="G25" s="39"/>
      <c r="H25" s="39"/>
      <c r="I25" s="39"/>
      <c r="J25" s="39"/>
    </row>
    <row r="26" spans="1:11" x14ac:dyDescent="0.4">
      <c r="A26" s="53" t="s">
        <v>14</v>
      </c>
      <c r="B26" s="55" t="s">
        <v>33</v>
      </c>
      <c r="C26" s="53" t="s">
        <v>1</v>
      </c>
      <c r="D26" s="53"/>
      <c r="E26" s="53" t="s">
        <v>19</v>
      </c>
      <c r="F26" s="57" t="s">
        <v>15</v>
      </c>
      <c r="G26" s="57" t="s">
        <v>16</v>
      </c>
      <c r="H26" s="53" t="s">
        <v>17</v>
      </c>
      <c r="I26" s="53" t="s">
        <v>84</v>
      </c>
      <c r="J26" s="53"/>
      <c r="K26" s="53" t="s">
        <v>20</v>
      </c>
    </row>
    <row r="27" spans="1:11" x14ac:dyDescent="0.4">
      <c r="A27" s="53"/>
      <c r="B27" s="55"/>
      <c r="C27" s="53" t="s">
        <v>18</v>
      </c>
      <c r="D27" s="53" t="s">
        <v>2</v>
      </c>
      <c r="E27" s="53"/>
      <c r="F27" s="57"/>
      <c r="G27" s="57"/>
      <c r="H27" s="53"/>
      <c r="I27" s="53"/>
      <c r="J27" s="53"/>
      <c r="K27" s="53"/>
    </row>
    <row r="28" spans="1:11" x14ac:dyDescent="0.4">
      <c r="A28" s="53"/>
      <c r="B28" s="56"/>
      <c r="C28" s="53"/>
      <c r="D28" s="53"/>
      <c r="E28" s="53"/>
      <c r="F28" s="57"/>
      <c r="G28" s="57"/>
      <c r="H28" s="53"/>
      <c r="I28" s="42" t="s">
        <v>85</v>
      </c>
      <c r="J28" s="42" t="s">
        <v>86</v>
      </c>
      <c r="K28" s="53"/>
    </row>
    <row r="29" spans="1:11" x14ac:dyDescent="0.4">
      <c r="A29" s="74" t="s">
        <v>26</v>
      </c>
      <c r="B29" s="78"/>
      <c r="C29" s="78"/>
      <c r="D29" s="78"/>
      <c r="E29" s="78"/>
      <c r="F29" s="78"/>
      <c r="G29" s="78"/>
      <c r="H29" s="78"/>
      <c r="I29" s="78"/>
      <c r="J29" s="78"/>
      <c r="K29" s="79"/>
    </row>
    <row r="30" spans="1:11" x14ac:dyDescent="0.4">
      <c r="A30" s="11" t="s">
        <v>5</v>
      </c>
      <c r="B30" s="40"/>
      <c r="C30" s="13"/>
      <c r="D30" s="11"/>
      <c r="E30" s="17"/>
      <c r="F30" s="13"/>
      <c r="G30" s="16"/>
      <c r="H30" s="13"/>
      <c r="I30" s="15">
        <f>ROUND((10^(H30/10))/(10^(F30/10)),3)</f>
        <v>1</v>
      </c>
      <c r="J30" s="15"/>
      <c r="K30" s="15">
        <f t="shared" ref="K30:K47" si="6">G30*I30</f>
        <v>0</v>
      </c>
    </row>
    <row r="31" spans="1:11" x14ac:dyDescent="0.4">
      <c r="A31" s="11" t="s">
        <v>5</v>
      </c>
      <c r="B31" s="40"/>
      <c r="C31" s="13"/>
      <c r="D31" s="11"/>
      <c r="E31" s="17"/>
      <c r="F31" s="13"/>
      <c r="G31" s="16"/>
      <c r="H31" s="13"/>
      <c r="I31" s="15">
        <f t="shared" ref="I31:I47" si="7">ROUND((10^(H31/10))/(10^(F31/10)),3)</f>
        <v>1</v>
      </c>
      <c r="J31" s="15"/>
      <c r="K31" s="15">
        <f t="shared" si="6"/>
        <v>0</v>
      </c>
    </row>
    <row r="32" spans="1:11" x14ac:dyDescent="0.4">
      <c r="A32" s="11" t="s">
        <v>5</v>
      </c>
      <c r="B32" s="40"/>
      <c r="C32" s="13"/>
      <c r="D32" s="11"/>
      <c r="E32" s="17"/>
      <c r="F32" s="13"/>
      <c r="G32" s="16"/>
      <c r="H32" s="13"/>
      <c r="I32" s="15">
        <f t="shared" si="7"/>
        <v>1</v>
      </c>
      <c r="J32" s="15"/>
      <c r="K32" s="15">
        <f t="shared" si="6"/>
        <v>0</v>
      </c>
    </row>
    <row r="33" spans="1:11" x14ac:dyDescent="0.4">
      <c r="A33" s="11" t="s">
        <v>6</v>
      </c>
      <c r="B33" s="41">
        <f t="shared" ref="B33:F35" ca="1" si="8">OFFSET(B33,-3,0)</f>
        <v>0</v>
      </c>
      <c r="C33" s="19">
        <f t="shared" ca="1" si="8"/>
        <v>0</v>
      </c>
      <c r="D33" s="20">
        <f t="shared" ca="1" si="8"/>
        <v>0</v>
      </c>
      <c r="E33" s="20">
        <f t="shared" ca="1" si="8"/>
        <v>0</v>
      </c>
      <c r="F33" s="13">
        <f t="shared" ca="1" si="8"/>
        <v>0</v>
      </c>
      <c r="G33" s="16"/>
      <c r="H33" s="19">
        <f t="shared" ref="H33:H35" ca="1" si="9">OFFSET(H33,-3,0)</f>
        <v>0</v>
      </c>
      <c r="I33" s="15">
        <f t="shared" ca="1" si="7"/>
        <v>1</v>
      </c>
      <c r="J33" s="15"/>
      <c r="K33" s="15">
        <f t="shared" ca="1" si="6"/>
        <v>0</v>
      </c>
    </row>
    <row r="34" spans="1:11" x14ac:dyDescent="0.4">
      <c r="A34" s="11" t="s">
        <v>6</v>
      </c>
      <c r="B34" s="41">
        <f t="shared" ca="1" si="8"/>
        <v>0</v>
      </c>
      <c r="C34" s="19">
        <f t="shared" ca="1" si="8"/>
        <v>0</v>
      </c>
      <c r="D34" s="20">
        <f t="shared" ca="1" si="8"/>
        <v>0</v>
      </c>
      <c r="E34" s="20">
        <f t="shared" ca="1" si="8"/>
        <v>0</v>
      </c>
      <c r="F34" s="13">
        <f t="shared" ca="1" si="8"/>
        <v>0</v>
      </c>
      <c r="G34" s="16"/>
      <c r="H34" s="19">
        <f t="shared" ca="1" si="9"/>
        <v>0</v>
      </c>
      <c r="I34" s="15">
        <f t="shared" ca="1" si="7"/>
        <v>1</v>
      </c>
      <c r="J34" s="15"/>
      <c r="K34" s="15">
        <f t="shared" ca="1" si="6"/>
        <v>0</v>
      </c>
    </row>
    <row r="35" spans="1:11" x14ac:dyDescent="0.4">
      <c r="A35" s="11" t="s">
        <v>6</v>
      </c>
      <c r="B35" s="41">
        <f t="shared" ca="1" si="8"/>
        <v>0</v>
      </c>
      <c r="C35" s="19">
        <f t="shared" ca="1" si="8"/>
        <v>0</v>
      </c>
      <c r="D35" s="20">
        <f t="shared" ca="1" si="8"/>
        <v>0</v>
      </c>
      <c r="E35" s="20">
        <f t="shared" ca="1" si="8"/>
        <v>0</v>
      </c>
      <c r="F35" s="13">
        <f t="shared" ca="1" si="8"/>
        <v>0</v>
      </c>
      <c r="G35" s="16"/>
      <c r="H35" s="19">
        <f t="shared" ca="1" si="9"/>
        <v>0</v>
      </c>
      <c r="I35" s="15">
        <f t="shared" ca="1" si="7"/>
        <v>1</v>
      </c>
      <c r="J35" s="15"/>
      <c r="K35" s="15">
        <f t="shared" ca="1" si="6"/>
        <v>0</v>
      </c>
    </row>
    <row r="36" spans="1:11" x14ac:dyDescent="0.4">
      <c r="A36" s="11" t="s">
        <v>10</v>
      </c>
      <c r="B36" s="40">
        <f t="shared" ref="B36:F38" ca="1" si="10">OFFSET(B36,-6,0)</f>
        <v>0</v>
      </c>
      <c r="C36" s="13">
        <f t="shared" ca="1" si="10"/>
        <v>0</v>
      </c>
      <c r="D36" s="17">
        <f t="shared" ca="1" si="10"/>
        <v>0</v>
      </c>
      <c r="E36" s="17">
        <f t="shared" ca="1" si="10"/>
        <v>0</v>
      </c>
      <c r="F36" s="13">
        <f t="shared" ca="1" si="10"/>
        <v>0</v>
      </c>
      <c r="G36" s="16"/>
      <c r="H36" s="13">
        <f t="shared" ref="H36:H38" ca="1" si="11">OFFSET(H36,-6,0)</f>
        <v>0</v>
      </c>
      <c r="I36" s="15">
        <f t="shared" ca="1" si="7"/>
        <v>1</v>
      </c>
      <c r="J36" s="15"/>
      <c r="K36" s="15">
        <f t="shared" ca="1" si="6"/>
        <v>0</v>
      </c>
    </row>
    <row r="37" spans="1:11" x14ac:dyDescent="0.4">
      <c r="A37" s="11" t="s">
        <v>10</v>
      </c>
      <c r="B37" s="40">
        <f t="shared" ca="1" si="10"/>
        <v>0</v>
      </c>
      <c r="C37" s="13">
        <f t="shared" ca="1" si="10"/>
        <v>0</v>
      </c>
      <c r="D37" s="17">
        <f t="shared" ca="1" si="10"/>
        <v>0</v>
      </c>
      <c r="E37" s="17">
        <f t="shared" ca="1" si="10"/>
        <v>0</v>
      </c>
      <c r="F37" s="13">
        <f t="shared" ca="1" si="10"/>
        <v>0</v>
      </c>
      <c r="G37" s="16"/>
      <c r="H37" s="13">
        <f t="shared" ca="1" si="11"/>
        <v>0</v>
      </c>
      <c r="I37" s="15">
        <f t="shared" ca="1" si="7"/>
        <v>1</v>
      </c>
      <c r="J37" s="15"/>
      <c r="K37" s="15">
        <f t="shared" ca="1" si="6"/>
        <v>0</v>
      </c>
    </row>
    <row r="38" spans="1:11" x14ac:dyDescent="0.4">
      <c r="A38" s="11" t="s">
        <v>10</v>
      </c>
      <c r="B38" s="40">
        <f t="shared" ca="1" si="10"/>
        <v>0</v>
      </c>
      <c r="C38" s="13">
        <f t="shared" ca="1" si="10"/>
        <v>0</v>
      </c>
      <c r="D38" s="17">
        <f t="shared" ca="1" si="10"/>
        <v>0</v>
      </c>
      <c r="E38" s="17">
        <f t="shared" ca="1" si="10"/>
        <v>0</v>
      </c>
      <c r="F38" s="13">
        <f t="shared" ca="1" si="10"/>
        <v>0</v>
      </c>
      <c r="G38" s="16"/>
      <c r="H38" s="13">
        <f t="shared" ca="1" si="11"/>
        <v>0</v>
      </c>
      <c r="I38" s="15">
        <f t="shared" ca="1" si="7"/>
        <v>1</v>
      </c>
      <c r="J38" s="15"/>
      <c r="K38" s="15">
        <f t="shared" ca="1" si="6"/>
        <v>0</v>
      </c>
    </row>
    <row r="39" spans="1:11" x14ac:dyDescent="0.4">
      <c r="A39" s="11" t="s">
        <v>7</v>
      </c>
      <c r="B39" s="40">
        <f t="shared" ref="B39:F41" ca="1" si="12">OFFSET(B39,-9,0)</f>
        <v>0</v>
      </c>
      <c r="C39" s="13">
        <f t="shared" ca="1" si="12"/>
        <v>0</v>
      </c>
      <c r="D39" s="17">
        <f t="shared" ca="1" si="12"/>
        <v>0</v>
      </c>
      <c r="E39" s="17">
        <f t="shared" ca="1" si="12"/>
        <v>0</v>
      </c>
      <c r="F39" s="13">
        <f t="shared" ca="1" si="12"/>
        <v>0</v>
      </c>
      <c r="G39" s="16"/>
      <c r="H39" s="13">
        <f t="shared" ref="H39:H41" ca="1" si="13">OFFSET(H39,-9,0)</f>
        <v>0</v>
      </c>
      <c r="I39" s="15">
        <f t="shared" ca="1" si="7"/>
        <v>1</v>
      </c>
      <c r="J39" s="15"/>
      <c r="K39" s="15">
        <f t="shared" ca="1" si="6"/>
        <v>0</v>
      </c>
    </row>
    <row r="40" spans="1:11" x14ac:dyDescent="0.4">
      <c r="A40" s="11" t="s">
        <v>7</v>
      </c>
      <c r="B40" s="40">
        <f t="shared" ca="1" si="12"/>
        <v>0</v>
      </c>
      <c r="C40" s="13">
        <f t="shared" ca="1" si="12"/>
        <v>0</v>
      </c>
      <c r="D40" s="17">
        <f t="shared" ca="1" si="12"/>
        <v>0</v>
      </c>
      <c r="E40" s="17">
        <f t="shared" ca="1" si="12"/>
        <v>0</v>
      </c>
      <c r="F40" s="13">
        <f t="shared" ca="1" si="12"/>
        <v>0</v>
      </c>
      <c r="G40" s="16"/>
      <c r="H40" s="13">
        <f t="shared" ca="1" si="13"/>
        <v>0</v>
      </c>
      <c r="I40" s="15">
        <f t="shared" ca="1" si="7"/>
        <v>1</v>
      </c>
      <c r="J40" s="15"/>
      <c r="K40" s="15">
        <f t="shared" ca="1" si="6"/>
        <v>0</v>
      </c>
    </row>
    <row r="41" spans="1:11" x14ac:dyDescent="0.4">
      <c r="A41" s="11" t="s">
        <v>7</v>
      </c>
      <c r="B41" s="40">
        <f t="shared" ca="1" si="12"/>
        <v>0</v>
      </c>
      <c r="C41" s="13">
        <f t="shared" ca="1" si="12"/>
        <v>0</v>
      </c>
      <c r="D41" s="17">
        <f t="shared" ca="1" si="12"/>
        <v>0</v>
      </c>
      <c r="E41" s="17">
        <f t="shared" ca="1" si="12"/>
        <v>0</v>
      </c>
      <c r="F41" s="13">
        <f t="shared" ca="1" si="12"/>
        <v>0</v>
      </c>
      <c r="G41" s="16"/>
      <c r="H41" s="13">
        <f t="shared" ca="1" si="13"/>
        <v>0</v>
      </c>
      <c r="I41" s="15">
        <f t="shared" ca="1" si="7"/>
        <v>1</v>
      </c>
      <c r="J41" s="15"/>
      <c r="K41" s="15">
        <f t="shared" ca="1" si="6"/>
        <v>0</v>
      </c>
    </row>
    <row r="42" spans="1:11" x14ac:dyDescent="0.4">
      <c r="A42" s="11" t="s">
        <v>8</v>
      </c>
      <c r="B42" s="40">
        <f t="shared" ref="B42:F44" ca="1" si="14">OFFSET(B42,-12,0)</f>
        <v>0</v>
      </c>
      <c r="C42" s="13">
        <f t="shared" ca="1" si="14"/>
        <v>0</v>
      </c>
      <c r="D42" s="17">
        <f t="shared" ca="1" si="14"/>
        <v>0</v>
      </c>
      <c r="E42" s="17">
        <f t="shared" ca="1" si="14"/>
        <v>0</v>
      </c>
      <c r="F42" s="13">
        <f t="shared" ca="1" si="14"/>
        <v>0</v>
      </c>
      <c r="G42" s="16"/>
      <c r="H42" s="13">
        <f t="shared" ref="H42:H44" ca="1" si="15">OFFSET(H42,-12,0)</f>
        <v>0</v>
      </c>
      <c r="I42" s="15">
        <f t="shared" ca="1" si="7"/>
        <v>1</v>
      </c>
      <c r="J42" s="15"/>
      <c r="K42" s="15">
        <f t="shared" ca="1" si="6"/>
        <v>0</v>
      </c>
    </row>
    <row r="43" spans="1:11" x14ac:dyDescent="0.4">
      <c r="A43" s="11" t="s">
        <v>8</v>
      </c>
      <c r="B43" s="40">
        <f t="shared" ca="1" si="14"/>
        <v>0</v>
      </c>
      <c r="C43" s="13">
        <f t="shared" ca="1" si="14"/>
        <v>0</v>
      </c>
      <c r="D43" s="17">
        <f t="shared" ca="1" si="14"/>
        <v>0</v>
      </c>
      <c r="E43" s="17">
        <f t="shared" ca="1" si="14"/>
        <v>0</v>
      </c>
      <c r="F43" s="13">
        <f t="shared" ca="1" si="14"/>
        <v>0</v>
      </c>
      <c r="G43" s="16"/>
      <c r="H43" s="13">
        <f t="shared" ca="1" si="15"/>
        <v>0</v>
      </c>
      <c r="I43" s="15">
        <f t="shared" ca="1" si="7"/>
        <v>1</v>
      </c>
      <c r="J43" s="15"/>
      <c r="K43" s="15">
        <f t="shared" ca="1" si="6"/>
        <v>0</v>
      </c>
    </row>
    <row r="44" spans="1:11" x14ac:dyDescent="0.4">
      <c r="A44" s="11" t="s">
        <v>8</v>
      </c>
      <c r="B44" s="40">
        <f t="shared" ca="1" si="14"/>
        <v>0</v>
      </c>
      <c r="C44" s="13">
        <f t="shared" ca="1" si="14"/>
        <v>0</v>
      </c>
      <c r="D44" s="17">
        <f t="shared" ca="1" si="14"/>
        <v>0</v>
      </c>
      <c r="E44" s="17">
        <f t="shared" ca="1" si="14"/>
        <v>0</v>
      </c>
      <c r="F44" s="13">
        <f t="shared" ca="1" si="14"/>
        <v>0</v>
      </c>
      <c r="G44" s="16"/>
      <c r="H44" s="13">
        <f t="shared" ca="1" si="15"/>
        <v>0</v>
      </c>
      <c r="I44" s="15">
        <f t="shared" ca="1" si="7"/>
        <v>1</v>
      </c>
      <c r="J44" s="15"/>
      <c r="K44" s="15">
        <f t="shared" ca="1" si="6"/>
        <v>0</v>
      </c>
    </row>
    <row r="45" spans="1:11" x14ac:dyDescent="0.4">
      <c r="A45" s="11" t="s">
        <v>9</v>
      </c>
      <c r="B45" s="41">
        <f t="shared" ref="B45:D47" ca="1" si="16">OFFSET(B45,-15,0)</f>
        <v>0</v>
      </c>
      <c r="C45" s="19">
        <f t="shared" ca="1" si="16"/>
        <v>0</v>
      </c>
      <c r="D45" s="20">
        <f t="shared" ca="1" si="16"/>
        <v>0</v>
      </c>
      <c r="E45" s="20">
        <f ca="1">OFFSET(E45,-15,0)</f>
        <v>0</v>
      </c>
      <c r="F45" s="13">
        <f t="shared" ref="E45:F47" ca="1" si="17">OFFSET(F45,-15,0)</f>
        <v>0</v>
      </c>
      <c r="G45" s="16"/>
      <c r="H45" s="19">
        <f t="shared" ref="H45:H47" ca="1" si="18">OFFSET(H45,-15,0)</f>
        <v>0</v>
      </c>
      <c r="I45" s="15">
        <f t="shared" ca="1" si="7"/>
        <v>1</v>
      </c>
      <c r="J45" s="15"/>
      <c r="K45" s="15">
        <f t="shared" ca="1" si="6"/>
        <v>0</v>
      </c>
    </row>
    <row r="46" spans="1:11" x14ac:dyDescent="0.4">
      <c r="A46" s="11" t="s">
        <v>9</v>
      </c>
      <c r="B46" s="41">
        <f t="shared" ca="1" si="16"/>
        <v>0</v>
      </c>
      <c r="C46" s="19">
        <f t="shared" ca="1" si="16"/>
        <v>0</v>
      </c>
      <c r="D46" s="20">
        <f t="shared" ca="1" si="16"/>
        <v>0</v>
      </c>
      <c r="E46" s="20">
        <f t="shared" ca="1" si="17"/>
        <v>0</v>
      </c>
      <c r="F46" s="13">
        <f t="shared" ca="1" si="17"/>
        <v>0</v>
      </c>
      <c r="G46" s="16"/>
      <c r="H46" s="19">
        <f t="shared" ca="1" si="18"/>
        <v>0</v>
      </c>
      <c r="I46" s="15">
        <f t="shared" ca="1" si="7"/>
        <v>1</v>
      </c>
      <c r="J46" s="15"/>
      <c r="K46" s="15">
        <f t="shared" ca="1" si="6"/>
        <v>0</v>
      </c>
    </row>
    <row r="47" spans="1:11" x14ac:dyDescent="0.4">
      <c r="A47" s="11" t="s">
        <v>9</v>
      </c>
      <c r="B47" s="41">
        <f t="shared" ca="1" si="16"/>
        <v>0</v>
      </c>
      <c r="C47" s="19">
        <f t="shared" ca="1" si="16"/>
        <v>0</v>
      </c>
      <c r="D47" s="20">
        <f t="shared" ca="1" si="16"/>
        <v>0</v>
      </c>
      <c r="E47" s="20">
        <f t="shared" ca="1" si="17"/>
        <v>0</v>
      </c>
      <c r="F47" s="13">
        <f t="shared" ca="1" si="17"/>
        <v>0</v>
      </c>
      <c r="G47" s="16"/>
      <c r="H47" s="19">
        <f t="shared" ca="1" si="18"/>
        <v>0</v>
      </c>
      <c r="I47" s="15">
        <f t="shared" ca="1" si="7"/>
        <v>1</v>
      </c>
      <c r="J47" s="15"/>
      <c r="K47" s="15">
        <f t="shared" ca="1" si="6"/>
        <v>0</v>
      </c>
    </row>
    <row r="48" spans="1:11" ht="17.399999999999999" x14ac:dyDescent="0.4">
      <c r="A48" s="74" t="s">
        <v>28</v>
      </c>
      <c r="B48" s="75"/>
      <c r="C48" s="75"/>
      <c r="D48" s="75"/>
      <c r="E48" s="75"/>
      <c r="F48" s="75"/>
      <c r="G48" s="75"/>
      <c r="H48" s="75"/>
      <c r="I48" s="75"/>
      <c r="J48" s="75"/>
      <c r="K48" s="76"/>
    </row>
    <row r="49" spans="1:11" x14ac:dyDescent="0.4">
      <c r="A49" s="11" t="s">
        <v>5</v>
      </c>
      <c r="B49" s="40"/>
      <c r="C49" s="13"/>
      <c r="D49" s="11"/>
      <c r="E49" s="17"/>
      <c r="F49" s="13"/>
      <c r="G49" s="16"/>
      <c r="H49" s="13"/>
      <c r="I49" s="15">
        <f>ROUND((10^(H49/10))/(10^(F49/10)),3)</f>
        <v>1</v>
      </c>
      <c r="J49" s="15"/>
      <c r="K49" s="15">
        <f t="shared" ref="K49:K66" si="19">G49*I49</f>
        <v>0</v>
      </c>
    </row>
    <row r="50" spans="1:11" x14ac:dyDescent="0.4">
      <c r="A50" s="11" t="s">
        <v>5</v>
      </c>
      <c r="B50" s="40"/>
      <c r="C50" s="13"/>
      <c r="D50" s="11"/>
      <c r="E50" s="17"/>
      <c r="F50" s="13"/>
      <c r="G50" s="16"/>
      <c r="H50" s="13"/>
      <c r="I50" s="15">
        <f t="shared" ref="I50:I66" si="20">ROUND((10^(H50/10))/(10^(F50/10)),3)</f>
        <v>1</v>
      </c>
      <c r="J50" s="15"/>
      <c r="K50" s="15">
        <f t="shared" si="19"/>
        <v>0</v>
      </c>
    </row>
    <row r="51" spans="1:11" x14ac:dyDescent="0.4">
      <c r="A51" s="11" t="s">
        <v>5</v>
      </c>
      <c r="B51" s="40"/>
      <c r="C51" s="13"/>
      <c r="D51" s="11"/>
      <c r="E51" s="17"/>
      <c r="F51" s="13"/>
      <c r="G51" s="16"/>
      <c r="H51" s="13"/>
      <c r="I51" s="15">
        <f t="shared" si="20"/>
        <v>1</v>
      </c>
      <c r="J51" s="15"/>
      <c r="K51" s="15">
        <f t="shared" si="19"/>
        <v>0</v>
      </c>
    </row>
    <row r="52" spans="1:11" x14ac:dyDescent="0.4">
      <c r="A52" s="11" t="s">
        <v>6</v>
      </c>
      <c r="B52" s="41">
        <f t="shared" ref="B52:F54" ca="1" si="21">OFFSET(B52,-3,0)</f>
        <v>0</v>
      </c>
      <c r="C52" s="19">
        <f t="shared" ca="1" si="21"/>
        <v>0</v>
      </c>
      <c r="D52" s="20">
        <f t="shared" ca="1" si="21"/>
        <v>0</v>
      </c>
      <c r="E52" s="20">
        <f t="shared" ca="1" si="21"/>
        <v>0</v>
      </c>
      <c r="F52" s="13">
        <f t="shared" ca="1" si="21"/>
        <v>0</v>
      </c>
      <c r="G52" s="16"/>
      <c r="H52" s="19">
        <f t="shared" ref="H52:H54" ca="1" si="22">OFFSET(H52,-3,0)</f>
        <v>0</v>
      </c>
      <c r="I52" s="15">
        <f t="shared" ca="1" si="20"/>
        <v>1</v>
      </c>
      <c r="J52" s="15"/>
      <c r="K52" s="15">
        <f t="shared" ca="1" si="19"/>
        <v>0</v>
      </c>
    </row>
    <row r="53" spans="1:11" x14ac:dyDescent="0.4">
      <c r="A53" s="11" t="s">
        <v>6</v>
      </c>
      <c r="B53" s="41">
        <f t="shared" ca="1" si="21"/>
        <v>0</v>
      </c>
      <c r="C53" s="19">
        <f t="shared" ca="1" si="21"/>
        <v>0</v>
      </c>
      <c r="D53" s="20">
        <f t="shared" ca="1" si="21"/>
        <v>0</v>
      </c>
      <c r="E53" s="20">
        <f t="shared" ca="1" si="21"/>
        <v>0</v>
      </c>
      <c r="F53" s="13">
        <f t="shared" ca="1" si="21"/>
        <v>0</v>
      </c>
      <c r="G53" s="16"/>
      <c r="H53" s="19">
        <f t="shared" ca="1" si="22"/>
        <v>0</v>
      </c>
      <c r="I53" s="15">
        <f t="shared" ca="1" si="20"/>
        <v>1</v>
      </c>
      <c r="J53" s="15"/>
      <c r="K53" s="15">
        <f t="shared" ca="1" si="19"/>
        <v>0</v>
      </c>
    </row>
    <row r="54" spans="1:11" x14ac:dyDescent="0.4">
      <c r="A54" s="11" t="s">
        <v>6</v>
      </c>
      <c r="B54" s="41">
        <f t="shared" ca="1" si="21"/>
        <v>0</v>
      </c>
      <c r="C54" s="19">
        <f t="shared" ca="1" si="21"/>
        <v>0</v>
      </c>
      <c r="D54" s="20">
        <f t="shared" ca="1" si="21"/>
        <v>0</v>
      </c>
      <c r="E54" s="20">
        <f t="shared" ca="1" si="21"/>
        <v>0</v>
      </c>
      <c r="F54" s="13">
        <f t="shared" ca="1" si="21"/>
        <v>0</v>
      </c>
      <c r="G54" s="16"/>
      <c r="H54" s="19">
        <f t="shared" ca="1" si="22"/>
        <v>0</v>
      </c>
      <c r="I54" s="15">
        <f t="shared" ca="1" si="20"/>
        <v>1</v>
      </c>
      <c r="J54" s="15"/>
      <c r="K54" s="15">
        <f t="shared" ca="1" si="19"/>
        <v>0</v>
      </c>
    </row>
    <row r="55" spans="1:11" x14ac:dyDescent="0.4">
      <c r="A55" s="11" t="s">
        <v>10</v>
      </c>
      <c r="B55" s="40">
        <f t="shared" ref="B55:F57" ca="1" si="23">OFFSET(B55,-6,0)</f>
        <v>0</v>
      </c>
      <c r="C55" s="13">
        <f t="shared" ca="1" si="23"/>
        <v>0</v>
      </c>
      <c r="D55" s="17">
        <f t="shared" ca="1" si="23"/>
        <v>0</v>
      </c>
      <c r="E55" s="17">
        <f t="shared" ca="1" si="23"/>
        <v>0</v>
      </c>
      <c r="F55" s="13">
        <f t="shared" ca="1" si="23"/>
        <v>0</v>
      </c>
      <c r="G55" s="16"/>
      <c r="H55" s="13">
        <f t="shared" ref="H55:H57" ca="1" si="24">OFFSET(H55,-6,0)</f>
        <v>0</v>
      </c>
      <c r="I55" s="15">
        <f t="shared" ca="1" si="20"/>
        <v>1</v>
      </c>
      <c r="J55" s="15"/>
      <c r="K55" s="15">
        <f t="shared" ca="1" si="19"/>
        <v>0</v>
      </c>
    </row>
    <row r="56" spans="1:11" x14ac:dyDescent="0.4">
      <c r="A56" s="11" t="s">
        <v>10</v>
      </c>
      <c r="B56" s="40">
        <f t="shared" ca="1" si="23"/>
        <v>0</v>
      </c>
      <c r="C56" s="13">
        <f t="shared" ca="1" si="23"/>
        <v>0</v>
      </c>
      <c r="D56" s="17">
        <f t="shared" ca="1" si="23"/>
        <v>0</v>
      </c>
      <c r="E56" s="17">
        <f t="shared" ca="1" si="23"/>
        <v>0</v>
      </c>
      <c r="F56" s="13">
        <f t="shared" ca="1" si="23"/>
        <v>0</v>
      </c>
      <c r="G56" s="16"/>
      <c r="H56" s="13">
        <f t="shared" ca="1" si="24"/>
        <v>0</v>
      </c>
      <c r="I56" s="15">
        <f t="shared" ca="1" si="20"/>
        <v>1</v>
      </c>
      <c r="J56" s="15"/>
      <c r="K56" s="15">
        <f t="shared" ca="1" si="19"/>
        <v>0</v>
      </c>
    </row>
    <row r="57" spans="1:11" x14ac:dyDescent="0.4">
      <c r="A57" s="11" t="s">
        <v>10</v>
      </c>
      <c r="B57" s="40">
        <f t="shared" ca="1" si="23"/>
        <v>0</v>
      </c>
      <c r="C57" s="13">
        <f t="shared" ca="1" si="23"/>
        <v>0</v>
      </c>
      <c r="D57" s="17">
        <f t="shared" ca="1" si="23"/>
        <v>0</v>
      </c>
      <c r="E57" s="17">
        <f t="shared" ca="1" si="23"/>
        <v>0</v>
      </c>
      <c r="F57" s="13">
        <f t="shared" ca="1" si="23"/>
        <v>0</v>
      </c>
      <c r="G57" s="16"/>
      <c r="H57" s="13">
        <f t="shared" ca="1" si="24"/>
        <v>0</v>
      </c>
      <c r="I57" s="15">
        <f t="shared" ca="1" si="20"/>
        <v>1</v>
      </c>
      <c r="J57" s="15"/>
      <c r="K57" s="15">
        <f t="shared" ca="1" si="19"/>
        <v>0</v>
      </c>
    </row>
    <row r="58" spans="1:11" x14ac:dyDescent="0.4">
      <c r="A58" s="11" t="s">
        <v>7</v>
      </c>
      <c r="B58" s="40">
        <f t="shared" ref="B58:F60" ca="1" si="25">OFFSET(B58,-9,0)</f>
        <v>0</v>
      </c>
      <c r="C58" s="13">
        <f t="shared" ca="1" si="25"/>
        <v>0</v>
      </c>
      <c r="D58" s="17">
        <f t="shared" ca="1" si="25"/>
        <v>0</v>
      </c>
      <c r="E58" s="17">
        <f t="shared" ca="1" si="25"/>
        <v>0</v>
      </c>
      <c r="F58" s="13">
        <f t="shared" ca="1" si="25"/>
        <v>0</v>
      </c>
      <c r="G58" s="16"/>
      <c r="H58" s="13">
        <f t="shared" ref="H58:H60" ca="1" si="26">OFFSET(H58,-9,0)</f>
        <v>0</v>
      </c>
      <c r="I58" s="15">
        <f t="shared" ca="1" si="20"/>
        <v>1</v>
      </c>
      <c r="J58" s="15"/>
      <c r="K58" s="15">
        <f t="shared" ca="1" si="19"/>
        <v>0</v>
      </c>
    </row>
    <row r="59" spans="1:11" x14ac:dyDescent="0.4">
      <c r="A59" s="11" t="s">
        <v>7</v>
      </c>
      <c r="B59" s="40">
        <f t="shared" ca="1" si="25"/>
        <v>0</v>
      </c>
      <c r="C59" s="13">
        <f t="shared" ca="1" si="25"/>
        <v>0</v>
      </c>
      <c r="D59" s="17">
        <f t="shared" ca="1" si="25"/>
        <v>0</v>
      </c>
      <c r="E59" s="17">
        <f t="shared" ca="1" si="25"/>
        <v>0</v>
      </c>
      <c r="F59" s="13">
        <f t="shared" ca="1" si="25"/>
        <v>0</v>
      </c>
      <c r="G59" s="16"/>
      <c r="H59" s="13">
        <f t="shared" ca="1" si="26"/>
        <v>0</v>
      </c>
      <c r="I59" s="15">
        <f t="shared" ca="1" si="20"/>
        <v>1</v>
      </c>
      <c r="J59" s="15"/>
      <c r="K59" s="15">
        <f t="shared" ca="1" si="19"/>
        <v>0</v>
      </c>
    </row>
    <row r="60" spans="1:11" x14ac:dyDescent="0.4">
      <c r="A60" s="11" t="s">
        <v>7</v>
      </c>
      <c r="B60" s="40">
        <f t="shared" ca="1" si="25"/>
        <v>0</v>
      </c>
      <c r="C60" s="13">
        <f t="shared" ca="1" si="25"/>
        <v>0</v>
      </c>
      <c r="D60" s="17">
        <f t="shared" ca="1" si="25"/>
        <v>0</v>
      </c>
      <c r="E60" s="17">
        <f t="shared" ca="1" si="25"/>
        <v>0</v>
      </c>
      <c r="F60" s="13">
        <f t="shared" ca="1" si="25"/>
        <v>0</v>
      </c>
      <c r="G60" s="16"/>
      <c r="H60" s="13">
        <f t="shared" ca="1" si="26"/>
        <v>0</v>
      </c>
      <c r="I60" s="15">
        <f t="shared" ca="1" si="20"/>
        <v>1</v>
      </c>
      <c r="J60" s="15"/>
      <c r="K60" s="15">
        <f t="shared" ca="1" si="19"/>
        <v>0</v>
      </c>
    </row>
    <row r="61" spans="1:11" x14ac:dyDescent="0.4">
      <c r="A61" s="11" t="s">
        <v>8</v>
      </c>
      <c r="B61" s="40">
        <f t="shared" ref="B61:F63" ca="1" si="27">OFFSET(B61,-12,0)</f>
        <v>0</v>
      </c>
      <c r="C61" s="13">
        <f t="shared" ca="1" si="27"/>
        <v>0</v>
      </c>
      <c r="D61" s="17">
        <f t="shared" ca="1" si="27"/>
        <v>0</v>
      </c>
      <c r="E61" s="17">
        <f t="shared" ca="1" si="27"/>
        <v>0</v>
      </c>
      <c r="F61" s="13">
        <f t="shared" ca="1" si="27"/>
        <v>0</v>
      </c>
      <c r="G61" s="16"/>
      <c r="H61" s="13">
        <f t="shared" ref="H61:H63" ca="1" si="28">OFFSET(H61,-12,0)</f>
        <v>0</v>
      </c>
      <c r="I61" s="15">
        <f t="shared" ca="1" si="20"/>
        <v>1</v>
      </c>
      <c r="J61" s="15"/>
      <c r="K61" s="15">
        <f t="shared" ca="1" si="19"/>
        <v>0</v>
      </c>
    </row>
    <row r="62" spans="1:11" x14ac:dyDescent="0.4">
      <c r="A62" s="11" t="s">
        <v>8</v>
      </c>
      <c r="B62" s="40">
        <f t="shared" ca="1" si="27"/>
        <v>0</v>
      </c>
      <c r="C62" s="13">
        <f t="shared" ca="1" si="27"/>
        <v>0</v>
      </c>
      <c r="D62" s="17">
        <f t="shared" ca="1" si="27"/>
        <v>0</v>
      </c>
      <c r="E62" s="17">
        <f t="shared" ca="1" si="27"/>
        <v>0</v>
      </c>
      <c r="F62" s="13">
        <f t="shared" ca="1" si="27"/>
        <v>0</v>
      </c>
      <c r="G62" s="16"/>
      <c r="H62" s="13">
        <f t="shared" ca="1" si="28"/>
        <v>0</v>
      </c>
      <c r="I62" s="15">
        <f t="shared" ca="1" si="20"/>
        <v>1</v>
      </c>
      <c r="J62" s="15"/>
      <c r="K62" s="15">
        <f t="shared" ca="1" si="19"/>
        <v>0</v>
      </c>
    </row>
    <row r="63" spans="1:11" x14ac:dyDescent="0.4">
      <c r="A63" s="11" t="s">
        <v>8</v>
      </c>
      <c r="B63" s="40">
        <f t="shared" ca="1" si="27"/>
        <v>0</v>
      </c>
      <c r="C63" s="13">
        <f t="shared" ca="1" si="27"/>
        <v>0</v>
      </c>
      <c r="D63" s="17">
        <f t="shared" ca="1" si="27"/>
        <v>0</v>
      </c>
      <c r="E63" s="17">
        <f t="shared" ca="1" si="27"/>
        <v>0</v>
      </c>
      <c r="F63" s="13">
        <f t="shared" ca="1" si="27"/>
        <v>0</v>
      </c>
      <c r="G63" s="16"/>
      <c r="H63" s="13">
        <f t="shared" ca="1" si="28"/>
        <v>0</v>
      </c>
      <c r="I63" s="15">
        <f t="shared" ca="1" si="20"/>
        <v>1</v>
      </c>
      <c r="J63" s="15"/>
      <c r="K63" s="15">
        <f t="shared" ca="1" si="19"/>
        <v>0</v>
      </c>
    </row>
    <row r="64" spans="1:11" x14ac:dyDescent="0.4">
      <c r="A64" s="11" t="s">
        <v>9</v>
      </c>
      <c r="B64" s="41">
        <f t="shared" ref="B64:E66" ca="1" si="29">OFFSET(B64,-15,0)</f>
        <v>0</v>
      </c>
      <c r="C64" s="19">
        <f t="shared" ca="1" si="29"/>
        <v>0</v>
      </c>
      <c r="D64" s="20">
        <f t="shared" ca="1" si="29"/>
        <v>0</v>
      </c>
      <c r="E64" s="20">
        <f ca="1">OFFSET(E64,-15,0)</f>
        <v>0</v>
      </c>
      <c r="F64" s="13">
        <f t="shared" ref="F64:F66" ca="1" si="30">OFFSET(F64,-15,0)</f>
        <v>0</v>
      </c>
      <c r="G64" s="16"/>
      <c r="H64" s="19">
        <f t="shared" ref="H64:H66" ca="1" si="31">OFFSET(H64,-15,0)</f>
        <v>0</v>
      </c>
      <c r="I64" s="15">
        <f t="shared" ca="1" si="20"/>
        <v>1</v>
      </c>
      <c r="J64" s="15"/>
      <c r="K64" s="15">
        <f t="shared" ca="1" si="19"/>
        <v>0</v>
      </c>
    </row>
    <row r="65" spans="1:11" x14ac:dyDescent="0.4">
      <c r="A65" s="11" t="s">
        <v>9</v>
      </c>
      <c r="B65" s="41">
        <f t="shared" ca="1" si="29"/>
        <v>0</v>
      </c>
      <c r="C65" s="19">
        <f t="shared" ca="1" si="29"/>
        <v>0</v>
      </c>
      <c r="D65" s="20">
        <f t="shared" ca="1" si="29"/>
        <v>0</v>
      </c>
      <c r="E65" s="20">
        <f t="shared" ca="1" si="29"/>
        <v>0</v>
      </c>
      <c r="F65" s="13">
        <f t="shared" ca="1" si="30"/>
        <v>0</v>
      </c>
      <c r="G65" s="16"/>
      <c r="H65" s="19">
        <f t="shared" ca="1" si="31"/>
        <v>0</v>
      </c>
      <c r="I65" s="15">
        <f t="shared" ca="1" si="20"/>
        <v>1</v>
      </c>
      <c r="J65" s="15"/>
      <c r="K65" s="15">
        <f t="shared" ca="1" si="19"/>
        <v>0</v>
      </c>
    </row>
    <row r="66" spans="1:11" x14ac:dyDescent="0.4">
      <c r="A66" s="11" t="s">
        <v>9</v>
      </c>
      <c r="B66" s="41">
        <f t="shared" ca="1" si="29"/>
        <v>0</v>
      </c>
      <c r="C66" s="19">
        <f t="shared" ca="1" si="29"/>
        <v>0</v>
      </c>
      <c r="D66" s="20">
        <f t="shared" ca="1" si="29"/>
        <v>0</v>
      </c>
      <c r="E66" s="20">
        <f t="shared" ca="1" si="29"/>
        <v>0</v>
      </c>
      <c r="F66" s="13">
        <f t="shared" ca="1" si="30"/>
        <v>0</v>
      </c>
      <c r="G66" s="16"/>
      <c r="H66" s="19">
        <f t="shared" ca="1" si="31"/>
        <v>0</v>
      </c>
      <c r="I66" s="15">
        <f t="shared" ca="1" si="20"/>
        <v>1</v>
      </c>
      <c r="J66" s="15"/>
      <c r="K66" s="15">
        <f t="shared" ca="1" si="19"/>
        <v>0</v>
      </c>
    </row>
    <row r="67" spans="1:11" ht="17.399999999999999" x14ac:dyDescent="0.4">
      <c r="A67" s="74" t="s">
        <v>25</v>
      </c>
      <c r="B67" s="75"/>
      <c r="C67" s="75"/>
      <c r="D67" s="75"/>
      <c r="E67" s="75"/>
      <c r="F67" s="75"/>
      <c r="G67" s="75"/>
      <c r="H67" s="75"/>
      <c r="I67" s="75"/>
      <c r="J67" s="75"/>
      <c r="K67" s="76"/>
    </row>
    <row r="68" spans="1:11" x14ac:dyDescent="0.4">
      <c r="A68" s="11" t="s">
        <v>5</v>
      </c>
      <c r="B68" s="40"/>
      <c r="C68" s="13"/>
      <c r="D68" s="11"/>
      <c r="E68" s="17"/>
      <c r="F68" s="13"/>
      <c r="G68" s="16"/>
      <c r="H68" s="13"/>
      <c r="I68" s="15">
        <f>ROUND((10^(H68/10))/(10^(F68/10)),3)</f>
        <v>1</v>
      </c>
      <c r="J68" s="15"/>
      <c r="K68" s="15">
        <f t="shared" ref="K68:K85" si="32">G68*I68</f>
        <v>0</v>
      </c>
    </row>
    <row r="69" spans="1:11" x14ac:dyDescent="0.4">
      <c r="A69" s="11" t="s">
        <v>5</v>
      </c>
      <c r="B69" s="40"/>
      <c r="C69" s="13"/>
      <c r="D69" s="11"/>
      <c r="E69" s="17"/>
      <c r="F69" s="13"/>
      <c r="G69" s="16"/>
      <c r="H69" s="13"/>
      <c r="I69" s="15">
        <f t="shared" ref="I69:I85" si="33">ROUND((10^(H69/10))/(10^(F69/10)),3)</f>
        <v>1</v>
      </c>
      <c r="J69" s="15"/>
      <c r="K69" s="15">
        <f t="shared" si="32"/>
        <v>0</v>
      </c>
    </row>
    <row r="70" spans="1:11" x14ac:dyDescent="0.4">
      <c r="A70" s="11" t="s">
        <v>5</v>
      </c>
      <c r="B70" s="40"/>
      <c r="C70" s="13"/>
      <c r="D70" s="11"/>
      <c r="E70" s="17"/>
      <c r="F70" s="13"/>
      <c r="G70" s="16"/>
      <c r="H70" s="13"/>
      <c r="I70" s="15">
        <f t="shared" si="33"/>
        <v>1</v>
      </c>
      <c r="J70" s="15"/>
      <c r="K70" s="15">
        <f t="shared" si="32"/>
        <v>0</v>
      </c>
    </row>
    <row r="71" spans="1:11" x14ac:dyDescent="0.4">
      <c r="A71" s="11" t="s">
        <v>6</v>
      </c>
      <c r="B71" s="41">
        <f t="shared" ref="B71:F73" ca="1" si="34">OFFSET(B71,-3,0)</f>
        <v>0</v>
      </c>
      <c r="C71" s="19">
        <f t="shared" ca="1" si="34"/>
        <v>0</v>
      </c>
      <c r="D71" s="20">
        <f t="shared" ca="1" si="34"/>
        <v>0</v>
      </c>
      <c r="E71" s="20">
        <f t="shared" ca="1" si="34"/>
        <v>0</v>
      </c>
      <c r="F71" s="13">
        <f t="shared" ca="1" si="34"/>
        <v>0</v>
      </c>
      <c r="G71" s="16"/>
      <c r="H71" s="19">
        <f t="shared" ref="H71:H73" ca="1" si="35">OFFSET(H71,-3,0)</f>
        <v>0</v>
      </c>
      <c r="I71" s="15">
        <f t="shared" ca="1" si="33"/>
        <v>1</v>
      </c>
      <c r="J71" s="15"/>
      <c r="K71" s="15">
        <f t="shared" ca="1" si="32"/>
        <v>0</v>
      </c>
    </row>
    <row r="72" spans="1:11" x14ac:dyDescent="0.4">
      <c r="A72" s="11" t="s">
        <v>6</v>
      </c>
      <c r="B72" s="41">
        <f t="shared" ca="1" si="34"/>
        <v>0</v>
      </c>
      <c r="C72" s="19">
        <f t="shared" ca="1" si="34"/>
        <v>0</v>
      </c>
      <c r="D72" s="20">
        <f t="shared" ca="1" si="34"/>
        <v>0</v>
      </c>
      <c r="E72" s="20">
        <f t="shared" ca="1" si="34"/>
        <v>0</v>
      </c>
      <c r="F72" s="13">
        <f t="shared" ca="1" si="34"/>
        <v>0</v>
      </c>
      <c r="G72" s="16"/>
      <c r="H72" s="19">
        <f t="shared" ca="1" si="35"/>
        <v>0</v>
      </c>
      <c r="I72" s="15">
        <f t="shared" ca="1" si="33"/>
        <v>1</v>
      </c>
      <c r="J72" s="15"/>
      <c r="K72" s="15">
        <f t="shared" ca="1" si="32"/>
        <v>0</v>
      </c>
    </row>
    <row r="73" spans="1:11" x14ac:dyDescent="0.4">
      <c r="A73" s="11" t="s">
        <v>6</v>
      </c>
      <c r="B73" s="41">
        <f t="shared" ca="1" si="34"/>
        <v>0</v>
      </c>
      <c r="C73" s="19">
        <f t="shared" ca="1" si="34"/>
        <v>0</v>
      </c>
      <c r="D73" s="20">
        <f t="shared" ca="1" si="34"/>
        <v>0</v>
      </c>
      <c r="E73" s="20">
        <f t="shared" ca="1" si="34"/>
        <v>0</v>
      </c>
      <c r="F73" s="13">
        <f t="shared" ca="1" si="34"/>
        <v>0</v>
      </c>
      <c r="G73" s="16"/>
      <c r="H73" s="19">
        <f t="shared" ca="1" si="35"/>
        <v>0</v>
      </c>
      <c r="I73" s="15">
        <f t="shared" ca="1" si="33"/>
        <v>1</v>
      </c>
      <c r="J73" s="15"/>
      <c r="K73" s="15">
        <f t="shared" ca="1" si="32"/>
        <v>0</v>
      </c>
    </row>
    <row r="74" spans="1:11" x14ac:dyDescent="0.4">
      <c r="A74" s="11" t="s">
        <v>10</v>
      </c>
      <c r="B74" s="40">
        <f t="shared" ref="B74:F76" ca="1" si="36">OFFSET(B74,-6,0)</f>
        <v>0</v>
      </c>
      <c r="C74" s="13">
        <f t="shared" ca="1" si="36"/>
        <v>0</v>
      </c>
      <c r="D74" s="17">
        <f t="shared" ca="1" si="36"/>
        <v>0</v>
      </c>
      <c r="E74" s="17">
        <f t="shared" ca="1" si="36"/>
        <v>0</v>
      </c>
      <c r="F74" s="13">
        <f t="shared" ca="1" si="36"/>
        <v>0</v>
      </c>
      <c r="G74" s="16"/>
      <c r="H74" s="13">
        <f t="shared" ref="H74:H76" ca="1" si="37">OFFSET(H74,-6,0)</f>
        <v>0</v>
      </c>
      <c r="I74" s="15">
        <f t="shared" ca="1" si="33"/>
        <v>1</v>
      </c>
      <c r="J74" s="15"/>
      <c r="K74" s="15">
        <f t="shared" ca="1" si="32"/>
        <v>0</v>
      </c>
    </row>
    <row r="75" spans="1:11" x14ac:dyDescent="0.4">
      <c r="A75" s="11" t="s">
        <v>10</v>
      </c>
      <c r="B75" s="40">
        <f t="shared" ca="1" si="36"/>
        <v>0</v>
      </c>
      <c r="C75" s="13">
        <f t="shared" ca="1" si="36"/>
        <v>0</v>
      </c>
      <c r="D75" s="17">
        <f t="shared" ca="1" si="36"/>
        <v>0</v>
      </c>
      <c r="E75" s="17">
        <f t="shared" ca="1" si="36"/>
        <v>0</v>
      </c>
      <c r="F75" s="13">
        <f t="shared" ca="1" si="36"/>
        <v>0</v>
      </c>
      <c r="G75" s="16"/>
      <c r="H75" s="13">
        <f t="shared" ca="1" si="37"/>
        <v>0</v>
      </c>
      <c r="I75" s="15">
        <f t="shared" ca="1" si="33"/>
        <v>1</v>
      </c>
      <c r="J75" s="15"/>
      <c r="K75" s="15">
        <f t="shared" ca="1" si="32"/>
        <v>0</v>
      </c>
    </row>
    <row r="76" spans="1:11" x14ac:dyDescent="0.4">
      <c r="A76" s="11" t="s">
        <v>10</v>
      </c>
      <c r="B76" s="40">
        <f t="shared" ca="1" si="36"/>
        <v>0</v>
      </c>
      <c r="C76" s="13">
        <f t="shared" ca="1" si="36"/>
        <v>0</v>
      </c>
      <c r="D76" s="17">
        <f t="shared" ca="1" si="36"/>
        <v>0</v>
      </c>
      <c r="E76" s="17">
        <f t="shared" ca="1" si="36"/>
        <v>0</v>
      </c>
      <c r="F76" s="13">
        <f t="shared" ca="1" si="36"/>
        <v>0</v>
      </c>
      <c r="G76" s="16"/>
      <c r="H76" s="13">
        <f t="shared" ca="1" si="37"/>
        <v>0</v>
      </c>
      <c r="I76" s="15">
        <f t="shared" ca="1" si="33"/>
        <v>1</v>
      </c>
      <c r="J76" s="15"/>
      <c r="K76" s="15">
        <f t="shared" ca="1" si="32"/>
        <v>0</v>
      </c>
    </row>
    <row r="77" spans="1:11" x14ac:dyDescent="0.4">
      <c r="A77" s="11" t="s">
        <v>7</v>
      </c>
      <c r="B77" s="40">
        <f t="shared" ref="B77:F79" ca="1" si="38">OFFSET(B77,-9,0)</f>
        <v>0</v>
      </c>
      <c r="C77" s="13">
        <f t="shared" ca="1" si="38"/>
        <v>0</v>
      </c>
      <c r="D77" s="17">
        <f t="shared" ca="1" si="38"/>
        <v>0</v>
      </c>
      <c r="E77" s="17">
        <f t="shared" ca="1" si="38"/>
        <v>0</v>
      </c>
      <c r="F77" s="13">
        <f t="shared" ca="1" si="38"/>
        <v>0</v>
      </c>
      <c r="G77" s="16"/>
      <c r="H77" s="13">
        <f t="shared" ref="H77:H79" ca="1" si="39">OFFSET(H77,-9,0)</f>
        <v>0</v>
      </c>
      <c r="I77" s="15">
        <f t="shared" ca="1" si="33"/>
        <v>1</v>
      </c>
      <c r="J77" s="15"/>
      <c r="K77" s="15">
        <f t="shared" ca="1" si="32"/>
        <v>0</v>
      </c>
    </row>
    <row r="78" spans="1:11" x14ac:dyDescent="0.4">
      <c r="A78" s="11" t="s">
        <v>7</v>
      </c>
      <c r="B78" s="40">
        <f t="shared" ca="1" si="38"/>
        <v>0</v>
      </c>
      <c r="C78" s="13">
        <f t="shared" ca="1" si="38"/>
        <v>0</v>
      </c>
      <c r="D78" s="17">
        <f t="shared" ca="1" si="38"/>
        <v>0</v>
      </c>
      <c r="E78" s="17">
        <f t="shared" ca="1" si="38"/>
        <v>0</v>
      </c>
      <c r="F78" s="13">
        <f t="shared" ca="1" si="38"/>
        <v>0</v>
      </c>
      <c r="G78" s="16"/>
      <c r="H78" s="13">
        <f t="shared" ca="1" si="39"/>
        <v>0</v>
      </c>
      <c r="I78" s="15">
        <f t="shared" ca="1" si="33"/>
        <v>1</v>
      </c>
      <c r="J78" s="15"/>
      <c r="K78" s="15">
        <f t="shared" ca="1" si="32"/>
        <v>0</v>
      </c>
    </row>
    <row r="79" spans="1:11" x14ac:dyDescent="0.4">
      <c r="A79" s="11" t="s">
        <v>7</v>
      </c>
      <c r="B79" s="40">
        <f t="shared" ca="1" si="38"/>
        <v>0</v>
      </c>
      <c r="C79" s="13">
        <f t="shared" ca="1" si="38"/>
        <v>0</v>
      </c>
      <c r="D79" s="17">
        <f t="shared" ca="1" si="38"/>
        <v>0</v>
      </c>
      <c r="E79" s="17">
        <f t="shared" ca="1" si="38"/>
        <v>0</v>
      </c>
      <c r="F79" s="13">
        <f t="shared" ca="1" si="38"/>
        <v>0</v>
      </c>
      <c r="G79" s="16"/>
      <c r="H79" s="13">
        <f t="shared" ca="1" si="39"/>
        <v>0</v>
      </c>
      <c r="I79" s="15">
        <f t="shared" ca="1" si="33"/>
        <v>1</v>
      </c>
      <c r="J79" s="15"/>
      <c r="K79" s="15">
        <f t="shared" ca="1" si="32"/>
        <v>0</v>
      </c>
    </row>
    <row r="80" spans="1:11" x14ac:dyDescent="0.4">
      <c r="A80" s="11" t="s">
        <v>8</v>
      </c>
      <c r="B80" s="40">
        <f t="shared" ref="B80:F82" ca="1" si="40">OFFSET(B80,-12,0)</f>
        <v>0</v>
      </c>
      <c r="C80" s="13">
        <f t="shared" ca="1" si="40"/>
        <v>0</v>
      </c>
      <c r="D80" s="17">
        <f t="shared" ca="1" si="40"/>
        <v>0</v>
      </c>
      <c r="E80" s="17">
        <f t="shared" ca="1" si="40"/>
        <v>0</v>
      </c>
      <c r="F80" s="13">
        <f t="shared" ca="1" si="40"/>
        <v>0</v>
      </c>
      <c r="G80" s="16"/>
      <c r="H80" s="13">
        <f t="shared" ref="H80:H82" ca="1" si="41">OFFSET(H80,-12,0)</f>
        <v>0</v>
      </c>
      <c r="I80" s="15">
        <f t="shared" ca="1" si="33"/>
        <v>1</v>
      </c>
      <c r="J80" s="15"/>
      <c r="K80" s="15">
        <f t="shared" ca="1" si="32"/>
        <v>0</v>
      </c>
    </row>
    <row r="81" spans="1:11" x14ac:dyDescent="0.4">
      <c r="A81" s="11" t="s">
        <v>8</v>
      </c>
      <c r="B81" s="40">
        <f t="shared" ca="1" si="40"/>
        <v>0</v>
      </c>
      <c r="C81" s="13">
        <f t="shared" ca="1" si="40"/>
        <v>0</v>
      </c>
      <c r="D81" s="17">
        <f t="shared" ca="1" si="40"/>
        <v>0</v>
      </c>
      <c r="E81" s="17">
        <f t="shared" ca="1" si="40"/>
        <v>0</v>
      </c>
      <c r="F81" s="13">
        <f t="shared" ca="1" si="40"/>
        <v>0</v>
      </c>
      <c r="G81" s="16"/>
      <c r="H81" s="13">
        <f t="shared" ca="1" si="41"/>
        <v>0</v>
      </c>
      <c r="I81" s="15">
        <f t="shared" ca="1" si="33"/>
        <v>1</v>
      </c>
      <c r="J81" s="15"/>
      <c r="K81" s="15">
        <f t="shared" ca="1" si="32"/>
        <v>0</v>
      </c>
    </row>
    <row r="82" spans="1:11" x14ac:dyDescent="0.4">
      <c r="A82" s="11" t="s">
        <v>8</v>
      </c>
      <c r="B82" s="40">
        <f t="shared" ca="1" si="40"/>
        <v>0</v>
      </c>
      <c r="C82" s="13">
        <f t="shared" ca="1" si="40"/>
        <v>0</v>
      </c>
      <c r="D82" s="17">
        <f t="shared" ca="1" si="40"/>
        <v>0</v>
      </c>
      <c r="E82" s="17">
        <f t="shared" ca="1" si="40"/>
        <v>0</v>
      </c>
      <c r="F82" s="13">
        <f t="shared" ca="1" si="40"/>
        <v>0</v>
      </c>
      <c r="G82" s="16"/>
      <c r="H82" s="13">
        <f t="shared" ca="1" si="41"/>
        <v>0</v>
      </c>
      <c r="I82" s="15">
        <f t="shared" ca="1" si="33"/>
        <v>1</v>
      </c>
      <c r="J82" s="15"/>
      <c r="K82" s="15">
        <f t="shared" ca="1" si="32"/>
        <v>0</v>
      </c>
    </row>
    <row r="83" spans="1:11" x14ac:dyDescent="0.4">
      <c r="A83" s="11" t="s">
        <v>9</v>
      </c>
      <c r="B83" s="41">
        <f t="shared" ref="B83:F85" ca="1" si="42">OFFSET(B83,-15,0)</f>
        <v>0</v>
      </c>
      <c r="C83" s="19">
        <f t="shared" ca="1" si="42"/>
        <v>0</v>
      </c>
      <c r="D83" s="20">
        <f t="shared" ca="1" si="42"/>
        <v>0</v>
      </c>
      <c r="E83" s="20">
        <f t="shared" ca="1" si="42"/>
        <v>0</v>
      </c>
      <c r="F83" s="13">
        <f t="shared" ca="1" si="42"/>
        <v>0</v>
      </c>
      <c r="G83" s="16"/>
      <c r="H83" s="19">
        <f t="shared" ref="H83:H85" ca="1" si="43">OFFSET(H83,-15,0)</f>
        <v>0</v>
      </c>
      <c r="I83" s="15">
        <f t="shared" ca="1" si="33"/>
        <v>1</v>
      </c>
      <c r="J83" s="15"/>
      <c r="K83" s="15">
        <f t="shared" ca="1" si="32"/>
        <v>0</v>
      </c>
    </row>
    <row r="84" spans="1:11" x14ac:dyDescent="0.4">
      <c r="A84" s="11" t="s">
        <v>9</v>
      </c>
      <c r="B84" s="41">
        <f t="shared" ca="1" si="42"/>
        <v>0</v>
      </c>
      <c r="C84" s="19">
        <f t="shared" ca="1" si="42"/>
        <v>0</v>
      </c>
      <c r="D84" s="20">
        <f t="shared" ca="1" si="42"/>
        <v>0</v>
      </c>
      <c r="E84" s="20">
        <f t="shared" ca="1" si="42"/>
        <v>0</v>
      </c>
      <c r="F84" s="13">
        <f t="shared" ca="1" si="42"/>
        <v>0</v>
      </c>
      <c r="G84" s="16"/>
      <c r="H84" s="19">
        <f t="shared" ca="1" si="43"/>
        <v>0</v>
      </c>
      <c r="I84" s="15">
        <f t="shared" ca="1" si="33"/>
        <v>1</v>
      </c>
      <c r="J84" s="15"/>
      <c r="K84" s="15">
        <f t="shared" ca="1" si="32"/>
        <v>0</v>
      </c>
    </row>
    <row r="85" spans="1:11" x14ac:dyDescent="0.4">
      <c r="A85" s="11" t="s">
        <v>9</v>
      </c>
      <c r="B85" s="41">
        <f t="shared" ca="1" si="42"/>
        <v>0</v>
      </c>
      <c r="C85" s="19">
        <f t="shared" ca="1" si="42"/>
        <v>0</v>
      </c>
      <c r="D85" s="20">
        <f t="shared" ca="1" si="42"/>
        <v>0</v>
      </c>
      <c r="E85" s="20">
        <f t="shared" ca="1" si="42"/>
        <v>0</v>
      </c>
      <c r="F85" s="13">
        <f t="shared" ca="1" si="42"/>
        <v>0</v>
      </c>
      <c r="G85" s="16"/>
      <c r="H85" s="19">
        <f t="shared" ca="1" si="43"/>
        <v>0</v>
      </c>
      <c r="I85" s="15">
        <f t="shared" ca="1" si="33"/>
        <v>1</v>
      </c>
      <c r="J85" s="15"/>
      <c r="K85" s="15">
        <f t="shared" ca="1" si="32"/>
        <v>0</v>
      </c>
    </row>
    <row r="86" spans="1:11" ht="17.399999999999999" x14ac:dyDescent="0.4">
      <c r="A86" s="74" t="s">
        <v>29</v>
      </c>
      <c r="B86" s="75"/>
      <c r="C86" s="75"/>
      <c r="D86" s="75"/>
      <c r="E86" s="75"/>
      <c r="F86" s="75"/>
      <c r="G86" s="75"/>
      <c r="H86" s="75"/>
      <c r="I86" s="75"/>
      <c r="J86" s="75"/>
      <c r="K86" s="76"/>
    </row>
    <row r="87" spans="1:11" x14ac:dyDescent="0.4">
      <c r="A87" s="11" t="s">
        <v>5</v>
      </c>
      <c r="B87" s="40"/>
      <c r="C87" s="13"/>
      <c r="D87" s="11"/>
      <c r="E87" s="17"/>
      <c r="F87" s="13"/>
      <c r="G87" s="16"/>
      <c r="H87" s="13"/>
      <c r="I87" s="15">
        <f>ROUND((10^(H87/10))/(10^(F87/10)),3)</f>
        <v>1</v>
      </c>
      <c r="J87" s="15"/>
      <c r="K87" s="15">
        <f t="shared" ref="K87:K104" si="44">G87*I87</f>
        <v>0</v>
      </c>
    </row>
    <row r="88" spans="1:11" x14ac:dyDescent="0.4">
      <c r="A88" s="11" t="s">
        <v>5</v>
      </c>
      <c r="B88" s="40"/>
      <c r="C88" s="13"/>
      <c r="D88" s="11"/>
      <c r="E88" s="17"/>
      <c r="F88" s="13"/>
      <c r="G88" s="16"/>
      <c r="H88" s="13"/>
      <c r="I88" s="15">
        <f t="shared" ref="I88:I104" si="45">ROUND((10^(H88/10))/(10^(F88/10)),3)</f>
        <v>1</v>
      </c>
      <c r="J88" s="15"/>
      <c r="K88" s="15">
        <f t="shared" si="44"/>
        <v>0</v>
      </c>
    </row>
    <row r="89" spans="1:11" x14ac:dyDescent="0.4">
      <c r="A89" s="11" t="s">
        <v>5</v>
      </c>
      <c r="B89" s="40"/>
      <c r="C89" s="13"/>
      <c r="D89" s="11"/>
      <c r="E89" s="17"/>
      <c r="F89" s="13"/>
      <c r="G89" s="16"/>
      <c r="H89" s="13"/>
      <c r="I89" s="15">
        <f t="shared" si="45"/>
        <v>1</v>
      </c>
      <c r="J89" s="15"/>
      <c r="K89" s="15">
        <f t="shared" si="44"/>
        <v>0</v>
      </c>
    </row>
    <row r="90" spans="1:11" x14ac:dyDescent="0.4">
      <c r="A90" s="11" t="s">
        <v>6</v>
      </c>
      <c r="B90" s="41">
        <f t="shared" ref="B90:F92" ca="1" si="46">OFFSET(B90,-3,0)</f>
        <v>0</v>
      </c>
      <c r="C90" s="19">
        <f t="shared" ca="1" si="46"/>
        <v>0</v>
      </c>
      <c r="D90" s="20">
        <f t="shared" ca="1" si="46"/>
        <v>0</v>
      </c>
      <c r="E90" s="20">
        <f t="shared" ca="1" si="46"/>
        <v>0</v>
      </c>
      <c r="F90" s="13">
        <f t="shared" ca="1" si="46"/>
        <v>0</v>
      </c>
      <c r="G90" s="16"/>
      <c r="H90" s="19">
        <f t="shared" ref="H90:H92" ca="1" si="47">OFFSET(H90,-3,0)</f>
        <v>0</v>
      </c>
      <c r="I90" s="15">
        <f t="shared" ca="1" si="45"/>
        <v>1</v>
      </c>
      <c r="J90" s="15"/>
      <c r="K90" s="15">
        <f t="shared" ca="1" si="44"/>
        <v>0</v>
      </c>
    </row>
    <row r="91" spans="1:11" x14ac:dyDescent="0.4">
      <c r="A91" s="11" t="s">
        <v>6</v>
      </c>
      <c r="B91" s="41">
        <f t="shared" ca="1" si="46"/>
        <v>0</v>
      </c>
      <c r="C91" s="19">
        <f t="shared" ca="1" si="46"/>
        <v>0</v>
      </c>
      <c r="D91" s="20">
        <f t="shared" ca="1" si="46"/>
        <v>0</v>
      </c>
      <c r="E91" s="20">
        <f t="shared" ca="1" si="46"/>
        <v>0</v>
      </c>
      <c r="F91" s="13">
        <f t="shared" ca="1" si="46"/>
        <v>0</v>
      </c>
      <c r="G91" s="16"/>
      <c r="H91" s="19">
        <f t="shared" ca="1" si="47"/>
        <v>0</v>
      </c>
      <c r="I91" s="15">
        <f t="shared" ca="1" si="45"/>
        <v>1</v>
      </c>
      <c r="J91" s="15"/>
      <c r="K91" s="15">
        <f t="shared" ca="1" si="44"/>
        <v>0</v>
      </c>
    </row>
    <row r="92" spans="1:11" x14ac:dyDescent="0.4">
      <c r="A92" s="11" t="s">
        <v>6</v>
      </c>
      <c r="B92" s="41">
        <f t="shared" ca="1" si="46"/>
        <v>0</v>
      </c>
      <c r="C92" s="19">
        <f t="shared" ca="1" si="46"/>
        <v>0</v>
      </c>
      <c r="D92" s="20">
        <f t="shared" ca="1" si="46"/>
        <v>0</v>
      </c>
      <c r="E92" s="20">
        <f t="shared" ca="1" si="46"/>
        <v>0</v>
      </c>
      <c r="F92" s="13">
        <f t="shared" ca="1" si="46"/>
        <v>0</v>
      </c>
      <c r="G92" s="16"/>
      <c r="H92" s="19">
        <f t="shared" ca="1" si="47"/>
        <v>0</v>
      </c>
      <c r="I92" s="15">
        <f t="shared" ca="1" si="45"/>
        <v>1</v>
      </c>
      <c r="J92" s="15"/>
      <c r="K92" s="15">
        <f t="shared" ca="1" si="44"/>
        <v>0</v>
      </c>
    </row>
    <row r="93" spans="1:11" x14ac:dyDescent="0.4">
      <c r="A93" s="11" t="s">
        <v>10</v>
      </c>
      <c r="B93" s="40">
        <f t="shared" ref="B93:F95" ca="1" si="48">OFFSET(B93,-6,0)</f>
        <v>0</v>
      </c>
      <c r="C93" s="13">
        <f t="shared" ca="1" si="48"/>
        <v>0</v>
      </c>
      <c r="D93" s="17">
        <f t="shared" ca="1" si="48"/>
        <v>0</v>
      </c>
      <c r="E93" s="17">
        <f t="shared" ca="1" si="48"/>
        <v>0</v>
      </c>
      <c r="F93" s="13">
        <f t="shared" ca="1" si="48"/>
        <v>0</v>
      </c>
      <c r="G93" s="16"/>
      <c r="H93" s="13">
        <f t="shared" ref="H93:H95" ca="1" si="49">OFFSET(H93,-6,0)</f>
        <v>0</v>
      </c>
      <c r="I93" s="15">
        <f t="shared" ca="1" si="45"/>
        <v>1</v>
      </c>
      <c r="J93" s="15"/>
      <c r="K93" s="15">
        <f t="shared" ca="1" si="44"/>
        <v>0</v>
      </c>
    </row>
    <row r="94" spans="1:11" x14ac:dyDescent="0.4">
      <c r="A94" s="11" t="s">
        <v>10</v>
      </c>
      <c r="B94" s="40">
        <f t="shared" ca="1" si="48"/>
        <v>0</v>
      </c>
      <c r="C94" s="13">
        <f t="shared" ca="1" si="48"/>
        <v>0</v>
      </c>
      <c r="D94" s="17">
        <f t="shared" ca="1" si="48"/>
        <v>0</v>
      </c>
      <c r="E94" s="17">
        <f t="shared" ca="1" si="48"/>
        <v>0</v>
      </c>
      <c r="F94" s="13">
        <f t="shared" ca="1" si="48"/>
        <v>0</v>
      </c>
      <c r="G94" s="16"/>
      <c r="H94" s="13">
        <f t="shared" ca="1" si="49"/>
        <v>0</v>
      </c>
      <c r="I94" s="15">
        <f t="shared" ca="1" si="45"/>
        <v>1</v>
      </c>
      <c r="J94" s="15"/>
      <c r="K94" s="15">
        <f t="shared" ca="1" si="44"/>
        <v>0</v>
      </c>
    </row>
    <row r="95" spans="1:11" x14ac:dyDescent="0.4">
      <c r="A95" s="11" t="s">
        <v>10</v>
      </c>
      <c r="B95" s="40">
        <f t="shared" ca="1" si="48"/>
        <v>0</v>
      </c>
      <c r="C95" s="13">
        <f t="shared" ca="1" si="48"/>
        <v>0</v>
      </c>
      <c r="D95" s="17">
        <f t="shared" ca="1" si="48"/>
        <v>0</v>
      </c>
      <c r="E95" s="17">
        <f t="shared" ca="1" si="48"/>
        <v>0</v>
      </c>
      <c r="F95" s="13">
        <f t="shared" ca="1" si="48"/>
        <v>0</v>
      </c>
      <c r="G95" s="16"/>
      <c r="H95" s="13">
        <f t="shared" ca="1" si="49"/>
        <v>0</v>
      </c>
      <c r="I95" s="15">
        <f t="shared" ca="1" si="45"/>
        <v>1</v>
      </c>
      <c r="J95" s="15"/>
      <c r="K95" s="15">
        <f t="shared" ca="1" si="44"/>
        <v>0</v>
      </c>
    </row>
    <row r="96" spans="1:11" x14ac:dyDescent="0.4">
      <c r="A96" s="11" t="s">
        <v>7</v>
      </c>
      <c r="B96" s="40">
        <f t="shared" ref="B96:F98" ca="1" si="50">OFFSET(B96,-9,0)</f>
        <v>0</v>
      </c>
      <c r="C96" s="13">
        <f t="shared" ca="1" si="50"/>
        <v>0</v>
      </c>
      <c r="D96" s="17">
        <f t="shared" ca="1" si="50"/>
        <v>0</v>
      </c>
      <c r="E96" s="17">
        <f t="shared" ca="1" si="50"/>
        <v>0</v>
      </c>
      <c r="F96" s="13">
        <f t="shared" ca="1" si="50"/>
        <v>0</v>
      </c>
      <c r="G96" s="16"/>
      <c r="H96" s="13">
        <f t="shared" ref="H96:H98" ca="1" si="51">OFFSET(H96,-9,0)</f>
        <v>0</v>
      </c>
      <c r="I96" s="15">
        <f t="shared" ca="1" si="45"/>
        <v>1</v>
      </c>
      <c r="J96" s="15"/>
      <c r="K96" s="15">
        <f t="shared" ca="1" si="44"/>
        <v>0</v>
      </c>
    </row>
    <row r="97" spans="1:11" x14ac:dyDescent="0.4">
      <c r="A97" s="11" t="s">
        <v>7</v>
      </c>
      <c r="B97" s="40">
        <f t="shared" ca="1" si="50"/>
        <v>0</v>
      </c>
      <c r="C97" s="13">
        <f t="shared" ca="1" si="50"/>
        <v>0</v>
      </c>
      <c r="D97" s="17">
        <f t="shared" ca="1" si="50"/>
        <v>0</v>
      </c>
      <c r="E97" s="17">
        <f t="shared" ca="1" si="50"/>
        <v>0</v>
      </c>
      <c r="F97" s="13">
        <f t="shared" ca="1" si="50"/>
        <v>0</v>
      </c>
      <c r="G97" s="16"/>
      <c r="H97" s="13">
        <f t="shared" ca="1" si="51"/>
        <v>0</v>
      </c>
      <c r="I97" s="15">
        <f t="shared" ca="1" si="45"/>
        <v>1</v>
      </c>
      <c r="J97" s="15"/>
      <c r="K97" s="15">
        <f t="shared" ca="1" si="44"/>
        <v>0</v>
      </c>
    </row>
    <row r="98" spans="1:11" x14ac:dyDescent="0.4">
      <c r="A98" s="11" t="s">
        <v>7</v>
      </c>
      <c r="B98" s="40">
        <f t="shared" ca="1" si="50"/>
        <v>0</v>
      </c>
      <c r="C98" s="13">
        <f t="shared" ca="1" si="50"/>
        <v>0</v>
      </c>
      <c r="D98" s="17">
        <f t="shared" ca="1" si="50"/>
        <v>0</v>
      </c>
      <c r="E98" s="17">
        <f t="shared" ca="1" si="50"/>
        <v>0</v>
      </c>
      <c r="F98" s="13">
        <f t="shared" ca="1" si="50"/>
        <v>0</v>
      </c>
      <c r="G98" s="16"/>
      <c r="H98" s="13">
        <f t="shared" ca="1" si="51"/>
        <v>0</v>
      </c>
      <c r="I98" s="15">
        <f t="shared" ca="1" si="45"/>
        <v>1</v>
      </c>
      <c r="J98" s="15"/>
      <c r="K98" s="15">
        <f t="shared" ca="1" si="44"/>
        <v>0</v>
      </c>
    </row>
    <row r="99" spans="1:11" x14ac:dyDescent="0.4">
      <c r="A99" s="11" t="s">
        <v>8</v>
      </c>
      <c r="B99" s="40">
        <f t="shared" ref="B99:F101" ca="1" si="52">OFFSET(B99,-12,0)</f>
        <v>0</v>
      </c>
      <c r="C99" s="13">
        <f t="shared" ca="1" si="52"/>
        <v>0</v>
      </c>
      <c r="D99" s="17">
        <f t="shared" ca="1" si="52"/>
        <v>0</v>
      </c>
      <c r="E99" s="17">
        <f t="shared" ca="1" si="52"/>
        <v>0</v>
      </c>
      <c r="F99" s="13">
        <f t="shared" ca="1" si="52"/>
        <v>0</v>
      </c>
      <c r="G99" s="16"/>
      <c r="H99" s="13">
        <f t="shared" ref="H99:H101" ca="1" si="53">OFFSET(H99,-12,0)</f>
        <v>0</v>
      </c>
      <c r="I99" s="15">
        <f t="shared" ca="1" si="45"/>
        <v>1</v>
      </c>
      <c r="J99" s="15"/>
      <c r="K99" s="15">
        <f t="shared" ca="1" si="44"/>
        <v>0</v>
      </c>
    </row>
    <row r="100" spans="1:11" x14ac:dyDescent="0.4">
      <c r="A100" s="11" t="s">
        <v>8</v>
      </c>
      <c r="B100" s="40">
        <f t="shared" ca="1" si="52"/>
        <v>0</v>
      </c>
      <c r="C100" s="13">
        <f t="shared" ca="1" si="52"/>
        <v>0</v>
      </c>
      <c r="D100" s="17">
        <f t="shared" ca="1" si="52"/>
        <v>0</v>
      </c>
      <c r="E100" s="17">
        <f t="shared" ca="1" si="52"/>
        <v>0</v>
      </c>
      <c r="F100" s="13">
        <f t="shared" ca="1" si="52"/>
        <v>0</v>
      </c>
      <c r="G100" s="16"/>
      <c r="H100" s="13">
        <f t="shared" ca="1" si="53"/>
        <v>0</v>
      </c>
      <c r="I100" s="15">
        <f t="shared" ca="1" si="45"/>
        <v>1</v>
      </c>
      <c r="J100" s="15"/>
      <c r="K100" s="15">
        <f t="shared" ca="1" si="44"/>
        <v>0</v>
      </c>
    </row>
    <row r="101" spans="1:11" x14ac:dyDescent="0.4">
      <c r="A101" s="11" t="s">
        <v>8</v>
      </c>
      <c r="B101" s="40">
        <f t="shared" ca="1" si="52"/>
        <v>0</v>
      </c>
      <c r="C101" s="13">
        <f t="shared" ca="1" si="52"/>
        <v>0</v>
      </c>
      <c r="D101" s="17">
        <f t="shared" ca="1" si="52"/>
        <v>0</v>
      </c>
      <c r="E101" s="17">
        <f t="shared" ca="1" si="52"/>
        <v>0</v>
      </c>
      <c r="F101" s="13">
        <f t="shared" ca="1" si="52"/>
        <v>0</v>
      </c>
      <c r="G101" s="16"/>
      <c r="H101" s="13">
        <f t="shared" ca="1" si="53"/>
        <v>0</v>
      </c>
      <c r="I101" s="15">
        <f t="shared" ca="1" si="45"/>
        <v>1</v>
      </c>
      <c r="J101" s="15"/>
      <c r="K101" s="15">
        <f t="shared" ca="1" si="44"/>
        <v>0</v>
      </c>
    </row>
    <row r="102" spans="1:11" x14ac:dyDescent="0.4">
      <c r="A102" s="11" t="s">
        <v>9</v>
      </c>
      <c r="B102" s="41">
        <f t="shared" ref="B102:F104" ca="1" si="54">OFFSET(B102,-15,0)</f>
        <v>0</v>
      </c>
      <c r="C102" s="19">
        <f t="shared" ca="1" si="54"/>
        <v>0</v>
      </c>
      <c r="D102" s="20">
        <f t="shared" ca="1" si="54"/>
        <v>0</v>
      </c>
      <c r="E102" s="20">
        <f t="shared" ca="1" si="54"/>
        <v>0</v>
      </c>
      <c r="F102" s="13">
        <f t="shared" ca="1" si="54"/>
        <v>0</v>
      </c>
      <c r="G102" s="16"/>
      <c r="H102" s="19">
        <f t="shared" ref="H102:H104" ca="1" si="55">OFFSET(H102,-15,0)</f>
        <v>0</v>
      </c>
      <c r="I102" s="15">
        <f t="shared" ca="1" si="45"/>
        <v>1</v>
      </c>
      <c r="J102" s="15"/>
      <c r="K102" s="15">
        <f t="shared" ca="1" si="44"/>
        <v>0</v>
      </c>
    </row>
    <row r="103" spans="1:11" x14ac:dyDescent="0.4">
      <c r="A103" s="11" t="s">
        <v>9</v>
      </c>
      <c r="B103" s="41">
        <f t="shared" ca="1" si="54"/>
        <v>0</v>
      </c>
      <c r="C103" s="19">
        <f t="shared" ca="1" si="54"/>
        <v>0</v>
      </c>
      <c r="D103" s="20">
        <f t="shared" ca="1" si="54"/>
        <v>0</v>
      </c>
      <c r="E103" s="20">
        <f t="shared" ca="1" si="54"/>
        <v>0</v>
      </c>
      <c r="F103" s="13">
        <f t="shared" ca="1" si="54"/>
        <v>0</v>
      </c>
      <c r="G103" s="16"/>
      <c r="H103" s="19">
        <f t="shared" ca="1" si="55"/>
        <v>0</v>
      </c>
      <c r="I103" s="15">
        <f t="shared" ca="1" si="45"/>
        <v>1</v>
      </c>
      <c r="J103" s="15"/>
      <c r="K103" s="15">
        <f t="shared" ca="1" si="44"/>
        <v>0</v>
      </c>
    </row>
    <row r="104" spans="1:11" x14ac:dyDescent="0.4">
      <c r="A104" s="11" t="s">
        <v>9</v>
      </c>
      <c r="B104" s="41">
        <f t="shared" ca="1" si="54"/>
        <v>0</v>
      </c>
      <c r="C104" s="19">
        <f t="shared" ca="1" si="54"/>
        <v>0</v>
      </c>
      <c r="D104" s="20">
        <f t="shared" ca="1" si="54"/>
        <v>0</v>
      </c>
      <c r="E104" s="20">
        <f t="shared" ca="1" si="54"/>
        <v>0</v>
      </c>
      <c r="F104" s="13">
        <f t="shared" ca="1" si="54"/>
        <v>0</v>
      </c>
      <c r="G104" s="16"/>
      <c r="H104" s="19">
        <f t="shared" ca="1" si="55"/>
        <v>0</v>
      </c>
      <c r="I104" s="15">
        <f t="shared" ca="1" si="45"/>
        <v>1</v>
      </c>
      <c r="J104" s="15"/>
      <c r="K104" s="15">
        <f t="shared" ca="1" si="44"/>
        <v>0</v>
      </c>
    </row>
    <row r="105" spans="1:11" ht="17.399999999999999" x14ac:dyDescent="0.4">
      <c r="A105" s="74" t="s">
        <v>32</v>
      </c>
      <c r="B105" s="75"/>
      <c r="C105" s="75"/>
      <c r="D105" s="75"/>
      <c r="E105" s="75"/>
      <c r="F105" s="75"/>
      <c r="G105" s="75"/>
      <c r="H105" s="75"/>
      <c r="I105" s="75"/>
      <c r="J105" s="75"/>
      <c r="K105" s="76"/>
    </row>
    <row r="106" spans="1:11" x14ac:dyDescent="0.4">
      <c r="A106" s="11" t="s">
        <v>5</v>
      </c>
      <c r="B106" s="40"/>
      <c r="C106" s="13"/>
      <c r="D106" s="11"/>
      <c r="E106" s="17"/>
      <c r="F106" s="13"/>
      <c r="G106" s="16"/>
      <c r="H106" s="13"/>
      <c r="I106" s="15">
        <f>ROUND((10^(H106/10))/(10^(F106/10)),3)</f>
        <v>1</v>
      </c>
      <c r="J106" s="15"/>
      <c r="K106" s="15">
        <f t="shared" ref="K106:K123" si="56">G106*I106</f>
        <v>0</v>
      </c>
    </row>
    <row r="107" spans="1:11" x14ac:dyDescent="0.4">
      <c r="A107" s="11" t="s">
        <v>5</v>
      </c>
      <c r="B107" s="40"/>
      <c r="C107" s="13"/>
      <c r="D107" s="11"/>
      <c r="E107" s="17"/>
      <c r="F107" s="13"/>
      <c r="G107" s="16"/>
      <c r="H107" s="13"/>
      <c r="I107" s="15">
        <f t="shared" ref="I107:I123" si="57">ROUND((10^(H107/10))/(10^(F107/10)),3)</f>
        <v>1</v>
      </c>
      <c r="J107" s="15"/>
      <c r="K107" s="15">
        <f t="shared" si="56"/>
        <v>0</v>
      </c>
    </row>
    <row r="108" spans="1:11" x14ac:dyDescent="0.4">
      <c r="A108" s="11" t="s">
        <v>5</v>
      </c>
      <c r="B108" s="40"/>
      <c r="C108" s="13"/>
      <c r="D108" s="11"/>
      <c r="E108" s="17"/>
      <c r="F108" s="13"/>
      <c r="G108" s="16"/>
      <c r="H108" s="13"/>
      <c r="I108" s="15">
        <f t="shared" si="57"/>
        <v>1</v>
      </c>
      <c r="J108" s="15"/>
      <c r="K108" s="15">
        <f t="shared" si="56"/>
        <v>0</v>
      </c>
    </row>
    <row r="109" spans="1:11" x14ac:dyDescent="0.4">
      <c r="A109" s="11" t="s">
        <v>6</v>
      </c>
      <c r="B109" s="41">
        <f t="shared" ref="B109:F111" ca="1" si="58">OFFSET(B109,-3,0)</f>
        <v>0</v>
      </c>
      <c r="C109" s="19">
        <f t="shared" ca="1" si="58"/>
        <v>0</v>
      </c>
      <c r="D109" s="20">
        <f t="shared" ca="1" si="58"/>
        <v>0</v>
      </c>
      <c r="E109" s="20">
        <f t="shared" ca="1" si="58"/>
        <v>0</v>
      </c>
      <c r="F109" s="13">
        <f t="shared" ca="1" si="58"/>
        <v>0</v>
      </c>
      <c r="G109" s="16"/>
      <c r="H109" s="19">
        <f t="shared" ref="H109:H111" ca="1" si="59">OFFSET(H109,-3,0)</f>
        <v>0</v>
      </c>
      <c r="I109" s="15">
        <f t="shared" ca="1" si="57"/>
        <v>1</v>
      </c>
      <c r="J109" s="15"/>
      <c r="K109" s="15">
        <f t="shared" ca="1" si="56"/>
        <v>0</v>
      </c>
    </row>
    <row r="110" spans="1:11" x14ac:dyDescent="0.4">
      <c r="A110" s="11" t="s">
        <v>6</v>
      </c>
      <c r="B110" s="41">
        <f t="shared" ca="1" si="58"/>
        <v>0</v>
      </c>
      <c r="C110" s="19">
        <f t="shared" ca="1" si="58"/>
        <v>0</v>
      </c>
      <c r="D110" s="20">
        <f t="shared" ca="1" si="58"/>
        <v>0</v>
      </c>
      <c r="E110" s="20">
        <f t="shared" ca="1" si="58"/>
        <v>0</v>
      </c>
      <c r="F110" s="13">
        <f t="shared" ca="1" si="58"/>
        <v>0</v>
      </c>
      <c r="G110" s="16"/>
      <c r="H110" s="19">
        <f t="shared" ca="1" si="59"/>
        <v>0</v>
      </c>
      <c r="I110" s="15">
        <f t="shared" ca="1" si="57"/>
        <v>1</v>
      </c>
      <c r="J110" s="15"/>
      <c r="K110" s="15">
        <f t="shared" ca="1" si="56"/>
        <v>0</v>
      </c>
    </row>
    <row r="111" spans="1:11" x14ac:dyDescent="0.4">
      <c r="A111" s="11" t="s">
        <v>6</v>
      </c>
      <c r="B111" s="41">
        <f t="shared" ca="1" si="58"/>
        <v>0</v>
      </c>
      <c r="C111" s="19">
        <f t="shared" ca="1" si="58"/>
        <v>0</v>
      </c>
      <c r="D111" s="20">
        <f t="shared" ca="1" si="58"/>
        <v>0</v>
      </c>
      <c r="E111" s="20">
        <f t="shared" ca="1" si="58"/>
        <v>0</v>
      </c>
      <c r="F111" s="13">
        <f t="shared" ca="1" si="58"/>
        <v>0</v>
      </c>
      <c r="G111" s="16"/>
      <c r="H111" s="19">
        <f t="shared" ca="1" si="59"/>
        <v>0</v>
      </c>
      <c r="I111" s="15">
        <f t="shared" ca="1" si="57"/>
        <v>1</v>
      </c>
      <c r="J111" s="15"/>
      <c r="K111" s="15">
        <f t="shared" ca="1" si="56"/>
        <v>0</v>
      </c>
    </row>
    <row r="112" spans="1:11" x14ac:dyDescent="0.4">
      <c r="A112" s="11" t="s">
        <v>10</v>
      </c>
      <c r="B112" s="40">
        <f t="shared" ref="B112:F114" ca="1" si="60">OFFSET(B112,-6,0)</f>
        <v>0</v>
      </c>
      <c r="C112" s="13">
        <f t="shared" ca="1" si="60"/>
        <v>0</v>
      </c>
      <c r="D112" s="17">
        <f t="shared" ca="1" si="60"/>
        <v>0</v>
      </c>
      <c r="E112" s="17">
        <f t="shared" ca="1" si="60"/>
        <v>0</v>
      </c>
      <c r="F112" s="13">
        <f t="shared" ca="1" si="60"/>
        <v>0</v>
      </c>
      <c r="G112" s="16"/>
      <c r="H112" s="13">
        <f t="shared" ref="H112:H114" ca="1" si="61">OFFSET(H112,-6,0)</f>
        <v>0</v>
      </c>
      <c r="I112" s="15">
        <f t="shared" ca="1" si="57"/>
        <v>1</v>
      </c>
      <c r="J112" s="15"/>
      <c r="K112" s="15">
        <f t="shared" ca="1" si="56"/>
        <v>0</v>
      </c>
    </row>
    <row r="113" spans="1:11" x14ac:dyDescent="0.4">
      <c r="A113" s="11" t="s">
        <v>10</v>
      </c>
      <c r="B113" s="40">
        <f t="shared" ca="1" si="60"/>
        <v>0</v>
      </c>
      <c r="C113" s="13">
        <f t="shared" ca="1" si="60"/>
        <v>0</v>
      </c>
      <c r="D113" s="17">
        <f t="shared" ca="1" si="60"/>
        <v>0</v>
      </c>
      <c r="E113" s="17">
        <f t="shared" ca="1" si="60"/>
        <v>0</v>
      </c>
      <c r="F113" s="13">
        <f t="shared" ca="1" si="60"/>
        <v>0</v>
      </c>
      <c r="G113" s="16"/>
      <c r="H113" s="13">
        <f t="shared" ca="1" si="61"/>
        <v>0</v>
      </c>
      <c r="I113" s="15">
        <f t="shared" ca="1" si="57"/>
        <v>1</v>
      </c>
      <c r="J113" s="15"/>
      <c r="K113" s="15">
        <f t="shared" ca="1" si="56"/>
        <v>0</v>
      </c>
    </row>
    <row r="114" spans="1:11" x14ac:dyDescent="0.4">
      <c r="A114" s="11" t="s">
        <v>10</v>
      </c>
      <c r="B114" s="40">
        <f t="shared" ca="1" si="60"/>
        <v>0</v>
      </c>
      <c r="C114" s="13">
        <f t="shared" ca="1" si="60"/>
        <v>0</v>
      </c>
      <c r="D114" s="17">
        <f t="shared" ca="1" si="60"/>
        <v>0</v>
      </c>
      <c r="E114" s="17">
        <f t="shared" ca="1" si="60"/>
        <v>0</v>
      </c>
      <c r="F114" s="13">
        <f t="shared" ca="1" si="60"/>
        <v>0</v>
      </c>
      <c r="G114" s="16"/>
      <c r="H114" s="13">
        <f t="shared" ca="1" si="61"/>
        <v>0</v>
      </c>
      <c r="I114" s="15">
        <f t="shared" ca="1" si="57"/>
        <v>1</v>
      </c>
      <c r="J114" s="15"/>
      <c r="K114" s="15">
        <f t="shared" ca="1" si="56"/>
        <v>0</v>
      </c>
    </row>
    <row r="115" spans="1:11" x14ac:dyDescent="0.4">
      <c r="A115" s="11" t="s">
        <v>7</v>
      </c>
      <c r="B115" s="40">
        <f t="shared" ref="B115:F117" ca="1" si="62">OFFSET(B115,-9,0)</f>
        <v>0</v>
      </c>
      <c r="C115" s="13">
        <f t="shared" ca="1" si="62"/>
        <v>0</v>
      </c>
      <c r="D115" s="17">
        <f t="shared" ca="1" si="62"/>
        <v>0</v>
      </c>
      <c r="E115" s="17">
        <f t="shared" ca="1" si="62"/>
        <v>0</v>
      </c>
      <c r="F115" s="13">
        <f t="shared" ca="1" si="62"/>
        <v>0</v>
      </c>
      <c r="G115" s="16"/>
      <c r="H115" s="13">
        <f t="shared" ref="H115:H117" ca="1" si="63">OFFSET(H115,-9,0)</f>
        <v>0</v>
      </c>
      <c r="I115" s="15">
        <f t="shared" ca="1" si="57"/>
        <v>1</v>
      </c>
      <c r="J115" s="15"/>
      <c r="K115" s="15">
        <f t="shared" ca="1" si="56"/>
        <v>0</v>
      </c>
    </row>
    <row r="116" spans="1:11" x14ac:dyDescent="0.4">
      <c r="A116" s="11" t="s">
        <v>7</v>
      </c>
      <c r="B116" s="40">
        <f t="shared" ca="1" si="62"/>
        <v>0</v>
      </c>
      <c r="C116" s="13">
        <f t="shared" ca="1" si="62"/>
        <v>0</v>
      </c>
      <c r="D116" s="17">
        <f t="shared" ca="1" si="62"/>
        <v>0</v>
      </c>
      <c r="E116" s="17">
        <f t="shared" ca="1" si="62"/>
        <v>0</v>
      </c>
      <c r="F116" s="13">
        <f t="shared" ca="1" si="62"/>
        <v>0</v>
      </c>
      <c r="G116" s="16"/>
      <c r="H116" s="13">
        <f t="shared" ca="1" si="63"/>
        <v>0</v>
      </c>
      <c r="I116" s="15">
        <f t="shared" ca="1" si="57"/>
        <v>1</v>
      </c>
      <c r="J116" s="15"/>
      <c r="K116" s="15">
        <f t="shared" ca="1" si="56"/>
        <v>0</v>
      </c>
    </row>
    <row r="117" spans="1:11" x14ac:dyDescent="0.4">
      <c r="A117" s="11" t="s">
        <v>7</v>
      </c>
      <c r="B117" s="40">
        <f t="shared" ca="1" si="62"/>
        <v>0</v>
      </c>
      <c r="C117" s="13">
        <f t="shared" ca="1" si="62"/>
        <v>0</v>
      </c>
      <c r="D117" s="17">
        <f t="shared" ca="1" si="62"/>
        <v>0</v>
      </c>
      <c r="E117" s="17">
        <f t="shared" ca="1" si="62"/>
        <v>0</v>
      </c>
      <c r="F117" s="13">
        <f t="shared" ca="1" si="62"/>
        <v>0</v>
      </c>
      <c r="G117" s="16"/>
      <c r="H117" s="13">
        <f t="shared" ca="1" si="63"/>
        <v>0</v>
      </c>
      <c r="I117" s="15">
        <f t="shared" ca="1" si="57"/>
        <v>1</v>
      </c>
      <c r="J117" s="15"/>
      <c r="K117" s="15">
        <f t="shared" ca="1" si="56"/>
        <v>0</v>
      </c>
    </row>
    <row r="118" spans="1:11" x14ac:dyDescent="0.4">
      <c r="A118" s="11" t="s">
        <v>8</v>
      </c>
      <c r="B118" s="40">
        <f t="shared" ref="B118:F120" ca="1" si="64">OFFSET(B118,-12,0)</f>
        <v>0</v>
      </c>
      <c r="C118" s="13">
        <f t="shared" ca="1" si="64"/>
        <v>0</v>
      </c>
      <c r="D118" s="17">
        <f t="shared" ca="1" si="64"/>
        <v>0</v>
      </c>
      <c r="E118" s="17">
        <f t="shared" ca="1" si="64"/>
        <v>0</v>
      </c>
      <c r="F118" s="13">
        <f t="shared" ca="1" si="64"/>
        <v>0</v>
      </c>
      <c r="G118" s="16"/>
      <c r="H118" s="13">
        <f t="shared" ref="H118:H120" ca="1" si="65">OFFSET(H118,-12,0)</f>
        <v>0</v>
      </c>
      <c r="I118" s="15">
        <f t="shared" ca="1" si="57"/>
        <v>1</v>
      </c>
      <c r="J118" s="15"/>
      <c r="K118" s="15">
        <f t="shared" ca="1" si="56"/>
        <v>0</v>
      </c>
    </row>
    <row r="119" spans="1:11" x14ac:dyDescent="0.4">
      <c r="A119" s="11" t="s">
        <v>8</v>
      </c>
      <c r="B119" s="40">
        <f t="shared" ca="1" si="64"/>
        <v>0</v>
      </c>
      <c r="C119" s="13">
        <f t="shared" ca="1" si="64"/>
        <v>0</v>
      </c>
      <c r="D119" s="17">
        <f t="shared" ca="1" si="64"/>
        <v>0</v>
      </c>
      <c r="E119" s="17">
        <f t="shared" ca="1" si="64"/>
        <v>0</v>
      </c>
      <c r="F119" s="13">
        <f t="shared" ca="1" si="64"/>
        <v>0</v>
      </c>
      <c r="G119" s="16"/>
      <c r="H119" s="13">
        <f t="shared" ca="1" si="65"/>
        <v>0</v>
      </c>
      <c r="I119" s="15">
        <f t="shared" ca="1" si="57"/>
        <v>1</v>
      </c>
      <c r="J119" s="15"/>
      <c r="K119" s="15">
        <f t="shared" ca="1" si="56"/>
        <v>0</v>
      </c>
    </row>
    <row r="120" spans="1:11" x14ac:dyDescent="0.4">
      <c r="A120" s="11" t="s">
        <v>8</v>
      </c>
      <c r="B120" s="40">
        <f t="shared" ca="1" si="64"/>
        <v>0</v>
      </c>
      <c r="C120" s="13">
        <f t="shared" ca="1" si="64"/>
        <v>0</v>
      </c>
      <c r="D120" s="17">
        <f t="shared" ca="1" si="64"/>
        <v>0</v>
      </c>
      <c r="E120" s="17">
        <f t="shared" ca="1" si="64"/>
        <v>0</v>
      </c>
      <c r="F120" s="13">
        <f t="shared" ca="1" si="64"/>
        <v>0</v>
      </c>
      <c r="G120" s="16"/>
      <c r="H120" s="13">
        <f t="shared" ca="1" si="65"/>
        <v>0</v>
      </c>
      <c r="I120" s="15">
        <f t="shared" ca="1" si="57"/>
        <v>1</v>
      </c>
      <c r="J120" s="15"/>
      <c r="K120" s="15">
        <f t="shared" ca="1" si="56"/>
        <v>0</v>
      </c>
    </row>
    <row r="121" spans="1:11" x14ac:dyDescent="0.4">
      <c r="A121" s="11" t="s">
        <v>9</v>
      </c>
      <c r="B121" s="41">
        <f t="shared" ref="B121:E123" ca="1" si="66">OFFSET(B121,-15,0)</f>
        <v>0</v>
      </c>
      <c r="C121" s="19">
        <f t="shared" ca="1" si="66"/>
        <v>0</v>
      </c>
      <c r="D121" s="20">
        <f t="shared" ca="1" si="66"/>
        <v>0</v>
      </c>
      <c r="E121" s="20">
        <f ca="1">OFFSET(E121,-15,0)</f>
        <v>0</v>
      </c>
      <c r="F121" s="13">
        <f t="shared" ref="F121:F123" ca="1" si="67">OFFSET(F121,-15,0)</f>
        <v>0</v>
      </c>
      <c r="G121" s="16"/>
      <c r="H121" s="19">
        <f t="shared" ref="H121:H123" ca="1" si="68">OFFSET(H121,-15,0)</f>
        <v>0</v>
      </c>
      <c r="I121" s="15">
        <f t="shared" ca="1" si="57"/>
        <v>1</v>
      </c>
      <c r="J121" s="15"/>
      <c r="K121" s="15">
        <f t="shared" ca="1" si="56"/>
        <v>0</v>
      </c>
    </row>
    <row r="122" spans="1:11" x14ac:dyDescent="0.4">
      <c r="A122" s="11" t="s">
        <v>9</v>
      </c>
      <c r="B122" s="41">
        <f t="shared" ca="1" si="66"/>
        <v>0</v>
      </c>
      <c r="C122" s="19">
        <f t="shared" ca="1" si="66"/>
        <v>0</v>
      </c>
      <c r="D122" s="20">
        <f t="shared" ca="1" si="66"/>
        <v>0</v>
      </c>
      <c r="E122" s="20">
        <f t="shared" ca="1" si="66"/>
        <v>0</v>
      </c>
      <c r="F122" s="13">
        <f t="shared" ca="1" si="67"/>
        <v>0</v>
      </c>
      <c r="G122" s="16"/>
      <c r="H122" s="19">
        <f t="shared" ca="1" si="68"/>
        <v>0</v>
      </c>
      <c r="I122" s="15">
        <f t="shared" ca="1" si="57"/>
        <v>1</v>
      </c>
      <c r="J122" s="15"/>
      <c r="K122" s="15">
        <f t="shared" ca="1" si="56"/>
        <v>0</v>
      </c>
    </row>
    <row r="123" spans="1:11" x14ac:dyDescent="0.4">
      <c r="A123" s="11" t="s">
        <v>9</v>
      </c>
      <c r="B123" s="41">
        <f t="shared" ca="1" si="66"/>
        <v>0</v>
      </c>
      <c r="C123" s="19">
        <f t="shared" ca="1" si="66"/>
        <v>0</v>
      </c>
      <c r="D123" s="20">
        <f t="shared" ca="1" si="66"/>
        <v>0</v>
      </c>
      <c r="E123" s="20">
        <f t="shared" ca="1" si="66"/>
        <v>0</v>
      </c>
      <c r="F123" s="13">
        <f t="shared" ca="1" si="67"/>
        <v>0</v>
      </c>
      <c r="G123" s="16"/>
      <c r="H123" s="19">
        <f t="shared" ca="1" si="68"/>
        <v>0</v>
      </c>
      <c r="I123" s="15">
        <f t="shared" ca="1" si="57"/>
        <v>1</v>
      </c>
      <c r="J123" s="15"/>
      <c r="K123" s="15">
        <f t="shared" ca="1" si="56"/>
        <v>0</v>
      </c>
    </row>
    <row r="124" spans="1:11" ht="17.399999999999999" x14ac:dyDescent="0.4">
      <c r="A124" s="74" t="s">
        <v>30</v>
      </c>
      <c r="B124" s="75"/>
      <c r="C124" s="75"/>
      <c r="D124" s="75"/>
      <c r="E124" s="75"/>
      <c r="F124" s="75"/>
      <c r="G124" s="75"/>
      <c r="H124" s="75"/>
      <c r="I124" s="75"/>
      <c r="J124" s="75"/>
      <c r="K124" s="76"/>
    </row>
    <row r="125" spans="1:11" x14ac:dyDescent="0.4">
      <c r="A125" s="11" t="s">
        <v>5</v>
      </c>
      <c r="B125" s="40"/>
      <c r="C125" s="13"/>
      <c r="D125" s="11"/>
      <c r="E125" s="17"/>
      <c r="F125" s="13"/>
      <c r="G125" s="16"/>
      <c r="H125" s="13"/>
      <c r="I125" s="15">
        <f>ROUND((10^(H125/10))/(10^(F125/10)),3)</f>
        <v>1</v>
      </c>
      <c r="J125" s="15"/>
      <c r="K125" s="15">
        <f t="shared" ref="K125:K142" si="69">G125*I125</f>
        <v>0</v>
      </c>
    </row>
    <row r="126" spans="1:11" x14ac:dyDescent="0.4">
      <c r="A126" s="11" t="s">
        <v>5</v>
      </c>
      <c r="B126" s="40"/>
      <c r="C126" s="13"/>
      <c r="D126" s="11"/>
      <c r="E126" s="17"/>
      <c r="F126" s="13"/>
      <c r="G126" s="16"/>
      <c r="H126" s="13"/>
      <c r="I126" s="15">
        <f t="shared" ref="I126:I142" si="70">ROUND((10^(H126/10))/(10^(F126/10)),3)</f>
        <v>1</v>
      </c>
      <c r="J126" s="15"/>
      <c r="K126" s="15">
        <f t="shared" si="69"/>
        <v>0</v>
      </c>
    </row>
    <row r="127" spans="1:11" x14ac:dyDescent="0.4">
      <c r="A127" s="11" t="s">
        <v>5</v>
      </c>
      <c r="B127" s="40"/>
      <c r="C127" s="13"/>
      <c r="D127" s="11"/>
      <c r="E127" s="17"/>
      <c r="F127" s="13"/>
      <c r="G127" s="16"/>
      <c r="H127" s="13"/>
      <c r="I127" s="15">
        <f t="shared" si="70"/>
        <v>1</v>
      </c>
      <c r="J127" s="15"/>
      <c r="K127" s="15">
        <f t="shared" si="69"/>
        <v>0</v>
      </c>
    </row>
    <row r="128" spans="1:11" x14ac:dyDescent="0.4">
      <c r="A128" s="11" t="s">
        <v>6</v>
      </c>
      <c r="B128" s="41">
        <f t="shared" ref="B128:F130" ca="1" si="71">OFFSET(B128,-3,0)</f>
        <v>0</v>
      </c>
      <c r="C128" s="19">
        <f t="shared" ca="1" si="71"/>
        <v>0</v>
      </c>
      <c r="D128" s="20">
        <f t="shared" ca="1" si="71"/>
        <v>0</v>
      </c>
      <c r="E128" s="20">
        <f t="shared" ca="1" si="71"/>
        <v>0</v>
      </c>
      <c r="F128" s="13">
        <f t="shared" ca="1" si="71"/>
        <v>0</v>
      </c>
      <c r="G128" s="16"/>
      <c r="H128" s="19">
        <f t="shared" ref="H128:H130" ca="1" si="72">OFFSET(H128,-3,0)</f>
        <v>0</v>
      </c>
      <c r="I128" s="15">
        <f t="shared" ca="1" si="70"/>
        <v>1</v>
      </c>
      <c r="J128" s="15"/>
      <c r="K128" s="15">
        <f t="shared" ca="1" si="69"/>
        <v>0</v>
      </c>
    </row>
    <row r="129" spans="1:11" x14ac:dyDescent="0.4">
      <c r="A129" s="11" t="s">
        <v>6</v>
      </c>
      <c r="B129" s="41">
        <f t="shared" ca="1" si="71"/>
        <v>0</v>
      </c>
      <c r="C129" s="19">
        <f t="shared" ca="1" si="71"/>
        <v>0</v>
      </c>
      <c r="D129" s="20">
        <f t="shared" ca="1" si="71"/>
        <v>0</v>
      </c>
      <c r="E129" s="20">
        <f t="shared" ca="1" si="71"/>
        <v>0</v>
      </c>
      <c r="F129" s="13">
        <f t="shared" ca="1" si="71"/>
        <v>0</v>
      </c>
      <c r="G129" s="16"/>
      <c r="H129" s="19">
        <f t="shared" ca="1" si="72"/>
        <v>0</v>
      </c>
      <c r="I129" s="15">
        <f t="shared" ca="1" si="70"/>
        <v>1</v>
      </c>
      <c r="J129" s="15"/>
      <c r="K129" s="15">
        <f t="shared" ca="1" si="69"/>
        <v>0</v>
      </c>
    </row>
    <row r="130" spans="1:11" x14ac:dyDescent="0.4">
      <c r="A130" s="11" t="s">
        <v>6</v>
      </c>
      <c r="B130" s="41">
        <f t="shared" ca="1" si="71"/>
        <v>0</v>
      </c>
      <c r="C130" s="19">
        <f t="shared" ca="1" si="71"/>
        <v>0</v>
      </c>
      <c r="D130" s="20">
        <f t="shared" ca="1" si="71"/>
        <v>0</v>
      </c>
      <c r="E130" s="20">
        <f t="shared" ca="1" si="71"/>
        <v>0</v>
      </c>
      <c r="F130" s="13">
        <f t="shared" ca="1" si="71"/>
        <v>0</v>
      </c>
      <c r="G130" s="16"/>
      <c r="H130" s="19">
        <f t="shared" ca="1" si="72"/>
        <v>0</v>
      </c>
      <c r="I130" s="15">
        <f t="shared" ca="1" si="70"/>
        <v>1</v>
      </c>
      <c r="J130" s="15"/>
      <c r="K130" s="15">
        <f t="shared" ca="1" si="69"/>
        <v>0</v>
      </c>
    </row>
    <row r="131" spans="1:11" x14ac:dyDescent="0.4">
      <c r="A131" s="11" t="s">
        <v>57</v>
      </c>
      <c r="B131" s="40">
        <f t="shared" ref="B131:F133" ca="1" si="73">OFFSET(B131,-6,0)</f>
        <v>0</v>
      </c>
      <c r="C131" s="13">
        <f t="shared" ca="1" si="73"/>
        <v>0</v>
      </c>
      <c r="D131" s="17">
        <f t="shared" ca="1" si="73"/>
        <v>0</v>
      </c>
      <c r="E131" s="17">
        <f t="shared" ca="1" si="73"/>
        <v>0</v>
      </c>
      <c r="F131" s="13">
        <f t="shared" ca="1" si="73"/>
        <v>0</v>
      </c>
      <c r="G131" s="16"/>
      <c r="H131" s="13">
        <f t="shared" ref="H131:H133" ca="1" si="74">OFFSET(H131,-6,0)</f>
        <v>0</v>
      </c>
      <c r="I131" s="15">
        <f t="shared" ca="1" si="70"/>
        <v>1</v>
      </c>
      <c r="J131" s="15"/>
      <c r="K131" s="15">
        <f t="shared" ca="1" si="69"/>
        <v>0</v>
      </c>
    </row>
    <row r="132" spans="1:11" x14ac:dyDescent="0.4">
      <c r="A132" s="11" t="s">
        <v>57</v>
      </c>
      <c r="B132" s="40">
        <f t="shared" ca="1" si="73"/>
        <v>0</v>
      </c>
      <c r="C132" s="13">
        <f t="shared" ca="1" si="73"/>
        <v>0</v>
      </c>
      <c r="D132" s="17">
        <f t="shared" ca="1" si="73"/>
        <v>0</v>
      </c>
      <c r="E132" s="17">
        <f t="shared" ca="1" si="73"/>
        <v>0</v>
      </c>
      <c r="F132" s="13">
        <f t="shared" ca="1" si="73"/>
        <v>0</v>
      </c>
      <c r="G132" s="16"/>
      <c r="H132" s="13">
        <f t="shared" ca="1" si="74"/>
        <v>0</v>
      </c>
      <c r="I132" s="15">
        <f t="shared" ca="1" si="70"/>
        <v>1</v>
      </c>
      <c r="J132" s="15"/>
      <c r="K132" s="15">
        <f t="shared" ca="1" si="69"/>
        <v>0</v>
      </c>
    </row>
    <row r="133" spans="1:11" x14ac:dyDescent="0.4">
      <c r="A133" s="11" t="s">
        <v>57</v>
      </c>
      <c r="B133" s="40">
        <f t="shared" ca="1" si="73"/>
        <v>0</v>
      </c>
      <c r="C133" s="13">
        <f t="shared" ca="1" si="73"/>
        <v>0</v>
      </c>
      <c r="D133" s="17">
        <f t="shared" ca="1" si="73"/>
        <v>0</v>
      </c>
      <c r="E133" s="17">
        <f t="shared" ca="1" si="73"/>
        <v>0</v>
      </c>
      <c r="F133" s="13">
        <f t="shared" ca="1" si="73"/>
        <v>0</v>
      </c>
      <c r="G133" s="16"/>
      <c r="H133" s="13">
        <f t="shared" ca="1" si="74"/>
        <v>0</v>
      </c>
      <c r="I133" s="15">
        <f t="shared" ca="1" si="70"/>
        <v>1</v>
      </c>
      <c r="J133" s="15"/>
      <c r="K133" s="15">
        <f t="shared" ca="1" si="69"/>
        <v>0</v>
      </c>
    </row>
    <row r="134" spans="1:11" x14ac:dyDescent="0.4">
      <c r="A134" s="11" t="s">
        <v>7</v>
      </c>
      <c r="B134" s="40">
        <f t="shared" ref="B134:F136" ca="1" si="75">OFFSET(B134,-9,0)</f>
        <v>0</v>
      </c>
      <c r="C134" s="13">
        <f t="shared" ca="1" si="75"/>
        <v>0</v>
      </c>
      <c r="D134" s="17">
        <f t="shared" ca="1" si="75"/>
        <v>0</v>
      </c>
      <c r="E134" s="17">
        <f t="shared" ca="1" si="75"/>
        <v>0</v>
      </c>
      <c r="F134" s="13">
        <f t="shared" ca="1" si="75"/>
        <v>0</v>
      </c>
      <c r="G134" s="16"/>
      <c r="H134" s="13">
        <f t="shared" ref="H134:H136" ca="1" si="76">OFFSET(H134,-9,0)</f>
        <v>0</v>
      </c>
      <c r="I134" s="15">
        <f t="shared" ca="1" si="70"/>
        <v>1</v>
      </c>
      <c r="J134" s="15"/>
      <c r="K134" s="15">
        <f t="shared" ca="1" si="69"/>
        <v>0</v>
      </c>
    </row>
    <row r="135" spans="1:11" x14ac:dyDescent="0.4">
      <c r="A135" s="11" t="s">
        <v>7</v>
      </c>
      <c r="B135" s="40">
        <f t="shared" ca="1" si="75"/>
        <v>0</v>
      </c>
      <c r="C135" s="13">
        <f t="shared" ca="1" si="75"/>
        <v>0</v>
      </c>
      <c r="D135" s="17">
        <f t="shared" ca="1" si="75"/>
        <v>0</v>
      </c>
      <c r="E135" s="17">
        <f t="shared" ca="1" si="75"/>
        <v>0</v>
      </c>
      <c r="F135" s="13">
        <f t="shared" ca="1" si="75"/>
        <v>0</v>
      </c>
      <c r="G135" s="16"/>
      <c r="H135" s="13">
        <f t="shared" ca="1" si="76"/>
        <v>0</v>
      </c>
      <c r="I135" s="15">
        <f t="shared" ca="1" si="70"/>
        <v>1</v>
      </c>
      <c r="J135" s="15"/>
      <c r="K135" s="15">
        <f t="shared" ca="1" si="69"/>
        <v>0</v>
      </c>
    </row>
    <row r="136" spans="1:11" x14ac:dyDescent="0.4">
      <c r="A136" s="11" t="s">
        <v>7</v>
      </c>
      <c r="B136" s="40">
        <f t="shared" ca="1" si="75"/>
        <v>0</v>
      </c>
      <c r="C136" s="13">
        <f t="shared" ca="1" si="75"/>
        <v>0</v>
      </c>
      <c r="D136" s="17">
        <f t="shared" ca="1" si="75"/>
        <v>0</v>
      </c>
      <c r="E136" s="17">
        <f t="shared" ca="1" si="75"/>
        <v>0</v>
      </c>
      <c r="F136" s="13">
        <f t="shared" ca="1" si="75"/>
        <v>0</v>
      </c>
      <c r="G136" s="16"/>
      <c r="H136" s="13">
        <f t="shared" ca="1" si="76"/>
        <v>0</v>
      </c>
      <c r="I136" s="15">
        <f t="shared" ca="1" si="70"/>
        <v>1</v>
      </c>
      <c r="J136" s="15"/>
      <c r="K136" s="15">
        <f t="shared" ca="1" si="69"/>
        <v>0</v>
      </c>
    </row>
    <row r="137" spans="1:11" x14ac:dyDescent="0.4">
      <c r="A137" s="11" t="s">
        <v>8</v>
      </c>
      <c r="B137" s="40">
        <f t="shared" ref="B137:F139" ca="1" si="77">OFFSET(B137,-12,0)</f>
        <v>0</v>
      </c>
      <c r="C137" s="13">
        <f t="shared" ca="1" si="77"/>
        <v>0</v>
      </c>
      <c r="D137" s="17">
        <f t="shared" ca="1" si="77"/>
        <v>0</v>
      </c>
      <c r="E137" s="17">
        <f t="shared" ca="1" si="77"/>
        <v>0</v>
      </c>
      <c r="F137" s="13">
        <f t="shared" ca="1" si="77"/>
        <v>0</v>
      </c>
      <c r="G137" s="16"/>
      <c r="H137" s="13">
        <f t="shared" ref="H137:H139" ca="1" si="78">OFFSET(H137,-12,0)</f>
        <v>0</v>
      </c>
      <c r="I137" s="15">
        <f t="shared" ca="1" si="70"/>
        <v>1</v>
      </c>
      <c r="J137" s="15"/>
      <c r="K137" s="15">
        <f t="shared" ca="1" si="69"/>
        <v>0</v>
      </c>
    </row>
    <row r="138" spans="1:11" x14ac:dyDescent="0.4">
      <c r="A138" s="11" t="s">
        <v>8</v>
      </c>
      <c r="B138" s="40">
        <f t="shared" ca="1" si="77"/>
        <v>0</v>
      </c>
      <c r="C138" s="13">
        <f t="shared" ca="1" si="77"/>
        <v>0</v>
      </c>
      <c r="D138" s="17">
        <f t="shared" ca="1" si="77"/>
        <v>0</v>
      </c>
      <c r="E138" s="17">
        <f t="shared" ca="1" si="77"/>
        <v>0</v>
      </c>
      <c r="F138" s="13">
        <f t="shared" ca="1" si="77"/>
        <v>0</v>
      </c>
      <c r="G138" s="16"/>
      <c r="H138" s="13">
        <f t="shared" ca="1" si="78"/>
        <v>0</v>
      </c>
      <c r="I138" s="15">
        <f t="shared" ca="1" si="70"/>
        <v>1</v>
      </c>
      <c r="J138" s="15"/>
      <c r="K138" s="15">
        <f t="shared" ca="1" si="69"/>
        <v>0</v>
      </c>
    </row>
    <row r="139" spans="1:11" x14ac:dyDescent="0.4">
      <c r="A139" s="11" t="s">
        <v>8</v>
      </c>
      <c r="B139" s="40">
        <f t="shared" ca="1" si="77"/>
        <v>0</v>
      </c>
      <c r="C139" s="13">
        <f t="shared" ca="1" si="77"/>
        <v>0</v>
      </c>
      <c r="D139" s="17">
        <f t="shared" ca="1" si="77"/>
        <v>0</v>
      </c>
      <c r="E139" s="17">
        <f t="shared" ca="1" si="77"/>
        <v>0</v>
      </c>
      <c r="F139" s="13">
        <f t="shared" ca="1" si="77"/>
        <v>0</v>
      </c>
      <c r="G139" s="16"/>
      <c r="H139" s="13">
        <f t="shared" ca="1" si="78"/>
        <v>0</v>
      </c>
      <c r="I139" s="15">
        <f t="shared" ca="1" si="70"/>
        <v>1</v>
      </c>
      <c r="J139" s="15"/>
      <c r="K139" s="15">
        <f t="shared" ca="1" si="69"/>
        <v>0</v>
      </c>
    </row>
    <row r="140" spans="1:11" x14ac:dyDescent="0.4">
      <c r="A140" s="11" t="s">
        <v>9</v>
      </c>
      <c r="B140" s="41">
        <f t="shared" ref="B140:F142" ca="1" si="79">OFFSET(B140,-15,0)</f>
        <v>0</v>
      </c>
      <c r="C140" s="19">
        <f t="shared" ca="1" si="79"/>
        <v>0</v>
      </c>
      <c r="D140" s="20">
        <f t="shared" ca="1" si="79"/>
        <v>0</v>
      </c>
      <c r="E140" s="20">
        <f t="shared" ca="1" si="79"/>
        <v>0</v>
      </c>
      <c r="F140" s="13">
        <f t="shared" ca="1" si="79"/>
        <v>0</v>
      </c>
      <c r="G140" s="16"/>
      <c r="H140" s="19">
        <f t="shared" ref="H140:H142" ca="1" si="80">OFFSET(H140,-15,0)</f>
        <v>0</v>
      </c>
      <c r="I140" s="15">
        <f t="shared" ca="1" si="70"/>
        <v>1</v>
      </c>
      <c r="J140" s="15"/>
      <c r="K140" s="15">
        <f t="shared" ca="1" si="69"/>
        <v>0</v>
      </c>
    </row>
    <row r="141" spans="1:11" x14ac:dyDescent="0.4">
      <c r="A141" s="11" t="s">
        <v>9</v>
      </c>
      <c r="B141" s="41">
        <f t="shared" ca="1" si="79"/>
        <v>0</v>
      </c>
      <c r="C141" s="19">
        <f t="shared" ca="1" si="79"/>
        <v>0</v>
      </c>
      <c r="D141" s="20">
        <f t="shared" ca="1" si="79"/>
        <v>0</v>
      </c>
      <c r="E141" s="20">
        <f t="shared" ca="1" si="79"/>
        <v>0</v>
      </c>
      <c r="F141" s="13">
        <f t="shared" ca="1" si="79"/>
        <v>0</v>
      </c>
      <c r="G141" s="16"/>
      <c r="H141" s="19">
        <f t="shared" ca="1" si="80"/>
        <v>0</v>
      </c>
      <c r="I141" s="15">
        <f t="shared" ca="1" si="70"/>
        <v>1</v>
      </c>
      <c r="J141" s="15"/>
      <c r="K141" s="15">
        <f t="shared" ca="1" si="69"/>
        <v>0</v>
      </c>
    </row>
    <row r="142" spans="1:11" x14ac:dyDescent="0.4">
      <c r="A142" s="11" t="s">
        <v>9</v>
      </c>
      <c r="B142" s="41">
        <f t="shared" ca="1" si="79"/>
        <v>0</v>
      </c>
      <c r="C142" s="19">
        <f t="shared" ca="1" si="79"/>
        <v>0</v>
      </c>
      <c r="D142" s="20">
        <f t="shared" ca="1" si="79"/>
        <v>0</v>
      </c>
      <c r="E142" s="20">
        <f t="shared" ca="1" si="79"/>
        <v>0</v>
      </c>
      <c r="F142" s="13">
        <f t="shared" ca="1" si="79"/>
        <v>0</v>
      </c>
      <c r="G142" s="16"/>
      <c r="H142" s="19">
        <f t="shared" ca="1" si="80"/>
        <v>0</v>
      </c>
      <c r="I142" s="15">
        <f t="shared" ca="1" si="70"/>
        <v>1</v>
      </c>
      <c r="J142" s="15"/>
      <c r="K142" s="15">
        <f t="shared" ca="1" si="69"/>
        <v>0</v>
      </c>
    </row>
    <row r="143" spans="1:11" ht="17.399999999999999" x14ac:dyDescent="0.4">
      <c r="A143" s="77" t="s">
        <v>27</v>
      </c>
      <c r="B143" s="75"/>
      <c r="C143" s="75"/>
      <c r="D143" s="75"/>
      <c r="E143" s="75"/>
      <c r="F143" s="75"/>
      <c r="G143" s="75"/>
      <c r="H143" s="75"/>
      <c r="I143" s="75"/>
      <c r="J143" s="75"/>
      <c r="K143" s="76"/>
    </row>
    <row r="144" spans="1:11" x14ac:dyDescent="0.4">
      <c r="A144" s="11" t="s">
        <v>5</v>
      </c>
      <c r="B144" s="40"/>
      <c r="C144" s="13"/>
      <c r="D144" s="11"/>
      <c r="E144" s="17"/>
      <c r="F144" s="13"/>
      <c r="G144" s="16"/>
      <c r="H144" s="13"/>
      <c r="I144" s="15">
        <f>ROUND((10^(H144/10))/(10^(F144/10)),3)</f>
        <v>1</v>
      </c>
      <c r="J144" s="15"/>
      <c r="K144" s="15">
        <f t="shared" ref="K144:K161" si="81">G144*I144</f>
        <v>0</v>
      </c>
    </row>
    <row r="145" spans="1:11" x14ac:dyDescent="0.4">
      <c r="A145" s="11" t="s">
        <v>5</v>
      </c>
      <c r="B145" s="40"/>
      <c r="C145" s="13"/>
      <c r="D145" s="11"/>
      <c r="E145" s="17"/>
      <c r="F145" s="13"/>
      <c r="G145" s="16"/>
      <c r="H145" s="13"/>
      <c r="I145" s="15">
        <f t="shared" ref="I145:I161" si="82">ROUND((10^(H145/10))/(10^(F145/10)),3)</f>
        <v>1</v>
      </c>
      <c r="J145" s="15"/>
      <c r="K145" s="15">
        <f t="shared" si="81"/>
        <v>0</v>
      </c>
    </row>
    <row r="146" spans="1:11" x14ac:dyDescent="0.4">
      <c r="A146" s="11" t="s">
        <v>5</v>
      </c>
      <c r="B146" s="40"/>
      <c r="C146" s="13"/>
      <c r="D146" s="11"/>
      <c r="E146" s="17"/>
      <c r="F146" s="13"/>
      <c r="G146" s="16"/>
      <c r="H146" s="13"/>
      <c r="I146" s="15">
        <f t="shared" si="82"/>
        <v>1</v>
      </c>
      <c r="J146" s="15"/>
      <c r="K146" s="15">
        <f t="shared" si="81"/>
        <v>0</v>
      </c>
    </row>
    <row r="147" spans="1:11" x14ac:dyDescent="0.4">
      <c r="A147" s="11" t="s">
        <v>6</v>
      </c>
      <c r="B147" s="41">
        <f t="shared" ref="B147:F149" ca="1" si="83">OFFSET(B147,-3,0)</f>
        <v>0</v>
      </c>
      <c r="C147" s="19">
        <f t="shared" ca="1" si="83"/>
        <v>0</v>
      </c>
      <c r="D147" s="20">
        <f t="shared" ca="1" si="83"/>
        <v>0</v>
      </c>
      <c r="E147" s="20">
        <f t="shared" ca="1" si="83"/>
        <v>0</v>
      </c>
      <c r="F147" s="13">
        <f t="shared" ca="1" si="83"/>
        <v>0</v>
      </c>
      <c r="G147" s="16"/>
      <c r="H147" s="19">
        <f t="shared" ref="H147:H149" ca="1" si="84">OFFSET(H147,-3,0)</f>
        <v>0</v>
      </c>
      <c r="I147" s="15">
        <f t="shared" ca="1" si="82"/>
        <v>1</v>
      </c>
      <c r="J147" s="15"/>
      <c r="K147" s="15">
        <f t="shared" ca="1" si="81"/>
        <v>0</v>
      </c>
    </row>
    <row r="148" spans="1:11" x14ac:dyDescent="0.4">
      <c r="A148" s="11" t="s">
        <v>6</v>
      </c>
      <c r="B148" s="41">
        <f t="shared" ca="1" si="83"/>
        <v>0</v>
      </c>
      <c r="C148" s="19">
        <f t="shared" ca="1" si="83"/>
        <v>0</v>
      </c>
      <c r="D148" s="20">
        <f t="shared" ca="1" si="83"/>
        <v>0</v>
      </c>
      <c r="E148" s="20">
        <f t="shared" ca="1" si="83"/>
        <v>0</v>
      </c>
      <c r="F148" s="13">
        <f t="shared" ca="1" si="83"/>
        <v>0</v>
      </c>
      <c r="G148" s="16"/>
      <c r="H148" s="19">
        <f t="shared" ca="1" si="84"/>
        <v>0</v>
      </c>
      <c r="I148" s="15">
        <f t="shared" ca="1" si="82"/>
        <v>1</v>
      </c>
      <c r="J148" s="15"/>
      <c r="K148" s="15">
        <f t="shared" ca="1" si="81"/>
        <v>0</v>
      </c>
    </row>
    <row r="149" spans="1:11" x14ac:dyDescent="0.4">
      <c r="A149" s="11" t="s">
        <v>6</v>
      </c>
      <c r="B149" s="41">
        <f t="shared" ca="1" si="83"/>
        <v>0</v>
      </c>
      <c r="C149" s="19">
        <f t="shared" ca="1" si="83"/>
        <v>0</v>
      </c>
      <c r="D149" s="20">
        <f t="shared" ca="1" si="83"/>
        <v>0</v>
      </c>
      <c r="E149" s="20">
        <f t="shared" ca="1" si="83"/>
        <v>0</v>
      </c>
      <c r="F149" s="13">
        <f t="shared" ca="1" si="83"/>
        <v>0</v>
      </c>
      <c r="G149" s="16"/>
      <c r="H149" s="19">
        <f t="shared" ca="1" si="84"/>
        <v>0</v>
      </c>
      <c r="I149" s="15">
        <f t="shared" ca="1" si="82"/>
        <v>1</v>
      </c>
      <c r="J149" s="15"/>
      <c r="K149" s="15">
        <f t="shared" ca="1" si="81"/>
        <v>0</v>
      </c>
    </row>
    <row r="150" spans="1:11" x14ac:dyDescent="0.4">
      <c r="A150" s="11" t="s">
        <v>57</v>
      </c>
      <c r="B150" s="40">
        <f t="shared" ref="B150:F152" ca="1" si="85">OFFSET(B150,-6,0)</f>
        <v>0</v>
      </c>
      <c r="C150" s="13">
        <f t="shared" ca="1" si="85"/>
        <v>0</v>
      </c>
      <c r="D150" s="17">
        <f t="shared" ca="1" si="85"/>
        <v>0</v>
      </c>
      <c r="E150" s="17">
        <f t="shared" ca="1" si="85"/>
        <v>0</v>
      </c>
      <c r="F150" s="13">
        <f t="shared" ca="1" si="85"/>
        <v>0</v>
      </c>
      <c r="G150" s="16"/>
      <c r="H150" s="13">
        <f t="shared" ref="H150:H152" ca="1" si="86">OFFSET(H150,-6,0)</f>
        <v>0</v>
      </c>
      <c r="I150" s="15">
        <f t="shared" ca="1" si="82"/>
        <v>1</v>
      </c>
      <c r="J150" s="15"/>
      <c r="K150" s="15">
        <f t="shared" ca="1" si="81"/>
        <v>0</v>
      </c>
    </row>
    <row r="151" spans="1:11" x14ac:dyDescent="0.4">
      <c r="A151" s="11" t="s">
        <v>57</v>
      </c>
      <c r="B151" s="40">
        <f t="shared" ca="1" si="85"/>
        <v>0</v>
      </c>
      <c r="C151" s="13">
        <f t="shared" ca="1" si="85"/>
        <v>0</v>
      </c>
      <c r="D151" s="17">
        <f t="shared" ca="1" si="85"/>
        <v>0</v>
      </c>
      <c r="E151" s="17">
        <f t="shared" ca="1" si="85"/>
        <v>0</v>
      </c>
      <c r="F151" s="13">
        <f t="shared" ca="1" si="85"/>
        <v>0</v>
      </c>
      <c r="G151" s="16"/>
      <c r="H151" s="13">
        <f t="shared" ca="1" si="86"/>
        <v>0</v>
      </c>
      <c r="I151" s="15">
        <f t="shared" ca="1" si="82"/>
        <v>1</v>
      </c>
      <c r="J151" s="15"/>
      <c r="K151" s="15">
        <f t="shared" ca="1" si="81"/>
        <v>0</v>
      </c>
    </row>
    <row r="152" spans="1:11" x14ac:dyDescent="0.4">
      <c r="A152" s="11" t="s">
        <v>57</v>
      </c>
      <c r="B152" s="40">
        <f t="shared" ca="1" si="85"/>
        <v>0</v>
      </c>
      <c r="C152" s="13">
        <f t="shared" ca="1" si="85"/>
        <v>0</v>
      </c>
      <c r="D152" s="17">
        <f t="shared" ca="1" si="85"/>
        <v>0</v>
      </c>
      <c r="E152" s="17">
        <f t="shared" ca="1" si="85"/>
        <v>0</v>
      </c>
      <c r="F152" s="13">
        <f t="shared" ca="1" si="85"/>
        <v>0</v>
      </c>
      <c r="G152" s="16"/>
      <c r="H152" s="13">
        <f t="shared" ca="1" si="86"/>
        <v>0</v>
      </c>
      <c r="I152" s="15">
        <f t="shared" ca="1" si="82"/>
        <v>1</v>
      </c>
      <c r="J152" s="15"/>
      <c r="K152" s="15">
        <f t="shared" ca="1" si="81"/>
        <v>0</v>
      </c>
    </row>
    <row r="153" spans="1:11" x14ac:dyDescent="0.4">
      <c r="A153" s="11" t="s">
        <v>7</v>
      </c>
      <c r="B153" s="40">
        <f t="shared" ref="B153:F155" ca="1" si="87">OFFSET(B153,-9,0)</f>
        <v>0</v>
      </c>
      <c r="C153" s="13">
        <f t="shared" ca="1" si="87"/>
        <v>0</v>
      </c>
      <c r="D153" s="17">
        <f t="shared" ca="1" si="87"/>
        <v>0</v>
      </c>
      <c r="E153" s="17">
        <f t="shared" ca="1" si="87"/>
        <v>0</v>
      </c>
      <c r="F153" s="13">
        <f t="shared" ca="1" si="87"/>
        <v>0</v>
      </c>
      <c r="G153" s="16"/>
      <c r="H153" s="13">
        <f t="shared" ref="H153:H155" ca="1" si="88">OFFSET(H153,-9,0)</f>
        <v>0</v>
      </c>
      <c r="I153" s="15">
        <f t="shared" ca="1" si="82"/>
        <v>1</v>
      </c>
      <c r="J153" s="15"/>
      <c r="K153" s="15">
        <f t="shared" ca="1" si="81"/>
        <v>0</v>
      </c>
    </row>
    <row r="154" spans="1:11" x14ac:dyDescent="0.4">
      <c r="A154" s="11" t="s">
        <v>7</v>
      </c>
      <c r="B154" s="40">
        <f t="shared" ca="1" si="87"/>
        <v>0</v>
      </c>
      <c r="C154" s="13">
        <f t="shared" ca="1" si="87"/>
        <v>0</v>
      </c>
      <c r="D154" s="17">
        <f t="shared" ca="1" si="87"/>
        <v>0</v>
      </c>
      <c r="E154" s="17">
        <f t="shared" ca="1" si="87"/>
        <v>0</v>
      </c>
      <c r="F154" s="13">
        <f t="shared" ca="1" si="87"/>
        <v>0</v>
      </c>
      <c r="G154" s="16"/>
      <c r="H154" s="13">
        <f t="shared" ca="1" si="88"/>
        <v>0</v>
      </c>
      <c r="I154" s="15">
        <f t="shared" ca="1" si="82"/>
        <v>1</v>
      </c>
      <c r="J154" s="15"/>
      <c r="K154" s="15">
        <f t="shared" ca="1" si="81"/>
        <v>0</v>
      </c>
    </row>
    <row r="155" spans="1:11" x14ac:dyDescent="0.4">
      <c r="A155" s="11" t="s">
        <v>7</v>
      </c>
      <c r="B155" s="40">
        <f t="shared" ca="1" si="87"/>
        <v>0</v>
      </c>
      <c r="C155" s="13">
        <f t="shared" ca="1" si="87"/>
        <v>0</v>
      </c>
      <c r="D155" s="17">
        <f t="shared" ca="1" si="87"/>
        <v>0</v>
      </c>
      <c r="E155" s="17">
        <f t="shared" ca="1" si="87"/>
        <v>0</v>
      </c>
      <c r="F155" s="13">
        <f t="shared" ca="1" si="87"/>
        <v>0</v>
      </c>
      <c r="G155" s="16"/>
      <c r="H155" s="13">
        <f t="shared" ca="1" si="88"/>
        <v>0</v>
      </c>
      <c r="I155" s="15">
        <f t="shared" ca="1" si="82"/>
        <v>1</v>
      </c>
      <c r="J155" s="15"/>
      <c r="K155" s="15">
        <f t="shared" ca="1" si="81"/>
        <v>0</v>
      </c>
    </row>
    <row r="156" spans="1:11" x14ac:dyDescent="0.4">
      <c r="A156" s="11" t="s">
        <v>8</v>
      </c>
      <c r="B156" s="40">
        <f t="shared" ref="B156:F158" ca="1" si="89">OFFSET(B156,-12,0)</f>
        <v>0</v>
      </c>
      <c r="C156" s="13">
        <f t="shared" ca="1" si="89"/>
        <v>0</v>
      </c>
      <c r="D156" s="17">
        <f t="shared" ca="1" si="89"/>
        <v>0</v>
      </c>
      <c r="E156" s="17">
        <f t="shared" ca="1" si="89"/>
        <v>0</v>
      </c>
      <c r="F156" s="13">
        <f t="shared" ca="1" si="89"/>
        <v>0</v>
      </c>
      <c r="G156" s="16"/>
      <c r="H156" s="13">
        <f t="shared" ref="H156:H158" ca="1" si="90">OFFSET(H156,-12,0)</f>
        <v>0</v>
      </c>
      <c r="I156" s="15">
        <f t="shared" ca="1" si="82"/>
        <v>1</v>
      </c>
      <c r="J156" s="15"/>
      <c r="K156" s="15">
        <f t="shared" ca="1" si="81"/>
        <v>0</v>
      </c>
    </row>
    <row r="157" spans="1:11" x14ac:dyDescent="0.4">
      <c r="A157" s="11" t="s">
        <v>8</v>
      </c>
      <c r="B157" s="40">
        <f t="shared" ca="1" si="89"/>
        <v>0</v>
      </c>
      <c r="C157" s="13">
        <f t="shared" ca="1" si="89"/>
        <v>0</v>
      </c>
      <c r="D157" s="17">
        <f t="shared" ca="1" si="89"/>
        <v>0</v>
      </c>
      <c r="E157" s="17">
        <f t="shared" ca="1" si="89"/>
        <v>0</v>
      </c>
      <c r="F157" s="13">
        <f t="shared" ca="1" si="89"/>
        <v>0</v>
      </c>
      <c r="G157" s="16"/>
      <c r="H157" s="13">
        <f t="shared" ca="1" si="90"/>
        <v>0</v>
      </c>
      <c r="I157" s="15">
        <f t="shared" ca="1" si="82"/>
        <v>1</v>
      </c>
      <c r="J157" s="15"/>
      <c r="K157" s="15">
        <f t="shared" ca="1" si="81"/>
        <v>0</v>
      </c>
    </row>
    <row r="158" spans="1:11" x14ac:dyDescent="0.4">
      <c r="A158" s="11" t="s">
        <v>8</v>
      </c>
      <c r="B158" s="40">
        <f t="shared" ca="1" si="89"/>
        <v>0</v>
      </c>
      <c r="C158" s="13">
        <f t="shared" ca="1" si="89"/>
        <v>0</v>
      </c>
      <c r="D158" s="17">
        <f t="shared" ca="1" si="89"/>
        <v>0</v>
      </c>
      <c r="E158" s="17">
        <f t="shared" ca="1" si="89"/>
        <v>0</v>
      </c>
      <c r="F158" s="13">
        <f t="shared" ca="1" si="89"/>
        <v>0</v>
      </c>
      <c r="G158" s="16"/>
      <c r="H158" s="13">
        <f t="shared" ca="1" si="90"/>
        <v>0</v>
      </c>
      <c r="I158" s="15">
        <f t="shared" ca="1" si="82"/>
        <v>1</v>
      </c>
      <c r="J158" s="15"/>
      <c r="K158" s="15">
        <f t="shared" ca="1" si="81"/>
        <v>0</v>
      </c>
    </row>
    <row r="159" spans="1:11" x14ac:dyDescent="0.4">
      <c r="A159" s="11" t="s">
        <v>9</v>
      </c>
      <c r="B159" s="41">
        <f t="shared" ref="B159:F161" ca="1" si="91">OFFSET(B159,-15,0)</f>
        <v>0</v>
      </c>
      <c r="C159" s="19">
        <f t="shared" ca="1" si="91"/>
        <v>0</v>
      </c>
      <c r="D159" s="20">
        <f t="shared" ca="1" si="91"/>
        <v>0</v>
      </c>
      <c r="E159" s="20">
        <f t="shared" ca="1" si="91"/>
        <v>0</v>
      </c>
      <c r="F159" s="13">
        <f t="shared" ca="1" si="91"/>
        <v>0</v>
      </c>
      <c r="G159" s="16"/>
      <c r="H159" s="19">
        <f t="shared" ref="H159:H161" ca="1" si="92">OFFSET(H159,-15,0)</f>
        <v>0</v>
      </c>
      <c r="I159" s="15">
        <f t="shared" ca="1" si="82"/>
        <v>1</v>
      </c>
      <c r="J159" s="15"/>
      <c r="K159" s="15">
        <f t="shared" ca="1" si="81"/>
        <v>0</v>
      </c>
    </row>
    <row r="160" spans="1:11" x14ac:dyDescent="0.4">
      <c r="A160" s="11" t="s">
        <v>9</v>
      </c>
      <c r="B160" s="41">
        <f t="shared" ca="1" si="91"/>
        <v>0</v>
      </c>
      <c r="C160" s="19">
        <f t="shared" ca="1" si="91"/>
        <v>0</v>
      </c>
      <c r="D160" s="20">
        <f t="shared" ca="1" si="91"/>
        <v>0</v>
      </c>
      <c r="E160" s="20">
        <f t="shared" ca="1" si="91"/>
        <v>0</v>
      </c>
      <c r="F160" s="13">
        <f t="shared" ca="1" si="91"/>
        <v>0</v>
      </c>
      <c r="G160" s="16"/>
      <c r="H160" s="19">
        <f t="shared" ca="1" si="92"/>
        <v>0</v>
      </c>
      <c r="I160" s="15">
        <f t="shared" ca="1" si="82"/>
        <v>1</v>
      </c>
      <c r="J160" s="15"/>
      <c r="K160" s="15">
        <f t="shared" ca="1" si="81"/>
        <v>0</v>
      </c>
    </row>
    <row r="161" spans="1:11" x14ac:dyDescent="0.4">
      <c r="A161" s="11" t="s">
        <v>9</v>
      </c>
      <c r="B161" s="41">
        <f t="shared" ca="1" si="91"/>
        <v>0</v>
      </c>
      <c r="C161" s="19">
        <f t="shared" ca="1" si="91"/>
        <v>0</v>
      </c>
      <c r="D161" s="20">
        <f t="shared" ca="1" si="91"/>
        <v>0</v>
      </c>
      <c r="E161" s="20">
        <f t="shared" ca="1" si="91"/>
        <v>0</v>
      </c>
      <c r="F161" s="13">
        <f t="shared" ca="1" si="91"/>
        <v>0</v>
      </c>
      <c r="G161" s="16"/>
      <c r="H161" s="19">
        <f t="shared" ca="1" si="92"/>
        <v>0</v>
      </c>
      <c r="I161" s="15">
        <f t="shared" ca="1" si="82"/>
        <v>1</v>
      </c>
      <c r="J161" s="15"/>
      <c r="K161" s="15">
        <f t="shared" ca="1" si="81"/>
        <v>0</v>
      </c>
    </row>
    <row r="162" spans="1:11" ht="17.399999999999999" x14ac:dyDescent="0.4">
      <c r="A162" s="77" t="s">
        <v>31</v>
      </c>
      <c r="B162" s="75"/>
      <c r="C162" s="75"/>
      <c r="D162" s="75"/>
      <c r="E162" s="75"/>
      <c r="F162" s="75"/>
      <c r="G162" s="75"/>
      <c r="H162" s="75"/>
      <c r="I162" s="75"/>
      <c r="J162" s="75"/>
      <c r="K162" s="76"/>
    </row>
    <row r="163" spans="1:11" x14ac:dyDescent="0.4">
      <c r="A163" s="11" t="s">
        <v>5</v>
      </c>
      <c r="B163" s="40"/>
      <c r="C163" s="13"/>
      <c r="D163" s="11"/>
      <c r="E163" s="17"/>
      <c r="F163" s="13"/>
      <c r="G163" s="16"/>
      <c r="H163" s="13"/>
      <c r="I163" s="15">
        <f>ROUND((10^(H163/10))/(10^(F163/10)),3)</f>
        <v>1</v>
      </c>
      <c r="J163" s="15"/>
      <c r="K163" s="15">
        <f t="shared" ref="K163:K180" si="93">G163*I163</f>
        <v>0</v>
      </c>
    </row>
    <row r="164" spans="1:11" x14ac:dyDescent="0.4">
      <c r="A164" s="11" t="s">
        <v>5</v>
      </c>
      <c r="B164" s="40"/>
      <c r="C164" s="13"/>
      <c r="D164" s="11"/>
      <c r="E164" s="17"/>
      <c r="F164" s="13"/>
      <c r="G164" s="16"/>
      <c r="H164" s="13"/>
      <c r="I164" s="15">
        <f t="shared" ref="I164:I180" si="94">ROUND((10^(H164/10))/(10^(F164/10)),3)</f>
        <v>1</v>
      </c>
      <c r="J164" s="15"/>
      <c r="K164" s="15">
        <f t="shared" si="93"/>
        <v>0</v>
      </c>
    </row>
    <row r="165" spans="1:11" x14ac:dyDescent="0.4">
      <c r="A165" s="11" t="s">
        <v>5</v>
      </c>
      <c r="B165" s="40"/>
      <c r="C165" s="13"/>
      <c r="D165" s="11"/>
      <c r="E165" s="17"/>
      <c r="F165" s="13"/>
      <c r="G165" s="16"/>
      <c r="H165" s="13"/>
      <c r="I165" s="15">
        <f t="shared" si="94"/>
        <v>1</v>
      </c>
      <c r="J165" s="15"/>
      <c r="K165" s="15">
        <f t="shared" si="93"/>
        <v>0</v>
      </c>
    </row>
    <row r="166" spans="1:11" x14ac:dyDescent="0.4">
      <c r="A166" s="11" t="s">
        <v>6</v>
      </c>
      <c r="B166" s="41">
        <f t="shared" ref="B166:F168" ca="1" si="95">OFFSET(B166,-3,0)</f>
        <v>0</v>
      </c>
      <c r="C166" s="19">
        <f t="shared" ca="1" si="95"/>
        <v>0</v>
      </c>
      <c r="D166" s="20">
        <f t="shared" ca="1" si="95"/>
        <v>0</v>
      </c>
      <c r="E166" s="20">
        <f t="shared" ca="1" si="95"/>
        <v>0</v>
      </c>
      <c r="F166" s="13">
        <f t="shared" ca="1" si="95"/>
        <v>0</v>
      </c>
      <c r="G166" s="16"/>
      <c r="H166" s="19">
        <f t="shared" ref="H166:H168" ca="1" si="96">OFFSET(H166,-3,0)</f>
        <v>0</v>
      </c>
      <c r="I166" s="15">
        <f t="shared" ca="1" si="94"/>
        <v>1</v>
      </c>
      <c r="J166" s="15"/>
      <c r="K166" s="15">
        <f t="shared" ca="1" si="93"/>
        <v>0</v>
      </c>
    </row>
    <row r="167" spans="1:11" x14ac:dyDescent="0.4">
      <c r="A167" s="11" t="s">
        <v>6</v>
      </c>
      <c r="B167" s="41">
        <f t="shared" ca="1" si="95"/>
        <v>0</v>
      </c>
      <c r="C167" s="19">
        <f t="shared" ca="1" si="95"/>
        <v>0</v>
      </c>
      <c r="D167" s="20">
        <f t="shared" ca="1" si="95"/>
        <v>0</v>
      </c>
      <c r="E167" s="20">
        <f t="shared" ca="1" si="95"/>
        <v>0</v>
      </c>
      <c r="F167" s="13">
        <f t="shared" ca="1" si="95"/>
        <v>0</v>
      </c>
      <c r="G167" s="16"/>
      <c r="H167" s="19">
        <f t="shared" ca="1" si="96"/>
        <v>0</v>
      </c>
      <c r="I167" s="15">
        <f t="shared" ca="1" si="94"/>
        <v>1</v>
      </c>
      <c r="J167" s="15"/>
      <c r="K167" s="15">
        <f t="shared" ca="1" si="93"/>
        <v>0</v>
      </c>
    </row>
    <row r="168" spans="1:11" x14ac:dyDescent="0.4">
      <c r="A168" s="11" t="s">
        <v>6</v>
      </c>
      <c r="B168" s="41">
        <f t="shared" ca="1" si="95"/>
        <v>0</v>
      </c>
      <c r="C168" s="19">
        <f t="shared" ca="1" si="95"/>
        <v>0</v>
      </c>
      <c r="D168" s="20">
        <f t="shared" ca="1" si="95"/>
        <v>0</v>
      </c>
      <c r="E168" s="20">
        <f t="shared" ca="1" si="95"/>
        <v>0</v>
      </c>
      <c r="F168" s="13">
        <f t="shared" ca="1" si="95"/>
        <v>0</v>
      </c>
      <c r="G168" s="16"/>
      <c r="H168" s="19">
        <f t="shared" ca="1" si="96"/>
        <v>0</v>
      </c>
      <c r="I168" s="15">
        <f t="shared" ca="1" si="94"/>
        <v>1</v>
      </c>
      <c r="J168" s="15"/>
      <c r="K168" s="15">
        <f t="shared" ca="1" si="93"/>
        <v>0</v>
      </c>
    </row>
    <row r="169" spans="1:11" x14ac:dyDescent="0.4">
      <c r="A169" s="11" t="s">
        <v>10</v>
      </c>
      <c r="B169" s="40">
        <f t="shared" ref="B169:F171" ca="1" si="97">OFFSET(B169,-6,0)</f>
        <v>0</v>
      </c>
      <c r="C169" s="13">
        <f t="shared" ca="1" si="97"/>
        <v>0</v>
      </c>
      <c r="D169" s="17">
        <f t="shared" ca="1" si="97"/>
        <v>0</v>
      </c>
      <c r="E169" s="17">
        <f t="shared" ca="1" si="97"/>
        <v>0</v>
      </c>
      <c r="F169" s="13">
        <f t="shared" ca="1" si="97"/>
        <v>0</v>
      </c>
      <c r="G169" s="16"/>
      <c r="H169" s="13">
        <f t="shared" ref="H169:H171" ca="1" si="98">OFFSET(H169,-6,0)</f>
        <v>0</v>
      </c>
      <c r="I169" s="15">
        <f t="shared" ca="1" si="94"/>
        <v>1</v>
      </c>
      <c r="J169" s="15"/>
      <c r="K169" s="15">
        <f t="shared" ca="1" si="93"/>
        <v>0</v>
      </c>
    </row>
    <row r="170" spans="1:11" x14ac:dyDescent="0.4">
      <c r="A170" s="11" t="s">
        <v>10</v>
      </c>
      <c r="B170" s="40">
        <f t="shared" ca="1" si="97"/>
        <v>0</v>
      </c>
      <c r="C170" s="13">
        <f t="shared" ca="1" si="97"/>
        <v>0</v>
      </c>
      <c r="D170" s="17">
        <f t="shared" ca="1" si="97"/>
        <v>0</v>
      </c>
      <c r="E170" s="17">
        <f t="shared" ca="1" si="97"/>
        <v>0</v>
      </c>
      <c r="F170" s="13">
        <f t="shared" ca="1" si="97"/>
        <v>0</v>
      </c>
      <c r="G170" s="16"/>
      <c r="H170" s="13">
        <f t="shared" ca="1" si="98"/>
        <v>0</v>
      </c>
      <c r="I170" s="15">
        <f t="shared" ca="1" si="94"/>
        <v>1</v>
      </c>
      <c r="J170" s="15"/>
      <c r="K170" s="15">
        <f t="shared" ca="1" si="93"/>
        <v>0</v>
      </c>
    </row>
    <row r="171" spans="1:11" x14ac:dyDescent="0.4">
      <c r="A171" s="11" t="s">
        <v>10</v>
      </c>
      <c r="B171" s="40">
        <f t="shared" ca="1" si="97"/>
        <v>0</v>
      </c>
      <c r="C171" s="13">
        <f t="shared" ca="1" si="97"/>
        <v>0</v>
      </c>
      <c r="D171" s="17">
        <f t="shared" ca="1" si="97"/>
        <v>0</v>
      </c>
      <c r="E171" s="17">
        <f t="shared" ca="1" si="97"/>
        <v>0</v>
      </c>
      <c r="F171" s="13">
        <f t="shared" ca="1" si="97"/>
        <v>0</v>
      </c>
      <c r="G171" s="16"/>
      <c r="H171" s="13">
        <f t="shared" ca="1" si="98"/>
        <v>0</v>
      </c>
      <c r="I171" s="15">
        <f t="shared" ca="1" si="94"/>
        <v>1</v>
      </c>
      <c r="J171" s="15"/>
      <c r="K171" s="15">
        <f t="shared" ca="1" si="93"/>
        <v>0</v>
      </c>
    </row>
    <row r="172" spans="1:11" x14ac:dyDescent="0.4">
      <c r="A172" s="11" t="s">
        <v>7</v>
      </c>
      <c r="B172" s="40">
        <f t="shared" ref="B172:F174" ca="1" si="99">OFFSET(B172,-9,0)</f>
        <v>0</v>
      </c>
      <c r="C172" s="13">
        <f t="shared" ca="1" si="99"/>
        <v>0</v>
      </c>
      <c r="D172" s="17">
        <f t="shared" ca="1" si="99"/>
        <v>0</v>
      </c>
      <c r="E172" s="17">
        <f t="shared" ca="1" si="99"/>
        <v>0</v>
      </c>
      <c r="F172" s="13">
        <f t="shared" ca="1" si="99"/>
        <v>0</v>
      </c>
      <c r="G172" s="16"/>
      <c r="H172" s="13">
        <f t="shared" ref="H172:H174" ca="1" si="100">OFFSET(H172,-9,0)</f>
        <v>0</v>
      </c>
      <c r="I172" s="15">
        <f t="shared" ca="1" si="94"/>
        <v>1</v>
      </c>
      <c r="J172" s="15"/>
      <c r="K172" s="15">
        <f t="shared" ca="1" si="93"/>
        <v>0</v>
      </c>
    </row>
    <row r="173" spans="1:11" x14ac:dyDescent="0.4">
      <c r="A173" s="11" t="s">
        <v>7</v>
      </c>
      <c r="B173" s="40">
        <f t="shared" ca="1" si="99"/>
        <v>0</v>
      </c>
      <c r="C173" s="13">
        <f t="shared" ca="1" si="99"/>
        <v>0</v>
      </c>
      <c r="D173" s="17">
        <f t="shared" ca="1" si="99"/>
        <v>0</v>
      </c>
      <c r="E173" s="17">
        <f t="shared" ca="1" si="99"/>
        <v>0</v>
      </c>
      <c r="F173" s="13">
        <f t="shared" ca="1" si="99"/>
        <v>0</v>
      </c>
      <c r="G173" s="16"/>
      <c r="H173" s="13">
        <f t="shared" ca="1" si="100"/>
        <v>0</v>
      </c>
      <c r="I173" s="15">
        <f t="shared" ca="1" si="94"/>
        <v>1</v>
      </c>
      <c r="J173" s="15"/>
      <c r="K173" s="15">
        <f t="shared" ca="1" si="93"/>
        <v>0</v>
      </c>
    </row>
    <row r="174" spans="1:11" x14ac:dyDescent="0.4">
      <c r="A174" s="11" t="s">
        <v>7</v>
      </c>
      <c r="B174" s="40">
        <f t="shared" ca="1" si="99"/>
        <v>0</v>
      </c>
      <c r="C174" s="13">
        <f t="shared" ca="1" si="99"/>
        <v>0</v>
      </c>
      <c r="D174" s="17">
        <f t="shared" ca="1" si="99"/>
        <v>0</v>
      </c>
      <c r="E174" s="17">
        <f t="shared" ca="1" si="99"/>
        <v>0</v>
      </c>
      <c r="F174" s="13">
        <f t="shared" ca="1" si="99"/>
        <v>0</v>
      </c>
      <c r="G174" s="16"/>
      <c r="H174" s="13">
        <f t="shared" ca="1" si="100"/>
        <v>0</v>
      </c>
      <c r="I174" s="15">
        <f t="shared" ca="1" si="94"/>
        <v>1</v>
      </c>
      <c r="J174" s="15"/>
      <c r="K174" s="15">
        <f t="shared" ca="1" si="93"/>
        <v>0</v>
      </c>
    </row>
    <row r="175" spans="1:11" x14ac:dyDescent="0.4">
      <c r="A175" s="11" t="s">
        <v>8</v>
      </c>
      <c r="B175" s="40">
        <f t="shared" ref="B175:F177" ca="1" si="101">OFFSET(B175,-12,0)</f>
        <v>0</v>
      </c>
      <c r="C175" s="13">
        <f t="shared" ca="1" si="101"/>
        <v>0</v>
      </c>
      <c r="D175" s="17">
        <f t="shared" ca="1" si="101"/>
        <v>0</v>
      </c>
      <c r="E175" s="17">
        <f t="shared" ca="1" si="101"/>
        <v>0</v>
      </c>
      <c r="F175" s="13">
        <f t="shared" ca="1" si="101"/>
        <v>0</v>
      </c>
      <c r="G175" s="16"/>
      <c r="H175" s="13">
        <f t="shared" ref="H175:H177" ca="1" si="102">OFFSET(H175,-12,0)</f>
        <v>0</v>
      </c>
      <c r="I175" s="15">
        <f t="shared" ca="1" si="94"/>
        <v>1</v>
      </c>
      <c r="J175" s="15"/>
      <c r="K175" s="15">
        <f t="shared" ca="1" si="93"/>
        <v>0</v>
      </c>
    </row>
    <row r="176" spans="1:11" x14ac:dyDescent="0.4">
      <c r="A176" s="11" t="s">
        <v>8</v>
      </c>
      <c r="B176" s="40">
        <f t="shared" ca="1" si="101"/>
        <v>0</v>
      </c>
      <c r="C176" s="13">
        <f t="shared" ca="1" si="101"/>
        <v>0</v>
      </c>
      <c r="D176" s="17">
        <f t="shared" ca="1" si="101"/>
        <v>0</v>
      </c>
      <c r="E176" s="17">
        <f t="shared" ca="1" si="101"/>
        <v>0</v>
      </c>
      <c r="F176" s="13">
        <f t="shared" ca="1" si="101"/>
        <v>0</v>
      </c>
      <c r="G176" s="16"/>
      <c r="H176" s="13">
        <f t="shared" ca="1" si="102"/>
        <v>0</v>
      </c>
      <c r="I176" s="15">
        <f t="shared" ca="1" si="94"/>
        <v>1</v>
      </c>
      <c r="J176" s="15"/>
      <c r="K176" s="15">
        <f t="shared" ca="1" si="93"/>
        <v>0</v>
      </c>
    </row>
    <row r="177" spans="1:11" x14ac:dyDescent="0.4">
      <c r="A177" s="11" t="s">
        <v>8</v>
      </c>
      <c r="B177" s="40">
        <f t="shared" ca="1" si="101"/>
        <v>0</v>
      </c>
      <c r="C177" s="13">
        <f t="shared" ca="1" si="101"/>
        <v>0</v>
      </c>
      <c r="D177" s="17">
        <f t="shared" ca="1" si="101"/>
        <v>0</v>
      </c>
      <c r="E177" s="17">
        <f t="shared" ca="1" si="101"/>
        <v>0</v>
      </c>
      <c r="F177" s="13">
        <f t="shared" ca="1" si="101"/>
        <v>0</v>
      </c>
      <c r="G177" s="16"/>
      <c r="H177" s="13">
        <f t="shared" ca="1" si="102"/>
        <v>0</v>
      </c>
      <c r="I177" s="15">
        <f t="shared" ca="1" si="94"/>
        <v>1</v>
      </c>
      <c r="J177" s="15"/>
      <c r="K177" s="15">
        <f t="shared" ca="1" si="93"/>
        <v>0</v>
      </c>
    </row>
    <row r="178" spans="1:11" x14ac:dyDescent="0.4">
      <c r="A178" s="11" t="s">
        <v>9</v>
      </c>
      <c r="B178" s="41">
        <f t="shared" ref="B178:F180" ca="1" si="103">OFFSET(B178,-15,0)</f>
        <v>0</v>
      </c>
      <c r="C178" s="19">
        <f t="shared" ca="1" si="103"/>
        <v>0</v>
      </c>
      <c r="D178" s="20">
        <f t="shared" ca="1" si="103"/>
        <v>0</v>
      </c>
      <c r="E178" s="20">
        <f t="shared" ca="1" si="103"/>
        <v>0</v>
      </c>
      <c r="F178" s="13">
        <f t="shared" ca="1" si="103"/>
        <v>0</v>
      </c>
      <c r="G178" s="16"/>
      <c r="H178" s="19">
        <f t="shared" ref="H178:H180" ca="1" si="104">OFFSET(H178,-15,0)</f>
        <v>0</v>
      </c>
      <c r="I178" s="15">
        <f t="shared" ca="1" si="94"/>
        <v>1</v>
      </c>
      <c r="J178" s="15"/>
      <c r="K178" s="15">
        <f t="shared" ca="1" si="93"/>
        <v>0</v>
      </c>
    </row>
    <row r="179" spans="1:11" x14ac:dyDescent="0.4">
      <c r="A179" s="11" t="s">
        <v>9</v>
      </c>
      <c r="B179" s="41">
        <f t="shared" ca="1" si="103"/>
        <v>0</v>
      </c>
      <c r="C179" s="19">
        <f t="shared" ca="1" si="103"/>
        <v>0</v>
      </c>
      <c r="D179" s="20">
        <f t="shared" ca="1" si="103"/>
        <v>0</v>
      </c>
      <c r="E179" s="20">
        <f t="shared" ca="1" si="103"/>
        <v>0</v>
      </c>
      <c r="F179" s="13">
        <f t="shared" ca="1" si="103"/>
        <v>0</v>
      </c>
      <c r="G179" s="16"/>
      <c r="H179" s="19">
        <f t="shared" ca="1" si="104"/>
        <v>0</v>
      </c>
      <c r="I179" s="15">
        <f t="shared" ca="1" si="94"/>
        <v>1</v>
      </c>
      <c r="J179" s="15"/>
      <c r="K179" s="15">
        <f t="shared" ca="1" si="93"/>
        <v>0</v>
      </c>
    </row>
    <row r="180" spans="1:11" x14ac:dyDescent="0.4">
      <c r="A180" s="11" t="s">
        <v>9</v>
      </c>
      <c r="B180" s="41">
        <f t="shared" ca="1" si="103"/>
        <v>0</v>
      </c>
      <c r="C180" s="19">
        <f t="shared" ca="1" si="103"/>
        <v>0</v>
      </c>
      <c r="D180" s="20">
        <f t="shared" ca="1" si="103"/>
        <v>0</v>
      </c>
      <c r="E180" s="20">
        <f t="shared" ca="1" si="103"/>
        <v>0</v>
      </c>
      <c r="F180" s="13">
        <f t="shared" ca="1" si="103"/>
        <v>0</v>
      </c>
      <c r="G180" s="16"/>
      <c r="H180" s="19">
        <f t="shared" ca="1" si="104"/>
        <v>0</v>
      </c>
      <c r="I180" s="15">
        <f t="shared" ca="1" si="94"/>
        <v>1</v>
      </c>
      <c r="J180" s="15"/>
      <c r="K180" s="15">
        <f t="shared" ca="1" si="93"/>
        <v>0</v>
      </c>
    </row>
    <row r="181" spans="1:11" ht="17.399999999999999" x14ac:dyDescent="0.4">
      <c r="A181" s="77" t="s">
        <v>23</v>
      </c>
      <c r="B181" s="75"/>
      <c r="C181" s="75"/>
      <c r="D181" s="75"/>
      <c r="E181" s="75"/>
      <c r="F181" s="75"/>
      <c r="G181" s="75"/>
      <c r="H181" s="75"/>
      <c r="I181" s="75"/>
      <c r="J181" s="75"/>
      <c r="K181" s="76"/>
    </row>
    <row r="182" spans="1:11" x14ac:dyDescent="0.4">
      <c r="A182" s="11" t="str">
        <f ca="1">INDEX(A30:A180, MATCH(MAX(K30:K180), K30:K180, 0), 0)</f>
        <v>Front</v>
      </c>
      <c r="B182" s="40">
        <f ca="1">INDEX(B30:B180, MATCH(MAX(K30:K180), K30:K180, 0), 0)</f>
        <v>0</v>
      </c>
      <c r="C182" s="13">
        <f ca="1">INDEX(C30:C180, MATCH(MAX(K30:K180), K30:K180, 0), 0)</f>
        <v>0</v>
      </c>
      <c r="D182" s="11">
        <f ca="1">INDEX(D30:D180, MATCH(MAX(K30:K180), K30:K180, 0), 0)</f>
        <v>0</v>
      </c>
      <c r="E182" s="17">
        <f ca="1">INDEX(E30:E180, MATCH(MAX(K30:K180), K30:K180, 0), 0)</f>
        <v>0</v>
      </c>
      <c r="F182" s="13">
        <f ca="1">INDEX(F30:F180, MATCH(MAX(K30:K180), K30:K180, 0), 0)</f>
        <v>0</v>
      </c>
      <c r="G182" s="16"/>
      <c r="H182" s="13">
        <f ca="1">INDEX(H30:H180, MATCH(MAX(K30:K180), K30:K180, 0), 0)</f>
        <v>0</v>
      </c>
      <c r="I182" s="15">
        <f ca="1">ROUND((10^(H182/10))/(10^(F182/10)),3)</f>
        <v>1</v>
      </c>
      <c r="J182" s="15"/>
      <c r="K182" s="15">
        <f t="shared" ref="K182" ca="1" si="105">G182*I182</f>
        <v>0</v>
      </c>
    </row>
    <row r="183" spans="1:11" x14ac:dyDescent="0.4">
      <c r="A183" s="11"/>
      <c r="B183" s="40"/>
      <c r="C183" s="13"/>
      <c r="D183" s="11"/>
      <c r="E183" s="17"/>
      <c r="F183" s="13"/>
      <c r="G183" s="16"/>
      <c r="H183" s="13"/>
      <c r="I183" s="15"/>
      <c r="J183" s="15"/>
      <c r="K183" s="15"/>
    </row>
    <row r="184" spans="1:11" x14ac:dyDescent="0.4">
      <c r="A184" s="11"/>
      <c r="B184" s="40"/>
      <c r="C184" s="13"/>
      <c r="D184" s="11"/>
      <c r="E184" s="17"/>
      <c r="F184" s="13"/>
      <c r="G184" s="16"/>
      <c r="H184" s="13"/>
      <c r="I184" s="15"/>
      <c r="J184" s="15"/>
      <c r="K184" s="15"/>
    </row>
    <row r="185" spans="1:11" x14ac:dyDescent="0.4">
      <c r="A185" s="11"/>
      <c r="B185" s="41"/>
      <c r="C185" s="19"/>
      <c r="D185" s="11"/>
      <c r="E185" s="20"/>
      <c r="F185" s="19"/>
      <c r="G185" s="16"/>
      <c r="H185" s="19"/>
      <c r="I185" s="15"/>
      <c r="J185" s="15"/>
      <c r="K185" s="15"/>
    </row>
    <row r="186" spans="1:11" x14ac:dyDescent="0.4">
      <c r="A186" s="11"/>
      <c r="B186" s="41"/>
      <c r="C186" s="19"/>
      <c r="D186" s="11"/>
      <c r="E186" s="20"/>
      <c r="F186" s="19"/>
      <c r="G186" s="16"/>
      <c r="H186" s="19"/>
      <c r="I186" s="15"/>
      <c r="J186" s="15"/>
      <c r="K186" s="15"/>
    </row>
    <row r="187" spans="1:11" x14ac:dyDescent="0.4">
      <c r="A187" s="11"/>
      <c r="B187" s="41"/>
      <c r="C187" s="19"/>
      <c r="D187" s="11"/>
      <c r="E187" s="20"/>
      <c r="F187" s="19"/>
      <c r="G187" s="16"/>
      <c r="H187" s="19"/>
      <c r="I187" s="15"/>
      <c r="J187" s="15"/>
      <c r="K187" s="15"/>
    </row>
    <row r="188" spans="1:11" x14ac:dyDescent="0.4">
      <c r="A188" s="11"/>
      <c r="B188" s="40"/>
      <c r="C188" s="13"/>
      <c r="D188" s="11"/>
      <c r="E188" s="17"/>
      <c r="F188" s="13"/>
      <c r="G188" s="16"/>
      <c r="H188" s="13"/>
      <c r="I188" s="15"/>
      <c r="J188" s="15"/>
      <c r="K188" s="15"/>
    </row>
    <row r="189" spans="1:11" x14ac:dyDescent="0.4">
      <c r="A189" s="11"/>
      <c r="B189" s="40"/>
      <c r="C189" s="13"/>
      <c r="D189" s="11"/>
      <c r="E189" s="17"/>
      <c r="F189" s="13"/>
      <c r="G189" s="16"/>
      <c r="H189" s="13"/>
      <c r="I189" s="15"/>
      <c r="J189" s="15"/>
      <c r="K189" s="15"/>
    </row>
    <row r="190" spans="1:11" x14ac:dyDescent="0.4">
      <c r="A190" s="11"/>
      <c r="B190" s="40"/>
      <c r="C190" s="13"/>
      <c r="D190" s="11"/>
      <c r="E190" s="17"/>
      <c r="F190" s="13"/>
      <c r="G190" s="16"/>
      <c r="H190" s="13"/>
      <c r="I190" s="15"/>
      <c r="J190" s="15"/>
      <c r="K190" s="15"/>
    </row>
    <row r="191" spans="1:11" x14ac:dyDescent="0.4">
      <c r="A191" s="11"/>
      <c r="B191" s="40"/>
      <c r="C191" s="13"/>
      <c r="D191" s="11"/>
      <c r="E191" s="17"/>
      <c r="F191" s="13"/>
      <c r="G191" s="16"/>
      <c r="H191" s="13"/>
      <c r="I191" s="15"/>
      <c r="J191" s="15"/>
      <c r="K191" s="15"/>
    </row>
    <row r="192" spans="1:11" x14ac:dyDescent="0.4">
      <c r="A192" s="11"/>
      <c r="B192" s="40"/>
      <c r="C192" s="13"/>
      <c r="D192" s="11"/>
      <c r="E192" s="17"/>
      <c r="F192" s="13"/>
      <c r="G192" s="16"/>
      <c r="H192" s="13"/>
      <c r="I192" s="15"/>
      <c r="J192" s="15"/>
      <c r="K192" s="15"/>
    </row>
    <row r="193" spans="1:11" x14ac:dyDescent="0.4">
      <c r="A193" s="11"/>
      <c r="B193" s="40"/>
      <c r="C193" s="13"/>
      <c r="D193" s="11"/>
      <c r="E193" s="17"/>
      <c r="F193" s="13"/>
      <c r="G193" s="16"/>
      <c r="H193" s="13"/>
      <c r="I193" s="15"/>
      <c r="J193" s="15"/>
      <c r="K193" s="15"/>
    </row>
    <row r="194" spans="1:11" x14ac:dyDescent="0.4">
      <c r="A194" s="11"/>
      <c r="B194" s="40"/>
      <c r="C194" s="13"/>
      <c r="D194" s="11"/>
      <c r="E194" s="17"/>
      <c r="F194" s="13"/>
      <c r="G194" s="16"/>
      <c r="H194" s="13"/>
      <c r="I194" s="15"/>
      <c r="J194" s="15"/>
      <c r="K194" s="15"/>
    </row>
    <row r="195" spans="1:11" x14ac:dyDescent="0.4">
      <c r="A195" s="11"/>
      <c r="B195" s="40"/>
      <c r="C195" s="13"/>
      <c r="D195" s="11"/>
      <c r="E195" s="17"/>
      <c r="F195" s="13"/>
      <c r="G195" s="16"/>
      <c r="H195" s="13"/>
      <c r="I195" s="15"/>
      <c r="J195" s="15"/>
      <c r="K195" s="15"/>
    </row>
    <row r="196" spans="1:11" x14ac:dyDescent="0.4">
      <c r="A196" s="11"/>
      <c r="B196" s="40"/>
      <c r="C196" s="13"/>
      <c r="D196" s="11"/>
      <c r="E196" s="17"/>
      <c r="F196" s="13"/>
      <c r="G196" s="16"/>
      <c r="H196" s="13"/>
      <c r="I196" s="15"/>
      <c r="J196" s="15"/>
      <c r="K196" s="15"/>
    </row>
    <row r="197" spans="1:11" x14ac:dyDescent="0.4">
      <c r="A197" s="11"/>
      <c r="B197" s="41"/>
      <c r="C197" s="19"/>
      <c r="D197" s="11"/>
      <c r="E197" s="20"/>
      <c r="F197" s="19"/>
      <c r="G197" s="16"/>
      <c r="H197" s="19"/>
      <c r="I197" s="15"/>
      <c r="J197" s="15"/>
      <c r="K197" s="15"/>
    </row>
    <row r="198" spans="1:11" x14ac:dyDescent="0.4">
      <c r="A198" s="11"/>
      <c r="B198" s="41"/>
      <c r="C198" s="19"/>
      <c r="D198" s="11"/>
      <c r="E198" s="20"/>
      <c r="F198" s="19"/>
      <c r="G198" s="16"/>
      <c r="H198" s="19"/>
      <c r="I198" s="15"/>
      <c r="J198" s="15"/>
      <c r="K198" s="15"/>
    </row>
    <row r="199" spans="1:11" x14ac:dyDescent="0.4">
      <c r="A199" s="11"/>
      <c r="B199" s="41"/>
      <c r="C199" s="19"/>
      <c r="D199" s="11"/>
      <c r="E199" s="20"/>
      <c r="F199" s="19"/>
      <c r="G199" s="16"/>
      <c r="H199" s="19"/>
      <c r="I199" s="15"/>
      <c r="J199" s="15"/>
      <c r="K199" s="15"/>
    </row>
    <row r="200" spans="1:11" ht="17.399999999999999" x14ac:dyDescent="0.4">
      <c r="A200" s="77" t="s">
        <v>24</v>
      </c>
      <c r="B200" s="75"/>
      <c r="C200" s="75"/>
      <c r="D200" s="75"/>
      <c r="E200" s="75"/>
      <c r="F200" s="75"/>
      <c r="G200" s="75"/>
      <c r="H200" s="75"/>
      <c r="I200" s="75"/>
      <c r="J200" s="75"/>
      <c r="K200" s="76"/>
    </row>
    <row r="201" spans="1:11" x14ac:dyDescent="0.4">
      <c r="A201" s="11" t="str">
        <f ca="1">INDEX(A30:A180, MATCH(MAX(K30:K180), K30:K180, 0), 0)</f>
        <v>Front</v>
      </c>
      <c r="B201" s="40">
        <f ca="1">INDEX(B30:B180, MATCH(MAX(K30:K180), K30:K180, 0), 0)</f>
        <v>0</v>
      </c>
      <c r="C201" s="13">
        <f ca="1">INDEX(C30:C180, MATCH(MAX(K30:K180), K30:K180, 0), 0)</f>
        <v>0</v>
      </c>
      <c r="D201" s="11">
        <f ca="1">INDEX(D30:D180, MATCH(MAX(K30:K180), K30:K180, 0), 0)</f>
        <v>0</v>
      </c>
      <c r="E201" s="17">
        <f ca="1">INDEX(E30:E180, MATCH(MAX(K30:K180), K30:K180, 0), 0)</f>
        <v>0</v>
      </c>
      <c r="F201" s="13">
        <f ca="1">INDEX(F30:F180, MATCH(MAX(K30:K180), K30:K180, 0), 0)</f>
        <v>0</v>
      </c>
      <c r="G201" s="16"/>
      <c r="H201" s="13">
        <f ca="1">INDEX(H30:H180, MATCH(MAX(K30:K180), K30:K180, 0), 0)</f>
        <v>0</v>
      </c>
      <c r="I201" s="15">
        <f ca="1">ROUND((10^(H201/10))/(10^(F201/10)),3)</f>
        <v>1</v>
      </c>
      <c r="J201" s="15"/>
      <c r="K201" s="15">
        <f t="shared" ref="K201" ca="1" si="106">G201*I201</f>
        <v>0</v>
      </c>
    </row>
    <row r="202" spans="1:11" x14ac:dyDescent="0.4">
      <c r="A202" s="11"/>
      <c r="B202" s="40"/>
      <c r="C202" s="13"/>
      <c r="D202" s="11"/>
      <c r="E202" s="17"/>
      <c r="F202" s="13"/>
      <c r="G202" s="16"/>
      <c r="H202" s="13"/>
      <c r="I202" s="15"/>
      <c r="J202" s="15"/>
      <c r="K202" s="52"/>
    </row>
    <row r="203" spans="1:11" x14ac:dyDescent="0.4">
      <c r="A203" s="11"/>
      <c r="B203" s="40"/>
      <c r="C203" s="13"/>
      <c r="D203" s="11"/>
      <c r="E203" s="17"/>
      <c r="F203" s="13"/>
      <c r="G203" s="16"/>
      <c r="H203" s="13"/>
      <c r="I203" s="15"/>
      <c r="J203" s="15"/>
      <c r="K203" s="52"/>
    </row>
    <row r="204" spans="1:11" x14ac:dyDescent="0.4">
      <c r="A204" s="11"/>
      <c r="B204" s="41"/>
      <c r="C204" s="19"/>
      <c r="D204" s="11"/>
      <c r="E204" s="20"/>
      <c r="F204" s="19"/>
      <c r="G204" s="16"/>
      <c r="H204" s="19"/>
      <c r="I204" s="15"/>
      <c r="J204" s="15"/>
      <c r="K204" s="52"/>
    </row>
    <row r="205" spans="1:11" x14ac:dyDescent="0.4">
      <c r="A205" s="11"/>
      <c r="B205" s="41"/>
      <c r="C205" s="19"/>
      <c r="D205" s="11"/>
      <c r="E205" s="20"/>
      <c r="F205" s="19"/>
      <c r="G205" s="16"/>
      <c r="H205" s="19"/>
      <c r="I205" s="15"/>
      <c r="J205" s="15"/>
      <c r="K205" s="52"/>
    </row>
    <row r="206" spans="1:11" x14ac:dyDescent="0.4">
      <c r="A206" s="11"/>
      <c r="B206" s="41"/>
      <c r="C206" s="19"/>
      <c r="D206" s="11"/>
      <c r="E206" s="20"/>
      <c r="F206" s="19"/>
      <c r="G206" s="16"/>
      <c r="H206" s="19"/>
      <c r="I206" s="15"/>
      <c r="J206" s="15"/>
      <c r="K206" s="52"/>
    </row>
    <row r="207" spans="1:11" x14ac:dyDescent="0.4">
      <c r="A207" s="11"/>
      <c r="B207" s="40"/>
      <c r="C207" s="13"/>
      <c r="D207" s="11"/>
      <c r="E207" s="17"/>
      <c r="F207" s="13"/>
      <c r="G207" s="16"/>
      <c r="H207" s="13"/>
      <c r="I207" s="15"/>
      <c r="J207" s="15"/>
      <c r="K207" s="52"/>
    </row>
    <row r="208" spans="1:11" x14ac:dyDescent="0.4">
      <c r="A208" s="11"/>
      <c r="B208" s="40"/>
      <c r="C208" s="13"/>
      <c r="D208" s="11"/>
      <c r="E208" s="17"/>
      <c r="F208" s="13"/>
      <c r="G208" s="16"/>
      <c r="H208" s="13"/>
      <c r="I208" s="15"/>
      <c r="J208" s="15"/>
      <c r="K208" s="52"/>
    </row>
    <row r="209" spans="1:11" x14ac:dyDescent="0.4">
      <c r="A209" s="11"/>
      <c r="B209" s="40"/>
      <c r="C209" s="13"/>
      <c r="D209" s="11"/>
      <c r="E209" s="17"/>
      <c r="F209" s="13"/>
      <c r="G209" s="16"/>
      <c r="H209" s="13"/>
      <c r="I209" s="15"/>
      <c r="J209" s="15"/>
      <c r="K209" s="52"/>
    </row>
    <row r="210" spans="1:11" x14ac:dyDescent="0.4">
      <c r="A210" s="11"/>
      <c r="B210" s="40"/>
      <c r="C210" s="13"/>
      <c r="D210" s="11"/>
      <c r="E210" s="17"/>
      <c r="F210" s="13"/>
      <c r="G210" s="16"/>
      <c r="H210" s="13"/>
      <c r="I210" s="15"/>
      <c r="J210" s="15"/>
      <c r="K210" s="52"/>
    </row>
    <row r="211" spans="1:11" x14ac:dyDescent="0.4">
      <c r="A211" s="11"/>
      <c r="B211" s="40"/>
      <c r="C211" s="13"/>
      <c r="D211" s="11"/>
      <c r="E211" s="17"/>
      <c r="F211" s="13"/>
      <c r="G211" s="16"/>
      <c r="H211" s="13"/>
      <c r="I211" s="15"/>
      <c r="J211" s="15"/>
      <c r="K211" s="52"/>
    </row>
    <row r="212" spans="1:11" x14ac:dyDescent="0.4">
      <c r="A212" s="11"/>
      <c r="B212" s="40"/>
      <c r="C212" s="13"/>
      <c r="D212" s="11"/>
      <c r="E212" s="17"/>
      <c r="F212" s="13"/>
      <c r="G212" s="16"/>
      <c r="H212" s="13"/>
      <c r="I212" s="15"/>
      <c r="J212" s="15"/>
      <c r="K212" s="52"/>
    </row>
    <row r="213" spans="1:11" x14ac:dyDescent="0.4">
      <c r="A213" s="11"/>
      <c r="B213" s="40"/>
      <c r="C213" s="13"/>
      <c r="D213" s="11"/>
      <c r="E213" s="17"/>
      <c r="F213" s="13"/>
      <c r="G213" s="16"/>
      <c r="H213" s="13"/>
      <c r="I213" s="15"/>
      <c r="J213" s="15"/>
      <c r="K213" s="52"/>
    </row>
    <row r="214" spans="1:11" x14ac:dyDescent="0.4">
      <c r="A214" s="11"/>
      <c r="B214" s="40"/>
      <c r="C214" s="13"/>
      <c r="D214" s="11"/>
      <c r="E214" s="17"/>
      <c r="F214" s="13"/>
      <c r="G214" s="16"/>
      <c r="H214" s="13"/>
      <c r="I214" s="15"/>
      <c r="J214" s="15"/>
      <c r="K214" s="52"/>
    </row>
    <row r="215" spans="1:11" x14ac:dyDescent="0.4">
      <c r="A215" s="11"/>
      <c r="B215" s="40"/>
      <c r="C215" s="13"/>
      <c r="D215" s="11"/>
      <c r="E215" s="17"/>
      <c r="F215" s="13"/>
      <c r="G215" s="16"/>
      <c r="H215" s="13"/>
      <c r="I215" s="15"/>
      <c r="J215" s="15"/>
      <c r="K215" s="52"/>
    </row>
    <row r="216" spans="1:11" x14ac:dyDescent="0.4">
      <c r="A216" s="11"/>
      <c r="B216" s="41"/>
      <c r="C216" s="19"/>
      <c r="D216" s="11"/>
      <c r="E216" s="20"/>
      <c r="F216" s="19"/>
      <c r="G216" s="16"/>
      <c r="H216" s="19"/>
      <c r="I216" s="15"/>
      <c r="J216" s="15"/>
      <c r="K216" s="52"/>
    </row>
    <row r="217" spans="1:11" x14ac:dyDescent="0.4">
      <c r="A217" s="11"/>
      <c r="B217" s="41"/>
      <c r="C217" s="19"/>
      <c r="D217" s="11"/>
      <c r="E217" s="20"/>
      <c r="F217" s="19"/>
      <c r="G217" s="16"/>
      <c r="H217" s="19"/>
      <c r="I217" s="15"/>
      <c r="J217" s="15"/>
      <c r="K217" s="52"/>
    </row>
    <row r="218" spans="1:11" x14ac:dyDescent="0.4">
      <c r="A218" s="11"/>
      <c r="B218" s="41"/>
      <c r="C218" s="19"/>
      <c r="D218" s="11"/>
      <c r="E218" s="20"/>
      <c r="F218" s="19"/>
      <c r="G218" s="16"/>
      <c r="H218" s="19"/>
      <c r="I218" s="15"/>
      <c r="J218" s="15"/>
      <c r="K218" s="52"/>
    </row>
    <row r="221" spans="1:11" x14ac:dyDescent="0.4">
      <c r="A221" s="58" t="s">
        <v>178</v>
      </c>
      <c r="B221" s="59"/>
      <c r="C221" s="59"/>
      <c r="D221" s="59"/>
      <c r="E221" s="60"/>
      <c r="F221" s="54" t="s">
        <v>3</v>
      </c>
      <c r="G221" s="54"/>
      <c r="H221" s="54"/>
      <c r="I221" s="7"/>
      <c r="J221" s="7"/>
      <c r="K221" s="8"/>
    </row>
    <row r="222" spans="1:11" x14ac:dyDescent="0.4">
      <c r="A222" s="61"/>
      <c r="B222" s="62"/>
      <c r="C222" s="62"/>
      <c r="D222" s="62"/>
      <c r="E222" s="63"/>
      <c r="F222" s="54" t="s">
        <v>4</v>
      </c>
      <c r="G222" s="54"/>
      <c r="H222" s="54"/>
      <c r="I222" s="7"/>
      <c r="J222" s="7"/>
      <c r="K222" s="8"/>
    </row>
    <row r="223" spans="1:11" x14ac:dyDescent="0.4">
      <c r="A223" s="64"/>
      <c r="B223" s="65"/>
      <c r="C223" s="65"/>
      <c r="D223" s="65"/>
      <c r="E223" s="66"/>
      <c r="F223" s="54" t="s">
        <v>0</v>
      </c>
      <c r="G223" s="54"/>
      <c r="H223" s="54"/>
      <c r="I223" s="9"/>
      <c r="J223" s="9"/>
      <c r="K223" s="8"/>
    </row>
    <row r="224" spans="1:11" x14ac:dyDescent="0.4">
      <c r="A224" s="39"/>
      <c r="B224" s="39"/>
      <c r="C224" s="39"/>
      <c r="D224" s="39"/>
      <c r="E224" s="39"/>
      <c r="F224" s="39"/>
      <c r="G224" s="39"/>
      <c r="H224" s="39"/>
      <c r="I224" s="39"/>
    </row>
    <row r="225" spans="1:11" x14ac:dyDescent="0.4">
      <c r="A225" s="53" t="s">
        <v>14</v>
      </c>
      <c r="B225" s="55" t="s">
        <v>34</v>
      </c>
      <c r="C225" s="53" t="s">
        <v>1</v>
      </c>
      <c r="D225" s="53"/>
      <c r="E225" s="57" t="s">
        <v>15</v>
      </c>
      <c r="F225" s="57" t="s">
        <v>16</v>
      </c>
      <c r="G225" s="53" t="s">
        <v>17</v>
      </c>
      <c r="H225" s="67" t="s">
        <v>84</v>
      </c>
      <c r="I225" s="68"/>
      <c r="J225" s="53" t="s">
        <v>20</v>
      </c>
      <c r="K225" s="8"/>
    </row>
    <row r="226" spans="1:11" x14ac:dyDescent="0.4">
      <c r="A226" s="53"/>
      <c r="B226" s="55"/>
      <c r="C226" s="53" t="s">
        <v>18</v>
      </c>
      <c r="D226" s="53" t="s">
        <v>2</v>
      </c>
      <c r="E226" s="57"/>
      <c r="F226" s="57"/>
      <c r="G226" s="53"/>
      <c r="H226" s="69"/>
      <c r="I226" s="70"/>
      <c r="J226" s="53"/>
      <c r="K226" s="8"/>
    </row>
    <row r="227" spans="1:11" x14ac:dyDescent="0.4">
      <c r="A227" s="53"/>
      <c r="B227" s="56"/>
      <c r="C227" s="53"/>
      <c r="D227" s="53"/>
      <c r="E227" s="57"/>
      <c r="F227" s="57"/>
      <c r="G227" s="53"/>
      <c r="H227" s="42" t="s">
        <v>85</v>
      </c>
      <c r="I227" s="42" t="s">
        <v>86</v>
      </c>
      <c r="J227" s="53"/>
      <c r="K227" s="8"/>
    </row>
    <row r="228" spans="1:11" x14ac:dyDescent="0.4">
      <c r="A228" s="11" t="s">
        <v>11</v>
      </c>
      <c r="B228" s="40"/>
      <c r="C228" s="13"/>
      <c r="D228" s="11"/>
      <c r="E228" s="13"/>
      <c r="F228" s="14"/>
      <c r="G228" s="13"/>
      <c r="H228" s="15">
        <f>ROUND((10^(G228/10))/(10^(E228/10)),3)</f>
        <v>1</v>
      </c>
      <c r="I228" s="15"/>
      <c r="J228" s="15">
        <f t="shared" ref="J228:J239" si="107">F228*H228</f>
        <v>0</v>
      </c>
      <c r="K228" s="8"/>
    </row>
    <row r="229" spans="1:11" x14ac:dyDescent="0.4">
      <c r="A229" s="11" t="s">
        <v>11</v>
      </c>
      <c r="B229" s="40"/>
      <c r="C229" s="13"/>
      <c r="D229" s="11"/>
      <c r="E229" s="13"/>
      <c r="F229" s="14"/>
      <c r="G229" s="13"/>
      <c r="H229" s="15">
        <f t="shared" ref="H229:H239" si="108">ROUND((10^(G229/10))/(10^(E229/10)),3)</f>
        <v>1</v>
      </c>
      <c r="I229" s="15"/>
      <c r="J229" s="15">
        <f t="shared" si="107"/>
        <v>0</v>
      </c>
      <c r="K229" s="8"/>
    </row>
    <row r="230" spans="1:11" x14ac:dyDescent="0.4">
      <c r="A230" s="11" t="s">
        <v>11</v>
      </c>
      <c r="B230" s="40"/>
      <c r="C230" s="13"/>
      <c r="D230" s="11"/>
      <c r="E230" s="13"/>
      <c r="F230" s="14"/>
      <c r="G230" s="13"/>
      <c r="H230" s="15">
        <f t="shared" si="108"/>
        <v>1</v>
      </c>
      <c r="I230" s="15"/>
      <c r="J230" s="15">
        <f t="shared" si="107"/>
        <v>0</v>
      </c>
      <c r="K230" s="8"/>
    </row>
    <row r="231" spans="1:11" x14ac:dyDescent="0.4">
      <c r="A231" s="11" t="s">
        <v>13</v>
      </c>
      <c r="B231" s="40">
        <f t="shared" ref="B231:E233" si="109">B228</f>
        <v>0</v>
      </c>
      <c r="C231" s="13">
        <f t="shared" si="109"/>
        <v>0</v>
      </c>
      <c r="D231" s="40">
        <f t="shared" si="109"/>
        <v>0</v>
      </c>
      <c r="E231" s="13">
        <f>E228</f>
        <v>0</v>
      </c>
      <c r="F231" s="16"/>
      <c r="G231" s="13">
        <f t="shared" ref="G231:G233" si="110">G228</f>
        <v>0</v>
      </c>
      <c r="H231" s="15">
        <f t="shared" si="108"/>
        <v>1</v>
      </c>
      <c r="I231" s="15"/>
      <c r="J231" s="15">
        <f t="shared" si="107"/>
        <v>0</v>
      </c>
      <c r="K231" s="8"/>
    </row>
    <row r="232" spans="1:11" x14ac:dyDescent="0.4">
      <c r="A232" s="11" t="s">
        <v>13</v>
      </c>
      <c r="B232" s="40">
        <f t="shared" si="109"/>
        <v>0</v>
      </c>
      <c r="C232" s="13">
        <f t="shared" si="109"/>
        <v>0</v>
      </c>
      <c r="D232" s="40">
        <f t="shared" si="109"/>
        <v>0</v>
      </c>
      <c r="E232" s="13">
        <f t="shared" si="109"/>
        <v>0</v>
      </c>
      <c r="F232" s="16"/>
      <c r="G232" s="13">
        <f t="shared" si="110"/>
        <v>0</v>
      </c>
      <c r="H232" s="15">
        <f t="shared" si="108"/>
        <v>1</v>
      </c>
      <c r="I232" s="15"/>
      <c r="J232" s="15">
        <f t="shared" si="107"/>
        <v>0</v>
      </c>
      <c r="K232" s="8"/>
    </row>
    <row r="233" spans="1:11" x14ac:dyDescent="0.4">
      <c r="A233" s="11" t="s">
        <v>13</v>
      </c>
      <c r="B233" s="40">
        <f t="shared" si="109"/>
        <v>0</v>
      </c>
      <c r="C233" s="13">
        <f t="shared" si="109"/>
        <v>0</v>
      </c>
      <c r="D233" s="40">
        <f t="shared" si="109"/>
        <v>0</v>
      </c>
      <c r="E233" s="13">
        <f t="shared" si="109"/>
        <v>0</v>
      </c>
      <c r="F233" s="16"/>
      <c r="G233" s="13">
        <f t="shared" si="110"/>
        <v>0</v>
      </c>
      <c r="H233" s="15">
        <f t="shared" si="108"/>
        <v>1</v>
      </c>
      <c r="I233" s="15"/>
      <c r="J233" s="15">
        <f t="shared" si="107"/>
        <v>0</v>
      </c>
      <c r="K233" s="8"/>
    </row>
    <row r="234" spans="1:11" x14ac:dyDescent="0.4">
      <c r="A234" s="11" t="s">
        <v>12</v>
      </c>
      <c r="B234" s="40">
        <f t="shared" ref="B234:G239" ca="1" si="111">OFFSET(B234,-6,0)</f>
        <v>0</v>
      </c>
      <c r="C234" s="13">
        <f t="shared" ca="1" si="111"/>
        <v>0</v>
      </c>
      <c r="D234" s="17">
        <f t="shared" ca="1" si="111"/>
        <v>0</v>
      </c>
      <c r="E234" s="13">
        <f t="shared" ca="1" si="111"/>
        <v>0</v>
      </c>
      <c r="F234" s="16"/>
      <c r="G234" s="13">
        <f t="shared" ca="1" si="111"/>
        <v>0</v>
      </c>
      <c r="H234" s="15">
        <f t="shared" ca="1" si="108"/>
        <v>1</v>
      </c>
      <c r="I234" s="15"/>
      <c r="J234" s="15">
        <f t="shared" ca="1" si="107"/>
        <v>0</v>
      </c>
      <c r="K234" s="8"/>
    </row>
    <row r="235" spans="1:11" x14ac:dyDescent="0.4">
      <c r="A235" s="11" t="s">
        <v>12</v>
      </c>
      <c r="B235" s="40">
        <f t="shared" ca="1" si="111"/>
        <v>0</v>
      </c>
      <c r="C235" s="13">
        <f t="shared" ca="1" si="111"/>
        <v>0</v>
      </c>
      <c r="D235" s="17">
        <f t="shared" ca="1" si="111"/>
        <v>0</v>
      </c>
      <c r="E235" s="13">
        <f t="shared" ca="1" si="111"/>
        <v>0</v>
      </c>
      <c r="F235" s="16"/>
      <c r="G235" s="13">
        <f t="shared" ca="1" si="111"/>
        <v>0</v>
      </c>
      <c r="H235" s="15">
        <f t="shared" ca="1" si="108"/>
        <v>1</v>
      </c>
      <c r="I235" s="15"/>
      <c r="J235" s="15">
        <f t="shared" ca="1" si="107"/>
        <v>0</v>
      </c>
      <c r="K235" s="8"/>
    </row>
    <row r="236" spans="1:11" x14ac:dyDescent="0.4">
      <c r="A236" s="11" t="s">
        <v>12</v>
      </c>
      <c r="B236" s="40">
        <f t="shared" ca="1" si="111"/>
        <v>0</v>
      </c>
      <c r="C236" s="13">
        <f t="shared" ca="1" si="111"/>
        <v>0</v>
      </c>
      <c r="D236" s="17">
        <f t="shared" ca="1" si="111"/>
        <v>0</v>
      </c>
      <c r="E236" s="13">
        <f t="shared" ca="1" si="111"/>
        <v>0</v>
      </c>
      <c r="F236" s="16"/>
      <c r="G236" s="13">
        <f t="shared" ca="1" si="111"/>
        <v>0</v>
      </c>
      <c r="H236" s="15">
        <f t="shared" ca="1" si="108"/>
        <v>1</v>
      </c>
      <c r="I236" s="15"/>
      <c r="J236" s="15">
        <f t="shared" ca="1" si="107"/>
        <v>0</v>
      </c>
      <c r="K236" s="8"/>
    </row>
    <row r="237" spans="1:11" x14ac:dyDescent="0.4">
      <c r="A237" s="11" t="s">
        <v>21</v>
      </c>
      <c r="B237" s="40">
        <f t="shared" ca="1" si="111"/>
        <v>0</v>
      </c>
      <c r="C237" s="13">
        <f t="shared" ca="1" si="111"/>
        <v>0</v>
      </c>
      <c r="D237" s="17">
        <f t="shared" ca="1" si="111"/>
        <v>0</v>
      </c>
      <c r="E237" s="13">
        <f t="shared" ca="1" si="111"/>
        <v>0</v>
      </c>
      <c r="F237" s="16"/>
      <c r="G237" s="13">
        <f t="shared" ca="1" si="111"/>
        <v>0</v>
      </c>
      <c r="H237" s="15">
        <f t="shared" ca="1" si="108"/>
        <v>1</v>
      </c>
      <c r="I237" s="15"/>
      <c r="J237" s="15">
        <f t="shared" ca="1" si="107"/>
        <v>0</v>
      </c>
      <c r="K237" s="8"/>
    </row>
    <row r="238" spans="1:11" x14ac:dyDescent="0.4">
      <c r="A238" s="11" t="s">
        <v>21</v>
      </c>
      <c r="B238" s="40">
        <f t="shared" ca="1" si="111"/>
        <v>0</v>
      </c>
      <c r="C238" s="13">
        <f t="shared" ca="1" si="111"/>
        <v>0</v>
      </c>
      <c r="D238" s="17">
        <f t="shared" ca="1" si="111"/>
        <v>0</v>
      </c>
      <c r="E238" s="13">
        <f t="shared" ca="1" si="111"/>
        <v>0</v>
      </c>
      <c r="F238" s="16"/>
      <c r="G238" s="13">
        <f t="shared" ca="1" si="111"/>
        <v>0</v>
      </c>
      <c r="H238" s="15">
        <f t="shared" ca="1" si="108"/>
        <v>1</v>
      </c>
      <c r="I238" s="15"/>
      <c r="J238" s="15">
        <f t="shared" ca="1" si="107"/>
        <v>0</v>
      </c>
      <c r="K238" s="8"/>
    </row>
    <row r="239" spans="1:11" x14ac:dyDescent="0.4">
      <c r="A239" s="11" t="s">
        <v>21</v>
      </c>
      <c r="B239" s="40">
        <f t="shared" ca="1" si="111"/>
        <v>0</v>
      </c>
      <c r="C239" s="13">
        <f t="shared" ca="1" si="111"/>
        <v>0</v>
      </c>
      <c r="D239" s="17">
        <f t="shared" ca="1" si="111"/>
        <v>0</v>
      </c>
      <c r="E239" s="13">
        <f t="shared" ca="1" si="111"/>
        <v>0</v>
      </c>
      <c r="F239" s="16"/>
      <c r="G239" s="13">
        <f t="shared" ca="1" si="111"/>
        <v>0</v>
      </c>
      <c r="H239" s="15">
        <f t="shared" ca="1" si="108"/>
        <v>1</v>
      </c>
      <c r="I239" s="15"/>
      <c r="J239" s="15">
        <f t="shared" ca="1" si="107"/>
        <v>0</v>
      </c>
      <c r="K239" s="8"/>
    </row>
    <row r="240" spans="1:11" x14ac:dyDescent="0.4">
      <c r="A240" s="36"/>
      <c r="B240" s="36"/>
      <c r="C240" s="36"/>
      <c r="D240" s="36"/>
      <c r="E240" s="36"/>
      <c r="F240" s="36"/>
      <c r="G240" s="36"/>
      <c r="H240" s="36"/>
      <c r="I240" s="36"/>
      <c r="J240" s="37"/>
    </row>
    <row r="241" spans="1:11" x14ac:dyDescent="0.4">
      <c r="A241" s="58" t="s">
        <v>179</v>
      </c>
      <c r="B241" s="59"/>
      <c r="C241" s="59"/>
      <c r="D241" s="59"/>
      <c r="E241" s="59"/>
      <c r="F241" s="60"/>
      <c r="G241" s="54" t="s">
        <v>3</v>
      </c>
      <c r="H241" s="54"/>
      <c r="I241" s="54"/>
      <c r="J241" s="7"/>
      <c r="K241" s="7"/>
    </row>
    <row r="242" spans="1:11" x14ac:dyDescent="0.4">
      <c r="A242" s="61"/>
      <c r="B242" s="62"/>
      <c r="C242" s="62"/>
      <c r="D242" s="62"/>
      <c r="E242" s="62"/>
      <c r="F242" s="63"/>
      <c r="G242" s="54" t="s">
        <v>4</v>
      </c>
      <c r="H242" s="54"/>
      <c r="I242" s="54"/>
      <c r="J242" s="7"/>
      <c r="K242" s="7"/>
    </row>
    <row r="243" spans="1:11" x14ac:dyDescent="0.4">
      <c r="A243" s="64"/>
      <c r="B243" s="65"/>
      <c r="C243" s="65"/>
      <c r="D243" s="65"/>
      <c r="E243" s="65"/>
      <c r="F243" s="66"/>
      <c r="G243" s="54" t="s">
        <v>0</v>
      </c>
      <c r="H243" s="54"/>
      <c r="I243" s="54"/>
      <c r="J243" s="9"/>
      <c r="K243" s="9"/>
    </row>
    <row r="244" spans="1:11" x14ac:dyDescent="0.4">
      <c r="A244" s="39"/>
      <c r="B244" s="39"/>
      <c r="C244" s="39"/>
      <c r="D244" s="39"/>
      <c r="E244" s="39"/>
      <c r="F244" s="39"/>
      <c r="G244" s="39"/>
      <c r="H244" s="39"/>
      <c r="I244" s="39"/>
      <c r="J244" s="39"/>
    </row>
    <row r="245" spans="1:11" x14ac:dyDescent="0.4">
      <c r="A245" s="53" t="s">
        <v>14</v>
      </c>
      <c r="B245" s="55" t="s">
        <v>33</v>
      </c>
      <c r="C245" s="53" t="s">
        <v>1</v>
      </c>
      <c r="D245" s="53"/>
      <c r="E245" s="53" t="s">
        <v>19</v>
      </c>
      <c r="F245" s="57" t="s">
        <v>15</v>
      </c>
      <c r="G245" s="57" t="s">
        <v>16</v>
      </c>
      <c r="H245" s="53" t="s">
        <v>17</v>
      </c>
      <c r="I245" s="53" t="s">
        <v>84</v>
      </c>
      <c r="J245" s="53"/>
      <c r="K245" s="53" t="s">
        <v>20</v>
      </c>
    </row>
    <row r="246" spans="1:11" x14ac:dyDescent="0.4">
      <c r="A246" s="53"/>
      <c r="B246" s="55"/>
      <c r="C246" s="53" t="s">
        <v>18</v>
      </c>
      <c r="D246" s="53" t="s">
        <v>2</v>
      </c>
      <c r="E246" s="53"/>
      <c r="F246" s="57"/>
      <c r="G246" s="57"/>
      <c r="H246" s="53"/>
      <c r="I246" s="53"/>
      <c r="J246" s="53"/>
      <c r="K246" s="53"/>
    </row>
    <row r="247" spans="1:11" x14ac:dyDescent="0.4">
      <c r="A247" s="53"/>
      <c r="B247" s="56"/>
      <c r="C247" s="53"/>
      <c r="D247" s="53"/>
      <c r="E247" s="53"/>
      <c r="F247" s="57"/>
      <c r="G247" s="57"/>
      <c r="H247" s="53"/>
      <c r="I247" s="42" t="s">
        <v>85</v>
      </c>
      <c r="J247" s="42" t="s">
        <v>86</v>
      </c>
      <c r="K247" s="53"/>
    </row>
    <row r="248" spans="1:11" x14ac:dyDescent="0.4">
      <c r="A248" s="74" t="s">
        <v>26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9"/>
    </row>
    <row r="249" spans="1:11" x14ac:dyDescent="0.4">
      <c r="A249" s="11" t="s">
        <v>5</v>
      </c>
      <c r="B249" s="40"/>
      <c r="C249" s="13"/>
      <c r="D249" s="11"/>
      <c r="E249" s="17"/>
      <c r="F249" s="13"/>
      <c r="G249" s="16"/>
      <c r="H249" s="13"/>
      <c r="I249" s="15">
        <f>ROUND((10^(H249/10))/(10^(F249/10)),3)</f>
        <v>1</v>
      </c>
      <c r="J249" s="15"/>
      <c r="K249" s="15">
        <f t="shared" ref="K249:K266" si="112">G249*I249</f>
        <v>0</v>
      </c>
    </row>
    <row r="250" spans="1:11" x14ac:dyDescent="0.4">
      <c r="A250" s="11" t="s">
        <v>5</v>
      </c>
      <c r="B250" s="40"/>
      <c r="C250" s="13"/>
      <c r="D250" s="11"/>
      <c r="E250" s="17"/>
      <c r="F250" s="13"/>
      <c r="G250" s="16"/>
      <c r="H250" s="13"/>
      <c r="I250" s="15">
        <f t="shared" ref="I250:I266" si="113">ROUND((10^(H250/10))/(10^(F250/10)),3)</f>
        <v>1</v>
      </c>
      <c r="J250" s="15"/>
      <c r="K250" s="15">
        <f t="shared" si="112"/>
        <v>0</v>
      </c>
    </row>
    <row r="251" spans="1:11" x14ac:dyDescent="0.4">
      <c r="A251" s="11" t="s">
        <v>5</v>
      </c>
      <c r="B251" s="40"/>
      <c r="C251" s="13"/>
      <c r="D251" s="11"/>
      <c r="E251" s="17"/>
      <c r="F251" s="13"/>
      <c r="G251" s="16"/>
      <c r="H251" s="13"/>
      <c r="I251" s="15">
        <f t="shared" si="113"/>
        <v>1</v>
      </c>
      <c r="J251" s="15"/>
      <c r="K251" s="15">
        <f t="shared" si="112"/>
        <v>0</v>
      </c>
    </row>
    <row r="252" spans="1:11" x14ac:dyDescent="0.4">
      <c r="A252" s="11" t="s">
        <v>6</v>
      </c>
      <c r="B252" s="41">
        <f t="shared" ref="B252:F254" ca="1" si="114">OFFSET(B252,-3,0)</f>
        <v>0</v>
      </c>
      <c r="C252" s="19">
        <f t="shared" ca="1" si="114"/>
        <v>0</v>
      </c>
      <c r="D252" s="20">
        <f t="shared" ca="1" si="114"/>
        <v>0</v>
      </c>
      <c r="E252" s="20">
        <f t="shared" ca="1" si="114"/>
        <v>0</v>
      </c>
      <c r="F252" s="13">
        <f t="shared" ca="1" si="114"/>
        <v>0</v>
      </c>
      <c r="G252" s="16"/>
      <c r="H252" s="19">
        <f t="shared" ref="H252:H254" ca="1" si="115">OFFSET(H252,-3,0)</f>
        <v>0</v>
      </c>
      <c r="I252" s="15">
        <f t="shared" ca="1" si="113"/>
        <v>1</v>
      </c>
      <c r="J252" s="15"/>
      <c r="K252" s="15">
        <f t="shared" ca="1" si="112"/>
        <v>0</v>
      </c>
    </row>
    <row r="253" spans="1:11" x14ac:dyDescent="0.4">
      <c r="A253" s="11" t="s">
        <v>6</v>
      </c>
      <c r="B253" s="41">
        <f t="shared" ca="1" si="114"/>
        <v>0</v>
      </c>
      <c r="C253" s="19">
        <f t="shared" ca="1" si="114"/>
        <v>0</v>
      </c>
      <c r="D253" s="20">
        <f t="shared" ca="1" si="114"/>
        <v>0</v>
      </c>
      <c r="E253" s="20">
        <f t="shared" ca="1" si="114"/>
        <v>0</v>
      </c>
      <c r="F253" s="13">
        <f t="shared" ca="1" si="114"/>
        <v>0</v>
      </c>
      <c r="G253" s="16"/>
      <c r="H253" s="19">
        <f t="shared" ca="1" si="115"/>
        <v>0</v>
      </c>
      <c r="I253" s="15">
        <f t="shared" ca="1" si="113"/>
        <v>1</v>
      </c>
      <c r="J253" s="15"/>
      <c r="K253" s="15">
        <f t="shared" ca="1" si="112"/>
        <v>0</v>
      </c>
    </row>
    <row r="254" spans="1:11" x14ac:dyDescent="0.4">
      <c r="A254" s="11" t="s">
        <v>6</v>
      </c>
      <c r="B254" s="41">
        <f t="shared" ca="1" si="114"/>
        <v>0</v>
      </c>
      <c r="C254" s="19">
        <f t="shared" ca="1" si="114"/>
        <v>0</v>
      </c>
      <c r="D254" s="20">
        <f t="shared" ca="1" si="114"/>
        <v>0</v>
      </c>
      <c r="E254" s="20">
        <f t="shared" ca="1" si="114"/>
        <v>0</v>
      </c>
      <c r="F254" s="13">
        <f t="shared" ca="1" si="114"/>
        <v>0</v>
      </c>
      <c r="G254" s="16"/>
      <c r="H254" s="19">
        <f t="shared" ca="1" si="115"/>
        <v>0</v>
      </c>
      <c r="I254" s="15">
        <f t="shared" ca="1" si="113"/>
        <v>1</v>
      </c>
      <c r="J254" s="15"/>
      <c r="K254" s="15">
        <f t="shared" ca="1" si="112"/>
        <v>0</v>
      </c>
    </row>
    <row r="255" spans="1:11" x14ac:dyDescent="0.4">
      <c r="A255" s="11" t="s">
        <v>10</v>
      </c>
      <c r="B255" s="40">
        <f t="shared" ref="B255:F257" ca="1" si="116">OFFSET(B255,-6,0)</f>
        <v>0</v>
      </c>
      <c r="C255" s="13">
        <f t="shared" ca="1" si="116"/>
        <v>0</v>
      </c>
      <c r="D255" s="17">
        <f t="shared" ca="1" si="116"/>
        <v>0</v>
      </c>
      <c r="E255" s="17">
        <f t="shared" ca="1" si="116"/>
        <v>0</v>
      </c>
      <c r="F255" s="13">
        <f t="shared" ca="1" si="116"/>
        <v>0</v>
      </c>
      <c r="G255" s="16"/>
      <c r="H255" s="13">
        <f t="shared" ref="H255:H257" ca="1" si="117">OFFSET(H255,-6,0)</f>
        <v>0</v>
      </c>
      <c r="I255" s="15">
        <f t="shared" ca="1" si="113"/>
        <v>1</v>
      </c>
      <c r="J255" s="15"/>
      <c r="K255" s="15">
        <f t="shared" ca="1" si="112"/>
        <v>0</v>
      </c>
    </row>
    <row r="256" spans="1:11" x14ac:dyDescent="0.4">
      <c r="A256" s="11" t="s">
        <v>10</v>
      </c>
      <c r="B256" s="40">
        <f t="shared" ca="1" si="116"/>
        <v>0</v>
      </c>
      <c r="C256" s="13">
        <f t="shared" ca="1" si="116"/>
        <v>0</v>
      </c>
      <c r="D256" s="17">
        <f t="shared" ca="1" si="116"/>
        <v>0</v>
      </c>
      <c r="E256" s="17">
        <f t="shared" ca="1" si="116"/>
        <v>0</v>
      </c>
      <c r="F256" s="13">
        <f t="shared" ca="1" si="116"/>
        <v>0</v>
      </c>
      <c r="G256" s="16"/>
      <c r="H256" s="13">
        <f t="shared" ca="1" si="117"/>
        <v>0</v>
      </c>
      <c r="I256" s="15">
        <f t="shared" ca="1" si="113"/>
        <v>1</v>
      </c>
      <c r="J256" s="15"/>
      <c r="K256" s="15">
        <f t="shared" ca="1" si="112"/>
        <v>0</v>
      </c>
    </row>
    <row r="257" spans="1:11" x14ac:dyDescent="0.4">
      <c r="A257" s="11" t="s">
        <v>10</v>
      </c>
      <c r="B257" s="40">
        <f t="shared" ca="1" si="116"/>
        <v>0</v>
      </c>
      <c r="C257" s="13">
        <f t="shared" ca="1" si="116"/>
        <v>0</v>
      </c>
      <c r="D257" s="17">
        <f t="shared" ca="1" si="116"/>
        <v>0</v>
      </c>
      <c r="E257" s="17">
        <f t="shared" ca="1" si="116"/>
        <v>0</v>
      </c>
      <c r="F257" s="13">
        <f t="shared" ca="1" si="116"/>
        <v>0</v>
      </c>
      <c r="G257" s="16"/>
      <c r="H257" s="13">
        <f t="shared" ca="1" si="117"/>
        <v>0</v>
      </c>
      <c r="I257" s="15">
        <f t="shared" ca="1" si="113"/>
        <v>1</v>
      </c>
      <c r="J257" s="15"/>
      <c r="K257" s="15">
        <f t="shared" ca="1" si="112"/>
        <v>0</v>
      </c>
    </row>
    <row r="258" spans="1:11" x14ac:dyDescent="0.4">
      <c r="A258" s="11" t="s">
        <v>7</v>
      </c>
      <c r="B258" s="40">
        <f t="shared" ref="B258:F260" ca="1" si="118">OFFSET(B258,-9,0)</f>
        <v>0</v>
      </c>
      <c r="C258" s="13">
        <f t="shared" ca="1" si="118"/>
        <v>0</v>
      </c>
      <c r="D258" s="17">
        <f t="shared" ca="1" si="118"/>
        <v>0</v>
      </c>
      <c r="E258" s="17">
        <f t="shared" ca="1" si="118"/>
        <v>0</v>
      </c>
      <c r="F258" s="13">
        <f t="shared" ca="1" si="118"/>
        <v>0</v>
      </c>
      <c r="G258" s="16"/>
      <c r="H258" s="13">
        <f t="shared" ref="H258:H260" ca="1" si="119">OFFSET(H258,-9,0)</f>
        <v>0</v>
      </c>
      <c r="I258" s="15">
        <f t="shared" ca="1" si="113"/>
        <v>1</v>
      </c>
      <c r="J258" s="15"/>
      <c r="K258" s="15">
        <f t="shared" ca="1" si="112"/>
        <v>0</v>
      </c>
    </row>
    <row r="259" spans="1:11" x14ac:dyDescent="0.4">
      <c r="A259" s="11" t="s">
        <v>7</v>
      </c>
      <c r="B259" s="40">
        <f t="shared" ca="1" si="118"/>
        <v>0</v>
      </c>
      <c r="C259" s="13">
        <f t="shared" ca="1" si="118"/>
        <v>0</v>
      </c>
      <c r="D259" s="17">
        <f t="shared" ca="1" si="118"/>
        <v>0</v>
      </c>
      <c r="E259" s="17">
        <f t="shared" ca="1" si="118"/>
        <v>0</v>
      </c>
      <c r="F259" s="13">
        <f t="shared" ca="1" si="118"/>
        <v>0</v>
      </c>
      <c r="G259" s="16"/>
      <c r="H259" s="13">
        <f t="shared" ca="1" si="119"/>
        <v>0</v>
      </c>
      <c r="I259" s="15">
        <f t="shared" ca="1" si="113"/>
        <v>1</v>
      </c>
      <c r="J259" s="15"/>
      <c r="K259" s="15">
        <f t="shared" ca="1" si="112"/>
        <v>0</v>
      </c>
    </row>
    <row r="260" spans="1:11" x14ac:dyDescent="0.4">
      <c r="A260" s="11" t="s">
        <v>7</v>
      </c>
      <c r="B260" s="40">
        <f t="shared" ca="1" si="118"/>
        <v>0</v>
      </c>
      <c r="C260" s="13">
        <f t="shared" ca="1" si="118"/>
        <v>0</v>
      </c>
      <c r="D260" s="17">
        <f t="shared" ca="1" si="118"/>
        <v>0</v>
      </c>
      <c r="E260" s="17">
        <f t="shared" ca="1" si="118"/>
        <v>0</v>
      </c>
      <c r="F260" s="13">
        <f t="shared" ca="1" si="118"/>
        <v>0</v>
      </c>
      <c r="G260" s="16"/>
      <c r="H260" s="13">
        <f t="shared" ca="1" si="119"/>
        <v>0</v>
      </c>
      <c r="I260" s="15">
        <f t="shared" ca="1" si="113"/>
        <v>1</v>
      </c>
      <c r="J260" s="15"/>
      <c r="K260" s="15">
        <f t="shared" ca="1" si="112"/>
        <v>0</v>
      </c>
    </row>
    <row r="261" spans="1:11" x14ac:dyDescent="0.4">
      <c r="A261" s="11" t="s">
        <v>8</v>
      </c>
      <c r="B261" s="40">
        <f t="shared" ref="B261:F263" ca="1" si="120">OFFSET(B261,-12,0)</f>
        <v>0</v>
      </c>
      <c r="C261" s="13">
        <f t="shared" ca="1" si="120"/>
        <v>0</v>
      </c>
      <c r="D261" s="17">
        <f t="shared" ca="1" si="120"/>
        <v>0</v>
      </c>
      <c r="E261" s="17">
        <f t="shared" ca="1" si="120"/>
        <v>0</v>
      </c>
      <c r="F261" s="13">
        <f t="shared" ca="1" si="120"/>
        <v>0</v>
      </c>
      <c r="G261" s="16"/>
      <c r="H261" s="13">
        <f t="shared" ref="H261:H263" ca="1" si="121">OFFSET(H261,-12,0)</f>
        <v>0</v>
      </c>
      <c r="I261" s="15">
        <f t="shared" ca="1" si="113"/>
        <v>1</v>
      </c>
      <c r="J261" s="15"/>
      <c r="K261" s="15">
        <f t="shared" ca="1" si="112"/>
        <v>0</v>
      </c>
    </row>
    <row r="262" spans="1:11" x14ac:dyDescent="0.4">
      <c r="A262" s="11" t="s">
        <v>8</v>
      </c>
      <c r="B262" s="40">
        <f t="shared" ca="1" si="120"/>
        <v>0</v>
      </c>
      <c r="C262" s="13">
        <f t="shared" ca="1" si="120"/>
        <v>0</v>
      </c>
      <c r="D262" s="17">
        <f t="shared" ca="1" si="120"/>
        <v>0</v>
      </c>
      <c r="E262" s="17">
        <f t="shared" ca="1" si="120"/>
        <v>0</v>
      </c>
      <c r="F262" s="13">
        <f t="shared" ca="1" si="120"/>
        <v>0</v>
      </c>
      <c r="G262" s="16"/>
      <c r="H262" s="13">
        <f t="shared" ca="1" si="121"/>
        <v>0</v>
      </c>
      <c r="I262" s="15">
        <f t="shared" ca="1" si="113"/>
        <v>1</v>
      </c>
      <c r="J262" s="15"/>
      <c r="K262" s="15">
        <f t="shared" ca="1" si="112"/>
        <v>0</v>
      </c>
    </row>
    <row r="263" spans="1:11" x14ac:dyDescent="0.4">
      <c r="A263" s="11" t="s">
        <v>8</v>
      </c>
      <c r="B263" s="40">
        <f t="shared" ca="1" si="120"/>
        <v>0</v>
      </c>
      <c r="C263" s="13">
        <f t="shared" ca="1" si="120"/>
        <v>0</v>
      </c>
      <c r="D263" s="17">
        <f t="shared" ca="1" si="120"/>
        <v>0</v>
      </c>
      <c r="E263" s="17">
        <f t="shared" ca="1" si="120"/>
        <v>0</v>
      </c>
      <c r="F263" s="13">
        <f t="shared" ca="1" si="120"/>
        <v>0</v>
      </c>
      <c r="G263" s="16"/>
      <c r="H263" s="13">
        <f t="shared" ca="1" si="121"/>
        <v>0</v>
      </c>
      <c r="I263" s="15">
        <f t="shared" ca="1" si="113"/>
        <v>1</v>
      </c>
      <c r="J263" s="15"/>
      <c r="K263" s="15">
        <f t="shared" ca="1" si="112"/>
        <v>0</v>
      </c>
    </row>
    <row r="264" spans="1:11" x14ac:dyDescent="0.4">
      <c r="A264" s="11" t="s">
        <v>9</v>
      </c>
      <c r="B264" s="41">
        <f t="shared" ref="B264:D266" ca="1" si="122">OFFSET(B264,-15,0)</f>
        <v>0</v>
      </c>
      <c r="C264" s="19">
        <f t="shared" ca="1" si="122"/>
        <v>0</v>
      </c>
      <c r="D264" s="20">
        <f t="shared" ca="1" si="122"/>
        <v>0</v>
      </c>
      <c r="E264" s="20">
        <f ca="1">OFFSET(E264,-15,0)</f>
        <v>0</v>
      </c>
      <c r="F264" s="13">
        <f t="shared" ref="E264:F266" ca="1" si="123">OFFSET(F264,-15,0)</f>
        <v>0</v>
      </c>
      <c r="G264" s="16"/>
      <c r="H264" s="19">
        <f t="shared" ref="H264:H266" ca="1" si="124">OFFSET(H264,-15,0)</f>
        <v>0</v>
      </c>
      <c r="I264" s="15">
        <f t="shared" ca="1" si="113"/>
        <v>1</v>
      </c>
      <c r="J264" s="15"/>
      <c r="K264" s="15">
        <f t="shared" ca="1" si="112"/>
        <v>0</v>
      </c>
    </row>
    <row r="265" spans="1:11" x14ac:dyDescent="0.4">
      <c r="A265" s="11" t="s">
        <v>9</v>
      </c>
      <c r="B265" s="41">
        <f t="shared" ca="1" si="122"/>
        <v>0</v>
      </c>
      <c r="C265" s="19">
        <f t="shared" ca="1" si="122"/>
        <v>0</v>
      </c>
      <c r="D265" s="20">
        <f t="shared" ca="1" si="122"/>
        <v>0</v>
      </c>
      <c r="E265" s="20">
        <f t="shared" ca="1" si="123"/>
        <v>0</v>
      </c>
      <c r="F265" s="13">
        <f t="shared" ca="1" si="123"/>
        <v>0</v>
      </c>
      <c r="G265" s="16"/>
      <c r="H265" s="19">
        <f t="shared" ca="1" si="124"/>
        <v>0</v>
      </c>
      <c r="I265" s="15">
        <f t="shared" ca="1" si="113"/>
        <v>1</v>
      </c>
      <c r="J265" s="15"/>
      <c r="K265" s="15">
        <f t="shared" ca="1" si="112"/>
        <v>0</v>
      </c>
    </row>
    <row r="266" spans="1:11" x14ac:dyDescent="0.4">
      <c r="A266" s="11" t="s">
        <v>9</v>
      </c>
      <c r="B266" s="41">
        <f t="shared" ca="1" si="122"/>
        <v>0</v>
      </c>
      <c r="C266" s="19">
        <f t="shared" ca="1" si="122"/>
        <v>0</v>
      </c>
      <c r="D266" s="20">
        <f t="shared" ca="1" si="122"/>
        <v>0</v>
      </c>
      <c r="E266" s="20">
        <f t="shared" ca="1" si="123"/>
        <v>0</v>
      </c>
      <c r="F266" s="13">
        <f t="shared" ca="1" si="123"/>
        <v>0</v>
      </c>
      <c r="G266" s="16"/>
      <c r="H266" s="19">
        <f t="shared" ca="1" si="124"/>
        <v>0</v>
      </c>
      <c r="I266" s="15">
        <f t="shared" ca="1" si="113"/>
        <v>1</v>
      </c>
      <c r="J266" s="15"/>
      <c r="K266" s="15">
        <f t="shared" ca="1" si="112"/>
        <v>0</v>
      </c>
    </row>
    <row r="267" spans="1:11" ht="17.399999999999999" x14ac:dyDescent="0.4">
      <c r="A267" s="74" t="s">
        <v>28</v>
      </c>
      <c r="B267" s="75"/>
      <c r="C267" s="75"/>
      <c r="D267" s="75"/>
      <c r="E267" s="75"/>
      <c r="F267" s="75"/>
      <c r="G267" s="75"/>
      <c r="H267" s="75"/>
      <c r="I267" s="75"/>
      <c r="J267" s="75"/>
      <c r="K267" s="76"/>
    </row>
    <row r="268" spans="1:11" x14ac:dyDescent="0.4">
      <c r="A268" s="11" t="s">
        <v>5</v>
      </c>
      <c r="B268" s="40"/>
      <c r="C268" s="13"/>
      <c r="D268" s="11"/>
      <c r="E268" s="17"/>
      <c r="F268" s="13"/>
      <c r="G268" s="16"/>
      <c r="H268" s="13"/>
      <c r="I268" s="15">
        <f>ROUND((10^(H268/10))/(10^(F268/10)),3)</f>
        <v>1</v>
      </c>
      <c r="J268" s="15"/>
      <c r="K268" s="15">
        <f t="shared" ref="K268:K285" si="125">G268*I268</f>
        <v>0</v>
      </c>
    </row>
    <row r="269" spans="1:11" x14ac:dyDescent="0.4">
      <c r="A269" s="11" t="s">
        <v>5</v>
      </c>
      <c r="B269" s="40"/>
      <c r="C269" s="13"/>
      <c r="D269" s="11"/>
      <c r="E269" s="17"/>
      <c r="F269" s="13"/>
      <c r="G269" s="16"/>
      <c r="H269" s="13"/>
      <c r="I269" s="15">
        <f t="shared" ref="I269:I285" si="126">ROUND((10^(H269/10))/(10^(F269/10)),3)</f>
        <v>1</v>
      </c>
      <c r="J269" s="15"/>
      <c r="K269" s="15">
        <f t="shared" si="125"/>
        <v>0</v>
      </c>
    </row>
    <row r="270" spans="1:11" x14ac:dyDescent="0.4">
      <c r="A270" s="11" t="s">
        <v>5</v>
      </c>
      <c r="B270" s="40"/>
      <c r="C270" s="13"/>
      <c r="D270" s="11"/>
      <c r="E270" s="17"/>
      <c r="F270" s="13"/>
      <c r="G270" s="16"/>
      <c r="H270" s="13"/>
      <c r="I270" s="15">
        <f t="shared" si="126"/>
        <v>1</v>
      </c>
      <c r="J270" s="15"/>
      <c r="K270" s="15">
        <f t="shared" si="125"/>
        <v>0</v>
      </c>
    </row>
    <row r="271" spans="1:11" x14ac:dyDescent="0.4">
      <c r="A271" s="11" t="s">
        <v>6</v>
      </c>
      <c r="B271" s="41">
        <f t="shared" ref="B271:F273" ca="1" si="127">OFFSET(B271,-3,0)</f>
        <v>0</v>
      </c>
      <c r="C271" s="19">
        <f t="shared" ca="1" si="127"/>
        <v>0</v>
      </c>
      <c r="D271" s="20">
        <f t="shared" ca="1" si="127"/>
        <v>0</v>
      </c>
      <c r="E271" s="20">
        <f t="shared" ca="1" si="127"/>
        <v>0</v>
      </c>
      <c r="F271" s="13">
        <f t="shared" ca="1" si="127"/>
        <v>0</v>
      </c>
      <c r="G271" s="16"/>
      <c r="H271" s="19">
        <f t="shared" ref="H271:H273" ca="1" si="128">OFFSET(H271,-3,0)</f>
        <v>0</v>
      </c>
      <c r="I271" s="15">
        <f t="shared" ca="1" si="126"/>
        <v>1</v>
      </c>
      <c r="J271" s="15"/>
      <c r="K271" s="15">
        <f t="shared" ca="1" si="125"/>
        <v>0</v>
      </c>
    </row>
    <row r="272" spans="1:11" x14ac:dyDescent="0.4">
      <c r="A272" s="11" t="s">
        <v>6</v>
      </c>
      <c r="B272" s="41">
        <f t="shared" ca="1" si="127"/>
        <v>0</v>
      </c>
      <c r="C272" s="19">
        <f t="shared" ca="1" si="127"/>
        <v>0</v>
      </c>
      <c r="D272" s="20">
        <f t="shared" ca="1" si="127"/>
        <v>0</v>
      </c>
      <c r="E272" s="20">
        <f t="shared" ca="1" si="127"/>
        <v>0</v>
      </c>
      <c r="F272" s="13">
        <f t="shared" ca="1" si="127"/>
        <v>0</v>
      </c>
      <c r="G272" s="16"/>
      <c r="H272" s="19">
        <f t="shared" ca="1" si="128"/>
        <v>0</v>
      </c>
      <c r="I272" s="15">
        <f t="shared" ca="1" si="126"/>
        <v>1</v>
      </c>
      <c r="J272" s="15"/>
      <c r="K272" s="15">
        <f t="shared" ca="1" si="125"/>
        <v>0</v>
      </c>
    </row>
    <row r="273" spans="1:11" x14ac:dyDescent="0.4">
      <c r="A273" s="11" t="s">
        <v>6</v>
      </c>
      <c r="B273" s="41">
        <f t="shared" ca="1" si="127"/>
        <v>0</v>
      </c>
      <c r="C273" s="19">
        <f t="shared" ca="1" si="127"/>
        <v>0</v>
      </c>
      <c r="D273" s="20">
        <f t="shared" ca="1" si="127"/>
        <v>0</v>
      </c>
      <c r="E273" s="20">
        <f t="shared" ca="1" si="127"/>
        <v>0</v>
      </c>
      <c r="F273" s="13">
        <f t="shared" ca="1" si="127"/>
        <v>0</v>
      </c>
      <c r="G273" s="16"/>
      <c r="H273" s="19">
        <f t="shared" ca="1" si="128"/>
        <v>0</v>
      </c>
      <c r="I273" s="15">
        <f t="shared" ca="1" si="126"/>
        <v>1</v>
      </c>
      <c r="J273" s="15"/>
      <c r="K273" s="15">
        <f t="shared" ca="1" si="125"/>
        <v>0</v>
      </c>
    </row>
    <row r="274" spans="1:11" x14ac:dyDescent="0.4">
      <c r="A274" s="11" t="s">
        <v>10</v>
      </c>
      <c r="B274" s="40">
        <f t="shared" ref="B274:F276" ca="1" si="129">OFFSET(B274,-6,0)</f>
        <v>0</v>
      </c>
      <c r="C274" s="13">
        <f t="shared" ca="1" si="129"/>
        <v>0</v>
      </c>
      <c r="D274" s="17">
        <f t="shared" ca="1" si="129"/>
        <v>0</v>
      </c>
      <c r="E274" s="17">
        <f t="shared" ca="1" si="129"/>
        <v>0</v>
      </c>
      <c r="F274" s="13">
        <f t="shared" ca="1" si="129"/>
        <v>0</v>
      </c>
      <c r="G274" s="16"/>
      <c r="H274" s="13">
        <f t="shared" ref="H274:H276" ca="1" si="130">OFFSET(H274,-6,0)</f>
        <v>0</v>
      </c>
      <c r="I274" s="15">
        <f t="shared" ca="1" si="126"/>
        <v>1</v>
      </c>
      <c r="J274" s="15"/>
      <c r="K274" s="15">
        <f t="shared" ca="1" si="125"/>
        <v>0</v>
      </c>
    </row>
    <row r="275" spans="1:11" x14ac:dyDescent="0.4">
      <c r="A275" s="11" t="s">
        <v>10</v>
      </c>
      <c r="B275" s="40">
        <f t="shared" ca="1" si="129"/>
        <v>0</v>
      </c>
      <c r="C275" s="13">
        <f t="shared" ca="1" si="129"/>
        <v>0</v>
      </c>
      <c r="D275" s="17">
        <f t="shared" ca="1" si="129"/>
        <v>0</v>
      </c>
      <c r="E275" s="17">
        <f t="shared" ca="1" si="129"/>
        <v>0</v>
      </c>
      <c r="F275" s="13">
        <f t="shared" ca="1" si="129"/>
        <v>0</v>
      </c>
      <c r="G275" s="16"/>
      <c r="H275" s="13">
        <f t="shared" ca="1" si="130"/>
        <v>0</v>
      </c>
      <c r="I275" s="15">
        <f t="shared" ca="1" si="126"/>
        <v>1</v>
      </c>
      <c r="J275" s="15"/>
      <c r="K275" s="15">
        <f t="shared" ca="1" si="125"/>
        <v>0</v>
      </c>
    </row>
    <row r="276" spans="1:11" x14ac:dyDescent="0.4">
      <c r="A276" s="11" t="s">
        <v>10</v>
      </c>
      <c r="B276" s="40">
        <f t="shared" ca="1" si="129"/>
        <v>0</v>
      </c>
      <c r="C276" s="13">
        <f t="shared" ca="1" si="129"/>
        <v>0</v>
      </c>
      <c r="D276" s="17">
        <f t="shared" ca="1" si="129"/>
        <v>0</v>
      </c>
      <c r="E276" s="17">
        <f t="shared" ca="1" si="129"/>
        <v>0</v>
      </c>
      <c r="F276" s="13">
        <f t="shared" ca="1" si="129"/>
        <v>0</v>
      </c>
      <c r="G276" s="16"/>
      <c r="H276" s="13">
        <f t="shared" ca="1" si="130"/>
        <v>0</v>
      </c>
      <c r="I276" s="15">
        <f t="shared" ca="1" si="126"/>
        <v>1</v>
      </c>
      <c r="J276" s="15"/>
      <c r="K276" s="15">
        <f t="shared" ca="1" si="125"/>
        <v>0</v>
      </c>
    </row>
    <row r="277" spans="1:11" x14ac:dyDescent="0.4">
      <c r="A277" s="11" t="s">
        <v>7</v>
      </c>
      <c r="B277" s="40">
        <f t="shared" ref="B277:F279" ca="1" si="131">OFFSET(B277,-9,0)</f>
        <v>0</v>
      </c>
      <c r="C277" s="13">
        <f t="shared" ca="1" si="131"/>
        <v>0</v>
      </c>
      <c r="D277" s="17">
        <f t="shared" ca="1" si="131"/>
        <v>0</v>
      </c>
      <c r="E277" s="17">
        <f t="shared" ca="1" si="131"/>
        <v>0</v>
      </c>
      <c r="F277" s="13">
        <f t="shared" ca="1" si="131"/>
        <v>0</v>
      </c>
      <c r="G277" s="16"/>
      <c r="H277" s="13">
        <f t="shared" ref="H277:H279" ca="1" si="132">OFFSET(H277,-9,0)</f>
        <v>0</v>
      </c>
      <c r="I277" s="15">
        <f t="shared" ca="1" si="126"/>
        <v>1</v>
      </c>
      <c r="J277" s="15"/>
      <c r="K277" s="15">
        <f t="shared" ca="1" si="125"/>
        <v>0</v>
      </c>
    </row>
    <row r="278" spans="1:11" x14ac:dyDescent="0.4">
      <c r="A278" s="11" t="s">
        <v>7</v>
      </c>
      <c r="B278" s="40">
        <f t="shared" ca="1" si="131"/>
        <v>0</v>
      </c>
      <c r="C278" s="13">
        <f t="shared" ca="1" si="131"/>
        <v>0</v>
      </c>
      <c r="D278" s="17">
        <f t="shared" ca="1" si="131"/>
        <v>0</v>
      </c>
      <c r="E278" s="17">
        <f t="shared" ca="1" si="131"/>
        <v>0</v>
      </c>
      <c r="F278" s="13">
        <f t="shared" ca="1" si="131"/>
        <v>0</v>
      </c>
      <c r="G278" s="16"/>
      <c r="H278" s="13">
        <f t="shared" ca="1" si="132"/>
        <v>0</v>
      </c>
      <c r="I278" s="15">
        <f t="shared" ca="1" si="126"/>
        <v>1</v>
      </c>
      <c r="J278" s="15"/>
      <c r="K278" s="15">
        <f t="shared" ca="1" si="125"/>
        <v>0</v>
      </c>
    </row>
    <row r="279" spans="1:11" x14ac:dyDescent="0.4">
      <c r="A279" s="11" t="s">
        <v>7</v>
      </c>
      <c r="B279" s="40">
        <f t="shared" ca="1" si="131"/>
        <v>0</v>
      </c>
      <c r="C279" s="13">
        <f t="shared" ca="1" si="131"/>
        <v>0</v>
      </c>
      <c r="D279" s="17">
        <f t="shared" ca="1" si="131"/>
        <v>0</v>
      </c>
      <c r="E279" s="17">
        <f t="shared" ca="1" si="131"/>
        <v>0</v>
      </c>
      <c r="F279" s="13">
        <f t="shared" ca="1" si="131"/>
        <v>0</v>
      </c>
      <c r="G279" s="16"/>
      <c r="H279" s="13">
        <f t="shared" ca="1" si="132"/>
        <v>0</v>
      </c>
      <c r="I279" s="15">
        <f t="shared" ca="1" si="126"/>
        <v>1</v>
      </c>
      <c r="J279" s="15"/>
      <c r="K279" s="15">
        <f t="shared" ca="1" si="125"/>
        <v>0</v>
      </c>
    </row>
    <row r="280" spans="1:11" x14ac:dyDescent="0.4">
      <c r="A280" s="11" t="s">
        <v>8</v>
      </c>
      <c r="B280" s="40">
        <f t="shared" ref="B280:F282" ca="1" si="133">OFFSET(B280,-12,0)</f>
        <v>0</v>
      </c>
      <c r="C280" s="13">
        <f t="shared" ca="1" si="133"/>
        <v>0</v>
      </c>
      <c r="D280" s="17">
        <f t="shared" ca="1" si="133"/>
        <v>0</v>
      </c>
      <c r="E280" s="17">
        <f t="shared" ca="1" si="133"/>
        <v>0</v>
      </c>
      <c r="F280" s="13">
        <f t="shared" ca="1" si="133"/>
        <v>0</v>
      </c>
      <c r="G280" s="16"/>
      <c r="H280" s="13">
        <f t="shared" ref="H280:H282" ca="1" si="134">OFFSET(H280,-12,0)</f>
        <v>0</v>
      </c>
      <c r="I280" s="15">
        <f t="shared" ca="1" si="126"/>
        <v>1</v>
      </c>
      <c r="J280" s="15"/>
      <c r="K280" s="15">
        <f t="shared" ca="1" si="125"/>
        <v>0</v>
      </c>
    </row>
    <row r="281" spans="1:11" x14ac:dyDescent="0.4">
      <c r="A281" s="11" t="s">
        <v>8</v>
      </c>
      <c r="B281" s="40">
        <f t="shared" ca="1" si="133"/>
        <v>0</v>
      </c>
      <c r="C281" s="13">
        <f t="shared" ca="1" si="133"/>
        <v>0</v>
      </c>
      <c r="D281" s="17">
        <f t="shared" ca="1" si="133"/>
        <v>0</v>
      </c>
      <c r="E281" s="17">
        <f t="shared" ca="1" si="133"/>
        <v>0</v>
      </c>
      <c r="F281" s="13">
        <f t="shared" ca="1" si="133"/>
        <v>0</v>
      </c>
      <c r="G281" s="16"/>
      <c r="H281" s="13">
        <f t="shared" ca="1" si="134"/>
        <v>0</v>
      </c>
      <c r="I281" s="15">
        <f t="shared" ca="1" si="126"/>
        <v>1</v>
      </c>
      <c r="J281" s="15"/>
      <c r="K281" s="15">
        <f t="shared" ca="1" si="125"/>
        <v>0</v>
      </c>
    </row>
    <row r="282" spans="1:11" x14ac:dyDescent="0.4">
      <c r="A282" s="11" t="s">
        <v>8</v>
      </c>
      <c r="B282" s="40">
        <f t="shared" ca="1" si="133"/>
        <v>0</v>
      </c>
      <c r="C282" s="13">
        <f t="shared" ca="1" si="133"/>
        <v>0</v>
      </c>
      <c r="D282" s="17">
        <f t="shared" ca="1" si="133"/>
        <v>0</v>
      </c>
      <c r="E282" s="17">
        <f t="shared" ca="1" si="133"/>
        <v>0</v>
      </c>
      <c r="F282" s="13">
        <f t="shared" ca="1" si="133"/>
        <v>0</v>
      </c>
      <c r="G282" s="16"/>
      <c r="H282" s="13">
        <f t="shared" ca="1" si="134"/>
        <v>0</v>
      </c>
      <c r="I282" s="15">
        <f t="shared" ca="1" si="126"/>
        <v>1</v>
      </c>
      <c r="J282" s="15"/>
      <c r="K282" s="15">
        <f t="shared" ca="1" si="125"/>
        <v>0</v>
      </c>
    </row>
    <row r="283" spans="1:11" x14ac:dyDescent="0.4">
      <c r="A283" s="11" t="s">
        <v>9</v>
      </c>
      <c r="B283" s="41">
        <f t="shared" ref="B283:E285" ca="1" si="135">OFFSET(B283,-15,0)</f>
        <v>0</v>
      </c>
      <c r="C283" s="19">
        <f t="shared" ca="1" si="135"/>
        <v>0</v>
      </c>
      <c r="D283" s="20">
        <f t="shared" ca="1" si="135"/>
        <v>0</v>
      </c>
      <c r="E283" s="20">
        <f ca="1">OFFSET(E283,-15,0)</f>
        <v>0</v>
      </c>
      <c r="F283" s="13">
        <f t="shared" ref="F283:F285" ca="1" si="136">OFFSET(F283,-15,0)</f>
        <v>0</v>
      </c>
      <c r="G283" s="16"/>
      <c r="H283" s="19">
        <f t="shared" ref="H283:H285" ca="1" si="137">OFFSET(H283,-15,0)</f>
        <v>0</v>
      </c>
      <c r="I283" s="15">
        <f t="shared" ca="1" si="126"/>
        <v>1</v>
      </c>
      <c r="J283" s="15"/>
      <c r="K283" s="15">
        <f t="shared" ca="1" si="125"/>
        <v>0</v>
      </c>
    </row>
    <row r="284" spans="1:11" x14ac:dyDescent="0.4">
      <c r="A284" s="11" t="s">
        <v>9</v>
      </c>
      <c r="B284" s="41">
        <f t="shared" ca="1" si="135"/>
        <v>0</v>
      </c>
      <c r="C284" s="19">
        <f t="shared" ca="1" si="135"/>
        <v>0</v>
      </c>
      <c r="D284" s="20">
        <f t="shared" ca="1" si="135"/>
        <v>0</v>
      </c>
      <c r="E284" s="20">
        <f t="shared" ca="1" si="135"/>
        <v>0</v>
      </c>
      <c r="F284" s="13">
        <f t="shared" ca="1" si="136"/>
        <v>0</v>
      </c>
      <c r="G284" s="16"/>
      <c r="H284" s="19">
        <f t="shared" ca="1" si="137"/>
        <v>0</v>
      </c>
      <c r="I284" s="15">
        <f t="shared" ca="1" si="126"/>
        <v>1</v>
      </c>
      <c r="J284" s="15"/>
      <c r="K284" s="15">
        <f t="shared" ca="1" si="125"/>
        <v>0</v>
      </c>
    </row>
    <row r="285" spans="1:11" x14ac:dyDescent="0.4">
      <c r="A285" s="11" t="s">
        <v>9</v>
      </c>
      <c r="B285" s="41">
        <f t="shared" ca="1" si="135"/>
        <v>0</v>
      </c>
      <c r="C285" s="19">
        <f t="shared" ca="1" si="135"/>
        <v>0</v>
      </c>
      <c r="D285" s="20">
        <f t="shared" ca="1" si="135"/>
        <v>0</v>
      </c>
      <c r="E285" s="20">
        <f t="shared" ca="1" si="135"/>
        <v>0</v>
      </c>
      <c r="F285" s="13">
        <f t="shared" ca="1" si="136"/>
        <v>0</v>
      </c>
      <c r="G285" s="16"/>
      <c r="H285" s="19">
        <f t="shared" ca="1" si="137"/>
        <v>0</v>
      </c>
      <c r="I285" s="15">
        <f t="shared" ca="1" si="126"/>
        <v>1</v>
      </c>
      <c r="J285" s="15"/>
      <c r="K285" s="15">
        <f t="shared" ca="1" si="125"/>
        <v>0</v>
      </c>
    </row>
    <row r="286" spans="1:11" ht="17.399999999999999" x14ac:dyDescent="0.4">
      <c r="A286" s="74" t="s">
        <v>25</v>
      </c>
      <c r="B286" s="75"/>
      <c r="C286" s="75"/>
      <c r="D286" s="75"/>
      <c r="E286" s="75"/>
      <c r="F286" s="75"/>
      <c r="G286" s="75"/>
      <c r="H286" s="75"/>
      <c r="I286" s="75"/>
      <c r="J286" s="75"/>
      <c r="K286" s="76"/>
    </row>
    <row r="287" spans="1:11" x14ac:dyDescent="0.4">
      <c r="A287" s="11" t="s">
        <v>5</v>
      </c>
      <c r="B287" s="40"/>
      <c r="C287" s="13"/>
      <c r="D287" s="11"/>
      <c r="E287" s="17"/>
      <c r="F287" s="13"/>
      <c r="G287" s="16"/>
      <c r="H287" s="13"/>
      <c r="I287" s="15">
        <f>ROUND((10^(H287/10))/(10^(F287/10)),3)</f>
        <v>1</v>
      </c>
      <c r="J287" s="15"/>
      <c r="K287" s="15">
        <f t="shared" ref="K287:K304" si="138">G287*I287</f>
        <v>0</v>
      </c>
    </row>
    <row r="288" spans="1:11" x14ac:dyDescent="0.4">
      <c r="A288" s="11" t="s">
        <v>5</v>
      </c>
      <c r="B288" s="40"/>
      <c r="C288" s="13"/>
      <c r="D288" s="11"/>
      <c r="E288" s="17"/>
      <c r="F288" s="13"/>
      <c r="G288" s="16"/>
      <c r="H288" s="13"/>
      <c r="I288" s="15">
        <f t="shared" ref="I288:I304" si="139">ROUND((10^(H288/10))/(10^(F288/10)),3)</f>
        <v>1</v>
      </c>
      <c r="J288" s="15"/>
      <c r="K288" s="15">
        <f t="shared" si="138"/>
        <v>0</v>
      </c>
    </row>
    <row r="289" spans="1:11" x14ac:dyDescent="0.4">
      <c r="A289" s="11" t="s">
        <v>5</v>
      </c>
      <c r="B289" s="40"/>
      <c r="C289" s="13"/>
      <c r="D289" s="11"/>
      <c r="E289" s="17"/>
      <c r="F289" s="13"/>
      <c r="G289" s="16"/>
      <c r="H289" s="13"/>
      <c r="I289" s="15">
        <f t="shared" si="139"/>
        <v>1</v>
      </c>
      <c r="J289" s="15"/>
      <c r="K289" s="15">
        <f t="shared" si="138"/>
        <v>0</v>
      </c>
    </row>
    <row r="290" spans="1:11" x14ac:dyDescent="0.4">
      <c r="A290" s="11" t="s">
        <v>6</v>
      </c>
      <c r="B290" s="41">
        <f t="shared" ref="B290:F292" ca="1" si="140">OFFSET(B290,-3,0)</f>
        <v>0</v>
      </c>
      <c r="C290" s="19">
        <f t="shared" ca="1" si="140"/>
        <v>0</v>
      </c>
      <c r="D290" s="20">
        <f t="shared" ca="1" si="140"/>
        <v>0</v>
      </c>
      <c r="E290" s="20">
        <f t="shared" ca="1" si="140"/>
        <v>0</v>
      </c>
      <c r="F290" s="13">
        <f t="shared" ca="1" si="140"/>
        <v>0</v>
      </c>
      <c r="G290" s="16"/>
      <c r="H290" s="19">
        <f t="shared" ref="H290:H292" ca="1" si="141">OFFSET(H290,-3,0)</f>
        <v>0</v>
      </c>
      <c r="I290" s="15">
        <f t="shared" ca="1" si="139"/>
        <v>1</v>
      </c>
      <c r="J290" s="15"/>
      <c r="K290" s="15">
        <f t="shared" ca="1" si="138"/>
        <v>0</v>
      </c>
    </row>
    <row r="291" spans="1:11" x14ac:dyDescent="0.4">
      <c r="A291" s="11" t="s">
        <v>6</v>
      </c>
      <c r="B291" s="41">
        <f t="shared" ca="1" si="140"/>
        <v>0</v>
      </c>
      <c r="C291" s="19">
        <f t="shared" ca="1" si="140"/>
        <v>0</v>
      </c>
      <c r="D291" s="20">
        <f t="shared" ca="1" si="140"/>
        <v>0</v>
      </c>
      <c r="E291" s="20">
        <f t="shared" ca="1" si="140"/>
        <v>0</v>
      </c>
      <c r="F291" s="13">
        <f t="shared" ca="1" si="140"/>
        <v>0</v>
      </c>
      <c r="G291" s="16"/>
      <c r="H291" s="19">
        <f t="shared" ca="1" si="141"/>
        <v>0</v>
      </c>
      <c r="I291" s="15">
        <f t="shared" ca="1" si="139"/>
        <v>1</v>
      </c>
      <c r="J291" s="15"/>
      <c r="K291" s="15">
        <f t="shared" ca="1" si="138"/>
        <v>0</v>
      </c>
    </row>
    <row r="292" spans="1:11" x14ac:dyDescent="0.4">
      <c r="A292" s="11" t="s">
        <v>6</v>
      </c>
      <c r="B292" s="41">
        <f t="shared" ca="1" si="140"/>
        <v>0</v>
      </c>
      <c r="C292" s="19">
        <f t="shared" ca="1" si="140"/>
        <v>0</v>
      </c>
      <c r="D292" s="20">
        <f t="shared" ca="1" si="140"/>
        <v>0</v>
      </c>
      <c r="E292" s="20">
        <f t="shared" ca="1" si="140"/>
        <v>0</v>
      </c>
      <c r="F292" s="13">
        <f t="shared" ca="1" si="140"/>
        <v>0</v>
      </c>
      <c r="G292" s="16"/>
      <c r="H292" s="19">
        <f t="shared" ca="1" si="141"/>
        <v>0</v>
      </c>
      <c r="I292" s="15">
        <f t="shared" ca="1" si="139"/>
        <v>1</v>
      </c>
      <c r="J292" s="15"/>
      <c r="K292" s="15">
        <f t="shared" ca="1" si="138"/>
        <v>0</v>
      </c>
    </row>
    <row r="293" spans="1:11" x14ac:dyDescent="0.4">
      <c r="A293" s="11" t="s">
        <v>10</v>
      </c>
      <c r="B293" s="40">
        <f t="shared" ref="B293:F295" ca="1" si="142">OFFSET(B293,-6,0)</f>
        <v>0</v>
      </c>
      <c r="C293" s="13">
        <f t="shared" ca="1" si="142"/>
        <v>0</v>
      </c>
      <c r="D293" s="17">
        <f t="shared" ca="1" si="142"/>
        <v>0</v>
      </c>
      <c r="E293" s="17">
        <f t="shared" ca="1" si="142"/>
        <v>0</v>
      </c>
      <c r="F293" s="13">
        <f t="shared" ca="1" si="142"/>
        <v>0</v>
      </c>
      <c r="G293" s="16"/>
      <c r="H293" s="13">
        <f t="shared" ref="H293:H295" ca="1" si="143">OFFSET(H293,-6,0)</f>
        <v>0</v>
      </c>
      <c r="I293" s="15">
        <f t="shared" ca="1" si="139"/>
        <v>1</v>
      </c>
      <c r="J293" s="15"/>
      <c r="K293" s="15">
        <f t="shared" ca="1" si="138"/>
        <v>0</v>
      </c>
    </row>
    <row r="294" spans="1:11" x14ac:dyDescent="0.4">
      <c r="A294" s="11" t="s">
        <v>10</v>
      </c>
      <c r="B294" s="40">
        <f t="shared" ca="1" si="142"/>
        <v>0</v>
      </c>
      <c r="C294" s="13">
        <f t="shared" ca="1" si="142"/>
        <v>0</v>
      </c>
      <c r="D294" s="17">
        <f t="shared" ca="1" si="142"/>
        <v>0</v>
      </c>
      <c r="E294" s="17">
        <f t="shared" ca="1" si="142"/>
        <v>0</v>
      </c>
      <c r="F294" s="13">
        <f t="shared" ca="1" si="142"/>
        <v>0</v>
      </c>
      <c r="G294" s="16"/>
      <c r="H294" s="13">
        <f t="shared" ca="1" si="143"/>
        <v>0</v>
      </c>
      <c r="I294" s="15">
        <f t="shared" ca="1" si="139"/>
        <v>1</v>
      </c>
      <c r="J294" s="15"/>
      <c r="K294" s="15">
        <f t="shared" ca="1" si="138"/>
        <v>0</v>
      </c>
    </row>
    <row r="295" spans="1:11" x14ac:dyDescent="0.4">
      <c r="A295" s="11" t="s">
        <v>10</v>
      </c>
      <c r="B295" s="40">
        <f t="shared" ca="1" si="142"/>
        <v>0</v>
      </c>
      <c r="C295" s="13">
        <f t="shared" ca="1" si="142"/>
        <v>0</v>
      </c>
      <c r="D295" s="17">
        <f t="shared" ca="1" si="142"/>
        <v>0</v>
      </c>
      <c r="E295" s="17">
        <f t="shared" ca="1" si="142"/>
        <v>0</v>
      </c>
      <c r="F295" s="13">
        <f t="shared" ca="1" si="142"/>
        <v>0</v>
      </c>
      <c r="G295" s="16"/>
      <c r="H295" s="13">
        <f t="shared" ca="1" si="143"/>
        <v>0</v>
      </c>
      <c r="I295" s="15">
        <f t="shared" ca="1" si="139"/>
        <v>1</v>
      </c>
      <c r="J295" s="15"/>
      <c r="K295" s="15">
        <f t="shared" ca="1" si="138"/>
        <v>0</v>
      </c>
    </row>
    <row r="296" spans="1:11" x14ac:dyDescent="0.4">
      <c r="A296" s="11" t="s">
        <v>7</v>
      </c>
      <c r="B296" s="40">
        <f t="shared" ref="B296:F298" ca="1" si="144">OFFSET(B296,-9,0)</f>
        <v>0</v>
      </c>
      <c r="C296" s="13">
        <f t="shared" ca="1" si="144"/>
        <v>0</v>
      </c>
      <c r="D296" s="17">
        <f t="shared" ca="1" si="144"/>
        <v>0</v>
      </c>
      <c r="E296" s="17">
        <f t="shared" ca="1" si="144"/>
        <v>0</v>
      </c>
      <c r="F296" s="13">
        <f t="shared" ca="1" si="144"/>
        <v>0</v>
      </c>
      <c r="G296" s="16"/>
      <c r="H296" s="13">
        <f t="shared" ref="H296:H298" ca="1" si="145">OFFSET(H296,-9,0)</f>
        <v>0</v>
      </c>
      <c r="I296" s="15">
        <f t="shared" ca="1" si="139"/>
        <v>1</v>
      </c>
      <c r="J296" s="15"/>
      <c r="K296" s="15">
        <f t="shared" ca="1" si="138"/>
        <v>0</v>
      </c>
    </row>
    <row r="297" spans="1:11" x14ac:dyDescent="0.4">
      <c r="A297" s="11" t="s">
        <v>7</v>
      </c>
      <c r="B297" s="40">
        <f t="shared" ca="1" si="144"/>
        <v>0</v>
      </c>
      <c r="C297" s="13">
        <f t="shared" ca="1" si="144"/>
        <v>0</v>
      </c>
      <c r="D297" s="17">
        <f t="shared" ca="1" si="144"/>
        <v>0</v>
      </c>
      <c r="E297" s="17">
        <f t="shared" ca="1" si="144"/>
        <v>0</v>
      </c>
      <c r="F297" s="13">
        <f t="shared" ca="1" si="144"/>
        <v>0</v>
      </c>
      <c r="G297" s="16"/>
      <c r="H297" s="13">
        <f t="shared" ca="1" si="145"/>
        <v>0</v>
      </c>
      <c r="I297" s="15">
        <f t="shared" ca="1" si="139"/>
        <v>1</v>
      </c>
      <c r="J297" s="15"/>
      <c r="K297" s="15">
        <f t="shared" ca="1" si="138"/>
        <v>0</v>
      </c>
    </row>
    <row r="298" spans="1:11" x14ac:dyDescent="0.4">
      <c r="A298" s="11" t="s">
        <v>7</v>
      </c>
      <c r="B298" s="40">
        <f t="shared" ca="1" si="144"/>
        <v>0</v>
      </c>
      <c r="C298" s="13">
        <f t="shared" ca="1" si="144"/>
        <v>0</v>
      </c>
      <c r="D298" s="17">
        <f t="shared" ca="1" si="144"/>
        <v>0</v>
      </c>
      <c r="E298" s="17">
        <f t="shared" ca="1" si="144"/>
        <v>0</v>
      </c>
      <c r="F298" s="13">
        <f t="shared" ca="1" si="144"/>
        <v>0</v>
      </c>
      <c r="G298" s="16"/>
      <c r="H298" s="13">
        <f t="shared" ca="1" si="145"/>
        <v>0</v>
      </c>
      <c r="I298" s="15">
        <f t="shared" ca="1" si="139"/>
        <v>1</v>
      </c>
      <c r="J298" s="15"/>
      <c r="K298" s="15">
        <f t="shared" ca="1" si="138"/>
        <v>0</v>
      </c>
    </row>
    <row r="299" spans="1:11" x14ac:dyDescent="0.4">
      <c r="A299" s="11" t="s">
        <v>8</v>
      </c>
      <c r="B299" s="40">
        <f t="shared" ref="B299:F301" ca="1" si="146">OFFSET(B299,-12,0)</f>
        <v>0</v>
      </c>
      <c r="C299" s="13">
        <f t="shared" ca="1" si="146"/>
        <v>0</v>
      </c>
      <c r="D299" s="17">
        <f t="shared" ca="1" si="146"/>
        <v>0</v>
      </c>
      <c r="E299" s="17">
        <f t="shared" ca="1" si="146"/>
        <v>0</v>
      </c>
      <c r="F299" s="13">
        <f t="shared" ca="1" si="146"/>
        <v>0</v>
      </c>
      <c r="G299" s="16"/>
      <c r="H299" s="13">
        <f t="shared" ref="H299:H301" ca="1" si="147">OFFSET(H299,-12,0)</f>
        <v>0</v>
      </c>
      <c r="I299" s="15">
        <f t="shared" ca="1" si="139"/>
        <v>1</v>
      </c>
      <c r="J299" s="15"/>
      <c r="K299" s="15">
        <f t="shared" ca="1" si="138"/>
        <v>0</v>
      </c>
    </row>
    <row r="300" spans="1:11" x14ac:dyDescent="0.4">
      <c r="A300" s="11" t="s">
        <v>8</v>
      </c>
      <c r="B300" s="40">
        <f t="shared" ca="1" si="146"/>
        <v>0</v>
      </c>
      <c r="C300" s="13">
        <f t="shared" ca="1" si="146"/>
        <v>0</v>
      </c>
      <c r="D300" s="17">
        <f t="shared" ca="1" si="146"/>
        <v>0</v>
      </c>
      <c r="E300" s="17">
        <f t="shared" ca="1" si="146"/>
        <v>0</v>
      </c>
      <c r="F300" s="13">
        <f t="shared" ca="1" si="146"/>
        <v>0</v>
      </c>
      <c r="G300" s="16"/>
      <c r="H300" s="13">
        <f t="shared" ca="1" si="147"/>
        <v>0</v>
      </c>
      <c r="I300" s="15">
        <f t="shared" ca="1" si="139"/>
        <v>1</v>
      </c>
      <c r="J300" s="15"/>
      <c r="K300" s="15">
        <f t="shared" ca="1" si="138"/>
        <v>0</v>
      </c>
    </row>
    <row r="301" spans="1:11" x14ac:dyDescent="0.4">
      <c r="A301" s="11" t="s">
        <v>8</v>
      </c>
      <c r="B301" s="40">
        <f t="shared" ca="1" si="146"/>
        <v>0</v>
      </c>
      <c r="C301" s="13">
        <f t="shared" ca="1" si="146"/>
        <v>0</v>
      </c>
      <c r="D301" s="17">
        <f t="shared" ca="1" si="146"/>
        <v>0</v>
      </c>
      <c r="E301" s="17">
        <f t="shared" ca="1" si="146"/>
        <v>0</v>
      </c>
      <c r="F301" s="13">
        <f t="shared" ca="1" si="146"/>
        <v>0</v>
      </c>
      <c r="G301" s="16"/>
      <c r="H301" s="13">
        <f t="shared" ca="1" si="147"/>
        <v>0</v>
      </c>
      <c r="I301" s="15">
        <f t="shared" ca="1" si="139"/>
        <v>1</v>
      </c>
      <c r="J301" s="15"/>
      <c r="K301" s="15">
        <f t="shared" ca="1" si="138"/>
        <v>0</v>
      </c>
    </row>
    <row r="302" spans="1:11" x14ac:dyDescent="0.4">
      <c r="A302" s="11" t="s">
        <v>9</v>
      </c>
      <c r="B302" s="41">
        <f t="shared" ref="B302:F304" ca="1" si="148">OFFSET(B302,-15,0)</f>
        <v>0</v>
      </c>
      <c r="C302" s="19">
        <f t="shared" ca="1" si="148"/>
        <v>0</v>
      </c>
      <c r="D302" s="20">
        <f t="shared" ca="1" si="148"/>
        <v>0</v>
      </c>
      <c r="E302" s="20">
        <f t="shared" ca="1" si="148"/>
        <v>0</v>
      </c>
      <c r="F302" s="13">
        <f t="shared" ca="1" si="148"/>
        <v>0</v>
      </c>
      <c r="G302" s="16"/>
      <c r="H302" s="19">
        <f t="shared" ref="H302:H304" ca="1" si="149">OFFSET(H302,-15,0)</f>
        <v>0</v>
      </c>
      <c r="I302" s="15">
        <f t="shared" ca="1" si="139"/>
        <v>1</v>
      </c>
      <c r="J302" s="15"/>
      <c r="K302" s="15">
        <f t="shared" ca="1" si="138"/>
        <v>0</v>
      </c>
    </row>
    <row r="303" spans="1:11" x14ac:dyDescent="0.4">
      <c r="A303" s="11" t="s">
        <v>9</v>
      </c>
      <c r="B303" s="41">
        <f t="shared" ca="1" si="148"/>
        <v>0</v>
      </c>
      <c r="C303" s="19">
        <f t="shared" ca="1" si="148"/>
        <v>0</v>
      </c>
      <c r="D303" s="20">
        <f t="shared" ca="1" si="148"/>
        <v>0</v>
      </c>
      <c r="E303" s="20">
        <f t="shared" ca="1" si="148"/>
        <v>0</v>
      </c>
      <c r="F303" s="13">
        <f t="shared" ca="1" si="148"/>
        <v>0</v>
      </c>
      <c r="G303" s="16"/>
      <c r="H303" s="19">
        <f t="shared" ca="1" si="149"/>
        <v>0</v>
      </c>
      <c r="I303" s="15">
        <f t="shared" ca="1" si="139"/>
        <v>1</v>
      </c>
      <c r="J303" s="15"/>
      <c r="K303" s="15">
        <f t="shared" ca="1" si="138"/>
        <v>0</v>
      </c>
    </row>
    <row r="304" spans="1:11" x14ac:dyDescent="0.4">
      <c r="A304" s="11" t="s">
        <v>9</v>
      </c>
      <c r="B304" s="41">
        <f t="shared" ca="1" si="148"/>
        <v>0</v>
      </c>
      <c r="C304" s="19">
        <f t="shared" ca="1" si="148"/>
        <v>0</v>
      </c>
      <c r="D304" s="20">
        <f t="shared" ca="1" si="148"/>
        <v>0</v>
      </c>
      <c r="E304" s="20">
        <f t="shared" ca="1" si="148"/>
        <v>0</v>
      </c>
      <c r="F304" s="13">
        <f t="shared" ca="1" si="148"/>
        <v>0</v>
      </c>
      <c r="G304" s="16"/>
      <c r="H304" s="19">
        <f t="shared" ca="1" si="149"/>
        <v>0</v>
      </c>
      <c r="I304" s="15">
        <f t="shared" ca="1" si="139"/>
        <v>1</v>
      </c>
      <c r="J304" s="15"/>
      <c r="K304" s="15">
        <f t="shared" ca="1" si="138"/>
        <v>0</v>
      </c>
    </row>
    <row r="305" spans="1:11" ht="17.399999999999999" x14ac:dyDescent="0.4">
      <c r="A305" s="74" t="s">
        <v>29</v>
      </c>
      <c r="B305" s="75"/>
      <c r="C305" s="75"/>
      <c r="D305" s="75"/>
      <c r="E305" s="75"/>
      <c r="F305" s="75"/>
      <c r="G305" s="75"/>
      <c r="H305" s="75"/>
      <c r="I305" s="75"/>
      <c r="J305" s="75"/>
      <c r="K305" s="76"/>
    </row>
    <row r="306" spans="1:11" x14ac:dyDescent="0.4">
      <c r="A306" s="11" t="s">
        <v>5</v>
      </c>
      <c r="B306" s="40"/>
      <c r="C306" s="13"/>
      <c r="D306" s="11"/>
      <c r="E306" s="17"/>
      <c r="F306" s="13"/>
      <c r="G306" s="16"/>
      <c r="H306" s="13"/>
      <c r="I306" s="15">
        <f>ROUND((10^(H306/10))/(10^(F306/10)),3)</f>
        <v>1</v>
      </c>
      <c r="J306" s="15"/>
      <c r="K306" s="15">
        <f t="shared" ref="K306:K323" si="150">G306*I306</f>
        <v>0</v>
      </c>
    </row>
    <row r="307" spans="1:11" x14ac:dyDescent="0.4">
      <c r="A307" s="11" t="s">
        <v>5</v>
      </c>
      <c r="B307" s="40"/>
      <c r="C307" s="13"/>
      <c r="D307" s="11"/>
      <c r="E307" s="17"/>
      <c r="F307" s="13"/>
      <c r="G307" s="16"/>
      <c r="H307" s="13"/>
      <c r="I307" s="15">
        <f t="shared" ref="I307:I323" si="151">ROUND((10^(H307/10))/(10^(F307/10)),3)</f>
        <v>1</v>
      </c>
      <c r="J307" s="15"/>
      <c r="K307" s="15">
        <f t="shared" si="150"/>
        <v>0</v>
      </c>
    </row>
    <row r="308" spans="1:11" x14ac:dyDescent="0.4">
      <c r="A308" s="11" t="s">
        <v>5</v>
      </c>
      <c r="B308" s="40"/>
      <c r="C308" s="13"/>
      <c r="D308" s="11"/>
      <c r="E308" s="17"/>
      <c r="F308" s="13"/>
      <c r="G308" s="16"/>
      <c r="H308" s="13"/>
      <c r="I308" s="15">
        <f t="shared" si="151"/>
        <v>1</v>
      </c>
      <c r="J308" s="15"/>
      <c r="K308" s="15">
        <f t="shared" si="150"/>
        <v>0</v>
      </c>
    </row>
    <row r="309" spans="1:11" x14ac:dyDescent="0.4">
      <c r="A309" s="11" t="s">
        <v>6</v>
      </c>
      <c r="B309" s="41">
        <f t="shared" ref="B309:F311" ca="1" si="152">OFFSET(B309,-3,0)</f>
        <v>0</v>
      </c>
      <c r="C309" s="19">
        <f t="shared" ca="1" si="152"/>
        <v>0</v>
      </c>
      <c r="D309" s="20">
        <f t="shared" ca="1" si="152"/>
        <v>0</v>
      </c>
      <c r="E309" s="20">
        <f t="shared" ca="1" si="152"/>
        <v>0</v>
      </c>
      <c r="F309" s="13">
        <f t="shared" ca="1" si="152"/>
        <v>0</v>
      </c>
      <c r="G309" s="16"/>
      <c r="H309" s="19">
        <f t="shared" ref="H309:H311" ca="1" si="153">OFFSET(H309,-3,0)</f>
        <v>0</v>
      </c>
      <c r="I309" s="15">
        <f t="shared" ca="1" si="151"/>
        <v>1</v>
      </c>
      <c r="J309" s="15"/>
      <c r="K309" s="15">
        <f t="shared" ca="1" si="150"/>
        <v>0</v>
      </c>
    </row>
    <row r="310" spans="1:11" x14ac:dyDescent="0.4">
      <c r="A310" s="11" t="s">
        <v>6</v>
      </c>
      <c r="B310" s="41">
        <f t="shared" ca="1" si="152"/>
        <v>0</v>
      </c>
      <c r="C310" s="19">
        <f t="shared" ca="1" si="152"/>
        <v>0</v>
      </c>
      <c r="D310" s="20">
        <f t="shared" ca="1" si="152"/>
        <v>0</v>
      </c>
      <c r="E310" s="20">
        <f t="shared" ca="1" si="152"/>
        <v>0</v>
      </c>
      <c r="F310" s="13">
        <f t="shared" ca="1" si="152"/>
        <v>0</v>
      </c>
      <c r="G310" s="16"/>
      <c r="H310" s="19">
        <f t="shared" ca="1" si="153"/>
        <v>0</v>
      </c>
      <c r="I310" s="15">
        <f t="shared" ca="1" si="151"/>
        <v>1</v>
      </c>
      <c r="J310" s="15"/>
      <c r="K310" s="15">
        <f t="shared" ca="1" si="150"/>
        <v>0</v>
      </c>
    </row>
    <row r="311" spans="1:11" x14ac:dyDescent="0.4">
      <c r="A311" s="11" t="s">
        <v>6</v>
      </c>
      <c r="B311" s="41">
        <f t="shared" ca="1" si="152"/>
        <v>0</v>
      </c>
      <c r="C311" s="19">
        <f t="shared" ca="1" si="152"/>
        <v>0</v>
      </c>
      <c r="D311" s="20">
        <f t="shared" ca="1" si="152"/>
        <v>0</v>
      </c>
      <c r="E311" s="20">
        <f t="shared" ca="1" si="152"/>
        <v>0</v>
      </c>
      <c r="F311" s="13">
        <f t="shared" ca="1" si="152"/>
        <v>0</v>
      </c>
      <c r="G311" s="16"/>
      <c r="H311" s="19">
        <f t="shared" ca="1" si="153"/>
        <v>0</v>
      </c>
      <c r="I311" s="15">
        <f t="shared" ca="1" si="151"/>
        <v>1</v>
      </c>
      <c r="J311" s="15"/>
      <c r="K311" s="15">
        <f t="shared" ca="1" si="150"/>
        <v>0</v>
      </c>
    </row>
    <row r="312" spans="1:11" x14ac:dyDescent="0.4">
      <c r="A312" s="11" t="s">
        <v>10</v>
      </c>
      <c r="B312" s="40">
        <f t="shared" ref="B312:F314" ca="1" si="154">OFFSET(B312,-6,0)</f>
        <v>0</v>
      </c>
      <c r="C312" s="13">
        <f t="shared" ca="1" si="154"/>
        <v>0</v>
      </c>
      <c r="D312" s="17">
        <f t="shared" ca="1" si="154"/>
        <v>0</v>
      </c>
      <c r="E312" s="17">
        <f t="shared" ca="1" si="154"/>
        <v>0</v>
      </c>
      <c r="F312" s="13">
        <f t="shared" ca="1" si="154"/>
        <v>0</v>
      </c>
      <c r="G312" s="16"/>
      <c r="H312" s="13">
        <f t="shared" ref="H312:H314" ca="1" si="155">OFFSET(H312,-6,0)</f>
        <v>0</v>
      </c>
      <c r="I312" s="15">
        <f t="shared" ca="1" si="151"/>
        <v>1</v>
      </c>
      <c r="J312" s="15"/>
      <c r="K312" s="15">
        <f t="shared" ca="1" si="150"/>
        <v>0</v>
      </c>
    </row>
    <row r="313" spans="1:11" x14ac:dyDescent="0.4">
      <c r="A313" s="11" t="s">
        <v>10</v>
      </c>
      <c r="B313" s="40">
        <f t="shared" ca="1" si="154"/>
        <v>0</v>
      </c>
      <c r="C313" s="13">
        <f t="shared" ca="1" si="154"/>
        <v>0</v>
      </c>
      <c r="D313" s="17">
        <f t="shared" ca="1" si="154"/>
        <v>0</v>
      </c>
      <c r="E313" s="17">
        <f t="shared" ca="1" si="154"/>
        <v>0</v>
      </c>
      <c r="F313" s="13">
        <f t="shared" ca="1" si="154"/>
        <v>0</v>
      </c>
      <c r="G313" s="16"/>
      <c r="H313" s="13">
        <f t="shared" ca="1" si="155"/>
        <v>0</v>
      </c>
      <c r="I313" s="15">
        <f t="shared" ca="1" si="151"/>
        <v>1</v>
      </c>
      <c r="J313" s="15"/>
      <c r="K313" s="15">
        <f t="shared" ca="1" si="150"/>
        <v>0</v>
      </c>
    </row>
    <row r="314" spans="1:11" x14ac:dyDescent="0.4">
      <c r="A314" s="11" t="s">
        <v>10</v>
      </c>
      <c r="B314" s="40">
        <f t="shared" ca="1" si="154"/>
        <v>0</v>
      </c>
      <c r="C314" s="13">
        <f t="shared" ca="1" si="154"/>
        <v>0</v>
      </c>
      <c r="D314" s="17">
        <f t="shared" ca="1" si="154"/>
        <v>0</v>
      </c>
      <c r="E314" s="17">
        <f t="shared" ca="1" si="154"/>
        <v>0</v>
      </c>
      <c r="F314" s="13">
        <f t="shared" ca="1" si="154"/>
        <v>0</v>
      </c>
      <c r="G314" s="16"/>
      <c r="H314" s="13">
        <f t="shared" ca="1" si="155"/>
        <v>0</v>
      </c>
      <c r="I314" s="15">
        <f t="shared" ca="1" si="151"/>
        <v>1</v>
      </c>
      <c r="J314" s="15"/>
      <c r="K314" s="15">
        <f t="shared" ca="1" si="150"/>
        <v>0</v>
      </c>
    </row>
    <row r="315" spans="1:11" x14ac:dyDescent="0.4">
      <c r="A315" s="11" t="s">
        <v>7</v>
      </c>
      <c r="B315" s="40">
        <f t="shared" ref="B315:F317" ca="1" si="156">OFFSET(B315,-9,0)</f>
        <v>0</v>
      </c>
      <c r="C315" s="13">
        <f t="shared" ca="1" si="156"/>
        <v>0</v>
      </c>
      <c r="D315" s="17">
        <f t="shared" ca="1" si="156"/>
        <v>0</v>
      </c>
      <c r="E315" s="17">
        <f t="shared" ca="1" si="156"/>
        <v>0</v>
      </c>
      <c r="F315" s="13">
        <f t="shared" ca="1" si="156"/>
        <v>0</v>
      </c>
      <c r="G315" s="16"/>
      <c r="H315" s="13">
        <f t="shared" ref="H315:H317" ca="1" si="157">OFFSET(H315,-9,0)</f>
        <v>0</v>
      </c>
      <c r="I315" s="15">
        <f t="shared" ca="1" si="151"/>
        <v>1</v>
      </c>
      <c r="J315" s="15"/>
      <c r="K315" s="15">
        <f t="shared" ca="1" si="150"/>
        <v>0</v>
      </c>
    </row>
    <row r="316" spans="1:11" x14ac:dyDescent="0.4">
      <c r="A316" s="11" t="s">
        <v>7</v>
      </c>
      <c r="B316" s="40">
        <f t="shared" ca="1" si="156"/>
        <v>0</v>
      </c>
      <c r="C316" s="13">
        <f t="shared" ca="1" si="156"/>
        <v>0</v>
      </c>
      <c r="D316" s="17">
        <f t="shared" ca="1" si="156"/>
        <v>0</v>
      </c>
      <c r="E316" s="17">
        <f t="shared" ca="1" si="156"/>
        <v>0</v>
      </c>
      <c r="F316" s="13">
        <f t="shared" ca="1" si="156"/>
        <v>0</v>
      </c>
      <c r="G316" s="16"/>
      <c r="H316" s="13">
        <f t="shared" ca="1" si="157"/>
        <v>0</v>
      </c>
      <c r="I316" s="15">
        <f t="shared" ca="1" si="151"/>
        <v>1</v>
      </c>
      <c r="J316" s="15"/>
      <c r="K316" s="15">
        <f t="shared" ca="1" si="150"/>
        <v>0</v>
      </c>
    </row>
    <row r="317" spans="1:11" x14ac:dyDescent="0.4">
      <c r="A317" s="11" t="s">
        <v>7</v>
      </c>
      <c r="B317" s="40">
        <f t="shared" ca="1" si="156"/>
        <v>0</v>
      </c>
      <c r="C317" s="13">
        <f t="shared" ca="1" si="156"/>
        <v>0</v>
      </c>
      <c r="D317" s="17">
        <f t="shared" ca="1" si="156"/>
        <v>0</v>
      </c>
      <c r="E317" s="17">
        <f t="shared" ca="1" si="156"/>
        <v>0</v>
      </c>
      <c r="F317" s="13">
        <f t="shared" ca="1" si="156"/>
        <v>0</v>
      </c>
      <c r="G317" s="16"/>
      <c r="H317" s="13">
        <f t="shared" ca="1" si="157"/>
        <v>0</v>
      </c>
      <c r="I317" s="15">
        <f t="shared" ca="1" si="151"/>
        <v>1</v>
      </c>
      <c r="J317" s="15"/>
      <c r="K317" s="15">
        <f t="shared" ca="1" si="150"/>
        <v>0</v>
      </c>
    </row>
    <row r="318" spans="1:11" x14ac:dyDescent="0.4">
      <c r="A318" s="11" t="s">
        <v>8</v>
      </c>
      <c r="B318" s="40">
        <f t="shared" ref="B318:F320" ca="1" si="158">OFFSET(B318,-12,0)</f>
        <v>0</v>
      </c>
      <c r="C318" s="13">
        <f t="shared" ca="1" si="158"/>
        <v>0</v>
      </c>
      <c r="D318" s="17">
        <f t="shared" ca="1" si="158"/>
        <v>0</v>
      </c>
      <c r="E318" s="17">
        <f t="shared" ca="1" si="158"/>
        <v>0</v>
      </c>
      <c r="F318" s="13">
        <f t="shared" ca="1" si="158"/>
        <v>0</v>
      </c>
      <c r="G318" s="16"/>
      <c r="H318" s="13">
        <f t="shared" ref="H318:H320" ca="1" si="159">OFFSET(H318,-12,0)</f>
        <v>0</v>
      </c>
      <c r="I318" s="15">
        <f t="shared" ca="1" si="151"/>
        <v>1</v>
      </c>
      <c r="J318" s="15"/>
      <c r="K318" s="15">
        <f t="shared" ca="1" si="150"/>
        <v>0</v>
      </c>
    </row>
    <row r="319" spans="1:11" x14ac:dyDescent="0.4">
      <c r="A319" s="11" t="s">
        <v>8</v>
      </c>
      <c r="B319" s="40">
        <f t="shared" ca="1" si="158"/>
        <v>0</v>
      </c>
      <c r="C319" s="13">
        <f t="shared" ca="1" si="158"/>
        <v>0</v>
      </c>
      <c r="D319" s="17">
        <f t="shared" ca="1" si="158"/>
        <v>0</v>
      </c>
      <c r="E319" s="17">
        <f t="shared" ca="1" si="158"/>
        <v>0</v>
      </c>
      <c r="F319" s="13">
        <f t="shared" ca="1" si="158"/>
        <v>0</v>
      </c>
      <c r="G319" s="16"/>
      <c r="H319" s="13">
        <f t="shared" ca="1" si="159"/>
        <v>0</v>
      </c>
      <c r="I319" s="15">
        <f t="shared" ca="1" si="151"/>
        <v>1</v>
      </c>
      <c r="J319" s="15"/>
      <c r="K319" s="15">
        <f t="shared" ca="1" si="150"/>
        <v>0</v>
      </c>
    </row>
    <row r="320" spans="1:11" x14ac:dyDescent="0.4">
      <c r="A320" s="11" t="s">
        <v>8</v>
      </c>
      <c r="B320" s="40">
        <f t="shared" ca="1" si="158"/>
        <v>0</v>
      </c>
      <c r="C320" s="13">
        <f t="shared" ca="1" si="158"/>
        <v>0</v>
      </c>
      <c r="D320" s="17">
        <f t="shared" ca="1" si="158"/>
        <v>0</v>
      </c>
      <c r="E320" s="17">
        <f t="shared" ca="1" si="158"/>
        <v>0</v>
      </c>
      <c r="F320" s="13">
        <f t="shared" ca="1" si="158"/>
        <v>0</v>
      </c>
      <c r="G320" s="16"/>
      <c r="H320" s="13">
        <f t="shared" ca="1" si="159"/>
        <v>0</v>
      </c>
      <c r="I320" s="15">
        <f t="shared" ca="1" si="151"/>
        <v>1</v>
      </c>
      <c r="J320" s="15"/>
      <c r="K320" s="15">
        <f t="shared" ca="1" si="150"/>
        <v>0</v>
      </c>
    </row>
    <row r="321" spans="1:11" x14ac:dyDescent="0.4">
      <c r="A321" s="11" t="s">
        <v>9</v>
      </c>
      <c r="B321" s="41">
        <f t="shared" ref="B321:F323" ca="1" si="160">OFFSET(B321,-15,0)</f>
        <v>0</v>
      </c>
      <c r="C321" s="19">
        <f t="shared" ca="1" si="160"/>
        <v>0</v>
      </c>
      <c r="D321" s="20">
        <f t="shared" ca="1" si="160"/>
        <v>0</v>
      </c>
      <c r="E321" s="20">
        <f t="shared" ca="1" si="160"/>
        <v>0</v>
      </c>
      <c r="F321" s="13">
        <f t="shared" ca="1" si="160"/>
        <v>0</v>
      </c>
      <c r="G321" s="16"/>
      <c r="H321" s="19">
        <f t="shared" ref="H321:H323" ca="1" si="161">OFFSET(H321,-15,0)</f>
        <v>0</v>
      </c>
      <c r="I321" s="15">
        <f t="shared" ca="1" si="151"/>
        <v>1</v>
      </c>
      <c r="J321" s="15"/>
      <c r="K321" s="15">
        <f t="shared" ca="1" si="150"/>
        <v>0</v>
      </c>
    </row>
    <row r="322" spans="1:11" x14ac:dyDescent="0.4">
      <c r="A322" s="11" t="s">
        <v>9</v>
      </c>
      <c r="B322" s="41">
        <f t="shared" ca="1" si="160"/>
        <v>0</v>
      </c>
      <c r="C322" s="19">
        <f t="shared" ca="1" si="160"/>
        <v>0</v>
      </c>
      <c r="D322" s="20">
        <f t="shared" ca="1" si="160"/>
        <v>0</v>
      </c>
      <c r="E322" s="20">
        <f t="shared" ca="1" si="160"/>
        <v>0</v>
      </c>
      <c r="F322" s="13">
        <f t="shared" ca="1" si="160"/>
        <v>0</v>
      </c>
      <c r="G322" s="16"/>
      <c r="H322" s="19">
        <f t="shared" ca="1" si="161"/>
        <v>0</v>
      </c>
      <c r="I322" s="15">
        <f t="shared" ca="1" si="151"/>
        <v>1</v>
      </c>
      <c r="J322" s="15"/>
      <c r="K322" s="15">
        <f t="shared" ca="1" si="150"/>
        <v>0</v>
      </c>
    </row>
    <row r="323" spans="1:11" x14ac:dyDescent="0.4">
      <c r="A323" s="11" t="s">
        <v>9</v>
      </c>
      <c r="B323" s="41">
        <f t="shared" ca="1" si="160"/>
        <v>0</v>
      </c>
      <c r="C323" s="19">
        <f t="shared" ca="1" si="160"/>
        <v>0</v>
      </c>
      <c r="D323" s="20">
        <f t="shared" ca="1" si="160"/>
        <v>0</v>
      </c>
      <c r="E323" s="20">
        <f t="shared" ca="1" si="160"/>
        <v>0</v>
      </c>
      <c r="F323" s="13">
        <f t="shared" ca="1" si="160"/>
        <v>0</v>
      </c>
      <c r="G323" s="16"/>
      <c r="H323" s="19">
        <f t="shared" ca="1" si="161"/>
        <v>0</v>
      </c>
      <c r="I323" s="15">
        <f t="shared" ca="1" si="151"/>
        <v>1</v>
      </c>
      <c r="J323" s="15"/>
      <c r="K323" s="15">
        <f t="shared" ca="1" si="150"/>
        <v>0</v>
      </c>
    </row>
    <row r="324" spans="1:11" ht="17.399999999999999" x14ac:dyDescent="0.4">
      <c r="A324" s="74" t="s">
        <v>32</v>
      </c>
      <c r="B324" s="75"/>
      <c r="C324" s="75"/>
      <c r="D324" s="75"/>
      <c r="E324" s="75"/>
      <c r="F324" s="75"/>
      <c r="G324" s="75"/>
      <c r="H324" s="75"/>
      <c r="I324" s="75"/>
      <c r="J324" s="75"/>
      <c r="K324" s="76"/>
    </row>
    <row r="325" spans="1:11" x14ac:dyDescent="0.4">
      <c r="A325" s="11" t="s">
        <v>5</v>
      </c>
      <c r="B325" s="40"/>
      <c r="C325" s="13"/>
      <c r="D325" s="11"/>
      <c r="E325" s="17"/>
      <c r="F325" s="13"/>
      <c r="G325" s="16"/>
      <c r="H325" s="13"/>
      <c r="I325" s="15">
        <f>ROUND((10^(H325/10))/(10^(F325/10)),3)</f>
        <v>1</v>
      </c>
      <c r="J325" s="15"/>
      <c r="K325" s="15">
        <f t="shared" ref="K325:K342" si="162">G325*I325</f>
        <v>0</v>
      </c>
    </row>
    <row r="326" spans="1:11" x14ac:dyDescent="0.4">
      <c r="A326" s="11" t="s">
        <v>5</v>
      </c>
      <c r="B326" s="40"/>
      <c r="C326" s="13"/>
      <c r="D326" s="11"/>
      <c r="E326" s="17"/>
      <c r="F326" s="13"/>
      <c r="G326" s="16"/>
      <c r="H326" s="13"/>
      <c r="I326" s="15">
        <f t="shared" ref="I326:I342" si="163">ROUND((10^(H326/10))/(10^(F326/10)),3)</f>
        <v>1</v>
      </c>
      <c r="J326" s="15"/>
      <c r="K326" s="15">
        <f t="shared" si="162"/>
        <v>0</v>
      </c>
    </row>
    <row r="327" spans="1:11" x14ac:dyDescent="0.4">
      <c r="A327" s="11" t="s">
        <v>5</v>
      </c>
      <c r="B327" s="40"/>
      <c r="C327" s="13"/>
      <c r="D327" s="11"/>
      <c r="E327" s="17"/>
      <c r="F327" s="13"/>
      <c r="G327" s="16"/>
      <c r="H327" s="13"/>
      <c r="I327" s="15">
        <f t="shared" si="163"/>
        <v>1</v>
      </c>
      <c r="J327" s="15"/>
      <c r="K327" s="15">
        <f t="shared" si="162"/>
        <v>0</v>
      </c>
    </row>
    <row r="328" spans="1:11" x14ac:dyDescent="0.4">
      <c r="A328" s="11" t="s">
        <v>6</v>
      </c>
      <c r="B328" s="41">
        <f t="shared" ref="B328:F330" ca="1" si="164">OFFSET(B328,-3,0)</f>
        <v>0</v>
      </c>
      <c r="C328" s="19">
        <f t="shared" ca="1" si="164"/>
        <v>0</v>
      </c>
      <c r="D328" s="20">
        <f t="shared" ca="1" si="164"/>
        <v>0</v>
      </c>
      <c r="E328" s="20">
        <f t="shared" ca="1" si="164"/>
        <v>0</v>
      </c>
      <c r="F328" s="13">
        <f t="shared" ca="1" si="164"/>
        <v>0</v>
      </c>
      <c r="G328" s="16"/>
      <c r="H328" s="19">
        <f t="shared" ref="H328:H330" ca="1" si="165">OFFSET(H328,-3,0)</f>
        <v>0</v>
      </c>
      <c r="I328" s="15">
        <f t="shared" ca="1" si="163"/>
        <v>1</v>
      </c>
      <c r="J328" s="15"/>
      <c r="K328" s="15">
        <f t="shared" ca="1" si="162"/>
        <v>0</v>
      </c>
    </row>
    <row r="329" spans="1:11" x14ac:dyDescent="0.4">
      <c r="A329" s="11" t="s">
        <v>6</v>
      </c>
      <c r="B329" s="41">
        <f t="shared" ca="1" si="164"/>
        <v>0</v>
      </c>
      <c r="C329" s="19">
        <f t="shared" ca="1" si="164"/>
        <v>0</v>
      </c>
      <c r="D329" s="20">
        <f t="shared" ca="1" si="164"/>
        <v>0</v>
      </c>
      <c r="E329" s="20">
        <f t="shared" ca="1" si="164"/>
        <v>0</v>
      </c>
      <c r="F329" s="13">
        <f t="shared" ca="1" si="164"/>
        <v>0</v>
      </c>
      <c r="G329" s="16"/>
      <c r="H329" s="19">
        <f t="shared" ca="1" si="165"/>
        <v>0</v>
      </c>
      <c r="I329" s="15">
        <f t="shared" ca="1" si="163"/>
        <v>1</v>
      </c>
      <c r="J329" s="15"/>
      <c r="K329" s="15">
        <f t="shared" ca="1" si="162"/>
        <v>0</v>
      </c>
    </row>
    <row r="330" spans="1:11" x14ac:dyDescent="0.4">
      <c r="A330" s="11" t="s">
        <v>6</v>
      </c>
      <c r="B330" s="41">
        <f t="shared" ca="1" si="164"/>
        <v>0</v>
      </c>
      <c r="C330" s="19">
        <f t="shared" ca="1" si="164"/>
        <v>0</v>
      </c>
      <c r="D330" s="20">
        <f t="shared" ca="1" si="164"/>
        <v>0</v>
      </c>
      <c r="E330" s="20">
        <f t="shared" ca="1" si="164"/>
        <v>0</v>
      </c>
      <c r="F330" s="13">
        <f t="shared" ca="1" si="164"/>
        <v>0</v>
      </c>
      <c r="G330" s="16"/>
      <c r="H330" s="19">
        <f t="shared" ca="1" si="165"/>
        <v>0</v>
      </c>
      <c r="I330" s="15">
        <f t="shared" ca="1" si="163"/>
        <v>1</v>
      </c>
      <c r="J330" s="15"/>
      <c r="K330" s="15">
        <f t="shared" ca="1" si="162"/>
        <v>0</v>
      </c>
    </row>
    <row r="331" spans="1:11" x14ac:dyDescent="0.4">
      <c r="A331" s="11" t="s">
        <v>10</v>
      </c>
      <c r="B331" s="40">
        <f t="shared" ref="B331:F333" ca="1" si="166">OFFSET(B331,-6,0)</f>
        <v>0</v>
      </c>
      <c r="C331" s="13">
        <f t="shared" ca="1" si="166"/>
        <v>0</v>
      </c>
      <c r="D331" s="17">
        <f t="shared" ca="1" si="166"/>
        <v>0</v>
      </c>
      <c r="E331" s="17">
        <f t="shared" ca="1" si="166"/>
        <v>0</v>
      </c>
      <c r="F331" s="13">
        <f t="shared" ca="1" si="166"/>
        <v>0</v>
      </c>
      <c r="G331" s="16"/>
      <c r="H331" s="13">
        <f t="shared" ref="H331:H333" ca="1" si="167">OFFSET(H331,-6,0)</f>
        <v>0</v>
      </c>
      <c r="I331" s="15">
        <f t="shared" ca="1" si="163"/>
        <v>1</v>
      </c>
      <c r="J331" s="15"/>
      <c r="K331" s="15">
        <f t="shared" ca="1" si="162"/>
        <v>0</v>
      </c>
    </row>
    <row r="332" spans="1:11" x14ac:dyDescent="0.4">
      <c r="A332" s="11" t="s">
        <v>10</v>
      </c>
      <c r="B332" s="40">
        <f t="shared" ca="1" si="166"/>
        <v>0</v>
      </c>
      <c r="C332" s="13">
        <f t="shared" ca="1" si="166"/>
        <v>0</v>
      </c>
      <c r="D332" s="17">
        <f t="shared" ca="1" si="166"/>
        <v>0</v>
      </c>
      <c r="E332" s="17">
        <f t="shared" ca="1" si="166"/>
        <v>0</v>
      </c>
      <c r="F332" s="13">
        <f t="shared" ca="1" si="166"/>
        <v>0</v>
      </c>
      <c r="G332" s="16"/>
      <c r="H332" s="13">
        <f t="shared" ca="1" si="167"/>
        <v>0</v>
      </c>
      <c r="I332" s="15">
        <f t="shared" ca="1" si="163"/>
        <v>1</v>
      </c>
      <c r="J332" s="15"/>
      <c r="K332" s="15">
        <f t="shared" ca="1" si="162"/>
        <v>0</v>
      </c>
    </row>
    <row r="333" spans="1:11" x14ac:dyDescent="0.4">
      <c r="A333" s="11" t="s">
        <v>10</v>
      </c>
      <c r="B333" s="40">
        <f t="shared" ca="1" si="166"/>
        <v>0</v>
      </c>
      <c r="C333" s="13">
        <f t="shared" ca="1" si="166"/>
        <v>0</v>
      </c>
      <c r="D333" s="17">
        <f t="shared" ca="1" si="166"/>
        <v>0</v>
      </c>
      <c r="E333" s="17">
        <f t="shared" ca="1" si="166"/>
        <v>0</v>
      </c>
      <c r="F333" s="13">
        <f t="shared" ca="1" si="166"/>
        <v>0</v>
      </c>
      <c r="G333" s="16"/>
      <c r="H333" s="13">
        <f t="shared" ca="1" si="167"/>
        <v>0</v>
      </c>
      <c r="I333" s="15">
        <f t="shared" ca="1" si="163"/>
        <v>1</v>
      </c>
      <c r="J333" s="15"/>
      <c r="K333" s="15">
        <f t="shared" ca="1" si="162"/>
        <v>0</v>
      </c>
    </row>
    <row r="334" spans="1:11" x14ac:dyDescent="0.4">
      <c r="A334" s="11" t="s">
        <v>7</v>
      </c>
      <c r="B334" s="40">
        <f t="shared" ref="B334:F336" ca="1" si="168">OFFSET(B334,-9,0)</f>
        <v>0</v>
      </c>
      <c r="C334" s="13">
        <f t="shared" ca="1" si="168"/>
        <v>0</v>
      </c>
      <c r="D334" s="17">
        <f t="shared" ca="1" si="168"/>
        <v>0</v>
      </c>
      <c r="E334" s="17">
        <f t="shared" ca="1" si="168"/>
        <v>0</v>
      </c>
      <c r="F334" s="13">
        <f t="shared" ca="1" si="168"/>
        <v>0</v>
      </c>
      <c r="G334" s="16"/>
      <c r="H334" s="13">
        <f t="shared" ref="H334:H336" ca="1" si="169">OFFSET(H334,-9,0)</f>
        <v>0</v>
      </c>
      <c r="I334" s="15">
        <f t="shared" ca="1" si="163"/>
        <v>1</v>
      </c>
      <c r="J334" s="15"/>
      <c r="K334" s="15">
        <f t="shared" ca="1" si="162"/>
        <v>0</v>
      </c>
    </row>
    <row r="335" spans="1:11" x14ac:dyDescent="0.4">
      <c r="A335" s="11" t="s">
        <v>7</v>
      </c>
      <c r="B335" s="40">
        <f t="shared" ca="1" si="168"/>
        <v>0</v>
      </c>
      <c r="C335" s="13">
        <f t="shared" ca="1" si="168"/>
        <v>0</v>
      </c>
      <c r="D335" s="17">
        <f t="shared" ca="1" si="168"/>
        <v>0</v>
      </c>
      <c r="E335" s="17">
        <f t="shared" ca="1" si="168"/>
        <v>0</v>
      </c>
      <c r="F335" s="13">
        <f t="shared" ca="1" si="168"/>
        <v>0</v>
      </c>
      <c r="G335" s="16"/>
      <c r="H335" s="13">
        <f t="shared" ca="1" si="169"/>
        <v>0</v>
      </c>
      <c r="I335" s="15">
        <f t="shared" ca="1" si="163"/>
        <v>1</v>
      </c>
      <c r="J335" s="15"/>
      <c r="K335" s="15">
        <f t="shared" ca="1" si="162"/>
        <v>0</v>
      </c>
    </row>
    <row r="336" spans="1:11" x14ac:dyDescent="0.4">
      <c r="A336" s="11" t="s">
        <v>7</v>
      </c>
      <c r="B336" s="40">
        <f t="shared" ca="1" si="168"/>
        <v>0</v>
      </c>
      <c r="C336" s="13">
        <f t="shared" ca="1" si="168"/>
        <v>0</v>
      </c>
      <c r="D336" s="17">
        <f t="shared" ca="1" si="168"/>
        <v>0</v>
      </c>
      <c r="E336" s="17">
        <f t="shared" ca="1" si="168"/>
        <v>0</v>
      </c>
      <c r="F336" s="13">
        <f t="shared" ca="1" si="168"/>
        <v>0</v>
      </c>
      <c r="G336" s="16"/>
      <c r="H336" s="13">
        <f t="shared" ca="1" si="169"/>
        <v>0</v>
      </c>
      <c r="I336" s="15">
        <f t="shared" ca="1" si="163"/>
        <v>1</v>
      </c>
      <c r="J336" s="15"/>
      <c r="K336" s="15">
        <f t="shared" ca="1" si="162"/>
        <v>0</v>
      </c>
    </row>
    <row r="337" spans="1:11" x14ac:dyDescent="0.4">
      <c r="A337" s="11" t="s">
        <v>8</v>
      </c>
      <c r="B337" s="40">
        <f t="shared" ref="B337:F339" ca="1" si="170">OFFSET(B337,-12,0)</f>
        <v>0</v>
      </c>
      <c r="C337" s="13">
        <f t="shared" ca="1" si="170"/>
        <v>0</v>
      </c>
      <c r="D337" s="17">
        <f t="shared" ca="1" si="170"/>
        <v>0</v>
      </c>
      <c r="E337" s="17">
        <f t="shared" ca="1" si="170"/>
        <v>0</v>
      </c>
      <c r="F337" s="13">
        <f t="shared" ca="1" si="170"/>
        <v>0</v>
      </c>
      <c r="G337" s="16"/>
      <c r="H337" s="13">
        <f t="shared" ref="H337:H339" ca="1" si="171">OFFSET(H337,-12,0)</f>
        <v>0</v>
      </c>
      <c r="I337" s="15">
        <f t="shared" ca="1" si="163"/>
        <v>1</v>
      </c>
      <c r="J337" s="15"/>
      <c r="K337" s="15">
        <f t="shared" ca="1" si="162"/>
        <v>0</v>
      </c>
    </row>
    <row r="338" spans="1:11" x14ac:dyDescent="0.4">
      <c r="A338" s="11" t="s">
        <v>8</v>
      </c>
      <c r="B338" s="40">
        <f t="shared" ca="1" si="170"/>
        <v>0</v>
      </c>
      <c r="C338" s="13">
        <f t="shared" ca="1" si="170"/>
        <v>0</v>
      </c>
      <c r="D338" s="17">
        <f t="shared" ca="1" si="170"/>
        <v>0</v>
      </c>
      <c r="E338" s="17">
        <f t="shared" ca="1" si="170"/>
        <v>0</v>
      </c>
      <c r="F338" s="13">
        <f t="shared" ca="1" si="170"/>
        <v>0</v>
      </c>
      <c r="G338" s="16"/>
      <c r="H338" s="13">
        <f t="shared" ca="1" si="171"/>
        <v>0</v>
      </c>
      <c r="I338" s="15">
        <f t="shared" ca="1" si="163"/>
        <v>1</v>
      </c>
      <c r="J338" s="15"/>
      <c r="K338" s="15">
        <f t="shared" ca="1" si="162"/>
        <v>0</v>
      </c>
    </row>
    <row r="339" spans="1:11" x14ac:dyDescent="0.4">
      <c r="A339" s="11" t="s">
        <v>8</v>
      </c>
      <c r="B339" s="40">
        <f t="shared" ca="1" si="170"/>
        <v>0</v>
      </c>
      <c r="C339" s="13">
        <f t="shared" ca="1" si="170"/>
        <v>0</v>
      </c>
      <c r="D339" s="17">
        <f t="shared" ca="1" si="170"/>
        <v>0</v>
      </c>
      <c r="E339" s="17">
        <f t="shared" ca="1" si="170"/>
        <v>0</v>
      </c>
      <c r="F339" s="13">
        <f t="shared" ca="1" si="170"/>
        <v>0</v>
      </c>
      <c r="G339" s="16"/>
      <c r="H339" s="13">
        <f t="shared" ca="1" si="171"/>
        <v>0</v>
      </c>
      <c r="I339" s="15">
        <f t="shared" ca="1" si="163"/>
        <v>1</v>
      </c>
      <c r="J339" s="15"/>
      <c r="K339" s="15">
        <f t="shared" ca="1" si="162"/>
        <v>0</v>
      </c>
    </row>
    <row r="340" spans="1:11" x14ac:dyDescent="0.4">
      <c r="A340" s="11" t="s">
        <v>9</v>
      </c>
      <c r="B340" s="41">
        <f t="shared" ref="B340:E342" ca="1" si="172">OFFSET(B340,-15,0)</f>
        <v>0</v>
      </c>
      <c r="C340" s="19">
        <f t="shared" ca="1" si="172"/>
        <v>0</v>
      </c>
      <c r="D340" s="20">
        <f t="shared" ca="1" si="172"/>
        <v>0</v>
      </c>
      <c r="E340" s="20">
        <f ca="1">OFFSET(E340,-15,0)</f>
        <v>0</v>
      </c>
      <c r="F340" s="13">
        <f t="shared" ref="F340:F342" ca="1" si="173">OFFSET(F340,-15,0)</f>
        <v>0</v>
      </c>
      <c r="G340" s="16"/>
      <c r="H340" s="19">
        <f t="shared" ref="H340:H342" ca="1" si="174">OFFSET(H340,-15,0)</f>
        <v>0</v>
      </c>
      <c r="I340" s="15">
        <f t="shared" ca="1" si="163"/>
        <v>1</v>
      </c>
      <c r="J340" s="15"/>
      <c r="K340" s="15">
        <f t="shared" ca="1" si="162"/>
        <v>0</v>
      </c>
    </row>
    <row r="341" spans="1:11" x14ac:dyDescent="0.4">
      <c r="A341" s="11" t="s">
        <v>9</v>
      </c>
      <c r="B341" s="41">
        <f t="shared" ca="1" si="172"/>
        <v>0</v>
      </c>
      <c r="C341" s="19">
        <f t="shared" ca="1" si="172"/>
        <v>0</v>
      </c>
      <c r="D341" s="20">
        <f t="shared" ca="1" si="172"/>
        <v>0</v>
      </c>
      <c r="E341" s="20">
        <f t="shared" ca="1" si="172"/>
        <v>0</v>
      </c>
      <c r="F341" s="13">
        <f t="shared" ca="1" si="173"/>
        <v>0</v>
      </c>
      <c r="G341" s="16"/>
      <c r="H341" s="19">
        <f t="shared" ca="1" si="174"/>
        <v>0</v>
      </c>
      <c r="I341" s="15">
        <f t="shared" ca="1" si="163"/>
        <v>1</v>
      </c>
      <c r="J341" s="15"/>
      <c r="K341" s="15">
        <f t="shared" ca="1" si="162"/>
        <v>0</v>
      </c>
    </row>
    <row r="342" spans="1:11" x14ac:dyDescent="0.4">
      <c r="A342" s="11" t="s">
        <v>9</v>
      </c>
      <c r="B342" s="41">
        <f t="shared" ca="1" si="172"/>
        <v>0</v>
      </c>
      <c r="C342" s="19">
        <f t="shared" ca="1" si="172"/>
        <v>0</v>
      </c>
      <c r="D342" s="20">
        <f t="shared" ca="1" si="172"/>
        <v>0</v>
      </c>
      <c r="E342" s="20">
        <f t="shared" ca="1" si="172"/>
        <v>0</v>
      </c>
      <c r="F342" s="13">
        <f t="shared" ca="1" si="173"/>
        <v>0</v>
      </c>
      <c r="G342" s="16"/>
      <c r="H342" s="19">
        <f t="shared" ca="1" si="174"/>
        <v>0</v>
      </c>
      <c r="I342" s="15">
        <f t="shared" ca="1" si="163"/>
        <v>1</v>
      </c>
      <c r="J342" s="15"/>
      <c r="K342" s="15">
        <f t="shared" ca="1" si="162"/>
        <v>0</v>
      </c>
    </row>
    <row r="343" spans="1:11" ht="17.399999999999999" x14ac:dyDescent="0.4">
      <c r="A343" s="74" t="s">
        <v>30</v>
      </c>
      <c r="B343" s="75"/>
      <c r="C343" s="75"/>
      <c r="D343" s="75"/>
      <c r="E343" s="75"/>
      <c r="F343" s="75"/>
      <c r="G343" s="75"/>
      <c r="H343" s="75"/>
      <c r="I343" s="75"/>
      <c r="J343" s="75"/>
      <c r="K343" s="76"/>
    </row>
    <row r="344" spans="1:11" x14ac:dyDescent="0.4">
      <c r="A344" s="11" t="s">
        <v>5</v>
      </c>
      <c r="B344" s="40"/>
      <c r="C344" s="13"/>
      <c r="D344" s="11"/>
      <c r="E344" s="17"/>
      <c r="F344" s="13"/>
      <c r="G344" s="16"/>
      <c r="H344" s="13"/>
      <c r="I344" s="15">
        <f>ROUND((10^(H344/10))/(10^(F344/10)),3)</f>
        <v>1</v>
      </c>
      <c r="J344" s="15"/>
      <c r="K344" s="15">
        <f t="shared" ref="K344:K361" si="175">G344*I344</f>
        <v>0</v>
      </c>
    </row>
    <row r="345" spans="1:11" x14ac:dyDescent="0.4">
      <c r="A345" s="11" t="s">
        <v>5</v>
      </c>
      <c r="B345" s="40"/>
      <c r="C345" s="13"/>
      <c r="D345" s="11"/>
      <c r="E345" s="17"/>
      <c r="F345" s="13"/>
      <c r="G345" s="16"/>
      <c r="H345" s="13"/>
      <c r="I345" s="15">
        <f t="shared" ref="I345:I361" si="176">ROUND((10^(H345/10))/(10^(F345/10)),3)</f>
        <v>1</v>
      </c>
      <c r="J345" s="15"/>
      <c r="K345" s="15">
        <f t="shared" si="175"/>
        <v>0</v>
      </c>
    </row>
    <row r="346" spans="1:11" x14ac:dyDescent="0.4">
      <c r="A346" s="11" t="s">
        <v>5</v>
      </c>
      <c r="B346" s="40"/>
      <c r="C346" s="13"/>
      <c r="D346" s="11"/>
      <c r="E346" s="17"/>
      <c r="F346" s="13"/>
      <c r="G346" s="16"/>
      <c r="H346" s="13"/>
      <c r="I346" s="15">
        <f t="shared" si="176"/>
        <v>1</v>
      </c>
      <c r="J346" s="15"/>
      <c r="K346" s="15">
        <f t="shared" si="175"/>
        <v>0</v>
      </c>
    </row>
    <row r="347" spans="1:11" x14ac:dyDescent="0.4">
      <c r="A347" s="11" t="s">
        <v>6</v>
      </c>
      <c r="B347" s="41">
        <f t="shared" ref="B347:F349" ca="1" si="177">OFFSET(B347,-3,0)</f>
        <v>0</v>
      </c>
      <c r="C347" s="19">
        <f t="shared" ca="1" si="177"/>
        <v>0</v>
      </c>
      <c r="D347" s="20">
        <f t="shared" ca="1" si="177"/>
        <v>0</v>
      </c>
      <c r="E347" s="20">
        <f t="shared" ca="1" si="177"/>
        <v>0</v>
      </c>
      <c r="F347" s="13">
        <f t="shared" ca="1" si="177"/>
        <v>0</v>
      </c>
      <c r="G347" s="16"/>
      <c r="H347" s="19">
        <f t="shared" ref="H347:H349" ca="1" si="178">OFFSET(H347,-3,0)</f>
        <v>0</v>
      </c>
      <c r="I347" s="15">
        <f t="shared" ca="1" si="176"/>
        <v>1</v>
      </c>
      <c r="J347" s="15"/>
      <c r="K347" s="15">
        <f t="shared" ca="1" si="175"/>
        <v>0</v>
      </c>
    </row>
    <row r="348" spans="1:11" x14ac:dyDescent="0.4">
      <c r="A348" s="11" t="s">
        <v>6</v>
      </c>
      <c r="B348" s="41">
        <f t="shared" ca="1" si="177"/>
        <v>0</v>
      </c>
      <c r="C348" s="19">
        <f t="shared" ca="1" si="177"/>
        <v>0</v>
      </c>
      <c r="D348" s="20">
        <f t="shared" ca="1" si="177"/>
        <v>0</v>
      </c>
      <c r="E348" s="20">
        <f t="shared" ca="1" si="177"/>
        <v>0</v>
      </c>
      <c r="F348" s="13">
        <f t="shared" ca="1" si="177"/>
        <v>0</v>
      </c>
      <c r="G348" s="16"/>
      <c r="H348" s="19">
        <f t="shared" ca="1" si="178"/>
        <v>0</v>
      </c>
      <c r="I348" s="15">
        <f t="shared" ca="1" si="176"/>
        <v>1</v>
      </c>
      <c r="J348" s="15"/>
      <c r="K348" s="15">
        <f t="shared" ca="1" si="175"/>
        <v>0</v>
      </c>
    </row>
    <row r="349" spans="1:11" x14ac:dyDescent="0.4">
      <c r="A349" s="11" t="s">
        <v>6</v>
      </c>
      <c r="B349" s="41">
        <f t="shared" ca="1" si="177"/>
        <v>0</v>
      </c>
      <c r="C349" s="19">
        <f t="shared" ca="1" si="177"/>
        <v>0</v>
      </c>
      <c r="D349" s="20">
        <f t="shared" ca="1" si="177"/>
        <v>0</v>
      </c>
      <c r="E349" s="20">
        <f t="shared" ca="1" si="177"/>
        <v>0</v>
      </c>
      <c r="F349" s="13">
        <f t="shared" ca="1" si="177"/>
        <v>0</v>
      </c>
      <c r="G349" s="16"/>
      <c r="H349" s="19">
        <f t="shared" ca="1" si="178"/>
        <v>0</v>
      </c>
      <c r="I349" s="15">
        <f t="shared" ca="1" si="176"/>
        <v>1</v>
      </c>
      <c r="J349" s="15"/>
      <c r="K349" s="15">
        <f t="shared" ca="1" si="175"/>
        <v>0</v>
      </c>
    </row>
    <row r="350" spans="1:11" x14ac:dyDescent="0.4">
      <c r="A350" s="11" t="s">
        <v>10</v>
      </c>
      <c r="B350" s="40">
        <f t="shared" ref="B350:F352" ca="1" si="179">OFFSET(B350,-6,0)</f>
        <v>0</v>
      </c>
      <c r="C350" s="13">
        <f t="shared" ca="1" si="179"/>
        <v>0</v>
      </c>
      <c r="D350" s="17">
        <f t="shared" ca="1" si="179"/>
        <v>0</v>
      </c>
      <c r="E350" s="17">
        <f t="shared" ca="1" si="179"/>
        <v>0</v>
      </c>
      <c r="F350" s="13">
        <f t="shared" ca="1" si="179"/>
        <v>0</v>
      </c>
      <c r="G350" s="16"/>
      <c r="H350" s="13">
        <f t="shared" ref="H350:H352" ca="1" si="180">OFFSET(H350,-6,0)</f>
        <v>0</v>
      </c>
      <c r="I350" s="15">
        <f t="shared" ca="1" si="176"/>
        <v>1</v>
      </c>
      <c r="J350" s="15"/>
      <c r="K350" s="15">
        <f t="shared" ca="1" si="175"/>
        <v>0</v>
      </c>
    </row>
    <row r="351" spans="1:11" x14ac:dyDescent="0.4">
      <c r="A351" s="11" t="s">
        <v>10</v>
      </c>
      <c r="B351" s="40">
        <f t="shared" ca="1" si="179"/>
        <v>0</v>
      </c>
      <c r="C351" s="13">
        <f t="shared" ca="1" si="179"/>
        <v>0</v>
      </c>
      <c r="D351" s="17">
        <f t="shared" ca="1" si="179"/>
        <v>0</v>
      </c>
      <c r="E351" s="17">
        <f t="shared" ca="1" si="179"/>
        <v>0</v>
      </c>
      <c r="F351" s="13">
        <f t="shared" ca="1" si="179"/>
        <v>0</v>
      </c>
      <c r="G351" s="16"/>
      <c r="H351" s="13">
        <f t="shared" ca="1" si="180"/>
        <v>0</v>
      </c>
      <c r="I351" s="15">
        <f t="shared" ca="1" si="176"/>
        <v>1</v>
      </c>
      <c r="J351" s="15"/>
      <c r="K351" s="15">
        <f t="shared" ca="1" si="175"/>
        <v>0</v>
      </c>
    </row>
    <row r="352" spans="1:11" x14ac:dyDescent="0.4">
      <c r="A352" s="11" t="s">
        <v>10</v>
      </c>
      <c r="B352" s="40">
        <f t="shared" ca="1" si="179"/>
        <v>0</v>
      </c>
      <c r="C352" s="13">
        <f t="shared" ca="1" si="179"/>
        <v>0</v>
      </c>
      <c r="D352" s="17">
        <f t="shared" ca="1" si="179"/>
        <v>0</v>
      </c>
      <c r="E352" s="17">
        <f t="shared" ca="1" si="179"/>
        <v>0</v>
      </c>
      <c r="F352" s="13">
        <f t="shared" ca="1" si="179"/>
        <v>0</v>
      </c>
      <c r="G352" s="16"/>
      <c r="H352" s="13">
        <f t="shared" ca="1" si="180"/>
        <v>0</v>
      </c>
      <c r="I352" s="15">
        <f t="shared" ca="1" si="176"/>
        <v>1</v>
      </c>
      <c r="J352" s="15"/>
      <c r="K352" s="15">
        <f t="shared" ca="1" si="175"/>
        <v>0</v>
      </c>
    </row>
    <row r="353" spans="1:11" x14ac:dyDescent="0.4">
      <c r="A353" s="11" t="s">
        <v>7</v>
      </c>
      <c r="B353" s="40">
        <f t="shared" ref="B353:F355" ca="1" si="181">OFFSET(B353,-9,0)</f>
        <v>0</v>
      </c>
      <c r="C353" s="13">
        <f t="shared" ca="1" si="181"/>
        <v>0</v>
      </c>
      <c r="D353" s="17">
        <f t="shared" ca="1" si="181"/>
        <v>0</v>
      </c>
      <c r="E353" s="17">
        <f t="shared" ca="1" si="181"/>
        <v>0</v>
      </c>
      <c r="F353" s="13">
        <f t="shared" ca="1" si="181"/>
        <v>0</v>
      </c>
      <c r="G353" s="16"/>
      <c r="H353" s="13">
        <f t="shared" ref="H353:H355" ca="1" si="182">OFFSET(H353,-9,0)</f>
        <v>0</v>
      </c>
      <c r="I353" s="15">
        <f t="shared" ca="1" si="176"/>
        <v>1</v>
      </c>
      <c r="J353" s="15"/>
      <c r="K353" s="15">
        <f t="shared" ca="1" si="175"/>
        <v>0</v>
      </c>
    </row>
    <row r="354" spans="1:11" x14ac:dyDescent="0.4">
      <c r="A354" s="11" t="s">
        <v>7</v>
      </c>
      <c r="B354" s="40">
        <f t="shared" ca="1" si="181"/>
        <v>0</v>
      </c>
      <c r="C354" s="13">
        <f t="shared" ca="1" si="181"/>
        <v>0</v>
      </c>
      <c r="D354" s="17">
        <f t="shared" ca="1" si="181"/>
        <v>0</v>
      </c>
      <c r="E354" s="17">
        <f t="shared" ca="1" si="181"/>
        <v>0</v>
      </c>
      <c r="F354" s="13">
        <f t="shared" ca="1" si="181"/>
        <v>0</v>
      </c>
      <c r="G354" s="16"/>
      <c r="H354" s="13">
        <f t="shared" ca="1" si="182"/>
        <v>0</v>
      </c>
      <c r="I354" s="15">
        <f t="shared" ca="1" si="176"/>
        <v>1</v>
      </c>
      <c r="J354" s="15"/>
      <c r="K354" s="15">
        <f t="shared" ca="1" si="175"/>
        <v>0</v>
      </c>
    </row>
    <row r="355" spans="1:11" x14ac:dyDescent="0.4">
      <c r="A355" s="11" t="s">
        <v>7</v>
      </c>
      <c r="B355" s="40">
        <f t="shared" ca="1" si="181"/>
        <v>0</v>
      </c>
      <c r="C355" s="13">
        <f t="shared" ca="1" si="181"/>
        <v>0</v>
      </c>
      <c r="D355" s="17">
        <f t="shared" ca="1" si="181"/>
        <v>0</v>
      </c>
      <c r="E355" s="17">
        <f t="shared" ca="1" si="181"/>
        <v>0</v>
      </c>
      <c r="F355" s="13">
        <f t="shared" ca="1" si="181"/>
        <v>0</v>
      </c>
      <c r="G355" s="16"/>
      <c r="H355" s="13">
        <f t="shared" ca="1" si="182"/>
        <v>0</v>
      </c>
      <c r="I355" s="15">
        <f t="shared" ca="1" si="176"/>
        <v>1</v>
      </c>
      <c r="J355" s="15"/>
      <c r="K355" s="15">
        <f t="shared" ca="1" si="175"/>
        <v>0</v>
      </c>
    </row>
    <row r="356" spans="1:11" x14ac:dyDescent="0.4">
      <c r="A356" s="11" t="s">
        <v>8</v>
      </c>
      <c r="B356" s="40">
        <f t="shared" ref="B356:F358" ca="1" si="183">OFFSET(B356,-12,0)</f>
        <v>0</v>
      </c>
      <c r="C356" s="13">
        <f t="shared" ca="1" si="183"/>
        <v>0</v>
      </c>
      <c r="D356" s="17">
        <f t="shared" ca="1" si="183"/>
        <v>0</v>
      </c>
      <c r="E356" s="17">
        <f t="shared" ca="1" si="183"/>
        <v>0</v>
      </c>
      <c r="F356" s="13">
        <f t="shared" ca="1" si="183"/>
        <v>0</v>
      </c>
      <c r="G356" s="16"/>
      <c r="H356" s="13">
        <f t="shared" ref="H356:H358" ca="1" si="184">OFFSET(H356,-12,0)</f>
        <v>0</v>
      </c>
      <c r="I356" s="15">
        <f t="shared" ca="1" si="176"/>
        <v>1</v>
      </c>
      <c r="J356" s="15"/>
      <c r="K356" s="15">
        <f t="shared" ca="1" si="175"/>
        <v>0</v>
      </c>
    </row>
    <row r="357" spans="1:11" x14ac:dyDescent="0.4">
      <c r="A357" s="11" t="s">
        <v>8</v>
      </c>
      <c r="B357" s="40">
        <f t="shared" ca="1" si="183"/>
        <v>0</v>
      </c>
      <c r="C357" s="13">
        <f t="shared" ca="1" si="183"/>
        <v>0</v>
      </c>
      <c r="D357" s="17">
        <f t="shared" ca="1" si="183"/>
        <v>0</v>
      </c>
      <c r="E357" s="17">
        <f t="shared" ca="1" si="183"/>
        <v>0</v>
      </c>
      <c r="F357" s="13">
        <f t="shared" ca="1" si="183"/>
        <v>0</v>
      </c>
      <c r="G357" s="16"/>
      <c r="H357" s="13">
        <f t="shared" ca="1" si="184"/>
        <v>0</v>
      </c>
      <c r="I357" s="15">
        <f t="shared" ca="1" si="176"/>
        <v>1</v>
      </c>
      <c r="J357" s="15"/>
      <c r="K357" s="15">
        <f t="shared" ca="1" si="175"/>
        <v>0</v>
      </c>
    </row>
    <row r="358" spans="1:11" x14ac:dyDescent="0.4">
      <c r="A358" s="11" t="s">
        <v>8</v>
      </c>
      <c r="B358" s="40">
        <f t="shared" ca="1" si="183"/>
        <v>0</v>
      </c>
      <c r="C358" s="13">
        <f t="shared" ca="1" si="183"/>
        <v>0</v>
      </c>
      <c r="D358" s="17">
        <f t="shared" ca="1" si="183"/>
        <v>0</v>
      </c>
      <c r="E358" s="17">
        <f t="shared" ca="1" si="183"/>
        <v>0</v>
      </c>
      <c r="F358" s="13">
        <f t="shared" ca="1" si="183"/>
        <v>0</v>
      </c>
      <c r="G358" s="16"/>
      <c r="H358" s="13">
        <f t="shared" ca="1" si="184"/>
        <v>0</v>
      </c>
      <c r="I358" s="15">
        <f t="shared" ca="1" si="176"/>
        <v>1</v>
      </c>
      <c r="J358" s="15"/>
      <c r="K358" s="15">
        <f t="shared" ca="1" si="175"/>
        <v>0</v>
      </c>
    </row>
    <row r="359" spans="1:11" x14ac:dyDescent="0.4">
      <c r="A359" s="11" t="s">
        <v>9</v>
      </c>
      <c r="B359" s="41">
        <f t="shared" ref="B359:F361" ca="1" si="185">OFFSET(B359,-15,0)</f>
        <v>0</v>
      </c>
      <c r="C359" s="19">
        <f t="shared" ca="1" si="185"/>
        <v>0</v>
      </c>
      <c r="D359" s="20">
        <f t="shared" ca="1" si="185"/>
        <v>0</v>
      </c>
      <c r="E359" s="20">
        <f t="shared" ca="1" si="185"/>
        <v>0</v>
      </c>
      <c r="F359" s="13">
        <f t="shared" ca="1" si="185"/>
        <v>0</v>
      </c>
      <c r="G359" s="16"/>
      <c r="H359" s="19">
        <f t="shared" ref="H359:H361" ca="1" si="186">OFFSET(H359,-15,0)</f>
        <v>0</v>
      </c>
      <c r="I359" s="15">
        <f t="shared" ca="1" si="176"/>
        <v>1</v>
      </c>
      <c r="J359" s="15"/>
      <c r="K359" s="15">
        <f t="shared" ca="1" si="175"/>
        <v>0</v>
      </c>
    </row>
    <row r="360" spans="1:11" x14ac:dyDescent="0.4">
      <c r="A360" s="11" t="s">
        <v>9</v>
      </c>
      <c r="B360" s="41">
        <f t="shared" ca="1" si="185"/>
        <v>0</v>
      </c>
      <c r="C360" s="19">
        <f t="shared" ca="1" si="185"/>
        <v>0</v>
      </c>
      <c r="D360" s="20">
        <f t="shared" ca="1" si="185"/>
        <v>0</v>
      </c>
      <c r="E360" s="20">
        <f t="shared" ca="1" si="185"/>
        <v>0</v>
      </c>
      <c r="F360" s="13">
        <f t="shared" ca="1" si="185"/>
        <v>0</v>
      </c>
      <c r="G360" s="16"/>
      <c r="H360" s="19">
        <f t="shared" ca="1" si="186"/>
        <v>0</v>
      </c>
      <c r="I360" s="15">
        <f t="shared" ca="1" si="176"/>
        <v>1</v>
      </c>
      <c r="J360" s="15"/>
      <c r="K360" s="15">
        <f t="shared" ca="1" si="175"/>
        <v>0</v>
      </c>
    </row>
    <row r="361" spans="1:11" x14ac:dyDescent="0.4">
      <c r="A361" s="11" t="s">
        <v>9</v>
      </c>
      <c r="B361" s="41">
        <f t="shared" ca="1" si="185"/>
        <v>0</v>
      </c>
      <c r="C361" s="19">
        <f t="shared" ca="1" si="185"/>
        <v>0</v>
      </c>
      <c r="D361" s="20">
        <f t="shared" ca="1" si="185"/>
        <v>0</v>
      </c>
      <c r="E361" s="20">
        <f t="shared" ca="1" si="185"/>
        <v>0</v>
      </c>
      <c r="F361" s="13">
        <f t="shared" ca="1" si="185"/>
        <v>0</v>
      </c>
      <c r="G361" s="16"/>
      <c r="H361" s="19">
        <f t="shared" ca="1" si="186"/>
        <v>0</v>
      </c>
      <c r="I361" s="15">
        <f t="shared" ca="1" si="176"/>
        <v>1</v>
      </c>
      <c r="J361" s="15"/>
      <c r="K361" s="15">
        <f t="shared" ca="1" si="175"/>
        <v>0</v>
      </c>
    </row>
    <row r="362" spans="1:11" ht="17.399999999999999" x14ac:dyDescent="0.4">
      <c r="A362" s="77" t="s">
        <v>27</v>
      </c>
      <c r="B362" s="75"/>
      <c r="C362" s="75"/>
      <c r="D362" s="75"/>
      <c r="E362" s="75"/>
      <c r="F362" s="75"/>
      <c r="G362" s="75"/>
      <c r="H362" s="75"/>
      <c r="I362" s="75"/>
      <c r="J362" s="75"/>
      <c r="K362" s="76"/>
    </row>
    <row r="363" spans="1:11" x14ac:dyDescent="0.4">
      <c r="A363" s="11" t="s">
        <v>5</v>
      </c>
      <c r="B363" s="40"/>
      <c r="C363" s="13"/>
      <c r="D363" s="11"/>
      <c r="E363" s="17"/>
      <c r="F363" s="13"/>
      <c r="G363" s="16"/>
      <c r="H363" s="13"/>
      <c r="I363" s="15">
        <f>ROUND((10^(H363/10))/(10^(F363/10)),3)</f>
        <v>1</v>
      </c>
      <c r="J363" s="15"/>
      <c r="K363" s="15">
        <f t="shared" ref="K363:K380" si="187">G363*I363</f>
        <v>0</v>
      </c>
    </row>
    <row r="364" spans="1:11" x14ac:dyDescent="0.4">
      <c r="A364" s="11" t="s">
        <v>5</v>
      </c>
      <c r="B364" s="40"/>
      <c r="C364" s="13"/>
      <c r="D364" s="11"/>
      <c r="E364" s="17"/>
      <c r="F364" s="13"/>
      <c r="G364" s="16"/>
      <c r="H364" s="13"/>
      <c r="I364" s="15">
        <f t="shared" ref="I364:I380" si="188">ROUND((10^(H364/10))/(10^(F364/10)),3)</f>
        <v>1</v>
      </c>
      <c r="J364" s="15"/>
      <c r="K364" s="15">
        <f t="shared" si="187"/>
        <v>0</v>
      </c>
    </row>
    <row r="365" spans="1:11" x14ac:dyDescent="0.4">
      <c r="A365" s="11" t="s">
        <v>5</v>
      </c>
      <c r="B365" s="40"/>
      <c r="C365" s="13"/>
      <c r="D365" s="11"/>
      <c r="E365" s="17"/>
      <c r="F365" s="13"/>
      <c r="G365" s="16"/>
      <c r="H365" s="13"/>
      <c r="I365" s="15">
        <f t="shared" si="188"/>
        <v>1</v>
      </c>
      <c r="J365" s="15"/>
      <c r="K365" s="15">
        <f t="shared" si="187"/>
        <v>0</v>
      </c>
    </row>
    <row r="366" spans="1:11" x14ac:dyDescent="0.4">
      <c r="A366" s="11" t="s">
        <v>6</v>
      </c>
      <c r="B366" s="41">
        <f t="shared" ref="B366:F368" ca="1" si="189">OFFSET(B366,-3,0)</f>
        <v>0</v>
      </c>
      <c r="C366" s="19">
        <f t="shared" ca="1" si="189"/>
        <v>0</v>
      </c>
      <c r="D366" s="20">
        <f t="shared" ca="1" si="189"/>
        <v>0</v>
      </c>
      <c r="E366" s="20">
        <f t="shared" ca="1" si="189"/>
        <v>0</v>
      </c>
      <c r="F366" s="13">
        <f t="shared" ca="1" si="189"/>
        <v>0</v>
      </c>
      <c r="G366" s="16"/>
      <c r="H366" s="19">
        <f t="shared" ref="H366:H368" ca="1" si="190">OFFSET(H366,-3,0)</f>
        <v>0</v>
      </c>
      <c r="I366" s="15">
        <f t="shared" ca="1" si="188"/>
        <v>1</v>
      </c>
      <c r="J366" s="15"/>
      <c r="K366" s="15">
        <f t="shared" ca="1" si="187"/>
        <v>0</v>
      </c>
    </row>
    <row r="367" spans="1:11" x14ac:dyDescent="0.4">
      <c r="A367" s="11" t="s">
        <v>6</v>
      </c>
      <c r="B367" s="41">
        <f t="shared" ca="1" si="189"/>
        <v>0</v>
      </c>
      <c r="C367" s="19">
        <f t="shared" ca="1" si="189"/>
        <v>0</v>
      </c>
      <c r="D367" s="20">
        <f t="shared" ca="1" si="189"/>
        <v>0</v>
      </c>
      <c r="E367" s="20">
        <f t="shared" ca="1" si="189"/>
        <v>0</v>
      </c>
      <c r="F367" s="13">
        <f t="shared" ca="1" si="189"/>
        <v>0</v>
      </c>
      <c r="G367" s="16"/>
      <c r="H367" s="19">
        <f t="shared" ca="1" si="190"/>
        <v>0</v>
      </c>
      <c r="I367" s="15">
        <f t="shared" ca="1" si="188"/>
        <v>1</v>
      </c>
      <c r="J367" s="15"/>
      <c r="K367" s="15">
        <f t="shared" ca="1" si="187"/>
        <v>0</v>
      </c>
    </row>
    <row r="368" spans="1:11" x14ac:dyDescent="0.4">
      <c r="A368" s="11" t="s">
        <v>6</v>
      </c>
      <c r="B368" s="41">
        <f t="shared" ca="1" si="189"/>
        <v>0</v>
      </c>
      <c r="C368" s="19">
        <f t="shared" ca="1" si="189"/>
        <v>0</v>
      </c>
      <c r="D368" s="20">
        <f t="shared" ca="1" si="189"/>
        <v>0</v>
      </c>
      <c r="E368" s="20">
        <f t="shared" ca="1" si="189"/>
        <v>0</v>
      </c>
      <c r="F368" s="13">
        <f t="shared" ca="1" si="189"/>
        <v>0</v>
      </c>
      <c r="G368" s="16"/>
      <c r="H368" s="19">
        <f t="shared" ca="1" si="190"/>
        <v>0</v>
      </c>
      <c r="I368" s="15">
        <f t="shared" ca="1" si="188"/>
        <v>1</v>
      </c>
      <c r="J368" s="15"/>
      <c r="K368" s="15">
        <f t="shared" ca="1" si="187"/>
        <v>0</v>
      </c>
    </row>
    <row r="369" spans="1:11" x14ac:dyDescent="0.4">
      <c r="A369" s="11" t="s">
        <v>10</v>
      </c>
      <c r="B369" s="40">
        <f t="shared" ref="B369:F371" ca="1" si="191">OFFSET(B369,-6,0)</f>
        <v>0</v>
      </c>
      <c r="C369" s="13">
        <f t="shared" ca="1" si="191"/>
        <v>0</v>
      </c>
      <c r="D369" s="17">
        <f t="shared" ca="1" si="191"/>
        <v>0</v>
      </c>
      <c r="E369" s="17">
        <f t="shared" ca="1" si="191"/>
        <v>0</v>
      </c>
      <c r="F369" s="13">
        <f t="shared" ca="1" si="191"/>
        <v>0</v>
      </c>
      <c r="G369" s="16"/>
      <c r="H369" s="13">
        <f t="shared" ref="H369:H371" ca="1" si="192">OFFSET(H369,-6,0)</f>
        <v>0</v>
      </c>
      <c r="I369" s="15">
        <f t="shared" ca="1" si="188"/>
        <v>1</v>
      </c>
      <c r="J369" s="15"/>
      <c r="K369" s="15">
        <f t="shared" ca="1" si="187"/>
        <v>0</v>
      </c>
    </row>
    <row r="370" spans="1:11" x14ac:dyDescent="0.4">
      <c r="A370" s="11" t="s">
        <v>10</v>
      </c>
      <c r="B370" s="40">
        <f t="shared" ca="1" si="191"/>
        <v>0</v>
      </c>
      <c r="C370" s="13">
        <f t="shared" ca="1" si="191"/>
        <v>0</v>
      </c>
      <c r="D370" s="17">
        <f t="shared" ca="1" si="191"/>
        <v>0</v>
      </c>
      <c r="E370" s="17">
        <f t="shared" ca="1" si="191"/>
        <v>0</v>
      </c>
      <c r="F370" s="13">
        <f t="shared" ca="1" si="191"/>
        <v>0</v>
      </c>
      <c r="G370" s="16"/>
      <c r="H370" s="13">
        <f t="shared" ca="1" si="192"/>
        <v>0</v>
      </c>
      <c r="I370" s="15">
        <f t="shared" ca="1" si="188"/>
        <v>1</v>
      </c>
      <c r="J370" s="15"/>
      <c r="K370" s="15">
        <f t="shared" ca="1" si="187"/>
        <v>0</v>
      </c>
    </row>
    <row r="371" spans="1:11" x14ac:dyDescent="0.4">
      <c r="A371" s="11" t="s">
        <v>10</v>
      </c>
      <c r="B371" s="40">
        <f t="shared" ca="1" si="191"/>
        <v>0</v>
      </c>
      <c r="C371" s="13">
        <f t="shared" ca="1" si="191"/>
        <v>0</v>
      </c>
      <c r="D371" s="17">
        <f t="shared" ca="1" si="191"/>
        <v>0</v>
      </c>
      <c r="E371" s="17">
        <f t="shared" ca="1" si="191"/>
        <v>0</v>
      </c>
      <c r="F371" s="13">
        <f t="shared" ca="1" si="191"/>
        <v>0</v>
      </c>
      <c r="G371" s="16"/>
      <c r="H371" s="13">
        <f t="shared" ca="1" si="192"/>
        <v>0</v>
      </c>
      <c r="I371" s="15">
        <f t="shared" ca="1" si="188"/>
        <v>1</v>
      </c>
      <c r="J371" s="15"/>
      <c r="K371" s="15">
        <f t="shared" ca="1" si="187"/>
        <v>0</v>
      </c>
    </row>
    <row r="372" spans="1:11" x14ac:dyDescent="0.4">
      <c r="A372" s="11" t="s">
        <v>7</v>
      </c>
      <c r="B372" s="40">
        <f t="shared" ref="B372:F374" ca="1" si="193">OFFSET(B372,-9,0)</f>
        <v>0</v>
      </c>
      <c r="C372" s="13">
        <f t="shared" ca="1" si="193"/>
        <v>0</v>
      </c>
      <c r="D372" s="17">
        <f t="shared" ca="1" si="193"/>
        <v>0</v>
      </c>
      <c r="E372" s="17">
        <f t="shared" ca="1" si="193"/>
        <v>0</v>
      </c>
      <c r="F372" s="13">
        <f t="shared" ca="1" si="193"/>
        <v>0</v>
      </c>
      <c r="G372" s="16"/>
      <c r="H372" s="13">
        <f t="shared" ref="H372:H374" ca="1" si="194">OFFSET(H372,-9,0)</f>
        <v>0</v>
      </c>
      <c r="I372" s="15">
        <f t="shared" ca="1" si="188"/>
        <v>1</v>
      </c>
      <c r="J372" s="15"/>
      <c r="K372" s="15">
        <f t="shared" ca="1" si="187"/>
        <v>0</v>
      </c>
    </row>
    <row r="373" spans="1:11" x14ac:dyDescent="0.4">
      <c r="A373" s="11" t="s">
        <v>7</v>
      </c>
      <c r="B373" s="40">
        <f t="shared" ca="1" si="193"/>
        <v>0</v>
      </c>
      <c r="C373" s="13">
        <f t="shared" ca="1" si="193"/>
        <v>0</v>
      </c>
      <c r="D373" s="17">
        <f t="shared" ca="1" si="193"/>
        <v>0</v>
      </c>
      <c r="E373" s="17">
        <f t="shared" ca="1" si="193"/>
        <v>0</v>
      </c>
      <c r="F373" s="13">
        <f t="shared" ca="1" si="193"/>
        <v>0</v>
      </c>
      <c r="G373" s="16"/>
      <c r="H373" s="13">
        <f t="shared" ca="1" si="194"/>
        <v>0</v>
      </c>
      <c r="I373" s="15">
        <f t="shared" ca="1" si="188"/>
        <v>1</v>
      </c>
      <c r="J373" s="15"/>
      <c r="K373" s="15">
        <f t="shared" ca="1" si="187"/>
        <v>0</v>
      </c>
    </row>
    <row r="374" spans="1:11" x14ac:dyDescent="0.4">
      <c r="A374" s="11" t="s">
        <v>7</v>
      </c>
      <c r="B374" s="40">
        <f t="shared" ca="1" si="193"/>
        <v>0</v>
      </c>
      <c r="C374" s="13">
        <f t="shared" ca="1" si="193"/>
        <v>0</v>
      </c>
      <c r="D374" s="17">
        <f t="shared" ca="1" si="193"/>
        <v>0</v>
      </c>
      <c r="E374" s="17">
        <f t="shared" ca="1" si="193"/>
        <v>0</v>
      </c>
      <c r="F374" s="13">
        <f t="shared" ca="1" si="193"/>
        <v>0</v>
      </c>
      <c r="G374" s="16"/>
      <c r="H374" s="13">
        <f t="shared" ca="1" si="194"/>
        <v>0</v>
      </c>
      <c r="I374" s="15">
        <f t="shared" ca="1" si="188"/>
        <v>1</v>
      </c>
      <c r="J374" s="15"/>
      <c r="K374" s="15">
        <f t="shared" ca="1" si="187"/>
        <v>0</v>
      </c>
    </row>
    <row r="375" spans="1:11" x14ac:dyDescent="0.4">
      <c r="A375" s="11" t="s">
        <v>8</v>
      </c>
      <c r="B375" s="40">
        <f t="shared" ref="B375:F377" ca="1" si="195">OFFSET(B375,-12,0)</f>
        <v>0</v>
      </c>
      <c r="C375" s="13">
        <f t="shared" ca="1" si="195"/>
        <v>0</v>
      </c>
      <c r="D375" s="17">
        <f t="shared" ca="1" si="195"/>
        <v>0</v>
      </c>
      <c r="E375" s="17">
        <f t="shared" ca="1" si="195"/>
        <v>0</v>
      </c>
      <c r="F375" s="13">
        <f t="shared" ca="1" si="195"/>
        <v>0</v>
      </c>
      <c r="G375" s="16"/>
      <c r="H375" s="13">
        <f t="shared" ref="H375:H377" ca="1" si="196">OFFSET(H375,-12,0)</f>
        <v>0</v>
      </c>
      <c r="I375" s="15">
        <f t="shared" ca="1" si="188"/>
        <v>1</v>
      </c>
      <c r="J375" s="15"/>
      <c r="K375" s="15">
        <f t="shared" ca="1" si="187"/>
        <v>0</v>
      </c>
    </row>
    <row r="376" spans="1:11" x14ac:dyDescent="0.4">
      <c r="A376" s="11" t="s">
        <v>8</v>
      </c>
      <c r="B376" s="40">
        <f t="shared" ca="1" si="195"/>
        <v>0</v>
      </c>
      <c r="C376" s="13">
        <f t="shared" ca="1" si="195"/>
        <v>0</v>
      </c>
      <c r="D376" s="17">
        <f t="shared" ca="1" si="195"/>
        <v>0</v>
      </c>
      <c r="E376" s="17">
        <f t="shared" ca="1" si="195"/>
        <v>0</v>
      </c>
      <c r="F376" s="13">
        <f t="shared" ca="1" si="195"/>
        <v>0</v>
      </c>
      <c r="G376" s="16"/>
      <c r="H376" s="13">
        <f t="shared" ca="1" si="196"/>
        <v>0</v>
      </c>
      <c r="I376" s="15">
        <f t="shared" ca="1" si="188"/>
        <v>1</v>
      </c>
      <c r="J376" s="15"/>
      <c r="K376" s="15">
        <f t="shared" ca="1" si="187"/>
        <v>0</v>
      </c>
    </row>
    <row r="377" spans="1:11" x14ac:dyDescent="0.4">
      <c r="A377" s="11" t="s">
        <v>8</v>
      </c>
      <c r="B377" s="40">
        <f t="shared" ca="1" si="195"/>
        <v>0</v>
      </c>
      <c r="C377" s="13">
        <f t="shared" ca="1" si="195"/>
        <v>0</v>
      </c>
      <c r="D377" s="17">
        <f t="shared" ca="1" si="195"/>
        <v>0</v>
      </c>
      <c r="E377" s="17">
        <f t="shared" ca="1" si="195"/>
        <v>0</v>
      </c>
      <c r="F377" s="13">
        <f t="shared" ca="1" si="195"/>
        <v>0</v>
      </c>
      <c r="G377" s="16"/>
      <c r="H377" s="13">
        <f t="shared" ca="1" si="196"/>
        <v>0</v>
      </c>
      <c r="I377" s="15">
        <f t="shared" ca="1" si="188"/>
        <v>1</v>
      </c>
      <c r="J377" s="15"/>
      <c r="K377" s="15">
        <f t="shared" ca="1" si="187"/>
        <v>0</v>
      </c>
    </row>
    <row r="378" spans="1:11" x14ac:dyDescent="0.4">
      <c r="A378" s="11" t="s">
        <v>9</v>
      </c>
      <c r="B378" s="41">
        <f t="shared" ref="B378:F380" ca="1" si="197">OFFSET(B378,-15,0)</f>
        <v>0</v>
      </c>
      <c r="C378" s="19">
        <f t="shared" ca="1" si="197"/>
        <v>0</v>
      </c>
      <c r="D378" s="20">
        <f t="shared" ca="1" si="197"/>
        <v>0</v>
      </c>
      <c r="E378" s="20">
        <f t="shared" ca="1" si="197"/>
        <v>0</v>
      </c>
      <c r="F378" s="13">
        <f t="shared" ca="1" si="197"/>
        <v>0</v>
      </c>
      <c r="G378" s="16"/>
      <c r="H378" s="19">
        <f t="shared" ref="H378:H380" ca="1" si="198">OFFSET(H378,-15,0)</f>
        <v>0</v>
      </c>
      <c r="I378" s="15">
        <f t="shared" ca="1" si="188"/>
        <v>1</v>
      </c>
      <c r="J378" s="15"/>
      <c r="K378" s="15">
        <f t="shared" ca="1" si="187"/>
        <v>0</v>
      </c>
    </row>
    <row r="379" spans="1:11" x14ac:dyDescent="0.4">
      <c r="A379" s="11" t="s">
        <v>9</v>
      </c>
      <c r="B379" s="41">
        <f t="shared" ca="1" si="197"/>
        <v>0</v>
      </c>
      <c r="C379" s="19">
        <f t="shared" ca="1" si="197"/>
        <v>0</v>
      </c>
      <c r="D379" s="20">
        <f t="shared" ca="1" si="197"/>
        <v>0</v>
      </c>
      <c r="E379" s="20">
        <f t="shared" ca="1" si="197"/>
        <v>0</v>
      </c>
      <c r="F379" s="13">
        <f t="shared" ca="1" si="197"/>
        <v>0</v>
      </c>
      <c r="G379" s="16"/>
      <c r="H379" s="19">
        <f t="shared" ca="1" si="198"/>
        <v>0</v>
      </c>
      <c r="I379" s="15">
        <f t="shared" ca="1" si="188"/>
        <v>1</v>
      </c>
      <c r="J379" s="15"/>
      <c r="K379" s="15">
        <f t="shared" ca="1" si="187"/>
        <v>0</v>
      </c>
    </row>
    <row r="380" spans="1:11" x14ac:dyDescent="0.4">
      <c r="A380" s="11" t="s">
        <v>9</v>
      </c>
      <c r="B380" s="41">
        <f t="shared" ca="1" si="197"/>
        <v>0</v>
      </c>
      <c r="C380" s="19">
        <f t="shared" ca="1" si="197"/>
        <v>0</v>
      </c>
      <c r="D380" s="20">
        <f t="shared" ca="1" si="197"/>
        <v>0</v>
      </c>
      <c r="E380" s="20">
        <f t="shared" ca="1" si="197"/>
        <v>0</v>
      </c>
      <c r="F380" s="13">
        <f t="shared" ca="1" si="197"/>
        <v>0</v>
      </c>
      <c r="G380" s="16"/>
      <c r="H380" s="19">
        <f t="shared" ca="1" si="198"/>
        <v>0</v>
      </c>
      <c r="I380" s="15">
        <f t="shared" ca="1" si="188"/>
        <v>1</v>
      </c>
      <c r="J380" s="15"/>
      <c r="K380" s="15">
        <f t="shared" ca="1" si="187"/>
        <v>0</v>
      </c>
    </row>
    <row r="381" spans="1:11" ht="17.399999999999999" x14ac:dyDescent="0.4">
      <c r="A381" s="77" t="s">
        <v>31</v>
      </c>
      <c r="B381" s="75"/>
      <c r="C381" s="75"/>
      <c r="D381" s="75"/>
      <c r="E381" s="75"/>
      <c r="F381" s="75"/>
      <c r="G381" s="75"/>
      <c r="H381" s="75"/>
      <c r="I381" s="75"/>
      <c r="J381" s="75"/>
      <c r="K381" s="76"/>
    </row>
    <row r="382" spans="1:11" x14ac:dyDescent="0.4">
      <c r="A382" s="11" t="s">
        <v>5</v>
      </c>
      <c r="B382" s="40"/>
      <c r="C382" s="13"/>
      <c r="D382" s="11"/>
      <c r="E382" s="17"/>
      <c r="F382" s="13"/>
      <c r="G382" s="16"/>
      <c r="H382" s="13"/>
      <c r="I382" s="15">
        <f>ROUND((10^(H382/10))/(10^(F382/10)),3)</f>
        <v>1</v>
      </c>
      <c r="J382" s="15"/>
      <c r="K382" s="15">
        <f t="shared" ref="K382:K399" si="199">G382*I382</f>
        <v>0</v>
      </c>
    </row>
    <row r="383" spans="1:11" x14ac:dyDescent="0.4">
      <c r="A383" s="11" t="s">
        <v>5</v>
      </c>
      <c r="B383" s="40"/>
      <c r="C383" s="13"/>
      <c r="D383" s="11"/>
      <c r="E383" s="17"/>
      <c r="F383" s="13"/>
      <c r="G383" s="16"/>
      <c r="H383" s="13"/>
      <c r="I383" s="15">
        <f t="shared" ref="I383:I399" si="200">ROUND((10^(H383/10))/(10^(F383/10)),3)</f>
        <v>1</v>
      </c>
      <c r="J383" s="15"/>
      <c r="K383" s="15">
        <f t="shared" si="199"/>
        <v>0</v>
      </c>
    </row>
    <row r="384" spans="1:11" x14ac:dyDescent="0.4">
      <c r="A384" s="11" t="s">
        <v>5</v>
      </c>
      <c r="B384" s="40"/>
      <c r="C384" s="13"/>
      <c r="D384" s="11"/>
      <c r="E384" s="17"/>
      <c r="F384" s="13"/>
      <c r="G384" s="16"/>
      <c r="H384" s="13"/>
      <c r="I384" s="15">
        <f t="shared" si="200"/>
        <v>1</v>
      </c>
      <c r="J384" s="15"/>
      <c r="K384" s="15">
        <f t="shared" si="199"/>
        <v>0</v>
      </c>
    </row>
    <row r="385" spans="1:11" x14ac:dyDescent="0.4">
      <c r="A385" s="11" t="s">
        <v>6</v>
      </c>
      <c r="B385" s="41">
        <f t="shared" ref="B385:F387" ca="1" si="201">OFFSET(B385,-3,0)</f>
        <v>0</v>
      </c>
      <c r="C385" s="19">
        <f t="shared" ca="1" si="201"/>
        <v>0</v>
      </c>
      <c r="D385" s="20">
        <f t="shared" ca="1" si="201"/>
        <v>0</v>
      </c>
      <c r="E385" s="20">
        <f t="shared" ca="1" si="201"/>
        <v>0</v>
      </c>
      <c r="F385" s="13">
        <f t="shared" ca="1" si="201"/>
        <v>0</v>
      </c>
      <c r="G385" s="16"/>
      <c r="H385" s="19">
        <f t="shared" ref="H385:H387" ca="1" si="202">OFFSET(H385,-3,0)</f>
        <v>0</v>
      </c>
      <c r="I385" s="15">
        <f t="shared" ca="1" si="200"/>
        <v>1</v>
      </c>
      <c r="J385" s="15"/>
      <c r="K385" s="15">
        <f t="shared" ca="1" si="199"/>
        <v>0</v>
      </c>
    </row>
    <row r="386" spans="1:11" x14ac:dyDescent="0.4">
      <c r="A386" s="11" t="s">
        <v>6</v>
      </c>
      <c r="B386" s="41">
        <f t="shared" ca="1" si="201"/>
        <v>0</v>
      </c>
      <c r="C386" s="19">
        <f t="shared" ca="1" si="201"/>
        <v>0</v>
      </c>
      <c r="D386" s="20">
        <f t="shared" ca="1" si="201"/>
        <v>0</v>
      </c>
      <c r="E386" s="20">
        <f t="shared" ca="1" si="201"/>
        <v>0</v>
      </c>
      <c r="F386" s="13">
        <f t="shared" ca="1" si="201"/>
        <v>0</v>
      </c>
      <c r="G386" s="16"/>
      <c r="H386" s="19">
        <f t="shared" ca="1" si="202"/>
        <v>0</v>
      </c>
      <c r="I386" s="15">
        <f t="shared" ca="1" si="200"/>
        <v>1</v>
      </c>
      <c r="J386" s="15"/>
      <c r="K386" s="15">
        <f t="shared" ca="1" si="199"/>
        <v>0</v>
      </c>
    </row>
    <row r="387" spans="1:11" x14ac:dyDescent="0.4">
      <c r="A387" s="11" t="s">
        <v>6</v>
      </c>
      <c r="B387" s="41">
        <f t="shared" ca="1" si="201"/>
        <v>0</v>
      </c>
      <c r="C387" s="19">
        <f t="shared" ca="1" si="201"/>
        <v>0</v>
      </c>
      <c r="D387" s="20">
        <f t="shared" ca="1" si="201"/>
        <v>0</v>
      </c>
      <c r="E387" s="20">
        <f t="shared" ca="1" si="201"/>
        <v>0</v>
      </c>
      <c r="F387" s="13">
        <f t="shared" ca="1" si="201"/>
        <v>0</v>
      </c>
      <c r="G387" s="16"/>
      <c r="H387" s="19">
        <f t="shared" ca="1" si="202"/>
        <v>0</v>
      </c>
      <c r="I387" s="15">
        <f t="shared" ca="1" si="200"/>
        <v>1</v>
      </c>
      <c r="J387" s="15"/>
      <c r="K387" s="15">
        <f t="shared" ca="1" si="199"/>
        <v>0</v>
      </c>
    </row>
    <row r="388" spans="1:11" x14ac:dyDescent="0.4">
      <c r="A388" s="11" t="s">
        <v>10</v>
      </c>
      <c r="B388" s="40">
        <f t="shared" ref="B388:F390" ca="1" si="203">OFFSET(B388,-6,0)</f>
        <v>0</v>
      </c>
      <c r="C388" s="13">
        <f t="shared" ca="1" si="203"/>
        <v>0</v>
      </c>
      <c r="D388" s="17">
        <f t="shared" ca="1" si="203"/>
        <v>0</v>
      </c>
      <c r="E388" s="17">
        <f t="shared" ca="1" si="203"/>
        <v>0</v>
      </c>
      <c r="F388" s="13">
        <f t="shared" ca="1" si="203"/>
        <v>0</v>
      </c>
      <c r="G388" s="16"/>
      <c r="H388" s="13">
        <f t="shared" ref="H388:H390" ca="1" si="204">OFFSET(H388,-6,0)</f>
        <v>0</v>
      </c>
      <c r="I388" s="15">
        <f t="shared" ca="1" si="200"/>
        <v>1</v>
      </c>
      <c r="J388" s="15"/>
      <c r="K388" s="15">
        <f t="shared" ca="1" si="199"/>
        <v>0</v>
      </c>
    </row>
    <row r="389" spans="1:11" x14ac:dyDescent="0.4">
      <c r="A389" s="11" t="s">
        <v>10</v>
      </c>
      <c r="B389" s="40">
        <f t="shared" ca="1" si="203"/>
        <v>0</v>
      </c>
      <c r="C389" s="13">
        <f t="shared" ca="1" si="203"/>
        <v>0</v>
      </c>
      <c r="D389" s="17">
        <f t="shared" ca="1" si="203"/>
        <v>0</v>
      </c>
      <c r="E389" s="17">
        <f t="shared" ca="1" si="203"/>
        <v>0</v>
      </c>
      <c r="F389" s="13">
        <f t="shared" ca="1" si="203"/>
        <v>0</v>
      </c>
      <c r="G389" s="16"/>
      <c r="H389" s="13">
        <f t="shared" ca="1" si="204"/>
        <v>0</v>
      </c>
      <c r="I389" s="15">
        <f t="shared" ca="1" si="200"/>
        <v>1</v>
      </c>
      <c r="J389" s="15"/>
      <c r="K389" s="15">
        <f t="shared" ca="1" si="199"/>
        <v>0</v>
      </c>
    </row>
    <row r="390" spans="1:11" x14ac:dyDescent="0.4">
      <c r="A390" s="11" t="s">
        <v>10</v>
      </c>
      <c r="B390" s="40">
        <f t="shared" ca="1" si="203"/>
        <v>0</v>
      </c>
      <c r="C390" s="13">
        <f t="shared" ca="1" si="203"/>
        <v>0</v>
      </c>
      <c r="D390" s="17">
        <f t="shared" ca="1" si="203"/>
        <v>0</v>
      </c>
      <c r="E390" s="17">
        <f t="shared" ca="1" si="203"/>
        <v>0</v>
      </c>
      <c r="F390" s="13">
        <f t="shared" ca="1" si="203"/>
        <v>0</v>
      </c>
      <c r="G390" s="16"/>
      <c r="H390" s="13">
        <f t="shared" ca="1" si="204"/>
        <v>0</v>
      </c>
      <c r="I390" s="15">
        <f t="shared" ca="1" si="200"/>
        <v>1</v>
      </c>
      <c r="J390" s="15"/>
      <c r="K390" s="15">
        <f t="shared" ca="1" si="199"/>
        <v>0</v>
      </c>
    </row>
    <row r="391" spans="1:11" x14ac:dyDescent="0.4">
      <c r="A391" s="11" t="s">
        <v>7</v>
      </c>
      <c r="B391" s="40">
        <f t="shared" ref="B391:F393" ca="1" si="205">OFFSET(B391,-9,0)</f>
        <v>0</v>
      </c>
      <c r="C391" s="13">
        <f t="shared" ca="1" si="205"/>
        <v>0</v>
      </c>
      <c r="D391" s="17">
        <f t="shared" ca="1" si="205"/>
        <v>0</v>
      </c>
      <c r="E391" s="17">
        <f t="shared" ca="1" si="205"/>
        <v>0</v>
      </c>
      <c r="F391" s="13">
        <f t="shared" ca="1" si="205"/>
        <v>0</v>
      </c>
      <c r="G391" s="16"/>
      <c r="H391" s="13">
        <f t="shared" ref="H391:H393" ca="1" si="206">OFFSET(H391,-9,0)</f>
        <v>0</v>
      </c>
      <c r="I391" s="15">
        <f t="shared" ca="1" si="200"/>
        <v>1</v>
      </c>
      <c r="J391" s="15"/>
      <c r="K391" s="15">
        <f t="shared" ca="1" si="199"/>
        <v>0</v>
      </c>
    </row>
    <row r="392" spans="1:11" x14ac:dyDescent="0.4">
      <c r="A392" s="11" t="s">
        <v>7</v>
      </c>
      <c r="B392" s="40">
        <f t="shared" ca="1" si="205"/>
        <v>0</v>
      </c>
      <c r="C392" s="13">
        <f t="shared" ca="1" si="205"/>
        <v>0</v>
      </c>
      <c r="D392" s="17">
        <f t="shared" ca="1" si="205"/>
        <v>0</v>
      </c>
      <c r="E392" s="17">
        <f t="shared" ca="1" si="205"/>
        <v>0</v>
      </c>
      <c r="F392" s="13">
        <f t="shared" ca="1" si="205"/>
        <v>0</v>
      </c>
      <c r="G392" s="16"/>
      <c r="H392" s="13">
        <f t="shared" ca="1" si="206"/>
        <v>0</v>
      </c>
      <c r="I392" s="15">
        <f t="shared" ca="1" si="200"/>
        <v>1</v>
      </c>
      <c r="J392" s="15"/>
      <c r="K392" s="15">
        <f t="shared" ca="1" si="199"/>
        <v>0</v>
      </c>
    </row>
    <row r="393" spans="1:11" x14ac:dyDescent="0.4">
      <c r="A393" s="11" t="s">
        <v>7</v>
      </c>
      <c r="B393" s="40">
        <f t="shared" ca="1" si="205"/>
        <v>0</v>
      </c>
      <c r="C393" s="13">
        <f t="shared" ca="1" si="205"/>
        <v>0</v>
      </c>
      <c r="D393" s="17">
        <f t="shared" ca="1" si="205"/>
        <v>0</v>
      </c>
      <c r="E393" s="17">
        <f t="shared" ca="1" si="205"/>
        <v>0</v>
      </c>
      <c r="F393" s="13">
        <f t="shared" ca="1" si="205"/>
        <v>0</v>
      </c>
      <c r="G393" s="16"/>
      <c r="H393" s="13">
        <f t="shared" ca="1" si="206"/>
        <v>0</v>
      </c>
      <c r="I393" s="15">
        <f t="shared" ca="1" si="200"/>
        <v>1</v>
      </c>
      <c r="J393" s="15"/>
      <c r="K393" s="15">
        <f t="shared" ca="1" si="199"/>
        <v>0</v>
      </c>
    </row>
    <row r="394" spans="1:11" x14ac:dyDescent="0.4">
      <c r="A394" s="11" t="s">
        <v>8</v>
      </c>
      <c r="B394" s="40">
        <f t="shared" ref="B394:F396" ca="1" si="207">OFFSET(B394,-12,0)</f>
        <v>0</v>
      </c>
      <c r="C394" s="13">
        <f t="shared" ca="1" si="207"/>
        <v>0</v>
      </c>
      <c r="D394" s="17">
        <f t="shared" ca="1" si="207"/>
        <v>0</v>
      </c>
      <c r="E394" s="17">
        <f t="shared" ca="1" si="207"/>
        <v>0</v>
      </c>
      <c r="F394" s="13">
        <f t="shared" ca="1" si="207"/>
        <v>0</v>
      </c>
      <c r="G394" s="16"/>
      <c r="H394" s="13">
        <f t="shared" ref="H394:H396" ca="1" si="208">OFFSET(H394,-12,0)</f>
        <v>0</v>
      </c>
      <c r="I394" s="15">
        <f t="shared" ca="1" si="200"/>
        <v>1</v>
      </c>
      <c r="J394" s="15"/>
      <c r="K394" s="15">
        <f t="shared" ca="1" si="199"/>
        <v>0</v>
      </c>
    </row>
    <row r="395" spans="1:11" x14ac:dyDescent="0.4">
      <c r="A395" s="11" t="s">
        <v>8</v>
      </c>
      <c r="B395" s="40">
        <f t="shared" ca="1" si="207"/>
        <v>0</v>
      </c>
      <c r="C395" s="13">
        <f t="shared" ca="1" si="207"/>
        <v>0</v>
      </c>
      <c r="D395" s="17">
        <f t="shared" ca="1" si="207"/>
        <v>0</v>
      </c>
      <c r="E395" s="17">
        <f t="shared" ca="1" si="207"/>
        <v>0</v>
      </c>
      <c r="F395" s="13">
        <f t="shared" ca="1" si="207"/>
        <v>0</v>
      </c>
      <c r="G395" s="16"/>
      <c r="H395" s="13">
        <f t="shared" ca="1" si="208"/>
        <v>0</v>
      </c>
      <c r="I395" s="15">
        <f t="shared" ca="1" si="200"/>
        <v>1</v>
      </c>
      <c r="J395" s="15"/>
      <c r="K395" s="15">
        <f t="shared" ca="1" si="199"/>
        <v>0</v>
      </c>
    </row>
    <row r="396" spans="1:11" x14ac:dyDescent="0.4">
      <c r="A396" s="11" t="s">
        <v>8</v>
      </c>
      <c r="B396" s="40">
        <f t="shared" ca="1" si="207"/>
        <v>0</v>
      </c>
      <c r="C396" s="13">
        <f t="shared" ca="1" si="207"/>
        <v>0</v>
      </c>
      <c r="D396" s="17">
        <f t="shared" ca="1" si="207"/>
        <v>0</v>
      </c>
      <c r="E396" s="17">
        <f t="shared" ca="1" si="207"/>
        <v>0</v>
      </c>
      <c r="F396" s="13">
        <f t="shared" ca="1" si="207"/>
        <v>0</v>
      </c>
      <c r="G396" s="16"/>
      <c r="H396" s="13">
        <f t="shared" ca="1" si="208"/>
        <v>0</v>
      </c>
      <c r="I396" s="15">
        <f t="shared" ca="1" si="200"/>
        <v>1</v>
      </c>
      <c r="J396" s="15"/>
      <c r="K396" s="15">
        <f t="shared" ca="1" si="199"/>
        <v>0</v>
      </c>
    </row>
    <row r="397" spans="1:11" x14ac:dyDescent="0.4">
      <c r="A397" s="11" t="s">
        <v>9</v>
      </c>
      <c r="B397" s="41">
        <f t="shared" ref="B397:F399" ca="1" si="209">OFFSET(B397,-15,0)</f>
        <v>0</v>
      </c>
      <c r="C397" s="19">
        <f t="shared" ca="1" si="209"/>
        <v>0</v>
      </c>
      <c r="D397" s="20">
        <f t="shared" ca="1" si="209"/>
        <v>0</v>
      </c>
      <c r="E397" s="20">
        <f t="shared" ca="1" si="209"/>
        <v>0</v>
      </c>
      <c r="F397" s="13">
        <f t="shared" ca="1" si="209"/>
        <v>0</v>
      </c>
      <c r="G397" s="16"/>
      <c r="H397" s="19">
        <f t="shared" ref="H397:H399" ca="1" si="210">OFFSET(H397,-15,0)</f>
        <v>0</v>
      </c>
      <c r="I397" s="15">
        <f t="shared" ca="1" si="200"/>
        <v>1</v>
      </c>
      <c r="J397" s="15"/>
      <c r="K397" s="15">
        <f t="shared" ca="1" si="199"/>
        <v>0</v>
      </c>
    </row>
    <row r="398" spans="1:11" x14ac:dyDescent="0.4">
      <c r="A398" s="11" t="s">
        <v>9</v>
      </c>
      <c r="B398" s="41">
        <f t="shared" ca="1" si="209"/>
        <v>0</v>
      </c>
      <c r="C398" s="19">
        <f t="shared" ca="1" si="209"/>
        <v>0</v>
      </c>
      <c r="D398" s="20">
        <f t="shared" ca="1" si="209"/>
        <v>0</v>
      </c>
      <c r="E398" s="20">
        <f t="shared" ca="1" si="209"/>
        <v>0</v>
      </c>
      <c r="F398" s="13">
        <f t="shared" ca="1" si="209"/>
        <v>0</v>
      </c>
      <c r="G398" s="16"/>
      <c r="H398" s="19">
        <f t="shared" ca="1" si="210"/>
        <v>0</v>
      </c>
      <c r="I398" s="15">
        <f t="shared" ca="1" si="200"/>
        <v>1</v>
      </c>
      <c r="J398" s="15"/>
      <c r="K398" s="15">
        <f t="shared" ca="1" si="199"/>
        <v>0</v>
      </c>
    </row>
    <row r="399" spans="1:11" x14ac:dyDescent="0.4">
      <c r="A399" s="11" t="s">
        <v>9</v>
      </c>
      <c r="B399" s="41">
        <f t="shared" ca="1" si="209"/>
        <v>0</v>
      </c>
      <c r="C399" s="19">
        <f t="shared" ca="1" si="209"/>
        <v>0</v>
      </c>
      <c r="D399" s="20">
        <f t="shared" ca="1" si="209"/>
        <v>0</v>
      </c>
      <c r="E399" s="20">
        <f t="shared" ca="1" si="209"/>
        <v>0</v>
      </c>
      <c r="F399" s="13">
        <f t="shared" ca="1" si="209"/>
        <v>0</v>
      </c>
      <c r="G399" s="16"/>
      <c r="H399" s="19">
        <f t="shared" ca="1" si="210"/>
        <v>0</v>
      </c>
      <c r="I399" s="15">
        <f t="shared" ca="1" si="200"/>
        <v>1</v>
      </c>
      <c r="J399" s="15"/>
      <c r="K399" s="15">
        <f t="shared" ca="1" si="199"/>
        <v>0</v>
      </c>
    </row>
    <row r="400" spans="1:11" ht="17.399999999999999" x14ac:dyDescent="0.4">
      <c r="A400" s="77" t="s">
        <v>23</v>
      </c>
      <c r="B400" s="75"/>
      <c r="C400" s="75"/>
      <c r="D400" s="75"/>
      <c r="E400" s="75"/>
      <c r="F400" s="75"/>
      <c r="G400" s="75"/>
      <c r="H400" s="75"/>
      <c r="I400" s="75"/>
      <c r="J400" s="75"/>
      <c r="K400" s="76"/>
    </row>
    <row r="401" spans="1:11" x14ac:dyDescent="0.4">
      <c r="A401" s="11" t="str">
        <f ca="1">INDEX(A249:A399, MATCH(MAX(K249:K399), K249:K399, 0), 0)</f>
        <v>Front</v>
      </c>
      <c r="B401" s="40">
        <f ca="1">INDEX(B249:B399, MATCH(MAX(K249:K399), K249:K399, 0), 0)</f>
        <v>0</v>
      </c>
      <c r="C401" s="13">
        <f ca="1">INDEX(C249:C399, MATCH(MAX(K249:K399), K249:K399, 0), 0)</f>
        <v>0</v>
      </c>
      <c r="D401" s="11">
        <f ca="1">INDEX(D249:D399, MATCH(MAX(K249:K399), K249:K399, 0), 0)</f>
        <v>0</v>
      </c>
      <c r="E401" s="17">
        <f ca="1">INDEX(E249:E399, MATCH(MAX(K249:K399), K249:K399, 0), 0)</f>
        <v>0</v>
      </c>
      <c r="F401" s="13">
        <f ca="1">INDEX(F249:F399, MATCH(MAX(K249:K399), K249:K399, 0), 0)</f>
        <v>0</v>
      </c>
      <c r="G401" s="16"/>
      <c r="H401" s="13">
        <f ca="1">INDEX(H249:H399, MATCH(MAX(K249:K399), K249:K399, 0), 0)</f>
        <v>0</v>
      </c>
      <c r="I401" s="15">
        <f ca="1">ROUND((10^(H401/10))/(10^(F401/10)),3)</f>
        <v>1</v>
      </c>
      <c r="J401" s="15"/>
      <c r="K401" s="15">
        <f t="shared" ref="K401" ca="1" si="211">G401*I401</f>
        <v>0</v>
      </c>
    </row>
    <row r="402" spans="1:11" x14ac:dyDescent="0.4">
      <c r="A402" s="11"/>
      <c r="B402" s="40"/>
      <c r="C402" s="13"/>
      <c r="D402" s="11"/>
      <c r="E402" s="17"/>
      <c r="F402" s="13"/>
      <c r="G402" s="16"/>
      <c r="H402" s="13"/>
      <c r="I402" s="15"/>
      <c r="J402" s="15"/>
      <c r="K402" s="15"/>
    </row>
    <row r="403" spans="1:11" x14ac:dyDescent="0.4">
      <c r="A403" s="11"/>
      <c r="B403" s="40"/>
      <c r="C403" s="13"/>
      <c r="D403" s="11"/>
      <c r="E403" s="17"/>
      <c r="F403" s="13"/>
      <c r="G403" s="16"/>
      <c r="H403" s="13"/>
      <c r="I403" s="15"/>
      <c r="J403" s="15"/>
      <c r="K403" s="15"/>
    </row>
    <row r="404" spans="1:11" x14ac:dyDescent="0.4">
      <c r="A404" s="11"/>
      <c r="B404" s="41"/>
      <c r="C404" s="19"/>
      <c r="D404" s="11"/>
      <c r="E404" s="20"/>
      <c r="F404" s="19"/>
      <c r="G404" s="16"/>
      <c r="H404" s="19"/>
      <c r="I404" s="15"/>
      <c r="J404" s="15"/>
      <c r="K404" s="15"/>
    </row>
    <row r="405" spans="1:11" x14ac:dyDescent="0.4">
      <c r="A405" s="11"/>
      <c r="B405" s="41"/>
      <c r="C405" s="19"/>
      <c r="D405" s="11"/>
      <c r="E405" s="20"/>
      <c r="F405" s="19"/>
      <c r="G405" s="16"/>
      <c r="H405" s="19"/>
      <c r="I405" s="15"/>
      <c r="J405" s="15"/>
      <c r="K405" s="15"/>
    </row>
    <row r="406" spans="1:11" x14ac:dyDescent="0.4">
      <c r="A406" s="11"/>
      <c r="B406" s="41"/>
      <c r="C406" s="19"/>
      <c r="D406" s="11"/>
      <c r="E406" s="20"/>
      <c r="F406" s="19"/>
      <c r="G406" s="16"/>
      <c r="H406" s="19"/>
      <c r="I406" s="15"/>
      <c r="J406" s="15"/>
      <c r="K406" s="15"/>
    </row>
    <row r="407" spans="1:11" x14ac:dyDescent="0.4">
      <c r="A407" s="11"/>
      <c r="B407" s="40"/>
      <c r="C407" s="13"/>
      <c r="D407" s="11"/>
      <c r="E407" s="17"/>
      <c r="F407" s="13"/>
      <c r="G407" s="16"/>
      <c r="H407" s="13"/>
      <c r="I407" s="15"/>
      <c r="J407" s="15"/>
      <c r="K407" s="15"/>
    </row>
    <row r="408" spans="1:11" x14ac:dyDescent="0.4">
      <c r="A408" s="11"/>
      <c r="B408" s="40"/>
      <c r="C408" s="13"/>
      <c r="D408" s="11"/>
      <c r="E408" s="17"/>
      <c r="F408" s="13"/>
      <c r="G408" s="16"/>
      <c r="H408" s="13"/>
      <c r="I408" s="15"/>
      <c r="J408" s="15"/>
      <c r="K408" s="15"/>
    </row>
    <row r="409" spans="1:11" x14ac:dyDescent="0.4">
      <c r="A409" s="11"/>
      <c r="B409" s="40"/>
      <c r="C409" s="13"/>
      <c r="D409" s="11"/>
      <c r="E409" s="17"/>
      <c r="F409" s="13"/>
      <c r="G409" s="16"/>
      <c r="H409" s="13"/>
      <c r="I409" s="15"/>
      <c r="J409" s="15"/>
      <c r="K409" s="15"/>
    </row>
    <row r="410" spans="1:11" x14ac:dyDescent="0.4">
      <c r="A410" s="11"/>
      <c r="B410" s="40"/>
      <c r="C410" s="13"/>
      <c r="D410" s="11"/>
      <c r="E410" s="17"/>
      <c r="F410" s="13"/>
      <c r="G410" s="16"/>
      <c r="H410" s="13"/>
      <c r="I410" s="15"/>
      <c r="J410" s="15"/>
      <c r="K410" s="15"/>
    </row>
    <row r="411" spans="1:11" x14ac:dyDescent="0.4">
      <c r="A411" s="11"/>
      <c r="B411" s="40"/>
      <c r="C411" s="13"/>
      <c r="D411" s="11"/>
      <c r="E411" s="17"/>
      <c r="F411" s="13"/>
      <c r="G411" s="16"/>
      <c r="H411" s="13"/>
      <c r="I411" s="15"/>
      <c r="J411" s="15"/>
      <c r="K411" s="15"/>
    </row>
    <row r="412" spans="1:11" x14ac:dyDescent="0.4">
      <c r="A412" s="11"/>
      <c r="B412" s="40"/>
      <c r="C412" s="13"/>
      <c r="D412" s="11"/>
      <c r="E412" s="17"/>
      <c r="F412" s="13"/>
      <c r="G412" s="16"/>
      <c r="H412" s="13"/>
      <c r="I412" s="15"/>
      <c r="J412" s="15"/>
      <c r="K412" s="15"/>
    </row>
    <row r="413" spans="1:11" x14ac:dyDescent="0.4">
      <c r="A413" s="11"/>
      <c r="B413" s="40"/>
      <c r="C413" s="13"/>
      <c r="D413" s="11"/>
      <c r="E413" s="17"/>
      <c r="F413" s="13"/>
      <c r="G413" s="16"/>
      <c r="H413" s="13"/>
      <c r="I413" s="15"/>
      <c r="J413" s="15"/>
      <c r="K413" s="15"/>
    </row>
    <row r="414" spans="1:11" x14ac:dyDescent="0.4">
      <c r="A414" s="11"/>
      <c r="B414" s="40"/>
      <c r="C414" s="13"/>
      <c r="D414" s="11"/>
      <c r="E414" s="17"/>
      <c r="F414" s="13"/>
      <c r="G414" s="16"/>
      <c r="H414" s="13"/>
      <c r="I414" s="15"/>
      <c r="J414" s="15"/>
      <c r="K414" s="15"/>
    </row>
    <row r="415" spans="1:11" x14ac:dyDescent="0.4">
      <c r="A415" s="11"/>
      <c r="B415" s="40"/>
      <c r="C415" s="13"/>
      <c r="D415" s="11"/>
      <c r="E415" s="17"/>
      <c r="F415" s="13"/>
      <c r="G415" s="16"/>
      <c r="H415" s="13"/>
      <c r="I415" s="15"/>
      <c r="J415" s="15"/>
      <c r="K415" s="15"/>
    </row>
    <row r="416" spans="1:11" x14ac:dyDescent="0.4">
      <c r="A416" s="11"/>
      <c r="B416" s="41"/>
      <c r="C416" s="19"/>
      <c r="D416" s="11"/>
      <c r="E416" s="20"/>
      <c r="F416" s="19"/>
      <c r="G416" s="16"/>
      <c r="H416" s="19"/>
      <c r="I416" s="15"/>
      <c r="J416" s="15"/>
      <c r="K416" s="15"/>
    </row>
    <row r="417" spans="1:11" x14ac:dyDescent="0.4">
      <c r="A417" s="11"/>
      <c r="B417" s="41"/>
      <c r="C417" s="19"/>
      <c r="D417" s="11"/>
      <c r="E417" s="20"/>
      <c r="F417" s="19"/>
      <c r="G417" s="16"/>
      <c r="H417" s="19"/>
      <c r="I417" s="15"/>
      <c r="J417" s="15"/>
      <c r="K417" s="15"/>
    </row>
    <row r="418" spans="1:11" x14ac:dyDescent="0.4">
      <c r="A418" s="11"/>
      <c r="B418" s="41"/>
      <c r="C418" s="19"/>
      <c r="D418" s="11"/>
      <c r="E418" s="20"/>
      <c r="F418" s="19"/>
      <c r="G418" s="16"/>
      <c r="H418" s="19"/>
      <c r="I418" s="15"/>
      <c r="J418" s="15"/>
      <c r="K418" s="15"/>
    </row>
    <row r="419" spans="1:11" ht="17.399999999999999" x14ac:dyDescent="0.4">
      <c r="A419" s="77" t="s">
        <v>24</v>
      </c>
      <c r="B419" s="75"/>
      <c r="C419" s="75"/>
      <c r="D419" s="75"/>
      <c r="E419" s="75"/>
      <c r="F419" s="75"/>
      <c r="G419" s="75"/>
      <c r="H419" s="75"/>
      <c r="I419" s="75"/>
      <c r="J419" s="75"/>
      <c r="K419" s="76"/>
    </row>
    <row r="420" spans="1:11" x14ac:dyDescent="0.4">
      <c r="A420" s="11" t="str">
        <f ca="1">INDEX(A249:A399, MATCH(MAX(K249:K399), K249:K399, 0), 0)</f>
        <v>Front</v>
      </c>
      <c r="B420" s="40">
        <f ca="1">INDEX(B249:B399, MATCH(MAX(K249:K399), K249:K399, 0), 0)</f>
        <v>0</v>
      </c>
      <c r="C420" s="13">
        <f ca="1">INDEX(C249:C399, MATCH(MAX(K249:K399), K249:K399, 0), 0)</f>
        <v>0</v>
      </c>
      <c r="D420" s="11">
        <f ca="1">INDEX(D249:D399, MATCH(MAX(K249:K399), K249:K399, 0), 0)</f>
        <v>0</v>
      </c>
      <c r="E420" s="17">
        <f ca="1">INDEX(E249:E399, MATCH(MAX(K249:K399), K249:K399, 0), 0)</f>
        <v>0</v>
      </c>
      <c r="F420" s="13">
        <f ca="1">INDEX(F249:F399, MATCH(MAX(K249:K399), K249:K399, 0), 0)</f>
        <v>0</v>
      </c>
      <c r="G420" s="16"/>
      <c r="H420" s="13">
        <f ca="1">INDEX(H249:H399, MATCH(MAX(K249:K399), K249:K399, 0), 0)</f>
        <v>0</v>
      </c>
      <c r="I420" s="15">
        <f ca="1">ROUND((10^(H420/10))/(10^(F420/10)),3)</f>
        <v>1</v>
      </c>
      <c r="J420" s="15"/>
      <c r="K420" s="15">
        <f t="shared" ref="K420" ca="1" si="212">G420*I420</f>
        <v>0</v>
      </c>
    </row>
    <row r="421" spans="1:11" x14ac:dyDescent="0.4">
      <c r="A421" s="11"/>
      <c r="B421" s="40"/>
      <c r="C421" s="13"/>
      <c r="D421" s="11"/>
      <c r="E421" s="17"/>
      <c r="F421" s="13"/>
      <c r="G421" s="16"/>
      <c r="H421" s="13"/>
      <c r="I421" s="15"/>
      <c r="J421" s="15"/>
      <c r="K421" s="52"/>
    </row>
    <row r="422" spans="1:11" x14ac:dyDescent="0.4">
      <c r="A422" s="11"/>
      <c r="B422" s="40"/>
      <c r="C422" s="13"/>
      <c r="D422" s="11"/>
      <c r="E422" s="17"/>
      <c r="F422" s="13"/>
      <c r="G422" s="16"/>
      <c r="H422" s="13"/>
      <c r="I422" s="15"/>
      <c r="J422" s="15"/>
      <c r="K422" s="52"/>
    </row>
    <row r="423" spans="1:11" x14ac:dyDescent="0.4">
      <c r="A423" s="11"/>
      <c r="B423" s="41"/>
      <c r="C423" s="19"/>
      <c r="D423" s="11"/>
      <c r="E423" s="20"/>
      <c r="F423" s="19"/>
      <c r="G423" s="16"/>
      <c r="H423" s="19"/>
      <c r="I423" s="15"/>
      <c r="J423" s="15"/>
      <c r="K423" s="52"/>
    </row>
    <row r="424" spans="1:11" x14ac:dyDescent="0.4">
      <c r="A424" s="11"/>
      <c r="B424" s="41"/>
      <c r="C424" s="19"/>
      <c r="D424" s="11"/>
      <c r="E424" s="20"/>
      <c r="F424" s="19"/>
      <c r="G424" s="16"/>
      <c r="H424" s="19"/>
      <c r="I424" s="15"/>
      <c r="J424" s="15"/>
      <c r="K424" s="52"/>
    </row>
    <row r="425" spans="1:11" x14ac:dyDescent="0.4">
      <c r="A425" s="11"/>
      <c r="B425" s="41"/>
      <c r="C425" s="19"/>
      <c r="D425" s="11"/>
      <c r="E425" s="20"/>
      <c r="F425" s="19"/>
      <c r="G425" s="16"/>
      <c r="H425" s="19"/>
      <c r="I425" s="15"/>
      <c r="J425" s="15"/>
      <c r="K425" s="52"/>
    </row>
    <row r="426" spans="1:11" x14ac:dyDescent="0.4">
      <c r="A426" s="11"/>
      <c r="B426" s="40"/>
      <c r="C426" s="13"/>
      <c r="D426" s="11"/>
      <c r="E426" s="17"/>
      <c r="F426" s="13"/>
      <c r="G426" s="16"/>
      <c r="H426" s="13"/>
      <c r="I426" s="15"/>
      <c r="J426" s="15"/>
      <c r="K426" s="52"/>
    </row>
    <row r="427" spans="1:11" x14ac:dyDescent="0.4">
      <c r="A427" s="11"/>
      <c r="B427" s="40"/>
      <c r="C427" s="13"/>
      <c r="D427" s="11"/>
      <c r="E427" s="17"/>
      <c r="F427" s="13"/>
      <c r="G427" s="16"/>
      <c r="H427" s="13"/>
      <c r="I427" s="15"/>
      <c r="J427" s="15"/>
      <c r="K427" s="52"/>
    </row>
    <row r="428" spans="1:11" x14ac:dyDescent="0.4">
      <c r="A428" s="11"/>
      <c r="B428" s="40"/>
      <c r="C428" s="13"/>
      <c r="D428" s="11"/>
      <c r="E428" s="17"/>
      <c r="F428" s="13"/>
      <c r="G428" s="16"/>
      <c r="H428" s="13"/>
      <c r="I428" s="15"/>
      <c r="J428" s="15"/>
      <c r="K428" s="52"/>
    </row>
    <row r="429" spans="1:11" x14ac:dyDescent="0.4">
      <c r="A429" s="11"/>
      <c r="B429" s="40"/>
      <c r="C429" s="13"/>
      <c r="D429" s="11"/>
      <c r="E429" s="17"/>
      <c r="F429" s="13"/>
      <c r="G429" s="16"/>
      <c r="H429" s="13"/>
      <c r="I429" s="15"/>
      <c r="J429" s="15"/>
      <c r="K429" s="52"/>
    </row>
    <row r="430" spans="1:11" x14ac:dyDescent="0.4">
      <c r="A430" s="11"/>
      <c r="B430" s="40"/>
      <c r="C430" s="13"/>
      <c r="D430" s="11"/>
      <c r="E430" s="17"/>
      <c r="F430" s="13"/>
      <c r="G430" s="16"/>
      <c r="H430" s="13"/>
      <c r="I430" s="15"/>
      <c r="J430" s="15"/>
      <c r="K430" s="52"/>
    </row>
    <row r="431" spans="1:11" x14ac:dyDescent="0.4">
      <c r="A431" s="11"/>
      <c r="B431" s="40"/>
      <c r="C431" s="13"/>
      <c r="D431" s="11"/>
      <c r="E431" s="17"/>
      <c r="F431" s="13"/>
      <c r="G431" s="16"/>
      <c r="H431" s="13"/>
      <c r="I431" s="15"/>
      <c r="J431" s="15"/>
      <c r="K431" s="52"/>
    </row>
    <row r="432" spans="1:11" x14ac:dyDescent="0.4">
      <c r="A432" s="11"/>
      <c r="B432" s="40"/>
      <c r="C432" s="13"/>
      <c r="D432" s="11"/>
      <c r="E432" s="17"/>
      <c r="F432" s="13"/>
      <c r="G432" s="16"/>
      <c r="H432" s="13"/>
      <c r="I432" s="15"/>
      <c r="J432" s="15"/>
      <c r="K432" s="52"/>
    </row>
    <row r="433" spans="1:11" x14ac:dyDescent="0.4">
      <c r="A433" s="11"/>
      <c r="B433" s="40"/>
      <c r="C433" s="13"/>
      <c r="D433" s="11"/>
      <c r="E433" s="17"/>
      <c r="F433" s="13"/>
      <c r="G433" s="16"/>
      <c r="H433" s="13"/>
      <c r="I433" s="15"/>
      <c r="J433" s="15"/>
      <c r="K433" s="52"/>
    </row>
    <row r="434" spans="1:11" x14ac:dyDescent="0.4">
      <c r="A434" s="11"/>
      <c r="B434" s="40"/>
      <c r="C434" s="13"/>
      <c r="D434" s="11"/>
      <c r="E434" s="17"/>
      <c r="F434" s="13"/>
      <c r="G434" s="16"/>
      <c r="H434" s="13"/>
      <c r="I434" s="15"/>
      <c r="J434" s="15"/>
      <c r="K434" s="52"/>
    </row>
    <row r="435" spans="1:11" x14ac:dyDescent="0.4">
      <c r="A435" s="11"/>
      <c r="B435" s="41"/>
      <c r="C435" s="19"/>
      <c r="D435" s="11"/>
      <c r="E435" s="20"/>
      <c r="F435" s="19"/>
      <c r="G435" s="16"/>
      <c r="H435" s="19"/>
      <c r="I435" s="15"/>
      <c r="J435" s="15"/>
      <c r="K435" s="52"/>
    </row>
    <row r="436" spans="1:11" x14ac:dyDescent="0.4">
      <c r="A436" s="11"/>
      <c r="B436" s="41"/>
      <c r="C436" s="19"/>
      <c r="D436" s="11"/>
      <c r="E436" s="20"/>
      <c r="F436" s="19"/>
      <c r="G436" s="16"/>
      <c r="H436" s="19"/>
      <c r="I436" s="15"/>
      <c r="J436" s="15"/>
      <c r="K436" s="52"/>
    </row>
    <row r="437" spans="1:11" x14ac:dyDescent="0.4">
      <c r="A437" s="11"/>
      <c r="B437" s="41"/>
      <c r="C437" s="19"/>
      <c r="D437" s="11"/>
      <c r="E437" s="20"/>
      <c r="F437" s="19"/>
      <c r="G437" s="16"/>
      <c r="H437" s="19"/>
      <c r="I437" s="15"/>
      <c r="J437" s="15"/>
      <c r="K437" s="52"/>
    </row>
  </sheetData>
  <mergeCells count="78">
    <mergeCell ref="A343:K343"/>
    <mergeCell ref="A362:K362"/>
    <mergeCell ref="A381:K381"/>
    <mergeCell ref="A400:K400"/>
    <mergeCell ref="A419:K419"/>
    <mergeCell ref="A248:K248"/>
    <mergeCell ref="A267:K267"/>
    <mergeCell ref="A286:K286"/>
    <mergeCell ref="A305:K305"/>
    <mergeCell ref="A324:K324"/>
    <mergeCell ref="G245:G247"/>
    <mergeCell ref="H245:H247"/>
    <mergeCell ref="I245:J246"/>
    <mergeCell ref="K245:K247"/>
    <mergeCell ref="C246:C247"/>
    <mergeCell ref="D246:D247"/>
    <mergeCell ref="A245:A247"/>
    <mergeCell ref="B245:B247"/>
    <mergeCell ref="C245:D245"/>
    <mergeCell ref="E245:E247"/>
    <mergeCell ref="F245:F247"/>
    <mergeCell ref="J225:J227"/>
    <mergeCell ref="C226:C227"/>
    <mergeCell ref="D226:D227"/>
    <mergeCell ref="A241:F243"/>
    <mergeCell ref="G241:I241"/>
    <mergeCell ref="G242:I242"/>
    <mergeCell ref="G243:I243"/>
    <mergeCell ref="A221:E223"/>
    <mergeCell ref="F221:H221"/>
    <mergeCell ref="F222:H222"/>
    <mergeCell ref="F223:H223"/>
    <mergeCell ref="A225:A227"/>
    <mergeCell ref="B225:B227"/>
    <mergeCell ref="C225:D225"/>
    <mergeCell ref="E225:E227"/>
    <mergeCell ref="F225:F227"/>
    <mergeCell ref="G225:G227"/>
    <mergeCell ref="H225:I226"/>
    <mergeCell ref="A2:E4"/>
    <mergeCell ref="F2:H2"/>
    <mergeCell ref="F3:H3"/>
    <mergeCell ref="F4:H4"/>
    <mergeCell ref="A6:A8"/>
    <mergeCell ref="B6:B8"/>
    <mergeCell ref="C6:D6"/>
    <mergeCell ref="E6:E8"/>
    <mergeCell ref="F6:F8"/>
    <mergeCell ref="G6:G8"/>
    <mergeCell ref="H6:I7"/>
    <mergeCell ref="J6:J8"/>
    <mergeCell ref="A22:F24"/>
    <mergeCell ref="G22:I22"/>
    <mergeCell ref="G23:I23"/>
    <mergeCell ref="G24:I24"/>
    <mergeCell ref="C7:C8"/>
    <mergeCell ref="D7:D8"/>
    <mergeCell ref="A26:A28"/>
    <mergeCell ref="B26:B28"/>
    <mergeCell ref="C26:D26"/>
    <mergeCell ref="A200:K200"/>
    <mergeCell ref="C27:C28"/>
    <mergeCell ref="D27:D28"/>
    <mergeCell ref="A29:K29"/>
    <mergeCell ref="A48:K48"/>
    <mergeCell ref="A67:K67"/>
    <mergeCell ref="A86:K86"/>
    <mergeCell ref="E26:E28"/>
    <mergeCell ref="F26:F28"/>
    <mergeCell ref="G26:G28"/>
    <mergeCell ref="H26:H28"/>
    <mergeCell ref="I26:J27"/>
    <mergeCell ref="K26:K28"/>
    <mergeCell ref="A105:K105"/>
    <mergeCell ref="A124:K124"/>
    <mergeCell ref="A143:K143"/>
    <mergeCell ref="A162:K162"/>
    <mergeCell ref="A181:K181"/>
  </mergeCells>
  <phoneticPr fontId="1" type="noConversion"/>
  <conditionalFormatting sqref="E9">
    <cfRule type="cellIs" dxfId="467" priority="1560" operator="between">
      <formula>G9</formula>
      <formula>9999</formula>
    </cfRule>
  </conditionalFormatting>
  <conditionalFormatting sqref="E10">
    <cfRule type="cellIs" dxfId="466" priority="1559" operator="between">
      <formula>G10</formula>
      <formula>9999</formula>
    </cfRule>
  </conditionalFormatting>
  <conditionalFormatting sqref="E11">
    <cfRule type="cellIs" dxfId="465" priority="1558" operator="between">
      <formula>G11</formula>
      <formula>9999</formula>
    </cfRule>
  </conditionalFormatting>
  <conditionalFormatting sqref="E15">
    <cfRule type="cellIs" dxfId="464" priority="1557" operator="between">
      <formula>G15</formula>
      <formula>9999</formula>
    </cfRule>
  </conditionalFormatting>
  <conditionalFormatting sqref="E16">
    <cfRule type="cellIs" dxfId="463" priority="1556" operator="between">
      <formula>G16</formula>
      <formula>9999</formula>
    </cfRule>
  </conditionalFormatting>
  <conditionalFormatting sqref="E17">
    <cfRule type="cellIs" dxfId="462" priority="1555" operator="between">
      <formula>G17</formula>
      <formula>9999</formula>
    </cfRule>
  </conditionalFormatting>
  <conditionalFormatting sqref="E18">
    <cfRule type="cellIs" dxfId="461" priority="1554" operator="between">
      <formula>G18</formula>
      <formula>9999</formula>
    </cfRule>
  </conditionalFormatting>
  <conditionalFormatting sqref="E19">
    <cfRule type="cellIs" dxfId="460" priority="1553" operator="between">
      <formula>G19</formula>
      <formula>9999</formula>
    </cfRule>
  </conditionalFormatting>
  <conditionalFormatting sqref="E20">
    <cfRule type="cellIs" dxfId="459" priority="1552" operator="between">
      <formula>G20</formula>
      <formula>9999</formula>
    </cfRule>
  </conditionalFormatting>
  <conditionalFormatting sqref="F30">
    <cfRule type="cellIs" dxfId="458" priority="1551" operator="between">
      <formula>H30</formula>
      <formula>9999</formula>
    </cfRule>
  </conditionalFormatting>
  <conditionalFormatting sqref="F31">
    <cfRule type="cellIs" dxfId="457" priority="1550" operator="between">
      <formula>H31</formula>
      <formula>9999</formula>
    </cfRule>
  </conditionalFormatting>
  <conditionalFormatting sqref="F32">
    <cfRule type="cellIs" dxfId="456" priority="1549" operator="between">
      <formula>H32</formula>
      <formula>9999</formula>
    </cfRule>
  </conditionalFormatting>
  <conditionalFormatting sqref="F33">
    <cfRule type="cellIs" dxfId="455" priority="1548" operator="between">
      <formula>H33</formula>
      <formula>9999</formula>
    </cfRule>
  </conditionalFormatting>
  <conditionalFormatting sqref="F34">
    <cfRule type="cellIs" dxfId="454" priority="1547" operator="between">
      <formula>H34</formula>
      <formula>9999</formula>
    </cfRule>
  </conditionalFormatting>
  <conditionalFormatting sqref="F35">
    <cfRule type="cellIs" dxfId="453" priority="1546" operator="between">
      <formula>H35</formula>
      <formula>9999</formula>
    </cfRule>
  </conditionalFormatting>
  <conditionalFormatting sqref="F36">
    <cfRule type="cellIs" dxfId="452" priority="1545" operator="between">
      <formula>H36</formula>
      <formula>9999</formula>
    </cfRule>
  </conditionalFormatting>
  <conditionalFormatting sqref="F37">
    <cfRule type="cellIs" dxfId="451" priority="1544" operator="between">
      <formula>H37</formula>
      <formula>9999</formula>
    </cfRule>
  </conditionalFormatting>
  <conditionalFormatting sqref="F38">
    <cfRule type="cellIs" dxfId="450" priority="1543" operator="between">
      <formula>H38</formula>
      <formula>9999</formula>
    </cfRule>
  </conditionalFormatting>
  <conditionalFormatting sqref="F39">
    <cfRule type="cellIs" dxfId="449" priority="1542" operator="between">
      <formula>H39</formula>
      <formula>9999</formula>
    </cfRule>
  </conditionalFormatting>
  <conditionalFormatting sqref="F40">
    <cfRule type="cellIs" dxfId="448" priority="1541" operator="between">
      <formula>H40</formula>
      <formula>9999</formula>
    </cfRule>
  </conditionalFormatting>
  <conditionalFormatting sqref="F41">
    <cfRule type="cellIs" dxfId="447" priority="1540" operator="between">
      <formula>H41</formula>
      <formula>9999</formula>
    </cfRule>
  </conditionalFormatting>
  <conditionalFormatting sqref="F42">
    <cfRule type="cellIs" dxfId="446" priority="1539" operator="between">
      <formula>H42</formula>
      <formula>9999</formula>
    </cfRule>
  </conditionalFormatting>
  <conditionalFormatting sqref="F43">
    <cfRule type="cellIs" dxfId="445" priority="1538" operator="between">
      <formula>H43</formula>
      <formula>9999</formula>
    </cfRule>
  </conditionalFormatting>
  <conditionalFormatting sqref="F44">
    <cfRule type="cellIs" dxfId="444" priority="1537" operator="between">
      <formula>H44</formula>
      <formula>9999</formula>
    </cfRule>
  </conditionalFormatting>
  <conditionalFormatting sqref="F45">
    <cfRule type="cellIs" dxfId="443" priority="1536" operator="between">
      <formula>H45</formula>
      <formula>9999</formula>
    </cfRule>
  </conditionalFormatting>
  <conditionalFormatting sqref="F46">
    <cfRule type="cellIs" dxfId="442" priority="1535" operator="between">
      <formula>H46</formula>
      <formula>9999</formula>
    </cfRule>
  </conditionalFormatting>
  <conditionalFormatting sqref="F47">
    <cfRule type="cellIs" dxfId="441" priority="1534" operator="between">
      <formula>H47</formula>
      <formula>9999</formula>
    </cfRule>
  </conditionalFormatting>
  <conditionalFormatting sqref="F49">
    <cfRule type="cellIs" dxfId="440" priority="1533" operator="between">
      <formula>H49</formula>
      <formula>9999</formula>
    </cfRule>
  </conditionalFormatting>
  <conditionalFormatting sqref="F50">
    <cfRule type="cellIs" dxfId="439" priority="1532" operator="between">
      <formula>H50</formula>
      <formula>9999</formula>
    </cfRule>
  </conditionalFormatting>
  <conditionalFormatting sqref="F51">
    <cfRule type="cellIs" dxfId="438" priority="1531" operator="between">
      <formula>H51</formula>
      <formula>9999</formula>
    </cfRule>
  </conditionalFormatting>
  <conditionalFormatting sqref="F52">
    <cfRule type="cellIs" dxfId="437" priority="1530" operator="between">
      <formula>H52</formula>
      <formula>9999</formula>
    </cfRule>
  </conditionalFormatting>
  <conditionalFormatting sqref="F53">
    <cfRule type="cellIs" dxfId="436" priority="1529" operator="between">
      <formula>H53</formula>
      <formula>9999</formula>
    </cfRule>
  </conditionalFormatting>
  <conditionalFormatting sqref="F54">
    <cfRule type="cellIs" dxfId="435" priority="1528" operator="between">
      <formula>H54</formula>
      <formula>9999</formula>
    </cfRule>
  </conditionalFormatting>
  <conditionalFormatting sqref="F55">
    <cfRule type="cellIs" dxfId="434" priority="1527" operator="between">
      <formula>H55</formula>
      <formula>9999</formula>
    </cfRule>
  </conditionalFormatting>
  <conditionalFormatting sqref="F56">
    <cfRule type="cellIs" dxfId="433" priority="1526" operator="between">
      <formula>H56</formula>
      <formula>9999</formula>
    </cfRule>
  </conditionalFormatting>
  <conditionalFormatting sqref="F57">
    <cfRule type="cellIs" dxfId="432" priority="1525" operator="between">
      <formula>H57</formula>
      <formula>9999</formula>
    </cfRule>
  </conditionalFormatting>
  <conditionalFormatting sqref="F58">
    <cfRule type="cellIs" dxfId="431" priority="1524" operator="between">
      <formula>H58</formula>
      <formula>9999</formula>
    </cfRule>
  </conditionalFormatting>
  <conditionalFormatting sqref="F59">
    <cfRule type="cellIs" dxfId="430" priority="1523" operator="between">
      <formula>H59</formula>
      <formula>9999</formula>
    </cfRule>
  </conditionalFormatting>
  <conditionalFormatting sqref="F60">
    <cfRule type="cellIs" dxfId="429" priority="1522" operator="between">
      <formula>H60</formula>
      <formula>9999</formula>
    </cfRule>
  </conditionalFormatting>
  <conditionalFormatting sqref="F61">
    <cfRule type="cellIs" dxfId="428" priority="1521" operator="between">
      <formula>H61</formula>
      <formula>9999</formula>
    </cfRule>
  </conditionalFormatting>
  <conditionalFormatting sqref="F62">
    <cfRule type="cellIs" dxfId="427" priority="1520" operator="between">
      <formula>H62</formula>
      <formula>9999</formula>
    </cfRule>
  </conditionalFormatting>
  <conditionalFormatting sqref="F63">
    <cfRule type="cellIs" dxfId="426" priority="1519" operator="between">
      <formula>H63</formula>
      <formula>9999</formula>
    </cfRule>
  </conditionalFormatting>
  <conditionalFormatting sqref="F64">
    <cfRule type="cellIs" dxfId="425" priority="1518" operator="between">
      <formula>H64</formula>
      <formula>9999</formula>
    </cfRule>
  </conditionalFormatting>
  <conditionalFormatting sqref="F65">
    <cfRule type="cellIs" dxfId="424" priority="1517" operator="between">
      <formula>H65</formula>
      <formula>9999</formula>
    </cfRule>
  </conditionalFormatting>
  <conditionalFormatting sqref="F66">
    <cfRule type="cellIs" dxfId="423" priority="1516" operator="between">
      <formula>H66</formula>
      <formula>9999</formula>
    </cfRule>
  </conditionalFormatting>
  <conditionalFormatting sqref="F68">
    <cfRule type="cellIs" dxfId="422" priority="1515" operator="between">
      <formula>H68</formula>
      <formula>9999</formula>
    </cfRule>
  </conditionalFormatting>
  <conditionalFormatting sqref="F69">
    <cfRule type="cellIs" dxfId="421" priority="1514" operator="between">
      <formula>H69</formula>
      <formula>9999</formula>
    </cfRule>
  </conditionalFormatting>
  <conditionalFormatting sqref="F70">
    <cfRule type="cellIs" dxfId="420" priority="1513" operator="between">
      <formula>H70</formula>
      <formula>9999</formula>
    </cfRule>
  </conditionalFormatting>
  <conditionalFormatting sqref="F71">
    <cfRule type="cellIs" dxfId="419" priority="1512" operator="between">
      <formula>H71</formula>
      <formula>9999</formula>
    </cfRule>
  </conditionalFormatting>
  <conditionalFormatting sqref="F72">
    <cfRule type="cellIs" dxfId="418" priority="1511" operator="between">
      <formula>H72</formula>
      <formula>9999</formula>
    </cfRule>
  </conditionalFormatting>
  <conditionalFormatting sqref="F73">
    <cfRule type="cellIs" dxfId="417" priority="1510" operator="between">
      <formula>H73</formula>
      <formula>9999</formula>
    </cfRule>
  </conditionalFormatting>
  <conditionalFormatting sqref="F74">
    <cfRule type="cellIs" dxfId="416" priority="1509" operator="between">
      <formula>H74</formula>
      <formula>9999</formula>
    </cfRule>
  </conditionalFormatting>
  <conditionalFormatting sqref="F75">
    <cfRule type="cellIs" dxfId="415" priority="1508" operator="between">
      <formula>H75</formula>
      <formula>9999</formula>
    </cfRule>
  </conditionalFormatting>
  <conditionalFormatting sqref="F76">
    <cfRule type="cellIs" dxfId="414" priority="1507" operator="between">
      <formula>H76</formula>
      <formula>9999</formula>
    </cfRule>
  </conditionalFormatting>
  <conditionalFormatting sqref="F77">
    <cfRule type="cellIs" dxfId="413" priority="1506" operator="between">
      <formula>H77</formula>
      <formula>9999</formula>
    </cfRule>
  </conditionalFormatting>
  <conditionalFormatting sqref="F78">
    <cfRule type="cellIs" dxfId="412" priority="1505" operator="between">
      <formula>H78</formula>
      <formula>9999</formula>
    </cfRule>
  </conditionalFormatting>
  <conditionalFormatting sqref="F79">
    <cfRule type="cellIs" dxfId="411" priority="1504" operator="between">
      <formula>H79</formula>
      <formula>9999</formula>
    </cfRule>
  </conditionalFormatting>
  <conditionalFormatting sqref="F80">
    <cfRule type="cellIs" dxfId="410" priority="1503" operator="between">
      <formula>H80</formula>
      <formula>9999</formula>
    </cfRule>
  </conditionalFormatting>
  <conditionalFormatting sqref="F81">
    <cfRule type="cellIs" dxfId="409" priority="1502" operator="between">
      <formula>H81</formula>
      <formula>9999</formula>
    </cfRule>
  </conditionalFormatting>
  <conditionalFormatting sqref="F82">
    <cfRule type="cellIs" dxfId="408" priority="1501" operator="between">
      <formula>H82</formula>
      <formula>9999</formula>
    </cfRule>
  </conditionalFormatting>
  <conditionalFormatting sqref="F83">
    <cfRule type="cellIs" dxfId="407" priority="1500" operator="between">
      <formula>H83</formula>
      <formula>9999</formula>
    </cfRule>
  </conditionalFormatting>
  <conditionalFormatting sqref="F84">
    <cfRule type="cellIs" dxfId="406" priority="1499" operator="between">
      <formula>H84</formula>
      <formula>9999</formula>
    </cfRule>
  </conditionalFormatting>
  <conditionalFormatting sqref="F85">
    <cfRule type="cellIs" dxfId="405" priority="1498" operator="between">
      <formula>H85</formula>
      <formula>9999</formula>
    </cfRule>
  </conditionalFormatting>
  <conditionalFormatting sqref="F87">
    <cfRule type="cellIs" dxfId="404" priority="1497" operator="between">
      <formula>H87</formula>
      <formula>9999</formula>
    </cfRule>
  </conditionalFormatting>
  <conditionalFormatting sqref="F88">
    <cfRule type="cellIs" dxfId="403" priority="1496" operator="between">
      <formula>H88</formula>
      <formula>9999</formula>
    </cfRule>
  </conditionalFormatting>
  <conditionalFormatting sqref="F89">
    <cfRule type="cellIs" dxfId="402" priority="1495" operator="between">
      <formula>H89</formula>
      <formula>9999</formula>
    </cfRule>
  </conditionalFormatting>
  <conditionalFormatting sqref="F90">
    <cfRule type="cellIs" dxfId="401" priority="1494" operator="between">
      <formula>H90</formula>
      <formula>9999</formula>
    </cfRule>
  </conditionalFormatting>
  <conditionalFormatting sqref="F91">
    <cfRule type="cellIs" dxfId="400" priority="1493" operator="between">
      <formula>H91</formula>
      <formula>9999</formula>
    </cfRule>
  </conditionalFormatting>
  <conditionalFormatting sqref="F92">
    <cfRule type="cellIs" dxfId="399" priority="1492" operator="between">
      <formula>H92</formula>
      <formula>9999</formula>
    </cfRule>
  </conditionalFormatting>
  <conditionalFormatting sqref="F93">
    <cfRule type="cellIs" dxfId="398" priority="1491" operator="between">
      <formula>H93</formula>
      <formula>9999</formula>
    </cfRule>
  </conditionalFormatting>
  <conditionalFormatting sqref="F94">
    <cfRule type="cellIs" dxfId="397" priority="1490" operator="between">
      <formula>H94</formula>
      <formula>9999</formula>
    </cfRule>
  </conditionalFormatting>
  <conditionalFormatting sqref="F95">
    <cfRule type="cellIs" dxfId="396" priority="1489" operator="between">
      <formula>H95</formula>
      <formula>9999</formula>
    </cfRule>
  </conditionalFormatting>
  <conditionalFormatting sqref="F96">
    <cfRule type="cellIs" dxfId="395" priority="1488" operator="between">
      <formula>H96</formula>
      <formula>9999</formula>
    </cfRule>
  </conditionalFormatting>
  <conditionalFormatting sqref="F97">
    <cfRule type="cellIs" dxfId="394" priority="1487" operator="between">
      <formula>H97</formula>
      <formula>9999</formula>
    </cfRule>
  </conditionalFormatting>
  <conditionalFormatting sqref="F98">
    <cfRule type="cellIs" dxfId="393" priority="1486" operator="between">
      <formula>H98</formula>
      <formula>9999</formula>
    </cfRule>
  </conditionalFormatting>
  <conditionalFormatting sqref="F99">
    <cfRule type="cellIs" dxfId="392" priority="1485" operator="between">
      <formula>H99</formula>
      <formula>9999</formula>
    </cfRule>
  </conditionalFormatting>
  <conditionalFormatting sqref="F100">
    <cfRule type="cellIs" dxfId="391" priority="1484" operator="between">
      <formula>H100</formula>
      <formula>9999</formula>
    </cfRule>
  </conditionalFormatting>
  <conditionalFormatting sqref="F101">
    <cfRule type="cellIs" dxfId="390" priority="1483" operator="between">
      <formula>H101</formula>
      <formula>9999</formula>
    </cfRule>
  </conditionalFormatting>
  <conditionalFormatting sqref="F102">
    <cfRule type="cellIs" dxfId="389" priority="1482" operator="between">
      <formula>H102</formula>
      <formula>9999</formula>
    </cfRule>
  </conditionalFormatting>
  <conditionalFormatting sqref="F103">
    <cfRule type="cellIs" dxfId="388" priority="1481" operator="between">
      <formula>H103</formula>
      <formula>9999</formula>
    </cfRule>
  </conditionalFormatting>
  <conditionalFormatting sqref="F104">
    <cfRule type="cellIs" dxfId="387" priority="1480" operator="between">
      <formula>H104</formula>
      <formula>9999</formula>
    </cfRule>
  </conditionalFormatting>
  <conditionalFormatting sqref="F106">
    <cfRule type="cellIs" dxfId="386" priority="1479" operator="between">
      <formula>H106</formula>
      <formula>9999</formula>
    </cfRule>
  </conditionalFormatting>
  <conditionalFormatting sqref="F107">
    <cfRule type="cellIs" dxfId="385" priority="1478" operator="between">
      <formula>H107</formula>
      <formula>9999</formula>
    </cfRule>
  </conditionalFormatting>
  <conditionalFormatting sqref="F108">
    <cfRule type="cellIs" dxfId="384" priority="1477" operator="between">
      <formula>H108</formula>
      <formula>9999</formula>
    </cfRule>
  </conditionalFormatting>
  <conditionalFormatting sqref="F109">
    <cfRule type="cellIs" dxfId="383" priority="1476" operator="between">
      <formula>H109</formula>
      <formula>9999</formula>
    </cfRule>
  </conditionalFormatting>
  <conditionalFormatting sqref="F110">
    <cfRule type="cellIs" dxfId="382" priority="1475" operator="between">
      <formula>H110</formula>
      <formula>9999</formula>
    </cfRule>
  </conditionalFormatting>
  <conditionalFormatting sqref="F111">
    <cfRule type="cellIs" dxfId="381" priority="1474" operator="between">
      <formula>H111</formula>
      <formula>9999</formula>
    </cfRule>
  </conditionalFormatting>
  <conditionalFormatting sqref="F112">
    <cfRule type="cellIs" dxfId="380" priority="1473" operator="between">
      <formula>H112</formula>
      <formula>9999</formula>
    </cfRule>
  </conditionalFormatting>
  <conditionalFormatting sqref="F113">
    <cfRule type="cellIs" dxfId="379" priority="1472" operator="between">
      <formula>H113</formula>
      <formula>9999</formula>
    </cfRule>
  </conditionalFormatting>
  <conditionalFormatting sqref="F114">
    <cfRule type="cellIs" dxfId="378" priority="1471" operator="between">
      <formula>H114</formula>
      <formula>9999</formula>
    </cfRule>
  </conditionalFormatting>
  <conditionalFormatting sqref="F115">
    <cfRule type="cellIs" dxfId="377" priority="1470" operator="between">
      <formula>H115</formula>
      <formula>9999</formula>
    </cfRule>
  </conditionalFormatting>
  <conditionalFormatting sqref="F116">
    <cfRule type="cellIs" dxfId="376" priority="1469" operator="between">
      <formula>H116</formula>
      <formula>9999</formula>
    </cfRule>
  </conditionalFormatting>
  <conditionalFormatting sqref="F117">
    <cfRule type="cellIs" dxfId="375" priority="1468" operator="between">
      <formula>H117</formula>
      <formula>9999</formula>
    </cfRule>
  </conditionalFormatting>
  <conditionalFormatting sqref="F118">
    <cfRule type="cellIs" dxfId="374" priority="1467" operator="between">
      <formula>H118</formula>
      <formula>9999</formula>
    </cfRule>
  </conditionalFormatting>
  <conditionalFormatting sqref="F119">
    <cfRule type="cellIs" dxfId="373" priority="1466" operator="between">
      <formula>H119</formula>
      <formula>9999</formula>
    </cfRule>
  </conditionalFormatting>
  <conditionalFormatting sqref="F120">
    <cfRule type="cellIs" dxfId="372" priority="1465" operator="between">
      <formula>H120</formula>
      <formula>9999</formula>
    </cfRule>
  </conditionalFormatting>
  <conditionalFormatting sqref="F121">
    <cfRule type="cellIs" dxfId="371" priority="1464" operator="between">
      <formula>H121</formula>
      <formula>9999</formula>
    </cfRule>
  </conditionalFormatting>
  <conditionalFormatting sqref="F122">
    <cfRule type="cellIs" dxfId="370" priority="1463" operator="between">
      <formula>H122</formula>
      <formula>9999</formula>
    </cfRule>
  </conditionalFormatting>
  <conditionalFormatting sqref="F123">
    <cfRule type="cellIs" dxfId="369" priority="1462" operator="between">
      <formula>H123</formula>
      <formula>9999</formula>
    </cfRule>
  </conditionalFormatting>
  <conditionalFormatting sqref="F125">
    <cfRule type="cellIs" dxfId="368" priority="1461" operator="between">
      <formula>H125</formula>
      <formula>9999</formula>
    </cfRule>
  </conditionalFormatting>
  <conditionalFormatting sqref="F126">
    <cfRule type="cellIs" dxfId="367" priority="1460" operator="between">
      <formula>H126</formula>
      <formula>9999</formula>
    </cfRule>
  </conditionalFormatting>
  <conditionalFormatting sqref="F127">
    <cfRule type="cellIs" dxfId="366" priority="1459" operator="between">
      <formula>H127</formula>
      <formula>9999</formula>
    </cfRule>
  </conditionalFormatting>
  <conditionalFormatting sqref="F128">
    <cfRule type="cellIs" dxfId="365" priority="1458" operator="between">
      <formula>H128</formula>
      <formula>9999</formula>
    </cfRule>
  </conditionalFormatting>
  <conditionalFormatting sqref="F129">
    <cfRule type="cellIs" dxfId="364" priority="1457" operator="between">
      <formula>H129</formula>
      <formula>9999</formula>
    </cfRule>
  </conditionalFormatting>
  <conditionalFormatting sqref="F130">
    <cfRule type="cellIs" dxfId="363" priority="1456" operator="between">
      <formula>H130</formula>
      <formula>9999</formula>
    </cfRule>
  </conditionalFormatting>
  <conditionalFormatting sqref="F131">
    <cfRule type="cellIs" dxfId="362" priority="1455" operator="between">
      <formula>H131</formula>
      <formula>9999</formula>
    </cfRule>
  </conditionalFormatting>
  <conditionalFormatting sqref="F132">
    <cfRule type="cellIs" dxfId="361" priority="1454" operator="between">
      <formula>H132</formula>
      <formula>9999</formula>
    </cfRule>
  </conditionalFormatting>
  <conditionalFormatting sqref="F133">
    <cfRule type="cellIs" dxfId="360" priority="1453" operator="between">
      <formula>H133</formula>
      <formula>9999</formula>
    </cfRule>
  </conditionalFormatting>
  <conditionalFormatting sqref="F134">
    <cfRule type="cellIs" dxfId="359" priority="1452" operator="between">
      <formula>H134</formula>
      <formula>9999</formula>
    </cfRule>
  </conditionalFormatting>
  <conditionalFormatting sqref="F135">
    <cfRule type="cellIs" dxfId="358" priority="1451" operator="between">
      <formula>H135</formula>
      <formula>9999</formula>
    </cfRule>
  </conditionalFormatting>
  <conditionalFormatting sqref="F136">
    <cfRule type="cellIs" dxfId="357" priority="1450" operator="between">
      <formula>H136</formula>
      <formula>9999</formula>
    </cfRule>
  </conditionalFormatting>
  <conditionalFormatting sqref="F137">
    <cfRule type="cellIs" dxfId="356" priority="1449" operator="between">
      <formula>H137</formula>
      <formula>9999</formula>
    </cfRule>
  </conditionalFormatting>
  <conditionalFormatting sqref="F138">
    <cfRule type="cellIs" dxfId="355" priority="1448" operator="between">
      <formula>H138</formula>
      <formula>9999</formula>
    </cfRule>
  </conditionalFormatting>
  <conditionalFormatting sqref="F139">
    <cfRule type="cellIs" dxfId="354" priority="1447" operator="between">
      <formula>H139</formula>
      <formula>9999</formula>
    </cfRule>
  </conditionalFormatting>
  <conditionalFormatting sqref="F140">
    <cfRule type="cellIs" dxfId="353" priority="1446" operator="between">
      <formula>H140</formula>
      <formula>9999</formula>
    </cfRule>
  </conditionalFormatting>
  <conditionalFormatting sqref="F141">
    <cfRule type="cellIs" dxfId="352" priority="1445" operator="between">
      <formula>H141</formula>
      <formula>9999</formula>
    </cfRule>
  </conditionalFormatting>
  <conditionalFormatting sqref="F142">
    <cfRule type="cellIs" dxfId="351" priority="1444" operator="between">
      <formula>H142</formula>
      <formula>9999</formula>
    </cfRule>
  </conditionalFormatting>
  <conditionalFormatting sqref="F144">
    <cfRule type="cellIs" dxfId="350" priority="1443" operator="between">
      <formula>H144</formula>
      <formula>9999</formula>
    </cfRule>
  </conditionalFormatting>
  <conditionalFormatting sqref="F145">
    <cfRule type="cellIs" dxfId="349" priority="1442" operator="between">
      <formula>H145</formula>
      <formula>9999</formula>
    </cfRule>
  </conditionalFormatting>
  <conditionalFormatting sqref="F146">
    <cfRule type="cellIs" dxfId="348" priority="1441" operator="between">
      <formula>H146</formula>
      <formula>9999</formula>
    </cfRule>
  </conditionalFormatting>
  <conditionalFormatting sqref="F147">
    <cfRule type="cellIs" dxfId="347" priority="1440" operator="between">
      <formula>H147</formula>
      <formula>9999</formula>
    </cfRule>
  </conditionalFormatting>
  <conditionalFormatting sqref="F148">
    <cfRule type="cellIs" dxfId="346" priority="1439" operator="between">
      <formula>H148</formula>
      <formula>9999</formula>
    </cfRule>
  </conditionalFormatting>
  <conditionalFormatting sqref="F149">
    <cfRule type="cellIs" dxfId="345" priority="1438" operator="between">
      <formula>H149</formula>
      <formula>9999</formula>
    </cfRule>
  </conditionalFormatting>
  <conditionalFormatting sqref="F150">
    <cfRule type="cellIs" dxfId="344" priority="1437" operator="between">
      <formula>H150</formula>
      <formula>9999</formula>
    </cfRule>
  </conditionalFormatting>
  <conditionalFormatting sqref="F151">
    <cfRule type="cellIs" dxfId="343" priority="1436" operator="between">
      <formula>H151</formula>
      <formula>9999</formula>
    </cfRule>
  </conditionalFormatting>
  <conditionalFormatting sqref="F152">
    <cfRule type="cellIs" dxfId="342" priority="1435" operator="between">
      <formula>H152</formula>
      <formula>9999</formula>
    </cfRule>
  </conditionalFormatting>
  <conditionalFormatting sqref="F153">
    <cfRule type="cellIs" dxfId="341" priority="1434" operator="between">
      <formula>H153</formula>
      <formula>9999</formula>
    </cfRule>
  </conditionalFormatting>
  <conditionalFormatting sqref="F154">
    <cfRule type="cellIs" dxfId="340" priority="1433" operator="between">
      <formula>H154</formula>
      <formula>9999</formula>
    </cfRule>
  </conditionalFormatting>
  <conditionalFormatting sqref="F155">
    <cfRule type="cellIs" dxfId="339" priority="1432" operator="between">
      <formula>H155</formula>
      <formula>9999</formula>
    </cfRule>
  </conditionalFormatting>
  <conditionalFormatting sqref="F156">
    <cfRule type="cellIs" dxfId="338" priority="1431" operator="between">
      <formula>H156</formula>
      <formula>9999</formula>
    </cfRule>
  </conditionalFormatting>
  <conditionalFormatting sqref="F157">
    <cfRule type="cellIs" dxfId="337" priority="1430" operator="between">
      <formula>H157</formula>
      <formula>9999</formula>
    </cfRule>
  </conditionalFormatting>
  <conditionalFormatting sqref="F158">
    <cfRule type="cellIs" dxfId="336" priority="1429" operator="between">
      <formula>H158</formula>
      <formula>9999</formula>
    </cfRule>
  </conditionalFormatting>
  <conditionalFormatting sqref="F159">
    <cfRule type="cellIs" dxfId="335" priority="1428" operator="between">
      <formula>H159</formula>
      <formula>9999</formula>
    </cfRule>
  </conditionalFormatting>
  <conditionalFormatting sqref="F160">
    <cfRule type="cellIs" dxfId="334" priority="1427" operator="between">
      <formula>H160</formula>
      <formula>9999</formula>
    </cfRule>
  </conditionalFormatting>
  <conditionalFormatting sqref="F161">
    <cfRule type="cellIs" dxfId="333" priority="1426" operator="between">
      <formula>H161</formula>
      <formula>9999</formula>
    </cfRule>
  </conditionalFormatting>
  <conditionalFormatting sqref="F163">
    <cfRule type="cellIs" dxfId="332" priority="1425" operator="between">
      <formula>H163</formula>
      <formula>9999</formula>
    </cfRule>
  </conditionalFormatting>
  <conditionalFormatting sqref="F164">
    <cfRule type="cellIs" dxfId="331" priority="1424" operator="between">
      <formula>H164</formula>
      <formula>9999</formula>
    </cfRule>
  </conditionalFormatting>
  <conditionalFormatting sqref="F165">
    <cfRule type="cellIs" dxfId="330" priority="1423" operator="between">
      <formula>H165</formula>
      <formula>9999</formula>
    </cfRule>
  </conditionalFormatting>
  <conditionalFormatting sqref="F166">
    <cfRule type="cellIs" dxfId="329" priority="1422" operator="between">
      <formula>H166</formula>
      <formula>9999</formula>
    </cfRule>
  </conditionalFormatting>
  <conditionalFormatting sqref="F167">
    <cfRule type="cellIs" dxfId="328" priority="1421" operator="between">
      <formula>H167</formula>
      <formula>9999</formula>
    </cfRule>
  </conditionalFormatting>
  <conditionalFormatting sqref="F168">
    <cfRule type="cellIs" dxfId="327" priority="1420" operator="between">
      <formula>H168</formula>
      <formula>9999</formula>
    </cfRule>
  </conditionalFormatting>
  <conditionalFormatting sqref="F169">
    <cfRule type="cellIs" dxfId="326" priority="1419" operator="between">
      <formula>H169</formula>
      <formula>9999</formula>
    </cfRule>
  </conditionalFormatting>
  <conditionalFormatting sqref="F170">
    <cfRule type="cellIs" dxfId="325" priority="1418" operator="between">
      <formula>H170</formula>
      <formula>9999</formula>
    </cfRule>
  </conditionalFormatting>
  <conditionalFormatting sqref="F171">
    <cfRule type="cellIs" dxfId="324" priority="1417" operator="between">
      <formula>H171</formula>
      <formula>9999</formula>
    </cfRule>
  </conditionalFormatting>
  <conditionalFormatting sqref="F172">
    <cfRule type="cellIs" dxfId="323" priority="1416" operator="between">
      <formula>H172</formula>
      <formula>9999</formula>
    </cfRule>
  </conditionalFormatting>
  <conditionalFormatting sqref="F173">
    <cfRule type="cellIs" dxfId="322" priority="1415" operator="between">
      <formula>H173</formula>
      <formula>9999</formula>
    </cfRule>
  </conditionalFormatting>
  <conditionalFormatting sqref="F174">
    <cfRule type="cellIs" dxfId="321" priority="1414" operator="between">
      <formula>H174</formula>
      <formula>9999</formula>
    </cfRule>
  </conditionalFormatting>
  <conditionalFormatting sqref="F175">
    <cfRule type="cellIs" dxfId="320" priority="1413" operator="between">
      <formula>H175</formula>
      <formula>9999</formula>
    </cfRule>
  </conditionalFormatting>
  <conditionalFormatting sqref="F176">
    <cfRule type="cellIs" dxfId="319" priority="1412" operator="between">
      <formula>H176</formula>
      <formula>9999</formula>
    </cfRule>
  </conditionalFormatting>
  <conditionalFormatting sqref="F177">
    <cfRule type="cellIs" dxfId="318" priority="1411" operator="between">
      <formula>H177</formula>
      <formula>9999</formula>
    </cfRule>
  </conditionalFormatting>
  <conditionalFormatting sqref="F178">
    <cfRule type="cellIs" dxfId="317" priority="1410" operator="between">
      <formula>H178</formula>
      <formula>9999</formula>
    </cfRule>
  </conditionalFormatting>
  <conditionalFormatting sqref="F179">
    <cfRule type="cellIs" dxfId="316" priority="1409" operator="between">
      <formula>H179</formula>
      <formula>9999</formula>
    </cfRule>
  </conditionalFormatting>
  <conditionalFormatting sqref="F180">
    <cfRule type="cellIs" dxfId="315" priority="1408" operator="between">
      <formula>H180</formula>
      <formula>9999</formula>
    </cfRule>
  </conditionalFormatting>
  <conditionalFormatting sqref="F182">
    <cfRule type="cellIs" dxfId="314" priority="1407" operator="between">
      <formula>H182</formula>
      <formula>9999</formula>
    </cfRule>
  </conditionalFormatting>
  <conditionalFormatting sqref="F201">
    <cfRule type="cellIs" dxfId="313" priority="1406" operator="between">
      <formula>H201</formula>
      <formula>9999</formula>
    </cfRule>
  </conditionalFormatting>
  <conditionalFormatting sqref="E12:E14">
    <cfRule type="cellIs" dxfId="312" priority="1405" operator="between">
      <formula>G12</formula>
      <formula>9999</formula>
    </cfRule>
  </conditionalFormatting>
  <conditionalFormatting sqref="E228">
    <cfRule type="cellIs" dxfId="311" priority="156" operator="between">
      <formula>G228</formula>
      <formula>9999</formula>
    </cfRule>
  </conditionalFormatting>
  <conditionalFormatting sqref="E229">
    <cfRule type="cellIs" dxfId="310" priority="155" operator="between">
      <formula>G229</formula>
      <formula>9999</formula>
    </cfRule>
  </conditionalFormatting>
  <conditionalFormatting sqref="E230">
    <cfRule type="cellIs" dxfId="309" priority="154" operator="between">
      <formula>G230</formula>
      <formula>9999</formula>
    </cfRule>
  </conditionalFormatting>
  <conditionalFormatting sqref="E234">
    <cfRule type="cellIs" dxfId="308" priority="153" operator="between">
      <formula>G234</formula>
      <formula>9999</formula>
    </cfRule>
  </conditionalFormatting>
  <conditionalFormatting sqref="E235">
    <cfRule type="cellIs" dxfId="307" priority="152" operator="between">
      <formula>G235</formula>
      <formula>9999</formula>
    </cfRule>
  </conditionalFormatting>
  <conditionalFormatting sqref="E236">
    <cfRule type="cellIs" dxfId="306" priority="151" operator="between">
      <formula>G236</formula>
      <formula>9999</formula>
    </cfRule>
  </conditionalFormatting>
  <conditionalFormatting sqref="E237">
    <cfRule type="cellIs" dxfId="305" priority="150" operator="between">
      <formula>G237</formula>
      <formula>9999</formula>
    </cfRule>
  </conditionalFormatting>
  <conditionalFormatting sqref="E238">
    <cfRule type="cellIs" dxfId="304" priority="149" operator="between">
      <formula>G238</formula>
      <formula>9999</formula>
    </cfRule>
  </conditionalFormatting>
  <conditionalFormatting sqref="E239">
    <cfRule type="cellIs" dxfId="303" priority="148" operator="between">
      <formula>G239</formula>
      <formula>9999</formula>
    </cfRule>
  </conditionalFormatting>
  <conditionalFormatting sqref="F249">
    <cfRule type="cellIs" dxfId="302" priority="147" operator="between">
      <formula>H249</formula>
      <formula>9999</formula>
    </cfRule>
  </conditionalFormatting>
  <conditionalFormatting sqref="F250">
    <cfRule type="cellIs" dxfId="301" priority="146" operator="between">
      <formula>H250</formula>
      <formula>9999</formula>
    </cfRule>
  </conditionalFormatting>
  <conditionalFormatting sqref="F251">
    <cfRule type="cellIs" dxfId="300" priority="145" operator="between">
      <formula>H251</formula>
      <formula>9999</formula>
    </cfRule>
  </conditionalFormatting>
  <conditionalFormatting sqref="F252">
    <cfRule type="cellIs" dxfId="299" priority="144" operator="between">
      <formula>H252</formula>
      <formula>9999</formula>
    </cfRule>
  </conditionalFormatting>
  <conditionalFormatting sqref="F253">
    <cfRule type="cellIs" dxfId="298" priority="143" operator="between">
      <formula>H253</formula>
      <formula>9999</formula>
    </cfRule>
  </conditionalFormatting>
  <conditionalFormatting sqref="F254">
    <cfRule type="cellIs" dxfId="297" priority="142" operator="between">
      <formula>H254</formula>
      <formula>9999</formula>
    </cfRule>
  </conditionalFormatting>
  <conditionalFormatting sqref="F255">
    <cfRule type="cellIs" dxfId="296" priority="141" operator="between">
      <formula>H255</formula>
      <formula>9999</formula>
    </cfRule>
  </conditionalFormatting>
  <conditionalFormatting sqref="F256">
    <cfRule type="cellIs" dxfId="295" priority="140" operator="between">
      <formula>H256</formula>
      <formula>9999</formula>
    </cfRule>
  </conditionalFormatting>
  <conditionalFormatting sqref="F257">
    <cfRule type="cellIs" dxfId="294" priority="139" operator="between">
      <formula>H257</formula>
      <formula>9999</formula>
    </cfRule>
  </conditionalFormatting>
  <conditionalFormatting sqref="F258">
    <cfRule type="cellIs" dxfId="293" priority="138" operator="between">
      <formula>H258</formula>
      <formula>9999</formula>
    </cfRule>
  </conditionalFormatting>
  <conditionalFormatting sqref="F259">
    <cfRule type="cellIs" dxfId="292" priority="137" operator="between">
      <formula>H259</formula>
      <formula>9999</formula>
    </cfRule>
  </conditionalFormatting>
  <conditionalFormatting sqref="F260">
    <cfRule type="cellIs" dxfId="291" priority="136" operator="between">
      <formula>H260</formula>
      <formula>9999</formula>
    </cfRule>
  </conditionalFormatting>
  <conditionalFormatting sqref="F261">
    <cfRule type="cellIs" dxfId="290" priority="135" operator="between">
      <formula>H261</formula>
      <formula>9999</formula>
    </cfRule>
  </conditionalFormatting>
  <conditionalFormatting sqref="F262">
    <cfRule type="cellIs" dxfId="289" priority="134" operator="between">
      <formula>H262</formula>
      <formula>9999</formula>
    </cfRule>
  </conditionalFormatting>
  <conditionalFormatting sqref="F263">
    <cfRule type="cellIs" dxfId="288" priority="133" operator="between">
      <formula>H263</formula>
      <formula>9999</formula>
    </cfRule>
  </conditionalFormatting>
  <conditionalFormatting sqref="F264">
    <cfRule type="cellIs" dxfId="287" priority="132" operator="between">
      <formula>H264</formula>
      <formula>9999</formula>
    </cfRule>
  </conditionalFormatting>
  <conditionalFormatting sqref="F265">
    <cfRule type="cellIs" dxfId="286" priority="131" operator="between">
      <formula>H265</formula>
      <formula>9999</formula>
    </cfRule>
  </conditionalFormatting>
  <conditionalFormatting sqref="F266">
    <cfRule type="cellIs" dxfId="285" priority="130" operator="between">
      <formula>H266</formula>
      <formula>9999</formula>
    </cfRule>
  </conditionalFormatting>
  <conditionalFormatting sqref="F268">
    <cfRule type="cellIs" dxfId="284" priority="129" operator="between">
      <formula>H268</formula>
      <formula>9999</formula>
    </cfRule>
  </conditionalFormatting>
  <conditionalFormatting sqref="F269">
    <cfRule type="cellIs" dxfId="283" priority="128" operator="between">
      <formula>H269</formula>
      <formula>9999</formula>
    </cfRule>
  </conditionalFormatting>
  <conditionalFormatting sqref="F270">
    <cfRule type="cellIs" dxfId="282" priority="127" operator="between">
      <formula>H270</formula>
      <formula>9999</formula>
    </cfRule>
  </conditionalFormatting>
  <conditionalFormatting sqref="F271">
    <cfRule type="cellIs" dxfId="281" priority="126" operator="between">
      <formula>H271</formula>
      <formula>9999</formula>
    </cfRule>
  </conditionalFormatting>
  <conditionalFormatting sqref="F272">
    <cfRule type="cellIs" dxfId="280" priority="125" operator="between">
      <formula>H272</formula>
      <formula>9999</formula>
    </cfRule>
  </conditionalFormatting>
  <conditionalFormatting sqref="F273">
    <cfRule type="cellIs" dxfId="279" priority="124" operator="between">
      <formula>H273</formula>
      <formula>9999</formula>
    </cfRule>
  </conditionalFormatting>
  <conditionalFormatting sqref="F274">
    <cfRule type="cellIs" dxfId="278" priority="123" operator="between">
      <formula>H274</formula>
      <formula>9999</formula>
    </cfRule>
  </conditionalFormatting>
  <conditionalFormatting sqref="F275">
    <cfRule type="cellIs" dxfId="277" priority="122" operator="between">
      <formula>H275</formula>
      <formula>9999</formula>
    </cfRule>
  </conditionalFormatting>
  <conditionalFormatting sqref="F276">
    <cfRule type="cellIs" dxfId="276" priority="121" operator="between">
      <formula>H276</formula>
      <formula>9999</formula>
    </cfRule>
  </conditionalFormatting>
  <conditionalFormatting sqref="F277">
    <cfRule type="cellIs" dxfId="275" priority="120" operator="between">
      <formula>H277</formula>
      <formula>9999</formula>
    </cfRule>
  </conditionalFormatting>
  <conditionalFormatting sqref="F278">
    <cfRule type="cellIs" dxfId="274" priority="119" operator="between">
      <formula>H278</formula>
      <formula>9999</formula>
    </cfRule>
  </conditionalFormatting>
  <conditionalFormatting sqref="F279">
    <cfRule type="cellIs" dxfId="273" priority="118" operator="between">
      <formula>H279</formula>
      <formula>9999</formula>
    </cfRule>
  </conditionalFormatting>
  <conditionalFormatting sqref="F280">
    <cfRule type="cellIs" dxfId="272" priority="117" operator="between">
      <formula>H280</formula>
      <formula>9999</formula>
    </cfRule>
  </conditionalFormatting>
  <conditionalFormatting sqref="F281">
    <cfRule type="cellIs" dxfId="271" priority="116" operator="between">
      <formula>H281</formula>
      <formula>9999</formula>
    </cfRule>
  </conditionalFormatting>
  <conditionalFormatting sqref="F282">
    <cfRule type="cellIs" dxfId="270" priority="115" operator="between">
      <formula>H282</formula>
      <formula>9999</formula>
    </cfRule>
  </conditionalFormatting>
  <conditionalFormatting sqref="F283">
    <cfRule type="cellIs" dxfId="269" priority="114" operator="between">
      <formula>H283</formula>
      <formula>9999</formula>
    </cfRule>
  </conditionalFormatting>
  <conditionalFormatting sqref="F284">
    <cfRule type="cellIs" dxfId="268" priority="113" operator="between">
      <formula>H284</formula>
      <formula>9999</formula>
    </cfRule>
  </conditionalFormatting>
  <conditionalFormatting sqref="F285">
    <cfRule type="cellIs" dxfId="267" priority="112" operator="between">
      <formula>H285</formula>
      <formula>9999</formula>
    </cfRule>
  </conditionalFormatting>
  <conditionalFormatting sqref="F287">
    <cfRule type="cellIs" dxfId="266" priority="111" operator="between">
      <formula>H287</formula>
      <formula>9999</formula>
    </cfRule>
  </conditionalFormatting>
  <conditionalFormatting sqref="F288">
    <cfRule type="cellIs" dxfId="265" priority="110" operator="between">
      <formula>H288</formula>
      <formula>9999</formula>
    </cfRule>
  </conditionalFormatting>
  <conditionalFormatting sqref="F289">
    <cfRule type="cellIs" dxfId="264" priority="109" operator="between">
      <formula>H289</formula>
      <formula>9999</formula>
    </cfRule>
  </conditionalFormatting>
  <conditionalFormatting sqref="F290">
    <cfRule type="cellIs" dxfId="263" priority="108" operator="between">
      <formula>H290</formula>
      <formula>9999</formula>
    </cfRule>
  </conditionalFormatting>
  <conditionalFormatting sqref="F291">
    <cfRule type="cellIs" dxfId="262" priority="107" operator="between">
      <formula>H291</formula>
      <formula>9999</formula>
    </cfRule>
  </conditionalFormatting>
  <conditionalFormatting sqref="F292">
    <cfRule type="cellIs" dxfId="261" priority="106" operator="between">
      <formula>H292</formula>
      <formula>9999</formula>
    </cfRule>
  </conditionalFormatting>
  <conditionalFormatting sqref="F293">
    <cfRule type="cellIs" dxfId="260" priority="105" operator="between">
      <formula>H293</formula>
      <formula>9999</formula>
    </cfRule>
  </conditionalFormatting>
  <conditionalFormatting sqref="F294">
    <cfRule type="cellIs" dxfId="259" priority="104" operator="between">
      <formula>H294</formula>
      <formula>9999</formula>
    </cfRule>
  </conditionalFormatting>
  <conditionalFormatting sqref="F295">
    <cfRule type="cellIs" dxfId="258" priority="103" operator="between">
      <formula>H295</formula>
      <formula>9999</formula>
    </cfRule>
  </conditionalFormatting>
  <conditionalFormatting sqref="F296">
    <cfRule type="cellIs" dxfId="257" priority="102" operator="between">
      <formula>H296</formula>
      <formula>9999</formula>
    </cfRule>
  </conditionalFormatting>
  <conditionalFormatting sqref="F297">
    <cfRule type="cellIs" dxfId="256" priority="101" operator="between">
      <formula>H297</formula>
      <formula>9999</formula>
    </cfRule>
  </conditionalFormatting>
  <conditionalFormatting sqref="F298">
    <cfRule type="cellIs" dxfId="255" priority="100" operator="between">
      <formula>H298</formula>
      <formula>9999</formula>
    </cfRule>
  </conditionalFormatting>
  <conditionalFormatting sqref="F299">
    <cfRule type="cellIs" dxfId="254" priority="99" operator="between">
      <formula>H299</formula>
      <formula>9999</formula>
    </cfRule>
  </conditionalFormatting>
  <conditionalFormatting sqref="F300">
    <cfRule type="cellIs" dxfId="253" priority="98" operator="between">
      <formula>H300</formula>
      <formula>9999</formula>
    </cfRule>
  </conditionalFormatting>
  <conditionalFormatting sqref="F301">
    <cfRule type="cellIs" dxfId="252" priority="97" operator="between">
      <formula>H301</formula>
      <formula>9999</formula>
    </cfRule>
  </conditionalFormatting>
  <conditionalFormatting sqref="F302">
    <cfRule type="cellIs" dxfId="251" priority="96" operator="between">
      <formula>H302</formula>
      <formula>9999</formula>
    </cfRule>
  </conditionalFormatting>
  <conditionalFormatting sqref="F303">
    <cfRule type="cellIs" dxfId="250" priority="95" operator="between">
      <formula>H303</formula>
      <formula>9999</formula>
    </cfRule>
  </conditionalFormatting>
  <conditionalFormatting sqref="F304">
    <cfRule type="cellIs" dxfId="249" priority="94" operator="between">
      <formula>H304</formula>
      <formula>9999</formula>
    </cfRule>
  </conditionalFormatting>
  <conditionalFormatting sqref="F306">
    <cfRule type="cellIs" dxfId="248" priority="93" operator="between">
      <formula>H306</formula>
      <formula>9999</formula>
    </cfRule>
  </conditionalFormatting>
  <conditionalFormatting sqref="F307">
    <cfRule type="cellIs" dxfId="247" priority="92" operator="between">
      <formula>H307</formula>
      <formula>9999</formula>
    </cfRule>
  </conditionalFormatting>
  <conditionalFormatting sqref="F308">
    <cfRule type="cellIs" dxfId="246" priority="91" operator="between">
      <formula>H308</formula>
      <formula>9999</formula>
    </cfRule>
  </conditionalFormatting>
  <conditionalFormatting sqref="F309">
    <cfRule type="cellIs" dxfId="245" priority="90" operator="between">
      <formula>H309</formula>
      <formula>9999</formula>
    </cfRule>
  </conditionalFormatting>
  <conditionalFormatting sqref="F310">
    <cfRule type="cellIs" dxfId="244" priority="89" operator="between">
      <formula>H310</formula>
      <formula>9999</formula>
    </cfRule>
  </conditionalFormatting>
  <conditionalFormatting sqref="F311">
    <cfRule type="cellIs" dxfId="243" priority="88" operator="between">
      <formula>H311</formula>
      <formula>9999</formula>
    </cfRule>
  </conditionalFormatting>
  <conditionalFormatting sqref="F312">
    <cfRule type="cellIs" dxfId="242" priority="87" operator="between">
      <formula>H312</formula>
      <formula>9999</formula>
    </cfRule>
  </conditionalFormatting>
  <conditionalFormatting sqref="F313">
    <cfRule type="cellIs" dxfId="241" priority="86" operator="between">
      <formula>H313</formula>
      <formula>9999</formula>
    </cfRule>
  </conditionalFormatting>
  <conditionalFormatting sqref="F314">
    <cfRule type="cellIs" dxfId="240" priority="85" operator="between">
      <formula>H314</formula>
      <formula>9999</formula>
    </cfRule>
  </conditionalFormatting>
  <conditionalFormatting sqref="F315">
    <cfRule type="cellIs" dxfId="239" priority="84" operator="between">
      <formula>H315</formula>
      <formula>9999</formula>
    </cfRule>
  </conditionalFormatting>
  <conditionalFormatting sqref="F316">
    <cfRule type="cellIs" dxfId="238" priority="83" operator="between">
      <formula>H316</formula>
      <formula>9999</formula>
    </cfRule>
  </conditionalFormatting>
  <conditionalFormatting sqref="F317">
    <cfRule type="cellIs" dxfId="237" priority="82" operator="between">
      <formula>H317</formula>
      <formula>9999</formula>
    </cfRule>
  </conditionalFormatting>
  <conditionalFormatting sqref="F318">
    <cfRule type="cellIs" dxfId="236" priority="81" operator="between">
      <formula>H318</formula>
      <formula>9999</formula>
    </cfRule>
  </conditionalFormatting>
  <conditionalFormatting sqref="F319">
    <cfRule type="cellIs" dxfId="235" priority="80" operator="between">
      <formula>H319</formula>
      <formula>9999</formula>
    </cfRule>
  </conditionalFormatting>
  <conditionalFormatting sqref="F320">
    <cfRule type="cellIs" dxfId="234" priority="79" operator="between">
      <formula>H320</formula>
      <formula>9999</formula>
    </cfRule>
  </conditionalFormatting>
  <conditionalFormatting sqref="F321">
    <cfRule type="cellIs" dxfId="233" priority="78" operator="between">
      <formula>H321</formula>
      <formula>9999</formula>
    </cfRule>
  </conditionalFormatting>
  <conditionalFormatting sqref="F322">
    <cfRule type="cellIs" dxfId="232" priority="77" operator="between">
      <formula>H322</formula>
      <formula>9999</formula>
    </cfRule>
  </conditionalFormatting>
  <conditionalFormatting sqref="F323">
    <cfRule type="cellIs" dxfId="231" priority="76" operator="between">
      <formula>H323</formula>
      <formula>9999</formula>
    </cfRule>
  </conditionalFormatting>
  <conditionalFormatting sqref="F325">
    <cfRule type="cellIs" dxfId="230" priority="75" operator="between">
      <formula>H325</formula>
      <formula>9999</formula>
    </cfRule>
  </conditionalFormatting>
  <conditionalFormatting sqref="F326">
    <cfRule type="cellIs" dxfId="229" priority="74" operator="between">
      <formula>H326</formula>
      <formula>9999</formula>
    </cfRule>
  </conditionalFormatting>
  <conditionalFormatting sqref="F327">
    <cfRule type="cellIs" dxfId="228" priority="73" operator="between">
      <formula>H327</formula>
      <formula>9999</formula>
    </cfRule>
  </conditionalFormatting>
  <conditionalFormatting sqref="F328">
    <cfRule type="cellIs" dxfId="227" priority="72" operator="between">
      <formula>H328</formula>
      <formula>9999</formula>
    </cfRule>
  </conditionalFormatting>
  <conditionalFormatting sqref="F329">
    <cfRule type="cellIs" dxfId="226" priority="71" operator="between">
      <formula>H329</formula>
      <formula>9999</formula>
    </cfRule>
  </conditionalFormatting>
  <conditionalFormatting sqref="F330">
    <cfRule type="cellIs" dxfId="225" priority="70" operator="between">
      <formula>H330</formula>
      <formula>9999</formula>
    </cfRule>
  </conditionalFormatting>
  <conditionalFormatting sqref="F331">
    <cfRule type="cellIs" dxfId="224" priority="69" operator="between">
      <formula>H331</formula>
      <formula>9999</formula>
    </cfRule>
  </conditionalFormatting>
  <conditionalFormatting sqref="F332">
    <cfRule type="cellIs" dxfId="223" priority="68" operator="between">
      <formula>H332</formula>
      <formula>9999</formula>
    </cfRule>
  </conditionalFormatting>
  <conditionalFormatting sqref="F333">
    <cfRule type="cellIs" dxfId="222" priority="67" operator="between">
      <formula>H333</formula>
      <formula>9999</formula>
    </cfRule>
  </conditionalFormatting>
  <conditionalFormatting sqref="F334">
    <cfRule type="cellIs" dxfId="221" priority="66" operator="between">
      <formula>H334</formula>
      <formula>9999</formula>
    </cfRule>
  </conditionalFormatting>
  <conditionalFormatting sqref="F335">
    <cfRule type="cellIs" dxfId="220" priority="65" operator="between">
      <formula>H335</formula>
      <formula>9999</formula>
    </cfRule>
  </conditionalFormatting>
  <conditionalFormatting sqref="F336">
    <cfRule type="cellIs" dxfId="219" priority="64" operator="between">
      <formula>H336</formula>
      <formula>9999</formula>
    </cfRule>
  </conditionalFormatting>
  <conditionalFormatting sqref="F337">
    <cfRule type="cellIs" dxfId="218" priority="63" operator="between">
      <formula>H337</formula>
      <formula>9999</formula>
    </cfRule>
  </conditionalFormatting>
  <conditionalFormatting sqref="F338">
    <cfRule type="cellIs" dxfId="217" priority="62" operator="between">
      <formula>H338</formula>
      <formula>9999</formula>
    </cfRule>
  </conditionalFormatting>
  <conditionalFormatting sqref="F339">
    <cfRule type="cellIs" dxfId="216" priority="61" operator="between">
      <formula>H339</formula>
      <formula>9999</formula>
    </cfRule>
  </conditionalFormatting>
  <conditionalFormatting sqref="F340">
    <cfRule type="cellIs" dxfId="215" priority="60" operator="between">
      <formula>H340</formula>
      <formula>9999</formula>
    </cfRule>
  </conditionalFormatting>
  <conditionalFormatting sqref="F341">
    <cfRule type="cellIs" dxfId="214" priority="59" operator="between">
      <formula>H341</formula>
      <formula>9999</formula>
    </cfRule>
  </conditionalFormatting>
  <conditionalFormatting sqref="F342">
    <cfRule type="cellIs" dxfId="213" priority="58" operator="between">
      <formula>H342</formula>
      <formula>9999</formula>
    </cfRule>
  </conditionalFormatting>
  <conditionalFormatting sqref="F344">
    <cfRule type="cellIs" dxfId="212" priority="57" operator="between">
      <formula>H344</formula>
      <formula>9999</formula>
    </cfRule>
  </conditionalFormatting>
  <conditionalFormatting sqref="F345">
    <cfRule type="cellIs" dxfId="211" priority="56" operator="between">
      <formula>H345</formula>
      <formula>9999</formula>
    </cfRule>
  </conditionalFormatting>
  <conditionalFormatting sqref="F346">
    <cfRule type="cellIs" dxfId="210" priority="55" operator="between">
      <formula>H346</formula>
      <formula>9999</formula>
    </cfRule>
  </conditionalFormatting>
  <conditionalFormatting sqref="F347">
    <cfRule type="cellIs" dxfId="209" priority="54" operator="between">
      <formula>H347</formula>
      <formula>9999</formula>
    </cfRule>
  </conditionalFormatting>
  <conditionalFormatting sqref="F348">
    <cfRule type="cellIs" dxfId="208" priority="53" operator="between">
      <formula>H348</formula>
      <formula>9999</formula>
    </cfRule>
  </conditionalFormatting>
  <conditionalFormatting sqref="F349">
    <cfRule type="cellIs" dxfId="207" priority="52" operator="between">
      <formula>H349</formula>
      <formula>9999</formula>
    </cfRule>
  </conditionalFormatting>
  <conditionalFormatting sqref="F350">
    <cfRule type="cellIs" dxfId="206" priority="51" operator="between">
      <formula>H350</formula>
      <formula>9999</formula>
    </cfRule>
  </conditionalFormatting>
  <conditionalFormatting sqref="F351">
    <cfRule type="cellIs" dxfId="205" priority="50" operator="between">
      <formula>H351</formula>
      <formula>9999</formula>
    </cfRule>
  </conditionalFormatting>
  <conditionalFormatting sqref="F352">
    <cfRule type="cellIs" dxfId="204" priority="49" operator="between">
      <formula>H352</formula>
      <formula>9999</formula>
    </cfRule>
  </conditionalFormatting>
  <conditionalFormatting sqref="F353">
    <cfRule type="cellIs" dxfId="203" priority="48" operator="between">
      <formula>H353</formula>
      <formula>9999</formula>
    </cfRule>
  </conditionalFormatting>
  <conditionalFormatting sqref="F354">
    <cfRule type="cellIs" dxfId="202" priority="47" operator="between">
      <formula>H354</formula>
      <formula>9999</formula>
    </cfRule>
  </conditionalFormatting>
  <conditionalFormatting sqref="F355">
    <cfRule type="cellIs" dxfId="201" priority="46" operator="between">
      <formula>H355</formula>
      <formula>9999</formula>
    </cfRule>
  </conditionalFormatting>
  <conditionalFormatting sqref="F356">
    <cfRule type="cellIs" dxfId="200" priority="45" operator="between">
      <formula>H356</formula>
      <formula>9999</formula>
    </cfRule>
  </conditionalFormatting>
  <conditionalFormatting sqref="F357">
    <cfRule type="cellIs" dxfId="199" priority="44" operator="between">
      <formula>H357</formula>
      <formula>9999</formula>
    </cfRule>
  </conditionalFormatting>
  <conditionalFormatting sqref="F358">
    <cfRule type="cellIs" dxfId="198" priority="43" operator="between">
      <formula>H358</formula>
      <formula>9999</formula>
    </cfRule>
  </conditionalFormatting>
  <conditionalFormatting sqref="F359">
    <cfRule type="cellIs" dxfId="197" priority="42" operator="between">
      <formula>H359</formula>
      <formula>9999</formula>
    </cfRule>
  </conditionalFormatting>
  <conditionalFormatting sqref="F360">
    <cfRule type="cellIs" dxfId="196" priority="41" operator="between">
      <formula>H360</formula>
      <formula>9999</formula>
    </cfRule>
  </conditionalFormatting>
  <conditionalFormatting sqref="F361">
    <cfRule type="cellIs" dxfId="195" priority="40" operator="between">
      <formula>H361</formula>
      <formula>9999</formula>
    </cfRule>
  </conditionalFormatting>
  <conditionalFormatting sqref="F363">
    <cfRule type="cellIs" dxfId="194" priority="39" operator="between">
      <formula>H363</formula>
      <formula>9999</formula>
    </cfRule>
  </conditionalFormatting>
  <conditionalFormatting sqref="F364">
    <cfRule type="cellIs" dxfId="193" priority="38" operator="between">
      <formula>H364</formula>
      <formula>9999</formula>
    </cfRule>
  </conditionalFormatting>
  <conditionalFormatting sqref="F365">
    <cfRule type="cellIs" dxfId="192" priority="37" operator="between">
      <formula>H365</formula>
      <formula>9999</formula>
    </cfRule>
  </conditionalFormatting>
  <conditionalFormatting sqref="F366">
    <cfRule type="cellIs" dxfId="191" priority="36" operator="between">
      <formula>H366</formula>
      <formula>9999</formula>
    </cfRule>
  </conditionalFormatting>
  <conditionalFormatting sqref="F367">
    <cfRule type="cellIs" dxfId="190" priority="35" operator="between">
      <formula>H367</formula>
      <formula>9999</formula>
    </cfRule>
  </conditionalFormatting>
  <conditionalFormatting sqref="F368">
    <cfRule type="cellIs" dxfId="189" priority="34" operator="between">
      <formula>H368</formula>
      <formula>9999</formula>
    </cfRule>
  </conditionalFormatting>
  <conditionalFormatting sqref="F369">
    <cfRule type="cellIs" dxfId="188" priority="33" operator="between">
      <formula>H369</formula>
      <formula>9999</formula>
    </cfRule>
  </conditionalFormatting>
  <conditionalFormatting sqref="F370">
    <cfRule type="cellIs" dxfId="187" priority="32" operator="between">
      <formula>H370</formula>
      <formula>9999</formula>
    </cfRule>
  </conditionalFormatting>
  <conditionalFormatting sqref="F371">
    <cfRule type="cellIs" dxfId="186" priority="31" operator="between">
      <formula>H371</formula>
      <formula>9999</formula>
    </cfRule>
  </conditionalFormatting>
  <conditionalFormatting sqref="F372">
    <cfRule type="cellIs" dxfId="185" priority="30" operator="between">
      <formula>H372</formula>
      <formula>9999</formula>
    </cfRule>
  </conditionalFormatting>
  <conditionalFormatting sqref="F373">
    <cfRule type="cellIs" dxfId="184" priority="29" operator="between">
      <formula>H373</formula>
      <formula>9999</formula>
    </cfRule>
  </conditionalFormatting>
  <conditionalFormatting sqref="F374">
    <cfRule type="cellIs" dxfId="183" priority="28" operator="between">
      <formula>H374</formula>
      <formula>9999</formula>
    </cfRule>
  </conditionalFormatting>
  <conditionalFormatting sqref="F375">
    <cfRule type="cellIs" dxfId="182" priority="27" operator="between">
      <formula>H375</formula>
      <formula>9999</formula>
    </cfRule>
  </conditionalFormatting>
  <conditionalFormatting sqref="F376">
    <cfRule type="cellIs" dxfId="181" priority="26" operator="between">
      <formula>H376</formula>
      <formula>9999</formula>
    </cfRule>
  </conditionalFormatting>
  <conditionalFormatting sqref="F377">
    <cfRule type="cellIs" dxfId="180" priority="25" operator="between">
      <formula>H377</formula>
      <formula>9999</formula>
    </cfRule>
  </conditionalFormatting>
  <conditionalFormatting sqref="F378">
    <cfRule type="cellIs" dxfId="179" priority="24" operator="between">
      <formula>H378</formula>
      <formula>9999</formula>
    </cfRule>
  </conditionalFormatting>
  <conditionalFormatting sqref="F379">
    <cfRule type="cellIs" dxfId="178" priority="23" operator="between">
      <formula>H379</formula>
      <formula>9999</formula>
    </cfRule>
  </conditionalFormatting>
  <conditionalFormatting sqref="F380">
    <cfRule type="cellIs" dxfId="177" priority="22" operator="between">
      <formula>H380</formula>
      <formula>9999</formula>
    </cfRule>
  </conditionalFormatting>
  <conditionalFormatting sqref="F382">
    <cfRule type="cellIs" dxfId="176" priority="21" operator="between">
      <formula>H382</formula>
      <formula>9999</formula>
    </cfRule>
  </conditionalFormatting>
  <conditionalFormatting sqref="F383">
    <cfRule type="cellIs" dxfId="175" priority="20" operator="between">
      <formula>H383</formula>
      <formula>9999</formula>
    </cfRule>
  </conditionalFormatting>
  <conditionalFormatting sqref="F384">
    <cfRule type="cellIs" dxfId="174" priority="19" operator="between">
      <formula>H384</formula>
      <formula>9999</formula>
    </cfRule>
  </conditionalFormatting>
  <conditionalFormatting sqref="F385">
    <cfRule type="cellIs" dxfId="173" priority="18" operator="between">
      <formula>H385</formula>
      <formula>9999</formula>
    </cfRule>
  </conditionalFormatting>
  <conditionalFormatting sqref="F386">
    <cfRule type="cellIs" dxfId="172" priority="17" operator="between">
      <formula>H386</formula>
      <formula>9999</formula>
    </cfRule>
  </conditionalFormatting>
  <conditionalFormatting sqref="F387">
    <cfRule type="cellIs" dxfId="171" priority="16" operator="between">
      <formula>H387</formula>
      <formula>9999</formula>
    </cfRule>
  </conditionalFormatting>
  <conditionalFormatting sqref="F388">
    <cfRule type="cellIs" dxfId="170" priority="15" operator="between">
      <formula>H388</formula>
      <formula>9999</formula>
    </cfRule>
  </conditionalFormatting>
  <conditionalFormatting sqref="F389">
    <cfRule type="cellIs" dxfId="169" priority="14" operator="between">
      <formula>H389</formula>
      <formula>9999</formula>
    </cfRule>
  </conditionalFormatting>
  <conditionalFormatting sqref="F390">
    <cfRule type="cellIs" dxfId="168" priority="13" operator="between">
      <formula>H390</formula>
      <formula>9999</formula>
    </cfRule>
  </conditionalFormatting>
  <conditionalFormatting sqref="F391">
    <cfRule type="cellIs" dxfId="167" priority="12" operator="between">
      <formula>H391</formula>
      <formula>9999</formula>
    </cfRule>
  </conditionalFormatting>
  <conditionalFormatting sqref="F392">
    <cfRule type="cellIs" dxfId="166" priority="11" operator="between">
      <formula>H392</formula>
      <formula>9999</formula>
    </cfRule>
  </conditionalFormatting>
  <conditionalFormatting sqref="F393">
    <cfRule type="cellIs" dxfId="165" priority="10" operator="between">
      <formula>H393</formula>
      <formula>9999</formula>
    </cfRule>
  </conditionalFormatting>
  <conditionalFormatting sqref="F394">
    <cfRule type="cellIs" dxfId="164" priority="9" operator="between">
      <formula>H394</formula>
      <formula>9999</formula>
    </cfRule>
  </conditionalFormatting>
  <conditionalFormatting sqref="F395">
    <cfRule type="cellIs" dxfId="163" priority="8" operator="between">
      <formula>H395</formula>
      <formula>9999</formula>
    </cfRule>
  </conditionalFormatting>
  <conditionalFormatting sqref="F396">
    <cfRule type="cellIs" dxfId="162" priority="7" operator="between">
      <formula>H396</formula>
      <formula>9999</formula>
    </cfRule>
  </conditionalFormatting>
  <conditionalFormatting sqref="F397">
    <cfRule type="cellIs" dxfId="161" priority="6" operator="between">
      <formula>H397</formula>
      <formula>9999</formula>
    </cfRule>
  </conditionalFormatting>
  <conditionalFormatting sqref="F398">
    <cfRule type="cellIs" dxfId="160" priority="5" operator="between">
      <formula>H398</formula>
      <formula>9999</formula>
    </cfRule>
  </conditionalFormatting>
  <conditionalFormatting sqref="F399">
    <cfRule type="cellIs" dxfId="159" priority="4" operator="between">
      <formula>H399</formula>
      <formula>9999</formula>
    </cfRule>
  </conditionalFormatting>
  <conditionalFormatting sqref="F401">
    <cfRule type="cellIs" dxfId="158" priority="3" operator="between">
      <formula>H401</formula>
      <formula>9999</formula>
    </cfRule>
  </conditionalFormatting>
  <conditionalFormatting sqref="F420">
    <cfRule type="cellIs" dxfId="157" priority="2" operator="between">
      <formula>H420</formula>
      <formula>9999</formula>
    </cfRule>
  </conditionalFormatting>
  <conditionalFormatting sqref="E231:E233">
    <cfRule type="cellIs" dxfId="156" priority="1" operator="between">
      <formula>G231</formula>
      <formula>9999</formula>
    </cfRule>
  </conditionalFormatting>
  <printOptions horizontalCentered="1"/>
  <pageMargins left="0.23622047244094491" right="0.23622047244094491" top="0.98425196850393704" bottom="0.74803149606299213" header="0.47244094488188981" footer="0.31496062992125984"/>
  <pageSetup paperSize="9" scale="65" fitToHeight="0" orientation="portrait" r:id="rId1"/>
  <headerFooter scaleWithDoc="0">
    <oddHeader>&amp;L&amp;G&amp;C&amp;"-,굵게"&amp;25SAR Test Worksheet</oddHeader>
    <oddFooter>&amp;LRTT5041-49(2018.01.01)(5)                                                      &amp;C&amp;P/&amp;N&amp;RA4(210mm*297mm)</oddFooter>
  </headerFooter>
  <rowBreaks count="2" manualBreakCount="2">
    <brk id="163" max="11" man="1"/>
    <brk id="219" max="11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097" r:id="rId5" name="cbxApplyCode">
          <controlPr defaultSize="0" autoLine="0" r:id="rId6">
            <anchor moveWithCells="1">
              <from>
                <xdr:col>8</xdr:col>
                <xdr:colOff>784860</xdr:colOff>
                <xdr:row>0</xdr:row>
                <xdr:rowOff>15240</xdr:rowOff>
              </from>
              <to>
                <xdr:col>9</xdr:col>
                <xdr:colOff>868680</xdr:colOff>
                <xdr:row>1</xdr:row>
                <xdr:rowOff>0</xdr:rowOff>
              </to>
            </anchor>
          </controlPr>
        </control>
      </mc:Choice>
      <mc:Fallback>
        <control shapeId="4097" r:id="rId5" name="cbxApplyC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pageSetUpPr fitToPage="1"/>
  </sheetPr>
  <dimension ref="A2:S218"/>
  <sheetViews>
    <sheetView showGridLines="0" view="pageBreakPreview" topLeftCell="A13" zoomScaleNormal="100" zoomScaleSheetLayoutView="100" zoomScalePageLayoutView="40" workbookViewId="0">
      <selection activeCell="G10" sqref="G1:G1048576"/>
    </sheetView>
  </sheetViews>
  <sheetFormatPr defaultColWidth="9" defaultRowHeight="15.6" x14ac:dyDescent="0.4"/>
  <cols>
    <col min="1" max="2" width="13" style="38" customWidth="1"/>
    <col min="3" max="3" width="12.19921875" style="38" customWidth="1"/>
    <col min="4" max="4" width="11.69921875" style="38" customWidth="1"/>
    <col min="5" max="5" width="11.19921875" style="38" customWidth="1"/>
    <col min="6" max="6" width="10.5" style="38" customWidth="1"/>
    <col min="7" max="10" width="11.5" style="38" customWidth="1"/>
    <col min="11" max="11" width="11.5" style="6" customWidth="1"/>
    <col min="12" max="12" width="11.5" style="2" customWidth="1"/>
    <col min="13" max="13" width="19.59765625" style="2" bestFit="1" customWidth="1"/>
    <col min="14" max="18" width="9" style="2"/>
    <col min="19" max="19" width="9" style="2" hidden="1" customWidth="1"/>
    <col min="20" max="16384" width="9" style="2"/>
  </cols>
  <sheetData>
    <row r="2" spans="1:11" x14ac:dyDescent="0.4">
      <c r="A2" s="58" t="s">
        <v>180</v>
      </c>
      <c r="B2" s="59"/>
      <c r="C2" s="59"/>
      <c r="D2" s="59"/>
      <c r="E2" s="60"/>
      <c r="F2" s="54" t="s">
        <v>3</v>
      </c>
      <c r="G2" s="54"/>
      <c r="H2" s="54"/>
      <c r="I2" s="7"/>
      <c r="J2" s="7"/>
      <c r="K2" s="8"/>
    </row>
    <row r="3" spans="1:11" x14ac:dyDescent="0.4">
      <c r="A3" s="61"/>
      <c r="B3" s="62"/>
      <c r="C3" s="62"/>
      <c r="D3" s="62"/>
      <c r="E3" s="63"/>
      <c r="F3" s="54" t="s">
        <v>4</v>
      </c>
      <c r="G3" s="54"/>
      <c r="H3" s="54"/>
      <c r="I3" s="7"/>
      <c r="J3" s="7"/>
      <c r="K3" s="8"/>
    </row>
    <row r="4" spans="1:11" x14ac:dyDescent="0.4">
      <c r="A4" s="64"/>
      <c r="B4" s="65"/>
      <c r="C4" s="65"/>
      <c r="D4" s="65"/>
      <c r="E4" s="66"/>
      <c r="F4" s="54" t="s">
        <v>0</v>
      </c>
      <c r="G4" s="54"/>
      <c r="H4" s="54"/>
      <c r="I4" s="9"/>
      <c r="J4" s="9"/>
      <c r="K4" s="8"/>
    </row>
    <row r="5" spans="1:11" x14ac:dyDescent="0.4">
      <c r="A5" s="39"/>
      <c r="B5" s="39"/>
      <c r="C5" s="39"/>
      <c r="D5" s="39"/>
      <c r="E5" s="39"/>
      <c r="F5" s="39"/>
      <c r="G5" s="39"/>
      <c r="H5" s="39"/>
      <c r="I5" s="39"/>
    </row>
    <row r="6" spans="1:11" x14ac:dyDescent="0.4">
      <c r="A6" s="53" t="s">
        <v>14</v>
      </c>
      <c r="B6" s="55" t="s">
        <v>34</v>
      </c>
      <c r="C6" s="53" t="s">
        <v>1</v>
      </c>
      <c r="D6" s="53"/>
      <c r="E6" s="57" t="s">
        <v>15</v>
      </c>
      <c r="F6" s="57" t="s">
        <v>16</v>
      </c>
      <c r="G6" s="53" t="s">
        <v>17</v>
      </c>
      <c r="H6" s="67" t="s">
        <v>84</v>
      </c>
      <c r="I6" s="68"/>
      <c r="J6" s="53" t="s">
        <v>20</v>
      </c>
      <c r="K6" s="8"/>
    </row>
    <row r="7" spans="1:11" x14ac:dyDescent="0.4">
      <c r="A7" s="53"/>
      <c r="B7" s="55"/>
      <c r="C7" s="53" t="s">
        <v>18</v>
      </c>
      <c r="D7" s="53" t="s">
        <v>2</v>
      </c>
      <c r="E7" s="57"/>
      <c r="F7" s="57"/>
      <c r="G7" s="53"/>
      <c r="H7" s="69"/>
      <c r="I7" s="70"/>
      <c r="J7" s="53"/>
      <c r="K7" s="8"/>
    </row>
    <row r="8" spans="1:11" x14ac:dyDescent="0.4">
      <c r="A8" s="53"/>
      <c r="B8" s="56"/>
      <c r="C8" s="53"/>
      <c r="D8" s="53"/>
      <c r="E8" s="57"/>
      <c r="F8" s="57"/>
      <c r="G8" s="53"/>
      <c r="H8" s="42" t="s">
        <v>85</v>
      </c>
      <c r="I8" s="42" t="s">
        <v>86</v>
      </c>
      <c r="J8" s="53"/>
      <c r="K8" s="8"/>
    </row>
    <row r="9" spans="1:11" x14ac:dyDescent="0.4">
      <c r="A9" s="11" t="s">
        <v>11</v>
      </c>
      <c r="B9" s="40"/>
      <c r="C9" s="13"/>
      <c r="D9" s="11"/>
      <c r="E9" s="13"/>
      <c r="F9" s="14"/>
      <c r="G9" s="13"/>
      <c r="H9" s="15">
        <f>ROUND((10^(G9/10))/(10^(E9/10)),3)</f>
        <v>1</v>
      </c>
      <c r="I9" s="15"/>
      <c r="J9" s="15">
        <f t="shared" ref="J9:J20" si="0">F9*H9</f>
        <v>0</v>
      </c>
      <c r="K9" s="8"/>
    </row>
    <row r="10" spans="1:11" x14ac:dyDescent="0.4">
      <c r="A10" s="11" t="s">
        <v>11</v>
      </c>
      <c r="B10" s="40"/>
      <c r="C10" s="13"/>
      <c r="D10" s="11"/>
      <c r="E10" s="13"/>
      <c r="F10" s="14"/>
      <c r="G10" s="13"/>
      <c r="H10" s="15">
        <f t="shared" ref="H10:H20" si="1">ROUND((10^(G10/10))/(10^(E10/10)),3)</f>
        <v>1</v>
      </c>
      <c r="I10" s="15"/>
      <c r="J10" s="15">
        <f t="shared" si="0"/>
        <v>0</v>
      </c>
      <c r="K10" s="8"/>
    </row>
    <row r="11" spans="1:11" x14ac:dyDescent="0.4">
      <c r="A11" s="11" t="s">
        <v>11</v>
      </c>
      <c r="B11" s="40"/>
      <c r="C11" s="13"/>
      <c r="D11" s="11"/>
      <c r="E11" s="13"/>
      <c r="F11" s="14"/>
      <c r="G11" s="13"/>
      <c r="H11" s="15">
        <f t="shared" si="1"/>
        <v>1</v>
      </c>
      <c r="I11" s="15"/>
      <c r="J11" s="15">
        <f t="shared" si="0"/>
        <v>0</v>
      </c>
      <c r="K11" s="8"/>
    </row>
    <row r="12" spans="1:11" x14ac:dyDescent="0.4">
      <c r="A12" s="11" t="s">
        <v>13</v>
      </c>
      <c r="B12" s="40">
        <f t="shared" ref="B12:E14" si="2">B9</f>
        <v>0</v>
      </c>
      <c r="C12" s="13">
        <f t="shared" si="2"/>
        <v>0</v>
      </c>
      <c r="D12" s="40">
        <f t="shared" si="2"/>
        <v>0</v>
      </c>
      <c r="E12" s="13">
        <f>E9</f>
        <v>0</v>
      </c>
      <c r="F12" s="16"/>
      <c r="G12" s="13">
        <f t="shared" ref="G12:G14" si="3">G9</f>
        <v>0</v>
      </c>
      <c r="H12" s="15">
        <f t="shared" si="1"/>
        <v>1</v>
      </c>
      <c r="I12" s="15"/>
      <c r="J12" s="15">
        <f t="shared" si="0"/>
        <v>0</v>
      </c>
      <c r="K12" s="8"/>
    </row>
    <row r="13" spans="1:11" x14ac:dyDescent="0.4">
      <c r="A13" s="11" t="s">
        <v>13</v>
      </c>
      <c r="B13" s="40">
        <f t="shared" si="2"/>
        <v>0</v>
      </c>
      <c r="C13" s="13">
        <f t="shared" si="2"/>
        <v>0</v>
      </c>
      <c r="D13" s="40">
        <f t="shared" si="2"/>
        <v>0</v>
      </c>
      <c r="E13" s="13">
        <f t="shared" si="2"/>
        <v>0</v>
      </c>
      <c r="F13" s="16"/>
      <c r="G13" s="13">
        <f t="shared" si="3"/>
        <v>0</v>
      </c>
      <c r="H13" s="15">
        <f t="shared" si="1"/>
        <v>1</v>
      </c>
      <c r="I13" s="15"/>
      <c r="J13" s="15">
        <f t="shared" si="0"/>
        <v>0</v>
      </c>
      <c r="K13" s="8"/>
    </row>
    <row r="14" spans="1:11" x14ac:dyDescent="0.4">
      <c r="A14" s="11" t="s">
        <v>13</v>
      </c>
      <c r="B14" s="40">
        <f t="shared" si="2"/>
        <v>0</v>
      </c>
      <c r="C14" s="13">
        <f t="shared" si="2"/>
        <v>0</v>
      </c>
      <c r="D14" s="40">
        <f t="shared" si="2"/>
        <v>0</v>
      </c>
      <c r="E14" s="13">
        <f t="shared" si="2"/>
        <v>0</v>
      </c>
      <c r="F14" s="16"/>
      <c r="G14" s="13">
        <f t="shared" si="3"/>
        <v>0</v>
      </c>
      <c r="H14" s="15">
        <f t="shared" si="1"/>
        <v>1</v>
      </c>
      <c r="I14" s="15"/>
      <c r="J14" s="15">
        <f t="shared" si="0"/>
        <v>0</v>
      </c>
      <c r="K14" s="8"/>
    </row>
    <row r="15" spans="1:11" x14ac:dyDescent="0.4">
      <c r="A15" s="11" t="s">
        <v>12</v>
      </c>
      <c r="B15" s="40">
        <f t="shared" ref="B15:G20" ca="1" si="4">OFFSET(B15,-6,0)</f>
        <v>0</v>
      </c>
      <c r="C15" s="13">
        <f t="shared" ca="1" si="4"/>
        <v>0</v>
      </c>
      <c r="D15" s="17">
        <f t="shared" ca="1" si="4"/>
        <v>0</v>
      </c>
      <c r="E15" s="13">
        <f t="shared" ca="1" si="4"/>
        <v>0</v>
      </c>
      <c r="F15" s="16"/>
      <c r="G15" s="13">
        <f t="shared" ca="1" si="4"/>
        <v>0</v>
      </c>
      <c r="H15" s="15">
        <f t="shared" ca="1" si="1"/>
        <v>1</v>
      </c>
      <c r="I15" s="15"/>
      <c r="J15" s="15">
        <f t="shared" ca="1" si="0"/>
        <v>0</v>
      </c>
      <c r="K15" s="8"/>
    </row>
    <row r="16" spans="1:11" x14ac:dyDescent="0.4">
      <c r="A16" s="11" t="s">
        <v>12</v>
      </c>
      <c r="B16" s="40">
        <f t="shared" ca="1" si="4"/>
        <v>0</v>
      </c>
      <c r="C16" s="13">
        <f t="shared" ca="1" si="4"/>
        <v>0</v>
      </c>
      <c r="D16" s="17">
        <f t="shared" ca="1" si="4"/>
        <v>0</v>
      </c>
      <c r="E16" s="13">
        <f t="shared" ca="1" si="4"/>
        <v>0</v>
      </c>
      <c r="F16" s="16"/>
      <c r="G16" s="13">
        <f t="shared" ca="1" si="4"/>
        <v>0</v>
      </c>
      <c r="H16" s="15">
        <f t="shared" ca="1" si="1"/>
        <v>1</v>
      </c>
      <c r="I16" s="15"/>
      <c r="J16" s="15">
        <f t="shared" ca="1" si="0"/>
        <v>0</v>
      </c>
      <c r="K16" s="8"/>
    </row>
    <row r="17" spans="1:11" x14ac:dyDescent="0.4">
      <c r="A17" s="11" t="s">
        <v>12</v>
      </c>
      <c r="B17" s="40">
        <f t="shared" ca="1" si="4"/>
        <v>0</v>
      </c>
      <c r="C17" s="13">
        <f t="shared" ca="1" si="4"/>
        <v>0</v>
      </c>
      <c r="D17" s="17">
        <f t="shared" ca="1" si="4"/>
        <v>0</v>
      </c>
      <c r="E17" s="13">
        <f t="shared" ca="1" si="4"/>
        <v>0</v>
      </c>
      <c r="F17" s="16"/>
      <c r="G17" s="13">
        <f t="shared" ca="1" si="4"/>
        <v>0</v>
      </c>
      <c r="H17" s="15">
        <f t="shared" ca="1" si="1"/>
        <v>1</v>
      </c>
      <c r="I17" s="15"/>
      <c r="J17" s="15">
        <f t="shared" ca="1" si="0"/>
        <v>0</v>
      </c>
      <c r="K17" s="8"/>
    </row>
    <row r="18" spans="1:11" x14ac:dyDescent="0.4">
      <c r="A18" s="11" t="s">
        <v>21</v>
      </c>
      <c r="B18" s="40">
        <f t="shared" ca="1" si="4"/>
        <v>0</v>
      </c>
      <c r="C18" s="13">
        <f t="shared" ca="1" si="4"/>
        <v>0</v>
      </c>
      <c r="D18" s="17">
        <f t="shared" ca="1" si="4"/>
        <v>0</v>
      </c>
      <c r="E18" s="13">
        <f t="shared" ca="1" si="4"/>
        <v>0</v>
      </c>
      <c r="F18" s="16"/>
      <c r="G18" s="13">
        <f t="shared" ca="1" si="4"/>
        <v>0</v>
      </c>
      <c r="H18" s="15">
        <f t="shared" ca="1" si="1"/>
        <v>1</v>
      </c>
      <c r="I18" s="15"/>
      <c r="J18" s="15">
        <f t="shared" ca="1" si="0"/>
        <v>0</v>
      </c>
      <c r="K18" s="8"/>
    </row>
    <row r="19" spans="1:11" x14ac:dyDescent="0.4">
      <c r="A19" s="11" t="s">
        <v>21</v>
      </c>
      <c r="B19" s="40">
        <f t="shared" ca="1" si="4"/>
        <v>0</v>
      </c>
      <c r="C19" s="13">
        <f t="shared" ca="1" si="4"/>
        <v>0</v>
      </c>
      <c r="D19" s="17">
        <f t="shared" ca="1" si="4"/>
        <v>0</v>
      </c>
      <c r="E19" s="13">
        <f t="shared" ca="1" si="4"/>
        <v>0</v>
      </c>
      <c r="F19" s="16"/>
      <c r="G19" s="13">
        <f t="shared" ca="1" si="4"/>
        <v>0</v>
      </c>
      <c r="H19" s="15">
        <f t="shared" ca="1" si="1"/>
        <v>1</v>
      </c>
      <c r="I19" s="15"/>
      <c r="J19" s="15">
        <f t="shared" ca="1" si="0"/>
        <v>0</v>
      </c>
      <c r="K19" s="8"/>
    </row>
    <row r="20" spans="1:11" x14ac:dyDescent="0.4">
      <c r="A20" s="11" t="s">
        <v>21</v>
      </c>
      <c r="B20" s="40">
        <f t="shared" ca="1" si="4"/>
        <v>0</v>
      </c>
      <c r="C20" s="13">
        <f t="shared" ca="1" si="4"/>
        <v>0</v>
      </c>
      <c r="D20" s="17">
        <f t="shared" ca="1" si="4"/>
        <v>0</v>
      </c>
      <c r="E20" s="13">
        <f t="shared" ca="1" si="4"/>
        <v>0</v>
      </c>
      <c r="F20" s="16"/>
      <c r="G20" s="13">
        <f t="shared" ca="1" si="4"/>
        <v>0</v>
      </c>
      <c r="H20" s="15">
        <f t="shared" ca="1" si="1"/>
        <v>1</v>
      </c>
      <c r="I20" s="15"/>
      <c r="J20" s="15">
        <f t="shared" ca="1" si="0"/>
        <v>0</v>
      </c>
      <c r="K20" s="8"/>
    </row>
    <row r="21" spans="1:11" x14ac:dyDescent="0.4">
      <c r="A21" s="36"/>
      <c r="B21" s="36"/>
      <c r="C21" s="36"/>
      <c r="D21" s="36"/>
      <c r="E21" s="36"/>
      <c r="F21" s="36"/>
      <c r="G21" s="36"/>
      <c r="H21" s="36"/>
      <c r="I21" s="36"/>
      <c r="J21" s="37"/>
    </row>
    <row r="22" spans="1:11" x14ac:dyDescent="0.4">
      <c r="A22" s="58" t="s">
        <v>181</v>
      </c>
      <c r="B22" s="59"/>
      <c r="C22" s="59"/>
      <c r="D22" s="59"/>
      <c r="E22" s="59"/>
      <c r="F22" s="60"/>
      <c r="G22" s="54" t="s">
        <v>3</v>
      </c>
      <c r="H22" s="54"/>
      <c r="I22" s="54"/>
      <c r="J22" s="7"/>
      <c r="K22" s="7"/>
    </row>
    <row r="23" spans="1:11" x14ac:dyDescent="0.4">
      <c r="A23" s="61"/>
      <c r="B23" s="62"/>
      <c r="C23" s="62"/>
      <c r="D23" s="62"/>
      <c r="E23" s="62"/>
      <c r="F23" s="63"/>
      <c r="G23" s="54" t="s">
        <v>4</v>
      </c>
      <c r="H23" s="54"/>
      <c r="I23" s="54"/>
      <c r="J23" s="7"/>
      <c r="K23" s="7"/>
    </row>
    <row r="24" spans="1:11" x14ac:dyDescent="0.4">
      <c r="A24" s="64"/>
      <c r="B24" s="65"/>
      <c r="C24" s="65"/>
      <c r="D24" s="65"/>
      <c r="E24" s="65"/>
      <c r="F24" s="66"/>
      <c r="G24" s="54" t="s">
        <v>0</v>
      </c>
      <c r="H24" s="54"/>
      <c r="I24" s="54"/>
      <c r="J24" s="9"/>
      <c r="K24" s="9"/>
    </row>
    <row r="25" spans="1:11" x14ac:dyDescent="0.4">
      <c r="A25" s="39"/>
      <c r="B25" s="39"/>
      <c r="C25" s="39"/>
      <c r="D25" s="39"/>
      <c r="E25" s="39"/>
      <c r="F25" s="39"/>
      <c r="G25" s="39"/>
      <c r="H25" s="39"/>
      <c r="I25" s="39"/>
      <c r="J25" s="39"/>
    </row>
    <row r="26" spans="1:11" x14ac:dyDescent="0.4">
      <c r="A26" s="53" t="s">
        <v>14</v>
      </c>
      <c r="B26" s="55" t="s">
        <v>33</v>
      </c>
      <c r="C26" s="53" t="s">
        <v>1</v>
      </c>
      <c r="D26" s="53"/>
      <c r="E26" s="53" t="s">
        <v>19</v>
      </c>
      <c r="F26" s="57" t="s">
        <v>15</v>
      </c>
      <c r="G26" s="57" t="s">
        <v>16</v>
      </c>
      <c r="H26" s="53" t="s">
        <v>17</v>
      </c>
      <c r="I26" s="53" t="s">
        <v>84</v>
      </c>
      <c r="J26" s="53"/>
      <c r="K26" s="53" t="s">
        <v>20</v>
      </c>
    </row>
    <row r="27" spans="1:11" x14ac:dyDescent="0.4">
      <c r="A27" s="53"/>
      <c r="B27" s="55"/>
      <c r="C27" s="53" t="s">
        <v>18</v>
      </c>
      <c r="D27" s="53" t="s">
        <v>2</v>
      </c>
      <c r="E27" s="53"/>
      <c r="F27" s="57"/>
      <c r="G27" s="57"/>
      <c r="H27" s="53"/>
      <c r="I27" s="53"/>
      <c r="J27" s="53"/>
      <c r="K27" s="53"/>
    </row>
    <row r="28" spans="1:11" x14ac:dyDescent="0.4">
      <c r="A28" s="53"/>
      <c r="B28" s="56"/>
      <c r="C28" s="53"/>
      <c r="D28" s="53"/>
      <c r="E28" s="53"/>
      <c r="F28" s="57"/>
      <c r="G28" s="57"/>
      <c r="H28" s="53"/>
      <c r="I28" s="42" t="s">
        <v>85</v>
      </c>
      <c r="J28" s="42" t="s">
        <v>86</v>
      </c>
      <c r="K28" s="53"/>
    </row>
    <row r="29" spans="1:11" x14ac:dyDescent="0.4">
      <c r="A29" s="74" t="s">
        <v>26</v>
      </c>
      <c r="B29" s="78"/>
      <c r="C29" s="78"/>
      <c r="D29" s="78"/>
      <c r="E29" s="78"/>
      <c r="F29" s="78"/>
      <c r="G29" s="78"/>
      <c r="H29" s="78"/>
      <c r="I29" s="78"/>
      <c r="J29" s="78"/>
      <c r="K29" s="79"/>
    </row>
    <row r="30" spans="1:11" x14ac:dyDescent="0.4">
      <c r="A30" s="11" t="s">
        <v>5</v>
      </c>
      <c r="B30" s="40"/>
      <c r="C30" s="13"/>
      <c r="D30" s="11"/>
      <c r="E30" s="17"/>
      <c r="F30" s="13"/>
      <c r="G30" s="16"/>
      <c r="H30" s="13"/>
      <c r="I30" s="15">
        <f>ROUND((10^(H30/10))/(10^(F30/10)),3)</f>
        <v>1</v>
      </c>
      <c r="J30" s="15"/>
      <c r="K30" s="15">
        <f t="shared" ref="K30:K47" si="5">G30*I30</f>
        <v>0</v>
      </c>
    </row>
    <row r="31" spans="1:11" x14ac:dyDescent="0.4">
      <c r="A31" s="11" t="s">
        <v>5</v>
      </c>
      <c r="B31" s="40"/>
      <c r="C31" s="13"/>
      <c r="D31" s="11"/>
      <c r="E31" s="17"/>
      <c r="F31" s="13"/>
      <c r="G31" s="16"/>
      <c r="H31" s="13"/>
      <c r="I31" s="15">
        <f t="shared" ref="I31:I47" si="6">ROUND((10^(H31/10))/(10^(F31/10)),3)</f>
        <v>1</v>
      </c>
      <c r="J31" s="15"/>
      <c r="K31" s="15">
        <f t="shared" si="5"/>
        <v>0</v>
      </c>
    </row>
    <row r="32" spans="1:11" x14ac:dyDescent="0.4">
      <c r="A32" s="11" t="s">
        <v>5</v>
      </c>
      <c r="B32" s="40"/>
      <c r="C32" s="13"/>
      <c r="D32" s="11"/>
      <c r="E32" s="17"/>
      <c r="F32" s="13"/>
      <c r="G32" s="16"/>
      <c r="H32" s="13"/>
      <c r="I32" s="15">
        <f t="shared" si="6"/>
        <v>1</v>
      </c>
      <c r="J32" s="15"/>
      <c r="K32" s="15">
        <f t="shared" si="5"/>
        <v>0</v>
      </c>
    </row>
    <row r="33" spans="1:11" x14ac:dyDescent="0.4">
      <c r="A33" s="11" t="s">
        <v>6</v>
      </c>
      <c r="B33" s="41">
        <f t="shared" ref="B33:F35" ca="1" si="7">OFFSET(B33,-3,0)</f>
        <v>0</v>
      </c>
      <c r="C33" s="19">
        <f t="shared" ca="1" si="7"/>
        <v>0</v>
      </c>
      <c r="D33" s="20">
        <f t="shared" ca="1" si="7"/>
        <v>0</v>
      </c>
      <c r="E33" s="20">
        <f t="shared" ca="1" si="7"/>
        <v>0</v>
      </c>
      <c r="F33" s="13">
        <f t="shared" ca="1" si="7"/>
        <v>0</v>
      </c>
      <c r="G33" s="16"/>
      <c r="H33" s="19">
        <f t="shared" ref="H33:H35" ca="1" si="8">OFFSET(H33,-3,0)</f>
        <v>0</v>
      </c>
      <c r="I33" s="15">
        <f t="shared" ca="1" si="6"/>
        <v>1</v>
      </c>
      <c r="J33" s="15"/>
      <c r="K33" s="15">
        <f t="shared" ca="1" si="5"/>
        <v>0</v>
      </c>
    </row>
    <row r="34" spans="1:11" x14ac:dyDescent="0.4">
      <c r="A34" s="11" t="s">
        <v>6</v>
      </c>
      <c r="B34" s="41">
        <f t="shared" ca="1" si="7"/>
        <v>0</v>
      </c>
      <c r="C34" s="19">
        <f t="shared" ca="1" si="7"/>
        <v>0</v>
      </c>
      <c r="D34" s="20">
        <f t="shared" ca="1" si="7"/>
        <v>0</v>
      </c>
      <c r="E34" s="20">
        <f t="shared" ca="1" si="7"/>
        <v>0</v>
      </c>
      <c r="F34" s="13">
        <f t="shared" ca="1" si="7"/>
        <v>0</v>
      </c>
      <c r="G34" s="16"/>
      <c r="H34" s="19">
        <f t="shared" ca="1" si="8"/>
        <v>0</v>
      </c>
      <c r="I34" s="15">
        <f t="shared" ca="1" si="6"/>
        <v>1</v>
      </c>
      <c r="J34" s="15"/>
      <c r="K34" s="15">
        <f t="shared" ca="1" si="5"/>
        <v>0</v>
      </c>
    </row>
    <row r="35" spans="1:11" x14ac:dyDescent="0.4">
      <c r="A35" s="11" t="s">
        <v>6</v>
      </c>
      <c r="B35" s="41">
        <f t="shared" ca="1" si="7"/>
        <v>0</v>
      </c>
      <c r="C35" s="19">
        <f t="shared" ca="1" si="7"/>
        <v>0</v>
      </c>
      <c r="D35" s="20">
        <f t="shared" ca="1" si="7"/>
        <v>0</v>
      </c>
      <c r="E35" s="20">
        <f t="shared" ca="1" si="7"/>
        <v>0</v>
      </c>
      <c r="F35" s="13">
        <f t="shared" ca="1" si="7"/>
        <v>0</v>
      </c>
      <c r="G35" s="16"/>
      <c r="H35" s="19">
        <f t="shared" ca="1" si="8"/>
        <v>0</v>
      </c>
      <c r="I35" s="15">
        <f t="shared" ca="1" si="6"/>
        <v>1</v>
      </c>
      <c r="J35" s="15"/>
      <c r="K35" s="15">
        <f t="shared" ca="1" si="5"/>
        <v>0</v>
      </c>
    </row>
    <row r="36" spans="1:11" x14ac:dyDescent="0.4">
      <c r="A36" s="11" t="s">
        <v>10</v>
      </c>
      <c r="B36" s="40">
        <f t="shared" ref="B36:F38" ca="1" si="9">OFFSET(B36,-6,0)</f>
        <v>0</v>
      </c>
      <c r="C36" s="13">
        <f t="shared" ca="1" si="9"/>
        <v>0</v>
      </c>
      <c r="D36" s="17">
        <f t="shared" ca="1" si="9"/>
        <v>0</v>
      </c>
      <c r="E36" s="17">
        <f t="shared" ca="1" si="9"/>
        <v>0</v>
      </c>
      <c r="F36" s="13">
        <f t="shared" ca="1" si="9"/>
        <v>0</v>
      </c>
      <c r="G36" s="16"/>
      <c r="H36" s="13">
        <f t="shared" ref="H36:H38" ca="1" si="10">OFFSET(H36,-6,0)</f>
        <v>0</v>
      </c>
      <c r="I36" s="15">
        <f t="shared" ca="1" si="6"/>
        <v>1</v>
      </c>
      <c r="J36" s="15"/>
      <c r="K36" s="15">
        <f t="shared" ca="1" si="5"/>
        <v>0</v>
      </c>
    </row>
    <row r="37" spans="1:11" x14ac:dyDescent="0.4">
      <c r="A37" s="11" t="s">
        <v>10</v>
      </c>
      <c r="B37" s="40">
        <f t="shared" ca="1" si="9"/>
        <v>0</v>
      </c>
      <c r="C37" s="13">
        <f t="shared" ca="1" si="9"/>
        <v>0</v>
      </c>
      <c r="D37" s="17">
        <f t="shared" ca="1" si="9"/>
        <v>0</v>
      </c>
      <c r="E37" s="17">
        <f t="shared" ca="1" si="9"/>
        <v>0</v>
      </c>
      <c r="F37" s="13">
        <f t="shared" ca="1" si="9"/>
        <v>0</v>
      </c>
      <c r="G37" s="16"/>
      <c r="H37" s="13">
        <f t="shared" ca="1" si="10"/>
        <v>0</v>
      </c>
      <c r="I37" s="15">
        <f t="shared" ca="1" si="6"/>
        <v>1</v>
      </c>
      <c r="J37" s="15"/>
      <c r="K37" s="15">
        <f t="shared" ca="1" si="5"/>
        <v>0</v>
      </c>
    </row>
    <row r="38" spans="1:11" x14ac:dyDescent="0.4">
      <c r="A38" s="11" t="s">
        <v>10</v>
      </c>
      <c r="B38" s="40">
        <f t="shared" ca="1" si="9"/>
        <v>0</v>
      </c>
      <c r="C38" s="13">
        <f t="shared" ca="1" si="9"/>
        <v>0</v>
      </c>
      <c r="D38" s="17">
        <f t="shared" ca="1" si="9"/>
        <v>0</v>
      </c>
      <c r="E38" s="17">
        <f t="shared" ca="1" si="9"/>
        <v>0</v>
      </c>
      <c r="F38" s="13">
        <f t="shared" ca="1" si="9"/>
        <v>0</v>
      </c>
      <c r="G38" s="16"/>
      <c r="H38" s="13">
        <f t="shared" ca="1" si="10"/>
        <v>0</v>
      </c>
      <c r="I38" s="15">
        <f t="shared" ca="1" si="6"/>
        <v>1</v>
      </c>
      <c r="J38" s="15"/>
      <c r="K38" s="15">
        <f t="shared" ca="1" si="5"/>
        <v>0</v>
      </c>
    </row>
    <row r="39" spans="1:11" x14ac:dyDescent="0.4">
      <c r="A39" s="11" t="s">
        <v>7</v>
      </c>
      <c r="B39" s="40">
        <f t="shared" ref="B39:F41" ca="1" si="11">OFFSET(B39,-9,0)</f>
        <v>0</v>
      </c>
      <c r="C39" s="13">
        <f t="shared" ca="1" si="11"/>
        <v>0</v>
      </c>
      <c r="D39" s="17">
        <f t="shared" ca="1" si="11"/>
        <v>0</v>
      </c>
      <c r="E39" s="17">
        <f t="shared" ca="1" si="11"/>
        <v>0</v>
      </c>
      <c r="F39" s="13">
        <f t="shared" ca="1" si="11"/>
        <v>0</v>
      </c>
      <c r="G39" s="16"/>
      <c r="H39" s="13">
        <f t="shared" ref="H39:H41" ca="1" si="12">OFFSET(H39,-9,0)</f>
        <v>0</v>
      </c>
      <c r="I39" s="15">
        <f t="shared" ca="1" si="6"/>
        <v>1</v>
      </c>
      <c r="J39" s="15"/>
      <c r="K39" s="15">
        <f t="shared" ca="1" si="5"/>
        <v>0</v>
      </c>
    </row>
    <row r="40" spans="1:11" x14ac:dyDescent="0.4">
      <c r="A40" s="11" t="s">
        <v>7</v>
      </c>
      <c r="B40" s="40">
        <f t="shared" ca="1" si="11"/>
        <v>0</v>
      </c>
      <c r="C40" s="13">
        <f t="shared" ca="1" si="11"/>
        <v>0</v>
      </c>
      <c r="D40" s="17">
        <f t="shared" ca="1" si="11"/>
        <v>0</v>
      </c>
      <c r="E40" s="17">
        <f t="shared" ca="1" si="11"/>
        <v>0</v>
      </c>
      <c r="F40" s="13">
        <f t="shared" ca="1" si="11"/>
        <v>0</v>
      </c>
      <c r="G40" s="16"/>
      <c r="H40" s="13">
        <f t="shared" ca="1" si="12"/>
        <v>0</v>
      </c>
      <c r="I40" s="15">
        <f t="shared" ca="1" si="6"/>
        <v>1</v>
      </c>
      <c r="J40" s="15"/>
      <c r="K40" s="15">
        <f t="shared" ca="1" si="5"/>
        <v>0</v>
      </c>
    </row>
    <row r="41" spans="1:11" x14ac:dyDescent="0.4">
      <c r="A41" s="11" t="s">
        <v>7</v>
      </c>
      <c r="B41" s="40">
        <f t="shared" ca="1" si="11"/>
        <v>0</v>
      </c>
      <c r="C41" s="13">
        <f t="shared" ca="1" si="11"/>
        <v>0</v>
      </c>
      <c r="D41" s="17">
        <f t="shared" ca="1" si="11"/>
        <v>0</v>
      </c>
      <c r="E41" s="17">
        <f t="shared" ca="1" si="11"/>
        <v>0</v>
      </c>
      <c r="F41" s="13">
        <f t="shared" ca="1" si="11"/>
        <v>0</v>
      </c>
      <c r="G41" s="16"/>
      <c r="H41" s="13">
        <f t="shared" ca="1" si="12"/>
        <v>0</v>
      </c>
      <c r="I41" s="15">
        <f t="shared" ca="1" si="6"/>
        <v>1</v>
      </c>
      <c r="J41" s="15"/>
      <c r="K41" s="15">
        <f t="shared" ca="1" si="5"/>
        <v>0</v>
      </c>
    </row>
    <row r="42" spans="1:11" x14ac:dyDescent="0.4">
      <c r="A42" s="11" t="s">
        <v>8</v>
      </c>
      <c r="B42" s="40">
        <f t="shared" ref="B42:F44" ca="1" si="13">OFFSET(B42,-12,0)</f>
        <v>0</v>
      </c>
      <c r="C42" s="13">
        <f t="shared" ca="1" si="13"/>
        <v>0</v>
      </c>
      <c r="D42" s="17">
        <f t="shared" ca="1" si="13"/>
        <v>0</v>
      </c>
      <c r="E42" s="17">
        <f t="shared" ca="1" si="13"/>
        <v>0</v>
      </c>
      <c r="F42" s="13">
        <f t="shared" ca="1" si="13"/>
        <v>0</v>
      </c>
      <c r="G42" s="16"/>
      <c r="H42" s="13">
        <f t="shared" ref="H42:H44" ca="1" si="14">OFFSET(H42,-12,0)</f>
        <v>0</v>
      </c>
      <c r="I42" s="15">
        <f t="shared" ca="1" si="6"/>
        <v>1</v>
      </c>
      <c r="J42" s="15"/>
      <c r="K42" s="15">
        <f t="shared" ca="1" si="5"/>
        <v>0</v>
      </c>
    </row>
    <row r="43" spans="1:11" x14ac:dyDescent="0.4">
      <c r="A43" s="11" t="s">
        <v>8</v>
      </c>
      <c r="B43" s="40">
        <f t="shared" ca="1" si="13"/>
        <v>0</v>
      </c>
      <c r="C43" s="13">
        <f t="shared" ca="1" si="13"/>
        <v>0</v>
      </c>
      <c r="D43" s="17">
        <f t="shared" ca="1" si="13"/>
        <v>0</v>
      </c>
      <c r="E43" s="17">
        <f t="shared" ca="1" si="13"/>
        <v>0</v>
      </c>
      <c r="F43" s="13">
        <f t="shared" ca="1" si="13"/>
        <v>0</v>
      </c>
      <c r="G43" s="16"/>
      <c r="H43" s="13">
        <f t="shared" ca="1" si="14"/>
        <v>0</v>
      </c>
      <c r="I43" s="15">
        <f t="shared" ca="1" si="6"/>
        <v>1</v>
      </c>
      <c r="J43" s="15"/>
      <c r="K43" s="15">
        <f t="shared" ca="1" si="5"/>
        <v>0</v>
      </c>
    </row>
    <row r="44" spans="1:11" x14ac:dyDescent="0.4">
      <c r="A44" s="11" t="s">
        <v>8</v>
      </c>
      <c r="B44" s="40">
        <f t="shared" ca="1" si="13"/>
        <v>0</v>
      </c>
      <c r="C44" s="13">
        <f t="shared" ca="1" si="13"/>
        <v>0</v>
      </c>
      <c r="D44" s="17">
        <f t="shared" ca="1" si="13"/>
        <v>0</v>
      </c>
      <c r="E44" s="17">
        <f t="shared" ca="1" si="13"/>
        <v>0</v>
      </c>
      <c r="F44" s="13">
        <f t="shared" ca="1" si="13"/>
        <v>0</v>
      </c>
      <c r="G44" s="16"/>
      <c r="H44" s="13">
        <f t="shared" ca="1" si="14"/>
        <v>0</v>
      </c>
      <c r="I44" s="15">
        <f t="shared" ca="1" si="6"/>
        <v>1</v>
      </c>
      <c r="J44" s="15"/>
      <c r="K44" s="15">
        <f t="shared" ca="1" si="5"/>
        <v>0</v>
      </c>
    </row>
    <row r="45" spans="1:11" x14ac:dyDescent="0.4">
      <c r="A45" s="11" t="s">
        <v>9</v>
      </c>
      <c r="B45" s="41">
        <f t="shared" ref="B45:D47" ca="1" si="15">OFFSET(B45,-15,0)</f>
        <v>0</v>
      </c>
      <c r="C45" s="19">
        <f t="shared" ca="1" si="15"/>
        <v>0</v>
      </c>
      <c r="D45" s="20">
        <f t="shared" ca="1" si="15"/>
        <v>0</v>
      </c>
      <c r="E45" s="20">
        <f ca="1">OFFSET(E45,-15,0)</f>
        <v>0</v>
      </c>
      <c r="F45" s="13">
        <f t="shared" ref="E45:F47" ca="1" si="16">OFFSET(F45,-15,0)</f>
        <v>0</v>
      </c>
      <c r="G45" s="16"/>
      <c r="H45" s="19">
        <f t="shared" ref="H45:H47" ca="1" si="17">OFFSET(H45,-15,0)</f>
        <v>0</v>
      </c>
      <c r="I45" s="15">
        <f t="shared" ca="1" si="6"/>
        <v>1</v>
      </c>
      <c r="J45" s="15"/>
      <c r="K45" s="15">
        <f t="shared" ca="1" si="5"/>
        <v>0</v>
      </c>
    </row>
    <row r="46" spans="1:11" x14ac:dyDescent="0.4">
      <c r="A46" s="11" t="s">
        <v>9</v>
      </c>
      <c r="B46" s="41">
        <f t="shared" ca="1" si="15"/>
        <v>0</v>
      </c>
      <c r="C46" s="19">
        <f t="shared" ca="1" si="15"/>
        <v>0</v>
      </c>
      <c r="D46" s="20">
        <f t="shared" ca="1" si="15"/>
        <v>0</v>
      </c>
      <c r="E46" s="20">
        <f t="shared" ca="1" si="16"/>
        <v>0</v>
      </c>
      <c r="F46" s="13">
        <f t="shared" ca="1" si="16"/>
        <v>0</v>
      </c>
      <c r="G46" s="16"/>
      <c r="H46" s="19">
        <f t="shared" ca="1" si="17"/>
        <v>0</v>
      </c>
      <c r="I46" s="15">
        <f t="shared" ca="1" si="6"/>
        <v>1</v>
      </c>
      <c r="J46" s="15"/>
      <c r="K46" s="15">
        <f t="shared" ca="1" si="5"/>
        <v>0</v>
      </c>
    </row>
    <row r="47" spans="1:11" x14ac:dyDescent="0.4">
      <c r="A47" s="11" t="s">
        <v>9</v>
      </c>
      <c r="B47" s="41">
        <f t="shared" ca="1" si="15"/>
        <v>0</v>
      </c>
      <c r="C47" s="19">
        <f t="shared" ca="1" si="15"/>
        <v>0</v>
      </c>
      <c r="D47" s="20">
        <f t="shared" ca="1" si="15"/>
        <v>0</v>
      </c>
      <c r="E47" s="20">
        <f t="shared" ca="1" si="16"/>
        <v>0</v>
      </c>
      <c r="F47" s="13">
        <f t="shared" ca="1" si="16"/>
        <v>0</v>
      </c>
      <c r="G47" s="16"/>
      <c r="H47" s="19">
        <f t="shared" ca="1" si="17"/>
        <v>0</v>
      </c>
      <c r="I47" s="15">
        <f t="shared" ca="1" si="6"/>
        <v>1</v>
      </c>
      <c r="J47" s="15"/>
      <c r="K47" s="15">
        <f t="shared" ca="1" si="5"/>
        <v>0</v>
      </c>
    </row>
    <row r="48" spans="1:11" ht="17.399999999999999" x14ac:dyDescent="0.4">
      <c r="A48" s="74" t="s">
        <v>28</v>
      </c>
      <c r="B48" s="75"/>
      <c r="C48" s="75"/>
      <c r="D48" s="75"/>
      <c r="E48" s="75"/>
      <c r="F48" s="75"/>
      <c r="G48" s="75"/>
      <c r="H48" s="75"/>
      <c r="I48" s="75"/>
      <c r="J48" s="75"/>
      <c r="K48" s="76"/>
    </row>
    <row r="49" spans="1:11" x14ac:dyDescent="0.4">
      <c r="A49" s="11" t="s">
        <v>5</v>
      </c>
      <c r="B49" s="40"/>
      <c r="C49" s="13"/>
      <c r="D49" s="11"/>
      <c r="E49" s="17"/>
      <c r="F49" s="13"/>
      <c r="G49" s="16"/>
      <c r="H49" s="13"/>
      <c r="I49" s="15">
        <f>ROUND((10^(H49/10))/(10^(F49/10)),3)</f>
        <v>1</v>
      </c>
      <c r="J49" s="15"/>
      <c r="K49" s="15">
        <f t="shared" ref="K49:K66" si="18">G49*I49</f>
        <v>0</v>
      </c>
    </row>
    <row r="50" spans="1:11" x14ac:dyDescent="0.4">
      <c r="A50" s="11" t="s">
        <v>5</v>
      </c>
      <c r="B50" s="40"/>
      <c r="C50" s="13"/>
      <c r="D50" s="11"/>
      <c r="E50" s="17"/>
      <c r="F50" s="13"/>
      <c r="G50" s="16"/>
      <c r="H50" s="13"/>
      <c r="I50" s="15">
        <f t="shared" ref="I50:I66" si="19">ROUND((10^(H50/10))/(10^(F50/10)),3)</f>
        <v>1</v>
      </c>
      <c r="J50" s="15"/>
      <c r="K50" s="15">
        <f t="shared" si="18"/>
        <v>0</v>
      </c>
    </row>
    <row r="51" spans="1:11" x14ac:dyDescent="0.4">
      <c r="A51" s="11" t="s">
        <v>5</v>
      </c>
      <c r="B51" s="40"/>
      <c r="C51" s="13"/>
      <c r="D51" s="11"/>
      <c r="E51" s="17"/>
      <c r="F51" s="13"/>
      <c r="G51" s="16"/>
      <c r="H51" s="13"/>
      <c r="I51" s="15">
        <f t="shared" si="19"/>
        <v>1</v>
      </c>
      <c r="J51" s="15"/>
      <c r="K51" s="15">
        <f t="shared" si="18"/>
        <v>0</v>
      </c>
    </row>
    <row r="52" spans="1:11" x14ac:dyDescent="0.4">
      <c r="A52" s="11" t="s">
        <v>6</v>
      </c>
      <c r="B52" s="41">
        <f t="shared" ref="B52:F54" ca="1" si="20">OFFSET(B52,-3,0)</f>
        <v>0</v>
      </c>
      <c r="C52" s="19">
        <f t="shared" ca="1" si="20"/>
        <v>0</v>
      </c>
      <c r="D52" s="20">
        <f t="shared" ca="1" si="20"/>
        <v>0</v>
      </c>
      <c r="E52" s="20">
        <f t="shared" ca="1" si="20"/>
        <v>0</v>
      </c>
      <c r="F52" s="13">
        <f t="shared" ca="1" si="20"/>
        <v>0</v>
      </c>
      <c r="G52" s="16"/>
      <c r="H52" s="19">
        <f t="shared" ref="H52:H54" ca="1" si="21">OFFSET(H52,-3,0)</f>
        <v>0</v>
      </c>
      <c r="I52" s="15">
        <f t="shared" ca="1" si="19"/>
        <v>1</v>
      </c>
      <c r="J52" s="15"/>
      <c r="K52" s="15">
        <f t="shared" ca="1" si="18"/>
        <v>0</v>
      </c>
    </row>
    <row r="53" spans="1:11" x14ac:dyDescent="0.4">
      <c r="A53" s="11" t="s">
        <v>6</v>
      </c>
      <c r="B53" s="41">
        <f t="shared" ca="1" si="20"/>
        <v>0</v>
      </c>
      <c r="C53" s="19">
        <f t="shared" ca="1" si="20"/>
        <v>0</v>
      </c>
      <c r="D53" s="20">
        <f t="shared" ca="1" si="20"/>
        <v>0</v>
      </c>
      <c r="E53" s="20">
        <f t="shared" ca="1" si="20"/>
        <v>0</v>
      </c>
      <c r="F53" s="13">
        <f t="shared" ca="1" si="20"/>
        <v>0</v>
      </c>
      <c r="G53" s="16"/>
      <c r="H53" s="19">
        <f t="shared" ca="1" si="21"/>
        <v>0</v>
      </c>
      <c r="I53" s="15">
        <f t="shared" ca="1" si="19"/>
        <v>1</v>
      </c>
      <c r="J53" s="15"/>
      <c r="K53" s="15">
        <f t="shared" ca="1" si="18"/>
        <v>0</v>
      </c>
    </row>
    <row r="54" spans="1:11" x14ac:dyDescent="0.4">
      <c r="A54" s="11" t="s">
        <v>6</v>
      </c>
      <c r="B54" s="41">
        <f t="shared" ca="1" si="20"/>
        <v>0</v>
      </c>
      <c r="C54" s="19">
        <f t="shared" ca="1" si="20"/>
        <v>0</v>
      </c>
      <c r="D54" s="20">
        <f t="shared" ca="1" si="20"/>
        <v>0</v>
      </c>
      <c r="E54" s="20">
        <f t="shared" ca="1" si="20"/>
        <v>0</v>
      </c>
      <c r="F54" s="13">
        <f t="shared" ca="1" si="20"/>
        <v>0</v>
      </c>
      <c r="G54" s="16"/>
      <c r="H54" s="19">
        <f t="shared" ca="1" si="21"/>
        <v>0</v>
      </c>
      <c r="I54" s="15">
        <f t="shared" ca="1" si="19"/>
        <v>1</v>
      </c>
      <c r="J54" s="15"/>
      <c r="K54" s="15">
        <f t="shared" ca="1" si="18"/>
        <v>0</v>
      </c>
    </row>
    <row r="55" spans="1:11" x14ac:dyDescent="0.4">
      <c r="A55" s="11" t="s">
        <v>10</v>
      </c>
      <c r="B55" s="40">
        <f t="shared" ref="B55:F57" ca="1" si="22">OFFSET(B55,-6,0)</f>
        <v>0</v>
      </c>
      <c r="C55" s="13">
        <f t="shared" ca="1" si="22"/>
        <v>0</v>
      </c>
      <c r="D55" s="17">
        <f t="shared" ca="1" si="22"/>
        <v>0</v>
      </c>
      <c r="E55" s="17">
        <f t="shared" ca="1" si="22"/>
        <v>0</v>
      </c>
      <c r="F55" s="13">
        <f t="shared" ca="1" si="22"/>
        <v>0</v>
      </c>
      <c r="G55" s="16"/>
      <c r="H55" s="13">
        <f t="shared" ref="H55:H57" ca="1" si="23">OFFSET(H55,-6,0)</f>
        <v>0</v>
      </c>
      <c r="I55" s="15">
        <f t="shared" ca="1" si="19"/>
        <v>1</v>
      </c>
      <c r="J55" s="15"/>
      <c r="K55" s="15">
        <f t="shared" ca="1" si="18"/>
        <v>0</v>
      </c>
    </row>
    <row r="56" spans="1:11" x14ac:dyDescent="0.4">
      <c r="A56" s="11" t="s">
        <v>10</v>
      </c>
      <c r="B56" s="40">
        <f t="shared" ca="1" si="22"/>
        <v>0</v>
      </c>
      <c r="C56" s="13">
        <f t="shared" ca="1" si="22"/>
        <v>0</v>
      </c>
      <c r="D56" s="17">
        <f t="shared" ca="1" si="22"/>
        <v>0</v>
      </c>
      <c r="E56" s="17">
        <f t="shared" ca="1" si="22"/>
        <v>0</v>
      </c>
      <c r="F56" s="13">
        <f t="shared" ca="1" si="22"/>
        <v>0</v>
      </c>
      <c r="G56" s="16"/>
      <c r="H56" s="13">
        <f t="shared" ca="1" si="23"/>
        <v>0</v>
      </c>
      <c r="I56" s="15">
        <f t="shared" ca="1" si="19"/>
        <v>1</v>
      </c>
      <c r="J56" s="15"/>
      <c r="K56" s="15">
        <f t="shared" ca="1" si="18"/>
        <v>0</v>
      </c>
    </row>
    <row r="57" spans="1:11" x14ac:dyDescent="0.4">
      <c r="A57" s="11" t="s">
        <v>10</v>
      </c>
      <c r="B57" s="40">
        <f t="shared" ca="1" si="22"/>
        <v>0</v>
      </c>
      <c r="C57" s="13">
        <f t="shared" ca="1" si="22"/>
        <v>0</v>
      </c>
      <c r="D57" s="17">
        <f t="shared" ca="1" si="22"/>
        <v>0</v>
      </c>
      <c r="E57" s="17">
        <f t="shared" ca="1" si="22"/>
        <v>0</v>
      </c>
      <c r="F57" s="13">
        <f t="shared" ca="1" si="22"/>
        <v>0</v>
      </c>
      <c r="G57" s="16"/>
      <c r="H57" s="13">
        <f t="shared" ca="1" si="23"/>
        <v>0</v>
      </c>
      <c r="I57" s="15">
        <f t="shared" ca="1" si="19"/>
        <v>1</v>
      </c>
      <c r="J57" s="15"/>
      <c r="K57" s="15">
        <f t="shared" ca="1" si="18"/>
        <v>0</v>
      </c>
    </row>
    <row r="58" spans="1:11" x14ac:dyDescent="0.4">
      <c r="A58" s="11" t="s">
        <v>7</v>
      </c>
      <c r="B58" s="40">
        <f t="shared" ref="B58:F60" ca="1" si="24">OFFSET(B58,-9,0)</f>
        <v>0</v>
      </c>
      <c r="C58" s="13">
        <f t="shared" ca="1" si="24"/>
        <v>0</v>
      </c>
      <c r="D58" s="17">
        <f t="shared" ca="1" si="24"/>
        <v>0</v>
      </c>
      <c r="E58" s="17">
        <f t="shared" ca="1" si="24"/>
        <v>0</v>
      </c>
      <c r="F58" s="13">
        <f t="shared" ca="1" si="24"/>
        <v>0</v>
      </c>
      <c r="G58" s="16"/>
      <c r="H58" s="13">
        <f t="shared" ref="H58:H60" ca="1" si="25">OFFSET(H58,-9,0)</f>
        <v>0</v>
      </c>
      <c r="I58" s="15">
        <f t="shared" ca="1" si="19"/>
        <v>1</v>
      </c>
      <c r="J58" s="15"/>
      <c r="K58" s="15">
        <f t="shared" ca="1" si="18"/>
        <v>0</v>
      </c>
    </row>
    <row r="59" spans="1:11" x14ac:dyDescent="0.4">
      <c r="A59" s="11" t="s">
        <v>7</v>
      </c>
      <c r="B59" s="40">
        <f t="shared" ca="1" si="24"/>
        <v>0</v>
      </c>
      <c r="C59" s="13">
        <f t="shared" ca="1" si="24"/>
        <v>0</v>
      </c>
      <c r="D59" s="17">
        <f t="shared" ca="1" si="24"/>
        <v>0</v>
      </c>
      <c r="E59" s="17">
        <f t="shared" ca="1" si="24"/>
        <v>0</v>
      </c>
      <c r="F59" s="13">
        <f t="shared" ca="1" si="24"/>
        <v>0</v>
      </c>
      <c r="G59" s="16"/>
      <c r="H59" s="13">
        <f t="shared" ca="1" si="25"/>
        <v>0</v>
      </c>
      <c r="I59" s="15">
        <f t="shared" ca="1" si="19"/>
        <v>1</v>
      </c>
      <c r="J59" s="15"/>
      <c r="K59" s="15">
        <f t="shared" ca="1" si="18"/>
        <v>0</v>
      </c>
    </row>
    <row r="60" spans="1:11" x14ac:dyDescent="0.4">
      <c r="A60" s="11" t="s">
        <v>7</v>
      </c>
      <c r="B60" s="40">
        <f t="shared" ca="1" si="24"/>
        <v>0</v>
      </c>
      <c r="C60" s="13">
        <f t="shared" ca="1" si="24"/>
        <v>0</v>
      </c>
      <c r="D60" s="17">
        <f t="shared" ca="1" si="24"/>
        <v>0</v>
      </c>
      <c r="E60" s="17">
        <f t="shared" ca="1" si="24"/>
        <v>0</v>
      </c>
      <c r="F60" s="13">
        <f t="shared" ca="1" si="24"/>
        <v>0</v>
      </c>
      <c r="G60" s="16"/>
      <c r="H60" s="13">
        <f t="shared" ca="1" si="25"/>
        <v>0</v>
      </c>
      <c r="I60" s="15">
        <f t="shared" ca="1" si="19"/>
        <v>1</v>
      </c>
      <c r="J60" s="15"/>
      <c r="K60" s="15">
        <f t="shared" ca="1" si="18"/>
        <v>0</v>
      </c>
    </row>
    <row r="61" spans="1:11" x14ac:dyDescent="0.4">
      <c r="A61" s="11" t="s">
        <v>8</v>
      </c>
      <c r="B61" s="40">
        <f t="shared" ref="B61:F63" ca="1" si="26">OFFSET(B61,-12,0)</f>
        <v>0</v>
      </c>
      <c r="C61" s="13">
        <f t="shared" ca="1" si="26"/>
        <v>0</v>
      </c>
      <c r="D61" s="17">
        <f t="shared" ca="1" si="26"/>
        <v>0</v>
      </c>
      <c r="E61" s="17">
        <f t="shared" ca="1" si="26"/>
        <v>0</v>
      </c>
      <c r="F61" s="13">
        <f t="shared" ca="1" si="26"/>
        <v>0</v>
      </c>
      <c r="G61" s="16"/>
      <c r="H61" s="13">
        <f t="shared" ref="H61:H63" ca="1" si="27">OFFSET(H61,-12,0)</f>
        <v>0</v>
      </c>
      <c r="I61" s="15">
        <f t="shared" ca="1" si="19"/>
        <v>1</v>
      </c>
      <c r="J61" s="15"/>
      <c r="K61" s="15">
        <f t="shared" ca="1" si="18"/>
        <v>0</v>
      </c>
    </row>
    <row r="62" spans="1:11" x14ac:dyDescent="0.4">
      <c r="A62" s="11" t="s">
        <v>8</v>
      </c>
      <c r="B62" s="40">
        <f t="shared" ca="1" si="26"/>
        <v>0</v>
      </c>
      <c r="C62" s="13">
        <f t="shared" ca="1" si="26"/>
        <v>0</v>
      </c>
      <c r="D62" s="17">
        <f t="shared" ca="1" si="26"/>
        <v>0</v>
      </c>
      <c r="E62" s="17">
        <f t="shared" ca="1" si="26"/>
        <v>0</v>
      </c>
      <c r="F62" s="13">
        <f t="shared" ca="1" si="26"/>
        <v>0</v>
      </c>
      <c r="G62" s="16"/>
      <c r="H62" s="13">
        <f t="shared" ca="1" si="27"/>
        <v>0</v>
      </c>
      <c r="I62" s="15">
        <f t="shared" ca="1" si="19"/>
        <v>1</v>
      </c>
      <c r="J62" s="15"/>
      <c r="K62" s="15">
        <f t="shared" ca="1" si="18"/>
        <v>0</v>
      </c>
    </row>
    <row r="63" spans="1:11" x14ac:dyDescent="0.4">
      <c r="A63" s="11" t="s">
        <v>8</v>
      </c>
      <c r="B63" s="40">
        <f t="shared" ca="1" si="26"/>
        <v>0</v>
      </c>
      <c r="C63" s="13">
        <f t="shared" ca="1" si="26"/>
        <v>0</v>
      </c>
      <c r="D63" s="17">
        <f t="shared" ca="1" si="26"/>
        <v>0</v>
      </c>
      <c r="E63" s="17">
        <f t="shared" ca="1" si="26"/>
        <v>0</v>
      </c>
      <c r="F63" s="13">
        <f t="shared" ca="1" si="26"/>
        <v>0</v>
      </c>
      <c r="G63" s="16"/>
      <c r="H63" s="13">
        <f t="shared" ca="1" si="27"/>
        <v>0</v>
      </c>
      <c r="I63" s="15">
        <f t="shared" ca="1" si="19"/>
        <v>1</v>
      </c>
      <c r="J63" s="15"/>
      <c r="K63" s="15">
        <f t="shared" ca="1" si="18"/>
        <v>0</v>
      </c>
    </row>
    <row r="64" spans="1:11" x14ac:dyDescent="0.4">
      <c r="A64" s="11" t="s">
        <v>9</v>
      </c>
      <c r="B64" s="41">
        <f t="shared" ref="B64:E66" ca="1" si="28">OFFSET(B64,-15,0)</f>
        <v>0</v>
      </c>
      <c r="C64" s="19">
        <f t="shared" ca="1" si="28"/>
        <v>0</v>
      </c>
      <c r="D64" s="20">
        <f t="shared" ca="1" si="28"/>
        <v>0</v>
      </c>
      <c r="E64" s="20">
        <f ca="1">OFFSET(E64,-15,0)</f>
        <v>0</v>
      </c>
      <c r="F64" s="13">
        <f t="shared" ref="F64:F66" ca="1" si="29">OFFSET(F64,-15,0)</f>
        <v>0</v>
      </c>
      <c r="G64" s="16"/>
      <c r="H64" s="19">
        <f t="shared" ref="H64:H66" ca="1" si="30">OFFSET(H64,-15,0)</f>
        <v>0</v>
      </c>
      <c r="I64" s="15">
        <f t="shared" ca="1" si="19"/>
        <v>1</v>
      </c>
      <c r="J64" s="15"/>
      <c r="K64" s="15">
        <f t="shared" ca="1" si="18"/>
        <v>0</v>
      </c>
    </row>
    <row r="65" spans="1:11" x14ac:dyDescent="0.4">
      <c r="A65" s="11" t="s">
        <v>9</v>
      </c>
      <c r="B65" s="41">
        <f t="shared" ca="1" si="28"/>
        <v>0</v>
      </c>
      <c r="C65" s="19">
        <f t="shared" ca="1" si="28"/>
        <v>0</v>
      </c>
      <c r="D65" s="20">
        <f t="shared" ca="1" si="28"/>
        <v>0</v>
      </c>
      <c r="E65" s="20">
        <f t="shared" ca="1" si="28"/>
        <v>0</v>
      </c>
      <c r="F65" s="13">
        <f t="shared" ca="1" si="29"/>
        <v>0</v>
      </c>
      <c r="G65" s="16"/>
      <c r="H65" s="19">
        <f t="shared" ca="1" si="30"/>
        <v>0</v>
      </c>
      <c r="I65" s="15">
        <f t="shared" ca="1" si="19"/>
        <v>1</v>
      </c>
      <c r="J65" s="15"/>
      <c r="K65" s="15">
        <f t="shared" ca="1" si="18"/>
        <v>0</v>
      </c>
    </row>
    <row r="66" spans="1:11" x14ac:dyDescent="0.4">
      <c r="A66" s="11" t="s">
        <v>9</v>
      </c>
      <c r="B66" s="41">
        <f t="shared" ca="1" si="28"/>
        <v>0</v>
      </c>
      <c r="C66" s="19">
        <f t="shared" ca="1" si="28"/>
        <v>0</v>
      </c>
      <c r="D66" s="20">
        <f t="shared" ca="1" si="28"/>
        <v>0</v>
      </c>
      <c r="E66" s="20">
        <f t="shared" ca="1" si="28"/>
        <v>0</v>
      </c>
      <c r="F66" s="13">
        <f t="shared" ca="1" si="29"/>
        <v>0</v>
      </c>
      <c r="G66" s="16"/>
      <c r="H66" s="19">
        <f t="shared" ca="1" si="30"/>
        <v>0</v>
      </c>
      <c r="I66" s="15">
        <f t="shared" ca="1" si="19"/>
        <v>1</v>
      </c>
      <c r="J66" s="15"/>
      <c r="K66" s="15">
        <f t="shared" ca="1" si="18"/>
        <v>0</v>
      </c>
    </row>
    <row r="67" spans="1:11" ht="17.399999999999999" x14ac:dyDescent="0.4">
      <c r="A67" s="74" t="s">
        <v>25</v>
      </c>
      <c r="B67" s="75"/>
      <c r="C67" s="75"/>
      <c r="D67" s="75"/>
      <c r="E67" s="75"/>
      <c r="F67" s="75"/>
      <c r="G67" s="75"/>
      <c r="H67" s="75"/>
      <c r="I67" s="75"/>
      <c r="J67" s="75"/>
      <c r="K67" s="76"/>
    </row>
    <row r="68" spans="1:11" x14ac:dyDescent="0.4">
      <c r="A68" s="11" t="s">
        <v>5</v>
      </c>
      <c r="B68" s="40"/>
      <c r="C68" s="13"/>
      <c r="D68" s="11"/>
      <c r="E68" s="17"/>
      <c r="F68" s="13"/>
      <c r="G68" s="16"/>
      <c r="H68" s="13"/>
      <c r="I68" s="15">
        <f>ROUND((10^(H68/10))/(10^(F68/10)),3)</f>
        <v>1</v>
      </c>
      <c r="J68" s="15"/>
      <c r="K68" s="15">
        <f t="shared" ref="K68:K85" si="31">G68*I68</f>
        <v>0</v>
      </c>
    </row>
    <row r="69" spans="1:11" x14ac:dyDescent="0.4">
      <c r="A69" s="11" t="s">
        <v>5</v>
      </c>
      <c r="B69" s="40"/>
      <c r="C69" s="13"/>
      <c r="D69" s="11"/>
      <c r="E69" s="17"/>
      <c r="F69" s="13"/>
      <c r="G69" s="16"/>
      <c r="H69" s="13"/>
      <c r="I69" s="15">
        <f t="shared" ref="I69:I85" si="32">ROUND((10^(H69/10))/(10^(F69/10)),3)</f>
        <v>1</v>
      </c>
      <c r="J69" s="15"/>
      <c r="K69" s="15">
        <f t="shared" si="31"/>
        <v>0</v>
      </c>
    </row>
    <row r="70" spans="1:11" x14ac:dyDescent="0.4">
      <c r="A70" s="11" t="s">
        <v>5</v>
      </c>
      <c r="B70" s="40"/>
      <c r="C70" s="13"/>
      <c r="D70" s="11"/>
      <c r="E70" s="17"/>
      <c r="F70" s="13"/>
      <c r="G70" s="16"/>
      <c r="H70" s="13"/>
      <c r="I70" s="15">
        <f t="shared" si="32"/>
        <v>1</v>
      </c>
      <c r="J70" s="15"/>
      <c r="K70" s="15">
        <f t="shared" si="31"/>
        <v>0</v>
      </c>
    </row>
    <row r="71" spans="1:11" x14ac:dyDescent="0.4">
      <c r="A71" s="11" t="s">
        <v>6</v>
      </c>
      <c r="B71" s="41">
        <f t="shared" ref="B71:F73" ca="1" si="33">OFFSET(B71,-3,0)</f>
        <v>0</v>
      </c>
      <c r="C71" s="19">
        <f t="shared" ca="1" si="33"/>
        <v>0</v>
      </c>
      <c r="D71" s="20">
        <f t="shared" ca="1" si="33"/>
        <v>0</v>
      </c>
      <c r="E71" s="20">
        <f t="shared" ca="1" si="33"/>
        <v>0</v>
      </c>
      <c r="F71" s="13">
        <f t="shared" ca="1" si="33"/>
        <v>0</v>
      </c>
      <c r="G71" s="16"/>
      <c r="H71" s="19">
        <f t="shared" ref="H71:H73" ca="1" si="34">OFFSET(H71,-3,0)</f>
        <v>0</v>
      </c>
      <c r="I71" s="15">
        <f t="shared" ca="1" si="32"/>
        <v>1</v>
      </c>
      <c r="J71" s="15"/>
      <c r="K71" s="15">
        <f t="shared" ca="1" si="31"/>
        <v>0</v>
      </c>
    </row>
    <row r="72" spans="1:11" x14ac:dyDescent="0.4">
      <c r="A72" s="11" t="s">
        <v>6</v>
      </c>
      <c r="B72" s="41">
        <f t="shared" ca="1" si="33"/>
        <v>0</v>
      </c>
      <c r="C72" s="19">
        <f t="shared" ca="1" si="33"/>
        <v>0</v>
      </c>
      <c r="D72" s="20">
        <f t="shared" ca="1" si="33"/>
        <v>0</v>
      </c>
      <c r="E72" s="20">
        <f t="shared" ca="1" si="33"/>
        <v>0</v>
      </c>
      <c r="F72" s="13">
        <f t="shared" ca="1" si="33"/>
        <v>0</v>
      </c>
      <c r="G72" s="16"/>
      <c r="H72" s="19">
        <f t="shared" ca="1" si="34"/>
        <v>0</v>
      </c>
      <c r="I72" s="15">
        <f t="shared" ca="1" si="32"/>
        <v>1</v>
      </c>
      <c r="J72" s="15"/>
      <c r="K72" s="15">
        <f t="shared" ca="1" si="31"/>
        <v>0</v>
      </c>
    </row>
    <row r="73" spans="1:11" x14ac:dyDescent="0.4">
      <c r="A73" s="11" t="s">
        <v>6</v>
      </c>
      <c r="B73" s="41">
        <f t="shared" ca="1" si="33"/>
        <v>0</v>
      </c>
      <c r="C73" s="19">
        <f t="shared" ca="1" si="33"/>
        <v>0</v>
      </c>
      <c r="D73" s="20">
        <f t="shared" ca="1" si="33"/>
        <v>0</v>
      </c>
      <c r="E73" s="20">
        <f t="shared" ca="1" si="33"/>
        <v>0</v>
      </c>
      <c r="F73" s="13">
        <f t="shared" ca="1" si="33"/>
        <v>0</v>
      </c>
      <c r="G73" s="16"/>
      <c r="H73" s="19">
        <f t="shared" ca="1" si="34"/>
        <v>0</v>
      </c>
      <c r="I73" s="15">
        <f t="shared" ca="1" si="32"/>
        <v>1</v>
      </c>
      <c r="J73" s="15"/>
      <c r="K73" s="15">
        <f t="shared" ca="1" si="31"/>
        <v>0</v>
      </c>
    </row>
    <row r="74" spans="1:11" x14ac:dyDescent="0.4">
      <c r="A74" s="11" t="s">
        <v>10</v>
      </c>
      <c r="B74" s="40">
        <f t="shared" ref="B74:F76" ca="1" si="35">OFFSET(B74,-6,0)</f>
        <v>0</v>
      </c>
      <c r="C74" s="13">
        <f t="shared" ca="1" si="35"/>
        <v>0</v>
      </c>
      <c r="D74" s="17">
        <f t="shared" ca="1" si="35"/>
        <v>0</v>
      </c>
      <c r="E74" s="17">
        <f t="shared" ca="1" si="35"/>
        <v>0</v>
      </c>
      <c r="F74" s="13">
        <f t="shared" ca="1" si="35"/>
        <v>0</v>
      </c>
      <c r="G74" s="16"/>
      <c r="H74" s="13">
        <f t="shared" ref="H74:H76" ca="1" si="36">OFFSET(H74,-6,0)</f>
        <v>0</v>
      </c>
      <c r="I74" s="15">
        <f t="shared" ca="1" si="32"/>
        <v>1</v>
      </c>
      <c r="J74" s="15"/>
      <c r="K74" s="15">
        <f t="shared" ca="1" si="31"/>
        <v>0</v>
      </c>
    </row>
    <row r="75" spans="1:11" x14ac:dyDescent="0.4">
      <c r="A75" s="11" t="s">
        <v>10</v>
      </c>
      <c r="B75" s="40">
        <f t="shared" ca="1" si="35"/>
        <v>0</v>
      </c>
      <c r="C75" s="13">
        <f t="shared" ca="1" si="35"/>
        <v>0</v>
      </c>
      <c r="D75" s="17">
        <f t="shared" ca="1" si="35"/>
        <v>0</v>
      </c>
      <c r="E75" s="17">
        <f t="shared" ca="1" si="35"/>
        <v>0</v>
      </c>
      <c r="F75" s="13">
        <f t="shared" ca="1" si="35"/>
        <v>0</v>
      </c>
      <c r="G75" s="16"/>
      <c r="H75" s="13">
        <f t="shared" ca="1" si="36"/>
        <v>0</v>
      </c>
      <c r="I75" s="15">
        <f t="shared" ca="1" si="32"/>
        <v>1</v>
      </c>
      <c r="J75" s="15"/>
      <c r="K75" s="15">
        <f t="shared" ca="1" si="31"/>
        <v>0</v>
      </c>
    </row>
    <row r="76" spans="1:11" x14ac:dyDescent="0.4">
      <c r="A76" s="11" t="s">
        <v>10</v>
      </c>
      <c r="B76" s="40">
        <f t="shared" ca="1" si="35"/>
        <v>0</v>
      </c>
      <c r="C76" s="13">
        <f t="shared" ca="1" si="35"/>
        <v>0</v>
      </c>
      <c r="D76" s="17">
        <f t="shared" ca="1" si="35"/>
        <v>0</v>
      </c>
      <c r="E76" s="17">
        <f t="shared" ca="1" si="35"/>
        <v>0</v>
      </c>
      <c r="F76" s="13">
        <f t="shared" ca="1" si="35"/>
        <v>0</v>
      </c>
      <c r="G76" s="16"/>
      <c r="H76" s="13">
        <f t="shared" ca="1" si="36"/>
        <v>0</v>
      </c>
      <c r="I76" s="15">
        <f t="shared" ca="1" si="32"/>
        <v>1</v>
      </c>
      <c r="J76" s="15"/>
      <c r="K76" s="15">
        <f t="shared" ca="1" si="31"/>
        <v>0</v>
      </c>
    </row>
    <row r="77" spans="1:11" x14ac:dyDescent="0.4">
      <c r="A77" s="11" t="s">
        <v>7</v>
      </c>
      <c r="B77" s="40">
        <f t="shared" ref="B77:F79" ca="1" si="37">OFFSET(B77,-9,0)</f>
        <v>0</v>
      </c>
      <c r="C77" s="13">
        <f t="shared" ca="1" si="37"/>
        <v>0</v>
      </c>
      <c r="D77" s="17">
        <f t="shared" ca="1" si="37"/>
        <v>0</v>
      </c>
      <c r="E77" s="17">
        <f t="shared" ca="1" si="37"/>
        <v>0</v>
      </c>
      <c r="F77" s="13">
        <f t="shared" ca="1" si="37"/>
        <v>0</v>
      </c>
      <c r="G77" s="16"/>
      <c r="H77" s="13">
        <f t="shared" ref="H77:H79" ca="1" si="38">OFFSET(H77,-9,0)</f>
        <v>0</v>
      </c>
      <c r="I77" s="15">
        <f t="shared" ca="1" si="32"/>
        <v>1</v>
      </c>
      <c r="J77" s="15"/>
      <c r="K77" s="15">
        <f t="shared" ca="1" si="31"/>
        <v>0</v>
      </c>
    </row>
    <row r="78" spans="1:11" x14ac:dyDescent="0.4">
      <c r="A78" s="11" t="s">
        <v>7</v>
      </c>
      <c r="B78" s="40">
        <f t="shared" ca="1" si="37"/>
        <v>0</v>
      </c>
      <c r="C78" s="13">
        <f t="shared" ca="1" si="37"/>
        <v>0</v>
      </c>
      <c r="D78" s="17">
        <f t="shared" ca="1" si="37"/>
        <v>0</v>
      </c>
      <c r="E78" s="17">
        <f t="shared" ca="1" si="37"/>
        <v>0</v>
      </c>
      <c r="F78" s="13">
        <f t="shared" ca="1" si="37"/>
        <v>0</v>
      </c>
      <c r="G78" s="16"/>
      <c r="H78" s="13">
        <f t="shared" ca="1" si="38"/>
        <v>0</v>
      </c>
      <c r="I78" s="15">
        <f t="shared" ca="1" si="32"/>
        <v>1</v>
      </c>
      <c r="J78" s="15"/>
      <c r="K78" s="15">
        <f t="shared" ca="1" si="31"/>
        <v>0</v>
      </c>
    </row>
    <row r="79" spans="1:11" x14ac:dyDescent="0.4">
      <c r="A79" s="11" t="s">
        <v>7</v>
      </c>
      <c r="B79" s="40">
        <f t="shared" ca="1" si="37"/>
        <v>0</v>
      </c>
      <c r="C79" s="13">
        <f t="shared" ca="1" si="37"/>
        <v>0</v>
      </c>
      <c r="D79" s="17">
        <f t="shared" ca="1" si="37"/>
        <v>0</v>
      </c>
      <c r="E79" s="17">
        <f t="shared" ca="1" si="37"/>
        <v>0</v>
      </c>
      <c r="F79" s="13">
        <f t="shared" ca="1" si="37"/>
        <v>0</v>
      </c>
      <c r="G79" s="16"/>
      <c r="H79" s="13">
        <f t="shared" ca="1" si="38"/>
        <v>0</v>
      </c>
      <c r="I79" s="15">
        <f t="shared" ca="1" si="32"/>
        <v>1</v>
      </c>
      <c r="J79" s="15"/>
      <c r="K79" s="15">
        <f t="shared" ca="1" si="31"/>
        <v>0</v>
      </c>
    </row>
    <row r="80" spans="1:11" x14ac:dyDescent="0.4">
      <c r="A80" s="11" t="s">
        <v>8</v>
      </c>
      <c r="B80" s="40">
        <f t="shared" ref="B80:F82" ca="1" si="39">OFFSET(B80,-12,0)</f>
        <v>0</v>
      </c>
      <c r="C80" s="13">
        <f t="shared" ca="1" si="39"/>
        <v>0</v>
      </c>
      <c r="D80" s="17">
        <f t="shared" ca="1" si="39"/>
        <v>0</v>
      </c>
      <c r="E80" s="17">
        <f t="shared" ca="1" si="39"/>
        <v>0</v>
      </c>
      <c r="F80" s="13">
        <f t="shared" ca="1" si="39"/>
        <v>0</v>
      </c>
      <c r="G80" s="16"/>
      <c r="H80" s="13">
        <f t="shared" ref="H80:H82" ca="1" si="40">OFFSET(H80,-12,0)</f>
        <v>0</v>
      </c>
      <c r="I80" s="15">
        <f t="shared" ca="1" si="32"/>
        <v>1</v>
      </c>
      <c r="J80" s="15"/>
      <c r="K80" s="15">
        <f t="shared" ca="1" si="31"/>
        <v>0</v>
      </c>
    </row>
    <row r="81" spans="1:11" x14ac:dyDescent="0.4">
      <c r="A81" s="11" t="s">
        <v>8</v>
      </c>
      <c r="B81" s="40">
        <f t="shared" ca="1" si="39"/>
        <v>0</v>
      </c>
      <c r="C81" s="13">
        <f t="shared" ca="1" si="39"/>
        <v>0</v>
      </c>
      <c r="D81" s="17">
        <f t="shared" ca="1" si="39"/>
        <v>0</v>
      </c>
      <c r="E81" s="17">
        <f t="shared" ca="1" si="39"/>
        <v>0</v>
      </c>
      <c r="F81" s="13">
        <f t="shared" ca="1" si="39"/>
        <v>0</v>
      </c>
      <c r="G81" s="16"/>
      <c r="H81" s="13">
        <f t="shared" ca="1" si="40"/>
        <v>0</v>
      </c>
      <c r="I81" s="15">
        <f t="shared" ca="1" si="32"/>
        <v>1</v>
      </c>
      <c r="J81" s="15"/>
      <c r="K81" s="15">
        <f t="shared" ca="1" si="31"/>
        <v>0</v>
      </c>
    </row>
    <row r="82" spans="1:11" x14ac:dyDescent="0.4">
      <c r="A82" s="11" t="s">
        <v>8</v>
      </c>
      <c r="B82" s="40">
        <f t="shared" ca="1" si="39"/>
        <v>0</v>
      </c>
      <c r="C82" s="13">
        <f t="shared" ca="1" si="39"/>
        <v>0</v>
      </c>
      <c r="D82" s="17">
        <f t="shared" ca="1" si="39"/>
        <v>0</v>
      </c>
      <c r="E82" s="17">
        <f t="shared" ca="1" si="39"/>
        <v>0</v>
      </c>
      <c r="F82" s="13">
        <f t="shared" ca="1" si="39"/>
        <v>0</v>
      </c>
      <c r="G82" s="16"/>
      <c r="H82" s="13">
        <f t="shared" ca="1" si="40"/>
        <v>0</v>
      </c>
      <c r="I82" s="15">
        <f t="shared" ca="1" si="32"/>
        <v>1</v>
      </c>
      <c r="J82" s="15"/>
      <c r="K82" s="15">
        <f t="shared" ca="1" si="31"/>
        <v>0</v>
      </c>
    </row>
    <row r="83" spans="1:11" x14ac:dyDescent="0.4">
      <c r="A83" s="11" t="s">
        <v>9</v>
      </c>
      <c r="B83" s="41">
        <f t="shared" ref="B83:F85" ca="1" si="41">OFFSET(B83,-15,0)</f>
        <v>0</v>
      </c>
      <c r="C83" s="19">
        <f t="shared" ca="1" si="41"/>
        <v>0</v>
      </c>
      <c r="D83" s="20">
        <f t="shared" ca="1" si="41"/>
        <v>0</v>
      </c>
      <c r="E83" s="20">
        <f t="shared" ca="1" si="41"/>
        <v>0</v>
      </c>
      <c r="F83" s="13">
        <f t="shared" ca="1" si="41"/>
        <v>0</v>
      </c>
      <c r="G83" s="16"/>
      <c r="H83" s="19">
        <f t="shared" ref="H83:H85" ca="1" si="42">OFFSET(H83,-15,0)</f>
        <v>0</v>
      </c>
      <c r="I83" s="15">
        <f t="shared" ca="1" si="32"/>
        <v>1</v>
      </c>
      <c r="J83" s="15"/>
      <c r="K83" s="15">
        <f t="shared" ca="1" si="31"/>
        <v>0</v>
      </c>
    </row>
    <row r="84" spans="1:11" x14ac:dyDescent="0.4">
      <c r="A84" s="11" t="s">
        <v>9</v>
      </c>
      <c r="B84" s="41">
        <f t="shared" ca="1" si="41"/>
        <v>0</v>
      </c>
      <c r="C84" s="19">
        <f t="shared" ca="1" si="41"/>
        <v>0</v>
      </c>
      <c r="D84" s="20">
        <f t="shared" ca="1" si="41"/>
        <v>0</v>
      </c>
      <c r="E84" s="20">
        <f t="shared" ca="1" si="41"/>
        <v>0</v>
      </c>
      <c r="F84" s="13">
        <f t="shared" ca="1" si="41"/>
        <v>0</v>
      </c>
      <c r="G84" s="16"/>
      <c r="H84" s="19">
        <f t="shared" ca="1" si="42"/>
        <v>0</v>
      </c>
      <c r="I84" s="15">
        <f t="shared" ca="1" si="32"/>
        <v>1</v>
      </c>
      <c r="J84" s="15"/>
      <c r="K84" s="15">
        <f t="shared" ca="1" si="31"/>
        <v>0</v>
      </c>
    </row>
    <row r="85" spans="1:11" x14ac:dyDescent="0.4">
      <c r="A85" s="11" t="s">
        <v>9</v>
      </c>
      <c r="B85" s="41">
        <f t="shared" ca="1" si="41"/>
        <v>0</v>
      </c>
      <c r="C85" s="19">
        <f t="shared" ca="1" si="41"/>
        <v>0</v>
      </c>
      <c r="D85" s="20">
        <f t="shared" ca="1" si="41"/>
        <v>0</v>
      </c>
      <c r="E85" s="20">
        <f t="shared" ca="1" si="41"/>
        <v>0</v>
      </c>
      <c r="F85" s="13">
        <f t="shared" ca="1" si="41"/>
        <v>0</v>
      </c>
      <c r="G85" s="16"/>
      <c r="H85" s="19">
        <f t="shared" ca="1" si="42"/>
        <v>0</v>
      </c>
      <c r="I85" s="15">
        <f t="shared" ca="1" si="32"/>
        <v>1</v>
      </c>
      <c r="J85" s="15"/>
      <c r="K85" s="15">
        <f t="shared" ca="1" si="31"/>
        <v>0</v>
      </c>
    </row>
    <row r="86" spans="1:11" ht="17.399999999999999" x14ac:dyDescent="0.4">
      <c r="A86" s="74" t="s">
        <v>29</v>
      </c>
      <c r="B86" s="75"/>
      <c r="C86" s="75"/>
      <c r="D86" s="75"/>
      <c r="E86" s="75"/>
      <c r="F86" s="75"/>
      <c r="G86" s="75"/>
      <c r="H86" s="75"/>
      <c r="I86" s="75"/>
      <c r="J86" s="75"/>
      <c r="K86" s="76"/>
    </row>
    <row r="87" spans="1:11" x14ac:dyDescent="0.4">
      <c r="A87" s="11" t="s">
        <v>5</v>
      </c>
      <c r="B87" s="40"/>
      <c r="C87" s="13"/>
      <c r="D87" s="11"/>
      <c r="E87" s="17"/>
      <c r="F87" s="13"/>
      <c r="G87" s="16"/>
      <c r="H87" s="13"/>
      <c r="I87" s="15">
        <f>ROUND((10^(H87/10))/(10^(F87/10)),3)</f>
        <v>1</v>
      </c>
      <c r="J87" s="15"/>
      <c r="K87" s="15">
        <f t="shared" ref="K87:K104" si="43">G87*I87</f>
        <v>0</v>
      </c>
    </row>
    <row r="88" spans="1:11" x14ac:dyDescent="0.4">
      <c r="A88" s="11" t="s">
        <v>5</v>
      </c>
      <c r="B88" s="40"/>
      <c r="C88" s="13"/>
      <c r="D88" s="11"/>
      <c r="E88" s="17"/>
      <c r="F88" s="13"/>
      <c r="G88" s="16"/>
      <c r="H88" s="13"/>
      <c r="I88" s="15">
        <f t="shared" ref="I88:I104" si="44">ROUND((10^(H88/10))/(10^(F88/10)),3)</f>
        <v>1</v>
      </c>
      <c r="J88" s="15"/>
      <c r="K88" s="15">
        <f t="shared" si="43"/>
        <v>0</v>
      </c>
    </row>
    <row r="89" spans="1:11" x14ac:dyDescent="0.4">
      <c r="A89" s="11" t="s">
        <v>5</v>
      </c>
      <c r="B89" s="40"/>
      <c r="C89" s="13"/>
      <c r="D89" s="11"/>
      <c r="E89" s="17"/>
      <c r="F89" s="13"/>
      <c r="G89" s="16"/>
      <c r="H89" s="13"/>
      <c r="I89" s="15">
        <f t="shared" si="44"/>
        <v>1</v>
      </c>
      <c r="J89" s="15"/>
      <c r="K89" s="15">
        <f t="shared" si="43"/>
        <v>0</v>
      </c>
    </row>
    <row r="90" spans="1:11" x14ac:dyDescent="0.4">
      <c r="A90" s="11" t="s">
        <v>6</v>
      </c>
      <c r="B90" s="41">
        <f t="shared" ref="B90:F92" ca="1" si="45">OFFSET(B90,-3,0)</f>
        <v>0</v>
      </c>
      <c r="C90" s="19">
        <f t="shared" ca="1" si="45"/>
        <v>0</v>
      </c>
      <c r="D90" s="20">
        <f t="shared" ca="1" si="45"/>
        <v>0</v>
      </c>
      <c r="E90" s="20">
        <f t="shared" ca="1" si="45"/>
        <v>0</v>
      </c>
      <c r="F90" s="13">
        <f t="shared" ca="1" si="45"/>
        <v>0</v>
      </c>
      <c r="G90" s="16"/>
      <c r="H90" s="19">
        <f t="shared" ref="H90:H92" ca="1" si="46">OFFSET(H90,-3,0)</f>
        <v>0</v>
      </c>
      <c r="I90" s="15">
        <f t="shared" ca="1" si="44"/>
        <v>1</v>
      </c>
      <c r="J90" s="15"/>
      <c r="K90" s="15">
        <f t="shared" ca="1" si="43"/>
        <v>0</v>
      </c>
    </row>
    <row r="91" spans="1:11" x14ac:dyDescent="0.4">
      <c r="A91" s="11" t="s">
        <v>6</v>
      </c>
      <c r="B91" s="41">
        <f t="shared" ca="1" si="45"/>
        <v>0</v>
      </c>
      <c r="C91" s="19">
        <f t="shared" ca="1" si="45"/>
        <v>0</v>
      </c>
      <c r="D91" s="20">
        <f t="shared" ca="1" si="45"/>
        <v>0</v>
      </c>
      <c r="E91" s="20">
        <f t="shared" ca="1" si="45"/>
        <v>0</v>
      </c>
      <c r="F91" s="13">
        <f t="shared" ca="1" si="45"/>
        <v>0</v>
      </c>
      <c r="G91" s="16"/>
      <c r="H91" s="19">
        <f t="shared" ca="1" si="46"/>
        <v>0</v>
      </c>
      <c r="I91" s="15">
        <f t="shared" ca="1" si="44"/>
        <v>1</v>
      </c>
      <c r="J91" s="15"/>
      <c r="K91" s="15">
        <f t="shared" ca="1" si="43"/>
        <v>0</v>
      </c>
    </row>
    <row r="92" spans="1:11" x14ac:dyDescent="0.4">
      <c r="A92" s="11" t="s">
        <v>6</v>
      </c>
      <c r="B92" s="41">
        <f t="shared" ca="1" si="45"/>
        <v>0</v>
      </c>
      <c r="C92" s="19">
        <f t="shared" ca="1" si="45"/>
        <v>0</v>
      </c>
      <c r="D92" s="20">
        <f t="shared" ca="1" si="45"/>
        <v>0</v>
      </c>
      <c r="E92" s="20">
        <f t="shared" ca="1" si="45"/>
        <v>0</v>
      </c>
      <c r="F92" s="13">
        <f t="shared" ca="1" si="45"/>
        <v>0</v>
      </c>
      <c r="G92" s="16"/>
      <c r="H92" s="19">
        <f t="shared" ca="1" si="46"/>
        <v>0</v>
      </c>
      <c r="I92" s="15">
        <f t="shared" ca="1" si="44"/>
        <v>1</v>
      </c>
      <c r="J92" s="15"/>
      <c r="K92" s="15">
        <f t="shared" ca="1" si="43"/>
        <v>0</v>
      </c>
    </row>
    <row r="93" spans="1:11" x14ac:dyDescent="0.4">
      <c r="A93" s="11" t="s">
        <v>10</v>
      </c>
      <c r="B93" s="40">
        <f t="shared" ref="B93:F95" ca="1" si="47">OFFSET(B93,-6,0)</f>
        <v>0</v>
      </c>
      <c r="C93" s="13">
        <f t="shared" ca="1" si="47"/>
        <v>0</v>
      </c>
      <c r="D93" s="17">
        <f t="shared" ca="1" si="47"/>
        <v>0</v>
      </c>
      <c r="E93" s="17">
        <f t="shared" ca="1" si="47"/>
        <v>0</v>
      </c>
      <c r="F93" s="13">
        <f t="shared" ca="1" si="47"/>
        <v>0</v>
      </c>
      <c r="G93" s="16"/>
      <c r="H93" s="13">
        <f t="shared" ref="H93:H95" ca="1" si="48">OFFSET(H93,-6,0)</f>
        <v>0</v>
      </c>
      <c r="I93" s="15">
        <f t="shared" ca="1" si="44"/>
        <v>1</v>
      </c>
      <c r="J93" s="15"/>
      <c r="K93" s="15">
        <f t="shared" ca="1" si="43"/>
        <v>0</v>
      </c>
    </row>
    <row r="94" spans="1:11" x14ac:dyDescent="0.4">
      <c r="A94" s="11" t="s">
        <v>10</v>
      </c>
      <c r="B94" s="40">
        <f t="shared" ca="1" si="47"/>
        <v>0</v>
      </c>
      <c r="C94" s="13">
        <f t="shared" ca="1" si="47"/>
        <v>0</v>
      </c>
      <c r="D94" s="17">
        <f t="shared" ca="1" si="47"/>
        <v>0</v>
      </c>
      <c r="E94" s="17">
        <f t="shared" ca="1" si="47"/>
        <v>0</v>
      </c>
      <c r="F94" s="13">
        <f t="shared" ca="1" si="47"/>
        <v>0</v>
      </c>
      <c r="G94" s="16"/>
      <c r="H94" s="13">
        <f t="shared" ca="1" si="48"/>
        <v>0</v>
      </c>
      <c r="I94" s="15">
        <f t="shared" ca="1" si="44"/>
        <v>1</v>
      </c>
      <c r="J94" s="15"/>
      <c r="K94" s="15">
        <f t="shared" ca="1" si="43"/>
        <v>0</v>
      </c>
    </row>
    <row r="95" spans="1:11" x14ac:dyDescent="0.4">
      <c r="A95" s="11" t="s">
        <v>10</v>
      </c>
      <c r="B95" s="40">
        <f t="shared" ca="1" si="47"/>
        <v>0</v>
      </c>
      <c r="C95" s="13">
        <f t="shared" ca="1" si="47"/>
        <v>0</v>
      </c>
      <c r="D95" s="17">
        <f t="shared" ca="1" si="47"/>
        <v>0</v>
      </c>
      <c r="E95" s="17">
        <f t="shared" ca="1" si="47"/>
        <v>0</v>
      </c>
      <c r="F95" s="13">
        <f t="shared" ca="1" si="47"/>
        <v>0</v>
      </c>
      <c r="G95" s="16"/>
      <c r="H95" s="13">
        <f t="shared" ca="1" si="48"/>
        <v>0</v>
      </c>
      <c r="I95" s="15">
        <f t="shared" ca="1" si="44"/>
        <v>1</v>
      </c>
      <c r="J95" s="15"/>
      <c r="K95" s="15">
        <f t="shared" ca="1" si="43"/>
        <v>0</v>
      </c>
    </row>
    <row r="96" spans="1:11" x14ac:dyDescent="0.4">
      <c r="A96" s="11" t="s">
        <v>7</v>
      </c>
      <c r="B96" s="40">
        <f t="shared" ref="B96:F98" ca="1" si="49">OFFSET(B96,-9,0)</f>
        <v>0</v>
      </c>
      <c r="C96" s="13">
        <f t="shared" ca="1" si="49"/>
        <v>0</v>
      </c>
      <c r="D96" s="17">
        <f t="shared" ca="1" si="49"/>
        <v>0</v>
      </c>
      <c r="E96" s="17">
        <f t="shared" ca="1" si="49"/>
        <v>0</v>
      </c>
      <c r="F96" s="13">
        <f t="shared" ca="1" si="49"/>
        <v>0</v>
      </c>
      <c r="G96" s="16"/>
      <c r="H96" s="13">
        <f t="shared" ref="H96:H98" ca="1" si="50">OFFSET(H96,-9,0)</f>
        <v>0</v>
      </c>
      <c r="I96" s="15">
        <f t="shared" ca="1" si="44"/>
        <v>1</v>
      </c>
      <c r="J96" s="15"/>
      <c r="K96" s="15">
        <f t="shared" ca="1" si="43"/>
        <v>0</v>
      </c>
    </row>
    <row r="97" spans="1:11" x14ac:dyDescent="0.4">
      <c r="A97" s="11" t="s">
        <v>7</v>
      </c>
      <c r="B97" s="40">
        <f t="shared" ca="1" si="49"/>
        <v>0</v>
      </c>
      <c r="C97" s="13">
        <f t="shared" ca="1" si="49"/>
        <v>0</v>
      </c>
      <c r="D97" s="17">
        <f t="shared" ca="1" si="49"/>
        <v>0</v>
      </c>
      <c r="E97" s="17">
        <f t="shared" ca="1" si="49"/>
        <v>0</v>
      </c>
      <c r="F97" s="13">
        <f t="shared" ca="1" si="49"/>
        <v>0</v>
      </c>
      <c r="G97" s="16"/>
      <c r="H97" s="13">
        <f t="shared" ca="1" si="50"/>
        <v>0</v>
      </c>
      <c r="I97" s="15">
        <f t="shared" ca="1" si="44"/>
        <v>1</v>
      </c>
      <c r="J97" s="15"/>
      <c r="K97" s="15">
        <f t="shared" ca="1" si="43"/>
        <v>0</v>
      </c>
    </row>
    <row r="98" spans="1:11" x14ac:dyDescent="0.4">
      <c r="A98" s="11" t="s">
        <v>7</v>
      </c>
      <c r="B98" s="40">
        <f t="shared" ca="1" si="49"/>
        <v>0</v>
      </c>
      <c r="C98" s="13">
        <f t="shared" ca="1" si="49"/>
        <v>0</v>
      </c>
      <c r="D98" s="17">
        <f t="shared" ca="1" si="49"/>
        <v>0</v>
      </c>
      <c r="E98" s="17">
        <f t="shared" ca="1" si="49"/>
        <v>0</v>
      </c>
      <c r="F98" s="13">
        <f t="shared" ca="1" si="49"/>
        <v>0</v>
      </c>
      <c r="G98" s="16"/>
      <c r="H98" s="13">
        <f t="shared" ca="1" si="50"/>
        <v>0</v>
      </c>
      <c r="I98" s="15">
        <f t="shared" ca="1" si="44"/>
        <v>1</v>
      </c>
      <c r="J98" s="15"/>
      <c r="K98" s="15">
        <f t="shared" ca="1" si="43"/>
        <v>0</v>
      </c>
    </row>
    <row r="99" spans="1:11" x14ac:dyDescent="0.4">
      <c r="A99" s="11" t="s">
        <v>8</v>
      </c>
      <c r="B99" s="40">
        <f t="shared" ref="B99:F101" ca="1" si="51">OFFSET(B99,-12,0)</f>
        <v>0</v>
      </c>
      <c r="C99" s="13">
        <f t="shared" ca="1" si="51"/>
        <v>0</v>
      </c>
      <c r="D99" s="17">
        <f t="shared" ca="1" si="51"/>
        <v>0</v>
      </c>
      <c r="E99" s="17">
        <f t="shared" ca="1" si="51"/>
        <v>0</v>
      </c>
      <c r="F99" s="13">
        <f t="shared" ca="1" si="51"/>
        <v>0</v>
      </c>
      <c r="G99" s="16"/>
      <c r="H99" s="13">
        <f t="shared" ref="H99:H101" ca="1" si="52">OFFSET(H99,-12,0)</f>
        <v>0</v>
      </c>
      <c r="I99" s="15">
        <f t="shared" ca="1" si="44"/>
        <v>1</v>
      </c>
      <c r="J99" s="15"/>
      <c r="K99" s="15">
        <f t="shared" ca="1" si="43"/>
        <v>0</v>
      </c>
    </row>
    <row r="100" spans="1:11" x14ac:dyDescent="0.4">
      <c r="A100" s="11" t="s">
        <v>8</v>
      </c>
      <c r="B100" s="40">
        <f t="shared" ca="1" si="51"/>
        <v>0</v>
      </c>
      <c r="C100" s="13">
        <f t="shared" ca="1" si="51"/>
        <v>0</v>
      </c>
      <c r="D100" s="17">
        <f t="shared" ca="1" si="51"/>
        <v>0</v>
      </c>
      <c r="E100" s="17">
        <f t="shared" ca="1" si="51"/>
        <v>0</v>
      </c>
      <c r="F100" s="13">
        <f t="shared" ca="1" si="51"/>
        <v>0</v>
      </c>
      <c r="G100" s="16"/>
      <c r="H100" s="13">
        <f t="shared" ca="1" si="52"/>
        <v>0</v>
      </c>
      <c r="I100" s="15">
        <f t="shared" ca="1" si="44"/>
        <v>1</v>
      </c>
      <c r="J100" s="15"/>
      <c r="K100" s="15">
        <f t="shared" ca="1" si="43"/>
        <v>0</v>
      </c>
    </row>
    <row r="101" spans="1:11" x14ac:dyDescent="0.4">
      <c r="A101" s="11" t="s">
        <v>8</v>
      </c>
      <c r="B101" s="40">
        <f t="shared" ca="1" si="51"/>
        <v>0</v>
      </c>
      <c r="C101" s="13">
        <f t="shared" ca="1" si="51"/>
        <v>0</v>
      </c>
      <c r="D101" s="17">
        <f t="shared" ca="1" si="51"/>
        <v>0</v>
      </c>
      <c r="E101" s="17">
        <f t="shared" ca="1" si="51"/>
        <v>0</v>
      </c>
      <c r="F101" s="13">
        <f t="shared" ca="1" si="51"/>
        <v>0</v>
      </c>
      <c r="G101" s="16"/>
      <c r="H101" s="13">
        <f t="shared" ca="1" si="52"/>
        <v>0</v>
      </c>
      <c r="I101" s="15">
        <f t="shared" ca="1" si="44"/>
        <v>1</v>
      </c>
      <c r="J101" s="15"/>
      <c r="K101" s="15">
        <f t="shared" ca="1" si="43"/>
        <v>0</v>
      </c>
    </row>
    <row r="102" spans="1:11" x14ac:dyDescent="0.4">
      <c r="A102" s="11" t="s">
        <v>9</v>
      </c>
      <c r="B102" s="41">
        <f t="shared" ref="B102:F104" ca="1" si="53">OFFSET(B102,-15,0)</f>
        <v>0</v>
      </c>
      <c r="C102" s="19">
        <f t="shared" ca="1" si="53"/>
        <v>0</v>
      </c>
      <c r="D102" s="20">
        <f t="shared" ca="1" si="53"/>
        <v>0</v>
      </c>
      <c r="E102" s="20">
        <f t="shared" ca="1" si="53"/>
        <v>0</v>
      </c>
      <c r="F102" s="13">
        <f t="shared" ca="1" si="53"/>
        <v>0</v>
      </c>
      <c r="G102" s="16"/>
      <c r="H102" s="19">
        <f t="shared" ref="H102:H104" ca="1" si="54">OFFSET(H102,-15,0)</f>
        <v>0</v>
      </c>
      <c r="I102" s="15">
        <f t="shared" ca="1" si="44"/>
        <v>1</v>
      </c>
      <c r="J102" s="15"/>
      <c r="K102" s="15">
        <f t="shared" ca="1" si="43"/>
        <v>0</v>
      </c>
    </row>
    <row r="103" spans="1:11" x14ac:dyDescent="0.4">
      <c r="A103" s="11" t="s">
        <v>9</v>
      </c>
      <c r="B103" s="41">
        <f t="shared" ca="1" si="53"/>
        <v>0</v>
      </c>
      <c r="C103" s="19">
        <f t="shared" ca="1" si="53"/>
        <v>0</v>
      </c>
      <c r="D103" s="20">
        <f t="shared" ca="1" si="53"/>
        <v>0</v>
      </c>
      <c r="E103" s="20">
        <f t="shared" ca="1" si="53"/>
        <v>0</v>
      </c>
      <c r="F103" s="13">
        <f t="shared" ca="1" si="53"/>
        <v>0</v>
      </c>
      <c r="G103" s="16"/>
      <c r="H103" s="19">
        <f t="shared" ca="1" si="54"/>
        <v>0</v>
      </c>
      <c r="I103" s="15">
        <f t="shared" ca="1" si="44"/>
        <v>1</v>
      </c>
      <c r="J103" s="15"/>
      <c r="K103" s="15">
        <f t="shared" ca="1" si="43"/>
        <v>0</v>
      </c>
    </row>
    <row r="104" spans="1:11" x14ac:dyDescent="0.4">
      <c r="A104" s="11" t="s">
        <v>9</v>
      </c>
      <c r="B104" s="41">
        <f t="shared" ca="1" si="53"/>
        <v>0</v>
      </c>
      <c r="C104" s="19">
        <f t="shared" ca="1" si="53"/>
        <v>0</v>
      </c>
      <c r="D104" s="20">
        <f t="shared" ca="1" si="53"/>
        <v>0</v>
      </c>
      <c r="E104" s="20">
        <f t="shared" ca="1" si="53"/>
        <v>0</v>
      </c>
      <c r="F104" s="13">
        <f t="shared" ca="1" si="53"/>
        <v>0</v>
      </c>
      <c r="G104" s="16"/>
      <c r="H104" s="19">
        <f t="shared" ca="1" si="54"/>
        <v>0</v>
      </c>
      <c r="I104" s="15">
        <f t="shared" ca="1" si="44"/>
        <v>1</v>
      </c>
      <c r="J104" s="15"/>
      <c r="K104" s="15">
        <f t="shared" ca="1" si="43"/>
        <v>0</v>
      </c>
    </row>
    <row r="105" spans="1:11" ht="17.399999999999999" x14ac:dyDescent="0.4">
      <c r="A105" s="74" t="s">
        <v>32</v>
      </c>
      <c r="B105" s="75"/>
      <c r="C105" s="75"/>
      <c r="D105" s="75"/>
      <c r="E105" s="75"/>
      <c r="F105" s="75"/>
      <c r="G105" s="75"/>
      <c r="H105" s="75"/>
      <c r="I105" s="75"/>
      <c r="J105" s="75"/>
      <c r="K105" s="76"/>
    </row>
    <row r="106" spans="1:11" x14ac:dyDescent="0.4">
      <c r="A106" s="11" t="s">
        <v>5</v>
      </c>
      <c r="B106" s="40"/>
      <c r="C106" s="13"/>
      <c r="D106" s="11"/>
      <c r="E106" s="17"/>
      <c r="F106" s="13"/>
      <c r="G106" s="16"/>
      <c r="H106" s="13"/>
      <c r="I106" s="15">
        <f>ROUND((10^(H106/10))/(10^(F106/10)),3)</f>
        <v>1</v>
      </c>
      <c r="J106" s="15"/>
      <c r="K106" s="15">
        <f t="shared" ref="K106:K123" si="55">G106*I106</f>
        <v>0</v>
      </c>
    </row>
    <row r="107" spans="1:11" x14ac:dyDescent="0.4">
      <c r="A107" s="11" t="s">
        <v>5</v>
      </c>
      <c r="B107" s="40"/>
      <c r="C107" s="13"/>
      <c r="D107" s="11"/>
      <c r="E107" s="17"/>
      <c r="F107" s="13"/>
      <c r="G107" s="16"/>
      <c r="H107" s="13"/>
      <c r="I107" s="15">
        <f t="shared" ref="I107:I123" si="56">ROUND((10^(H107/10))/(10^(F107/10)),3)</f>
        <v>1</v>
      </c>
      <c r="J107" s="15"/>
      <c r="K107" s="15">
        <f t="shared" si="55"/>
        <v>0</v>
      </c>
    </row>
    <row r="108" spans="1:11" x14ac:dyDescent="0.4">
      <c r="A108" s="11" t="s">
        <v>5</v>
      </c>
      <c r="B108" s="40"/>
      <c r="C108" s="13"/>
      <c r="D108" s="11"/>
      <c r="E108" s="17"/>
      <c r="F108" s="13"/>
      <c r="G108" s="16"/>
      <c r="H108" s="13"/>
      <c r="I108" s="15">
        <f t="shared" si="56"/>
        <v>1</v>
      </c>
      <c r="J108" s="15"/>
      <c r="K108" s="15">
        <f t="shared" si="55"/>
        <v>0</v>
      </c>
    </row>
    <row r="109" spans="1:11" x14ac:dyDescent="0.4">
      <c r="A109" s="11" t="s">
        <v>6</v>
      </c>
      <c r="B109" s="41">
        <f t="shared" ref="B109:F111" ca="1" si="57">OFFSET(B109,-3,0)</f>
        <v>0</v>
      </c>
      <c r="C109" s="19">
        <f t="shared" ca="1" si="57"/>
        <v>0</v>
      </c>
      <c r="D109" s="20">
        <f t="shared" ca="1" si="57"/>
        <v>0</v>
      </c>
      <c r="E109" s="20">
        <f t="shared" ca="1" si="57"/>
        <v>0</v>
      </c>
      <c r="F109" s="13">
        <f t="shared" ca="1" si="57"/>
        <v>0</v>
      </c>
      <c r="G109" s="16"/>
      <c r="H109" s="19">
        <f t="shared" ref="H109:H111" ca="1" si="58">OFFSET(H109,-3,0)</f>
        <v>0</v>
      </c>
      <c r="I109" s="15">
        <f t="shared" ca="1" si="56"/>
        <v>1</v>
      </c>
      <c r="J109" s="15"/>
      <c r="K109" s="15">
        <f t="shared" ca="1" si="55"/>
        <v>0</v>
      </c>
    </row>
    <row r="110" spans="1:11" x14ac:dyDescent="0.4">
      <c r="A110" s="11" t="s">
        <v>6</v>
      </c>
      <c r="B110" s="41">
        <f t="shared" ca="1" si="57"/>
        <v>0</v>
      </c>
      <c r="C110" s="19">
        <f t="shared" ca="1" si="57"/>
        <v>0</v>
      </c>
      <c r="D110" s="20">
        <f t="shared" ca="1" si="57"/>
        <v>0</v>
      </c>
      <c r="E110" s="20">
        <f t="shared" ca="1" si="57"/>
        <v>0</v>
      </c>
      <c r="F110" s="13">
        <f t="shared" ca="1" si="57"/>
        <v>0</v>
      </c>
      <c r="G110" s="16"/>
      <c r="H110" s="19">
        <f t="shared" ca="1" si="58"/>
        <v>0</v>
      </c>
      <c r="I110" s="15">
        <f t="shared" ca="1" si="56"/>
        <v>1</v>
      </c>
      <c r="J110" s="15"/>
      <c r="K110" s="15">
        <f t="shared" ca="1" si="55"/>
        <v>0</v>
      </c>
    </row>
    <row r="111" spans="1:11" x14ac:dyDescent="0.4">
      <c r="A111" s="11" t="s">
        <v>6</v>
      </c>
      <c r="B111" s="41">
        <f t="shared" ca="1" si="57"/>
        <v>0</v>
      </c>
      <c r="C111" s="19">
        <f t="shared" ca="1" si="57"/>
        <v>0</v>
      </c>
      <c r="D111" s="20">
        <f t="shared" ca="1" si="57"/>
        <v>0</v>
      </c>
      <c r="E111" s="20">
        <f t="shared" ca="1" si="57"/>
        <v>0</v>
      </c>
      <c r="F111" s="13">
        <f t="shared" ca="1" si="57"/>
        <v>0</v>
      </c>
      <c r="G111" s="16"/>
      <c r="H111" s="19">
        <f t="shared" ca="1" si="58"/>
        <v>0</v>
      </c>
      <c r="I111" s="15">
        <f t="shared" ca="1" si="56"/>
        <v>1</v>
      </c>
      <c r="J111" s="15"/>
      <c r="K111" s="15">
        <f t="shared" ca="1" si="55"/>
        <v>0</v>
      </c>
    </row>
    <row r="112" spans="1:11" x14ac:dyDescent="0.4">
      <c r="A112" s="11" t="s">
        <v>10</v>
      </c>
      <c r="B112" s="40">
        <f t="shared" ref="B112:F114" ca="1" si="59">OFFSET(B112,-6,0)</f>
        <v>0</v>
      </c>
      <c r="C112" s="13">
        <f t="shared" ca="1" si="59"/>
        <v>0</v>
      </c>
      <c r="D112" s="17">
        <f t="shared" ca="1" si="59"/>
        <v>0</v>
      </c>
      <c r="E112" s="17">
        <f t="shared" ca="1" si="59"/>
        <v>0</v>
      </c>
      <c r="F112" s="13">
        <f t="shared" ca="1" si="59"/>
        <v>0</v>
      </c>
      <c r="G112" s="16"/>
      <c r="H112" s="13">
        <f t="shared" ref="H112:H114" ca="1" si="60">OFFSET(H112,-6,0)</f>
        <v>0</v>
      </c>
      <c r="I112" s="15">
        <f t="shared" ca="1" si="56"/>
        <v>1</v>
      </c>
      <c r="J112" s="15"/>
      <c r="K112" s="15">
        <f t="shared" ca="1" si="55"/>
        <v>0</v>
      </c>
    </row>
    <row r="113" spans="1:11" x14ac:dyDescent="0.4">
      <c r="A113" s="11" t="s">
        <v>10</v>
      </c>
      <c r="B113" s="40">
        <f t="shared" ca="1" si="59"/>
        <v>0</v>
      </c>
      <c r="C113" s="13">
        <f t="shared" ca="1" si="59"/>
        <v>0</v>
      </c>
      <c r="D113" s="17">
        <f t="shared" ca="1" si="59"/>
        <v>0</v>
      </c>
      <c r="E113" s="17">
        <f t="shared" ca="1" si="59"/>
        <v>0</v>
      </c>
      <c r="F113" s="13">
        <f t="shared" ca="1" si="59"/>
        <v>0</v>
      </c>
      <c r="G113" s="16"/>
      <c r="H113" s="13">
        <f t="shared" ca="1" si="60"/>
        <v>0</v>
      </c>
      <c r="I113" s="15">
        <f t="shared" ca="1" si="56"/>
        <v>1</v>
      </c>
      <c r="J113" s="15"/>
      <c r="K113" s="15">
        <f t="shared" ca="1" si="55"/>
        <v>0</v>
      </c>
    </row>
    <row r="114" spans="1:11" x14ac:dyDescent="0.4">
      <c r="A114" s="11" t="s">
        <v>10</v>
      </c>
      <c r="B114" s="40">
        <f t="shared" ca="1" si="59"/>
        <v>0</v>
      </c>
      <c r="C114" s="13">
        <f t="shared" ca="1" si="59"/>
        <v>0</v>
      </c>
      <c r="D114" s="17">
        <f t="shared" ca="1" si="59"/>
        <v>0</v>
      </c>
      <c r="E114" s="17">
        <f t="shared" ca="1" si="59"/>
        <v>0</v>
      </c>
      <c r="F114" s="13">
        <f t="shared" ca="1" si="59"/>
        <v>0</v>
      </c>
      <c r="G114" s="16"/>
      <c r="H114" s="13">
        <f t="shared" ca="1" si="60"/>
        <v>0</v>
      </c>
      <c r="I114" s="15">
        <f t="shared" ca="1" si="56"/>
        <v>1</v>
      </c>
      <c r="J114" s="15"/>
      <c r="K114" s="15">
        <f t="shared" ca="1" si="55"/>
        <v>0</v>
      </c>
    </row>
    <row r="115" spans="1:11" x14ac:dyDescent="0.4">
      <c r="A115" s="11" t="s">
        <v>7</v>
      </c>
      <c r="B115" s="40">
        <f t="shared" ref="B115:F117" ca="1" si="61">OFFSET(B115,-9,0)</f>
        <v>0</v>
      </c>
      <c r="C115" s="13">
        <f t="shared" ca="1" si="61"/>
        <v>0</v>
      </c>
      <c r="D115" s="17">
        <f t="shared" ca="1" si="61"/>
        <v>0</v>
      </c>
      <c r="E115" s="17">
        <f t="shared" ca="1" si="61"/>
        <v>0</v>
      </c>
      <c r="F115" s="13">
        <f t="shared" ca="1" si="61"/>
        <v>0</v>
      </c>
      <c r="G115" s="16"/>
      <c r="H115" s="13">
        <f t="shared" ref="H115:H117" ca="1" si="62">OFFSET(H115,-9,0)</f>
        <v>0</v>
      </c>
      <c r="I115" s="15">
        <f t="shared" ca="1" si="56"/>
        <v>1</v>
      </c>
      <c r="J115" s="15"/>
      <c r="K115" s="15">
        <f t="shared" ca="1" si="55"/>
        <v>0</v>
      </c>
    </row>
    <row r="116" spans="1:11" x14ac:dyDescent="0.4">
      <c r="A116" s="11" t="s">
        <v>7</v>
      </c>
      <c r="B116" s="40">
        <f t="shared" ca="1" si="61"/>
        <v>0</v>
      </c>
      <c r="C116" s="13">
        <f t="shared" ca="1" si="61"/>
        <v>0</v>
      </c>
      <c r="D116" s="17">
        <f t="shared" ca="1" si="61"/>
        <v>0</v>
      </c>
      <c r="E116" s="17">
        <f t="shared" ca="1" si="61"/>
        <v>0</v>
      </c>
      <c r="F116" s="13">
        <f t="shared" ca="1" si="61"/>
        <v>0</v>
      </c>
      <c r="G116" s="16"/>
      <c r="H116" s="13">
        <f t="shared" ca="1" si="62"/>
        <v>0</v>
      </c>
      <c r="I116" s="15">
        <f t="shared" ca="1" si="56"/>
        <v>1</v>
      </c>
      <c r="J116" s="15"/>
      <c r="K116" s="15">
        <f t="shared" ca="1" si="55"/>
        <v>0</v>
      </c>
    </row>
    <row r="117" spans="1:11" x14ac:dyDescent="0.4">
      <c r="A117" s="11" t="s">
        <v>7</v>
      </c>
      <c r="B117" s="40">
        <f t="shared" ca="1" si="61"/>
        <v>0</v>
      </c>
      <c r="C117" s="13">
        <f t="shared" ca="1" si="61"/>
        <v>0</v>
      </c>
      <c r="D117" s="17">
        <f t="shared" ca="1" si="61"/>
        <v>0</v>
      </c>
      <c r="E117" s="17">
        <f t="shared" ca="1" si="61"/>
        <v>0</v>
      </c>
      <c r="F117" s="13">
        <f t="shared" ca="1" si="61"/>
        <v>0</v>
      </c>
      <c r="G117" s="16"/>
      <c r="H117" s="13">
        <f t="shared" ca="1" si="62"/>
        <v>0</v>
      </c>
      <c r="I117" s="15">
        <f t="shared" ca="1" si="56"/>
        <v>1</v>
      </c>
      <c r="J117" s="15"/>
      <c r="K117" s="15">
        <f t="shared" ca="1" si="55"/>
        <v>0</v>
      </c>
    </row>
    <row r="118" spans="1:11" x14ac:dyDescent="0.4">
      <c r="A118" s="11" t="s">
        <v>8</v>
      </c>
      <c r="B118" s="40">
        <f t="shared" ref="B118:F120" ca="1" si="63">OFFSET(B118,-12,0)</f>
        <v>0</v>
      </c>
      <c r="C118" s="13">
        <f t="shared" ca="1" si="63"/>
        <v>0</v>
      </c>
      <c r="D118" s="17">
        <f t="shared" ca="1" si="63"/>
        <v>0</v>
      </c>
      <c r="E118" s="17">
        <f t="shared" ca="1" si="63"/>
        <v>0</v>
      </c>
      <c r="F118" s="13">
        <f t="shared" ca="1" si="63"/>
        <v>0</v>
      </c>
      <c r="G118" s="16"/>
      <c r="H118" s="13">
        <f t="shared" ref="H118:H120" ca="1" si="64">OFFSET(H118,-12,0)</f>
        <v>0</v>
      </c>
      <c r="I118" s="15">
        <f t="shared" ca="1" si="56"/>
        <v>1</v>
      </c>
      <c r="J118" s="15"/>
      <c r="K118" s="15">
        <f t="shared" ca="1" si="55"/>
        <v>0</v>
      </c>
    </row>
    <row r="119" spans="1:11" x14ac:dyDescent="0.4">
      <c r="A119" s="11" t="s">
        <v>8</v>
      </c>
      <c r="B119" s="40">
        <f t="shared" ca="1" si="63"/>
        <v>0</v>
      </c>
      <c r="C119" s="13">
        <f t="shared" ca="1" si="63"/>
        <v>0</v>
      </c>
      <c r="D119" s="17">
        <f t="shared" ca="1" si="63"/>
        <v>0</v>
      </c>
      <c r="E119" s="17">
        <f t="shared" ca="1" si="63"/>
        <v>0</v>
      </c>
      <c r="F119" s="13">
        <f t="shared" ca="1" si="63"/>
        <v>0</v>
      </c>
      <c r="G119" s="16"/>
      <c r="H119" s="13">
        <f t="shared" ca="1" si="64"/>
        <v>0</v>
      </c>
      <c r="I119" s="15">
        <f t="shared" ca="1" si="56"/>
        <v>1</v>
      </c>
      <c r="J119" s="15"/>
      <c r="K119" s="15">
        <f t="shared" ca="1" si="55"/>
        <v>0</v>
      </c>
    </row>
    <row r="120" spans="1:11" x14ac:dyDescent="0.4">
      <c r="A120" s="11" t="s">
        <v>8</v>
      </c>
      <c r="B120" s="40">
        <f t="shared" ca="1" si="63"/>
        <v>0</v>
      </c>
      <c r="C120" s="13">
        <f t="shared" ca="1" si="63"/>
        <v>0</v>
      </c>
      <c r="D120" s="17">
        <f t="shared" ca="1" si="63"/>
        <v>0</v>
      </c>
      <c r="E120" s="17">
        <f t="shared" ca="1" si="63"/>
        <v>0</v>
      </c>
      <c r="F120" s="13">
        <f t="shared" ca="1" si="63"/>
        <v>0</v>
      </c>
      <c r="G120" s="16"/>
      <c r="H120" s="13">
        <f t="shared" ca="1" si="64"/>
        <v>0</v>
      </c>
      <c r="I120" s="15">
        <f t="shared" ca="1" si="56"/>
        <v>1</v>
      </c>
      <c r="J120" s="15"/>
      <c r="K120" s="15">
        <f t="shared" ca="1" si="55"/>
        <v>0</v>
      </c>
    </row>
    <row r="121" spans="1:11" x14ac:dyDescent="0.4">
      <c r="A121" s="11" t="s">
        <v>9</v>
      </c>
      <c r="B121" s="41">
        <f t="shared" ref="B121:E123" ca="1" si="65">OFFSET(B121,-15,0)</f>
        <v>0</v>
      </c>
      <c r="C121" s="19">
        <f t="shared" ca="1" si="65"/>
        <v>0</v>
      </c>
      <c r="D121" s="20">
        <f t="shared" ca="1" si="65"/>
        <v>0</v>
      </c>
      <c r="E121" s="20">
        <f ca="1">OFFSET(E121,-15,0)</f>
        <v>0</v>
      </c>
      <c r="F121" s="13">
        <f t="shared" ref="F121:F123" ca="1" si="66">OFFSET(F121,-15,0)</f>
        <v>0</v>
      </c>
      <c r="G121" s="16"/>
      <c r="H121" s="19">
        <f t="shared" ref="H121:H123" ca="1" si="67">OFFSET(H121,-15,0)</f>
        <v>0</v>
      </c>
      <c r="I121" s="15">
        <f t="shared" ca="1" si="56"/>
        <v>1</v>
      </c>
      <c r="J121" s="15"/>
      <c r="K121" s="15">
        <f t="shared" ca="1" si="55"/>
        <v>0</v>
      </c>
    </row>
    <row r="122" spans="1:11" x14ac:dyDescent="0.4">
      <c r="A122" s="11" t="s">
        <v>9</v>
      </c>
      <c r="B122" s="41">
        <f t="shared" ca="1" si="65"/>
        <v>0</v>
      </c>
      <c r="C122" s="19">
        <f t="shared" ca="1" si="65"/>
        <v>0</v>
      </c>
      <c r="D122" s="20">
        <f t="shared" ca="1" si="65"/>
        <v>0</v>
      </c>
      <c r="E122" s="20">
        <f t="shared" ca="1" si="65"/>
        <v>0</v>
      </c>
      <c r="F122" s="13">
        <f t="shared" ca="1" si="66"/>
        <v>0</v>
      </c>
      <c r="G122" s="16"/>
      <c r="H122" s="19">
        <f t="shared" ca="1" si="67"/>
        <v>0</v>
      </c>
      <c r="I122" s="15">
        <f t="shared" ca="1" si="56"/>
        <v>1</v>
      </c>
      <c r="J122" s="15"/>
      <c r="K122" s="15">
        <f t="shared" ca="1" si="55"/>
        <v>0</v>
      </c>
    </row>
    <row r="123" spans="1:11" x14ac:dyDescent="0.4">
      <c r="A123" s="11" t="s">
        <v>9</v>
      </c>
      <c r="B123" s="41">
        <f t="shared" ca="1" si="65"/>
        <v>0</v>
      </c>
      <c r="C123" s="19">
        <f t="shared" ca="1" si="65"/>
        <v>0</v>
      </c>
      <c r="D123" s="20">
        <f t="shared" ca="1" si="65"/>
        <v>0</v>
      </c>
      <c r="E123" s="20">
        <f t="shared" ca="1" si="65"/>
        <v>0</v>
      </c>
      <c r="F123" s="13">
        <f t="shared" ca="1" si="66"/>
        <v>0</v>
      </c>
      <c r="G123" s="16"/>
      <c r="H123" s="19">
        <f t="shared" ca="1" si="67"/>
        <v>0</v>
      </c>
      <c r="I123" s="15">
        <f t="shared" ca="1" si="56"/>
        <v>1</v>
      </c>
      <c r="J123" s="15"/>
      <c r="K123" s="15">
        <f t="shared" ca="1" si="55"/>
        <v>0</v>
      </c>
    </row>
    <row r="124" spans="1:11" ht="17.399999999999999" x14ac:dyDescent="0.4">
      <c r="A124" s="74" t="s">
        <v>30</v>
      </c>
      <c r="B124" s="75"/>
      <c r="C124" s="75"/>
      <c r="D124" s="75"/>
      <c r="E124" s="75"/>
      <c r="F124" s="75"/>
      <c r="G124" s="75"/>
      <c r="H124" s="75"/>
      <c r="I124" s="75"/>
      <c r="J124" s="75"/>
      <c r="K124" s="76"/>
    </row>
    <row r="125" spans="1:11" x14ac:dyDescent="0.4">
      <c r="A125" s="11" t="s">
        <v>5</v>
      </c>
      <c r="B125" s="40"/>
      <c r="C125" s="13"/>
      <c r="D125" s="11"/>
      <c r="E125" s="17"/>
      <c r="F125" s="13"/>
      <c r="G125" s="16"/>
      <c r="H125" s="13"/>
      <c r="I125" s="15">
        <f>ROUND((10^(H125/10))/(10^(F125/10)),3)</f>
        <v>1</v>
      </c>
      <c r="J125" s="15"/>
      <c r="K125" s="15">
        <f t="shared" ref="K125:K142" si="68">G125*I125</f>
        <v>0</v>
      </c>
    </row>
    <row r="126" spans="1:11" x14ac:dyDescent="0.4">
      <c r="A126" s="11" t="s">
        <v>5</v>
      </c>
      <c r="B126" s="40"/>
      <c r="C126" s="13"/>
      <c r="D126" s="11"/>
      <c r="E126" s="17"/>
      <c r="F126" s="13"/>
      <c r="G126" s="16"/>
      <c r="H126" s="13"/>
      <c r="I126" s="15">
        <f t="shared" ref="I126:I142" si="69">ROUND((10^(H126/10))/(10^(F126/10)),3)</f>
        <v>1</v>
      </c>
      <c r="J126" s="15"/>
      <c r="K126" s="15">
        <f t="shared" si="68"/>
        <v>0</v>
      </c>
    </row>
    <row r="127" spans="1:11" x14ac:dyDescent="0.4">
      <c r="A127" s="11" t="s">
        <v>5</v>
      </c>
      <c r="B127" s="40"/>
      <c r="C127" s="13"/>
      <c r="D127" s="11"/>
      <c r="E127" s="17"/>
      <c r="F127" s="13"/>
      <c r="G127" s="16"/>
      <c r="H127" s="13"/>
      <c r="I127" s="15">
        <f t="shared" si="69"/>
        <v>1</v>
      </c>
      <c r="J127" s="15"/>
      <c r="K127" s="15">
        <f t="shared" si="68"/>
        <v>0</v>
      </c>
    </row>
    <row r="128" spans="1:11" x14ac:dyDescent="0.4">
      <c r="A128" s="11" t="s">
        <v>6</v>
      </c>
      <c r="B128" s="41">
        <f t="shared" ref="B128:F130" ca="1" si="70">OFFSET(B128,-3,0)</f>
        <v>0</v>
      </c>
      <c r="C128" s="19">
        <f t="shared" ca="1" si="70"/>
        <v>0</v>
      </c>
      <c r="D128" s="20">
        <f t="shared" ca="1" si="70"/>
        <v>0</v>
      </c>
      <c r="E128" s="20">
        <f t="shared" ca="1" si="70"/>
        <v>0</v>
      </c>
      <c r="F128" s="13">
        <f t="shared" ca="1" si="70"/>
        <v>0</v>
      </c>
      <c r="G128" s="16"/>
      <c r="H128" s="19">
        <f t="shared" ref="H128:H130" ca="1" si="71">OFFSET(H128,-3,0)</f>
        <v>0</v>
      </c>
      <c r="I128" s="15">
        <f t="shared" ca="1" si="69"/>
        <v>1</v>
      </c>
      <c r="J128" s="15"/>
      <c r="K128" s="15">
        <f t="shared" ca="1" si="68"/>
        <v>0</v>
      </c>
    </row>
    <row r="129" spans="1:11" x14ac:dyDescent="0.4">
      <c r="A129" s="11" t="s">
        <v>6</v>
      </c>
      <c r="B129" s="41">
        <f t="shared" ca="1" si="70"/>
        <v>0</v>
      </c>
      <c r="C129" s="19">
        <f t="shared" ca="1" si="70"/>
        <v>0</v>
      </c>
      <c r="D129" s="20">
        <f t="shared" ca="1" si="70"/>
        <v>0</v>
      </c>
      <c r="E129" s="20">
        <f t="shared" ca="1" si="70"/>
        <v>0</v>
      </c>
      <c r="F129" s="13">
        <f t="shared" ca="1" si="70"/>
        <v>0</v>
      </c>
      <c r="G129" s="16"/>
      <c r="H129" s="19">
        <f t="shared" ca="1" si="71"/>
        <v>0</v>
      </c>
      <c r="I129" s="15">
        <f t="shared" ca="1" si="69"/>
        <v>1</v>
      </c>
      <c r="J129" s="15"/>
      <c r="K129" s="15">
        <f t="shared" ca="1" si="68"/>
        <v>0</v>
      </c>
    </row>
    <row r="130" spans="1:11" x14ac:dyDescent="0.4">
      <c r="A130" s="11" t="s">
        <v>6</v>
      </c>
      <c r="B130" s="41">
        <f t="shared" ca="1" si="70"/>
        <v>0</v>
      </c>
      <c r="C130" s="19">
        <f t="shared" ca="1" si="70"/>
        <v>0</v>
      </c>
      <c r="D130" s="20">
        <f t="shared" ca="1" si="70"/>
        <v>0</v>
      </c>
      <c r="E130" s="20">
        <f t="shared" ca="1" si="70"/>
        <v>0</v>
      </c>
      <c r="F130" s="13">
        <f t="shared" ca="1" si="70"/>
        <v>0</v>
      </c>
      <c r="G130" s="16"/>
      <c r="H130" s="19">
        <f t="shared" ca="1" si="71"/>
        <v>0</v>
      </c>
      <c r="I130" s="15">
        <f t="shared" ca="1" si="69"/>
        <v>1</v>
      </c>
      <c r="J130" s="15"/>
      <c r="K130" s="15">
        <f t="shared" ca="1" si="68"/>
        <v>0</v>
      </c>
    </row>
    <row r="131" spans="1:11" x14ac:dyDescent="0.4">
      <c r="A131" s="11" t="s">
        <v>10</v>
      </c>
      <c r="B131" s="40">
        <f t="shared" ref="B131:F133" ca="1" si="72">OFFSET(B131,-6,0)</f>
        <v>0</v>
      </c>
      <c r="C131" s="13">
        <f t="shared" ca="1" si="72"/>
        <v>0</v>
      </c>
      <c r="D131" s="17">
        <f t="shared" ca="1" si="72"/>
        <v>0</v>
      </c>
      <c r="E131" s="17">
        <f t="shared" ca="1" si="72"/>
        <v>0</v>
      </c>
      <c r="F131" s="13">
        <f t="shared" ca="1" si="72"/>
        <v>0</v>
      </c>
      <c r="G131" s="16"/>
      <c r="H131" s="13">
        <f t="shared" ref="H131:H133" ca="1" si="73">OFFSET(H131,-6,0)</f>
        <v>0</v>
      </c>
      <c r="I131" s="15">
        <f t="shared" ca="1" si="69"/>
        <v>1</v>
      </c>
      <c r="J131" s="15"/>
      <c r="K131" s="15">
        <f t="shared" ca="1" si="68"/>
        <v>0</v>
      </c>
    </row>
    <row r="132" spans="1:11" x14ac:dyDescent="0.4">
      <c r="A132" s="11" t="s">
        <v>10</v>
      </c>
      <c r="B132" s="40">
        <f t="shared" ca="1" si="72"/>
        <v>0</v>
      </c>
      <c r="C132" s="13">
        <f t="shared" ca="1" si="72"/>
        <v>0</v>
      </c>
      <c r="D132" s="17">
        <f t="shared" ca="1" si="72"/>
        <v>0</v>
      </c>
      <c r="E132" s="17">
        <f t="shared" ca="1" si="72"/>
        <v>0</v>
      </c>
      <c r="F132" s="13">
        <f t="shared" ca="1" si="72"/>
        <v>0</v>
      </c>
      <c r="G132" s="16"/>
      <c r="H132" s="13">
        <f t="shared" ca="1" si="73"/>
        <v>0</v>
      </c>
      <c r="I132" s="15">
        <f t="shared" ca="1" si="69"/>
        <v>1</v>
      </c>
      <c r="J132" s="15"/>
      <c r="K132" s="15">
        <f t="shared" ca="1" si="68"/>
        <v>0</v>
      </c>
    </row>
    <row r="133" spans="1:11" x14ac:dyDescent="0.4">
      <c r="A133" s="11" t="s">
        <v>10</v>
      </c>
      <c r="B133" s="40">
        <f t="shared" ca="1" si="72"/>
        <v>0</v>
      </c>
      <c r="C133" s="13">
        <f t="shared" ca="1" si="72"/>
        <v>0</v>
      </c>
      <c r="D133" s="17">
        <f t="shared" ca="1" si="72"/>
        <v>0</v>
      </c>
      <c r="E133" s="17">
        <f t="shared" ca="1" si="72"/>
        <v>0</v>
      </c>
      <c r="F133" s="13">
        <f t="shared" ca="1" si="72"/>
        <v>0</v>
      </c>
      <c r="G133" s="16"/>
      <c r="H133" s="13">
        <f t="shared" ca="1" si="73"/>
        <v>0</v>
      </c>
      <c r="I133" s="15">
        <f t="shared" ca="1" si="69"/>
        <v>1</v>
      </c>
      <c r="J133" s="15"/>
      <c r="K133" s="15">
        <f t="shared" ca="1" si="68"/>
        <v>0</v>
      </c>
    </row>
    <row r="134" spans="1:11" x14ac:dyDescent="0.4">
      <c r="A134" s="11" t="s">
        <v>7</v>
      </c>
      <c r="B134" s="40">
        <f t="shared" ref="B134:F136" ca="1" si="74">OFFSET(B134,-9,0)</f>
        <v>0</v>
      </c>
      <c r="C134" s="13">
        <f t="shared" ca="1" si="74"/>
        <v>0</v>
      </c>
      <c r="D134" s="17">
        <f t="shared" ca="1" si="74"/>
        <v>0</v>
      </c>
      <c r="E134" s="17">
        <f t="shared" ca="1" si="74"/>
        <v>0</v>
      </c>
      <c r="F134" s="13">
        <f t="shared" ca="1" si="74"/>
        <v>0</v>
      </c>
      <c r="G134" s="16"/>
      <c r="H134" s="13">
        <f t="shared" ref="H134:H136" ca="1" si="75">OFFSET(H134,-9,0)</f>
        <v>0</v>
      </c>
      <c r="I134" s="15">
        <f t="shared" ca="1" si="69"/>
        <v>1</v>
      </c>
      <c r="J134" s="15"/>
      <c r="K134" s="15">
        <f t="shared" ca="1" si="68"/>
        <v>0</v>
      </c>
    </row>
    <row r="135" spans="1:11" x14ac:dyDescent="0.4">
      <c r="A135" s="11" t="s">
        <v>7</v>
      </c>
      <c r="B135" s="40">
        <f t="shared" ca="1" si="74"/>
        <v>0</v>
      </c>
      <c r="C135" s="13">
        <f t="shared" ca="1" si="74"/>
        <v>0</v>
      </c>
      <c r="D135" s="17">
        <f t="shared" ca="1" si="74"/>
        <v>0</v>
      </c>
      <c r="E135" s="17">
        <f t="shared" ca="1" si="74"/>
        <v>0</v>
      </c>
      <c r="F135" s="13">
        <f t="shared" ca="1" si="74"/>
        <v>0</v>
      </c>
      <c r="G135" s="16"/>
      <c r="H135" s="13">
        <f t="shared" ca="1" si="75"/>
        <v>0</v>
      </c>
      <c r="I135" s="15">
        <f t="shared" ca="1" si="69"/>
        <v>1</v>
      </c>
      <c r="J135" s="15"/>
      <c r="K135" s="15">
        <f t="shared" ca="1" si="68"/>
        <v>0</v>
      </c>
    </row>
    <row r="136" spans="1:11" x14ac:dyDescent="0.4">
      <c r="A136" s="11" t="s">
        <v>7</v>
      </c>
      <c r="B136" s="40">
        <f t="shared" ca="1" si="74"/>
        <v>0</v>
      </c>
      <c r="C136" s="13">
        <f t="shared" ca="1" si="74"/>
        <v>0</v>
      </c>
      <c r="D136" s="17">
        <f t="shared" ca="1" si="74"/>
        <v>0</v>
      </c>
      <c r="E136" s="17">
        <f t="shared" ca="1" si="74"/>
        <v>0</v>
      </c>
      <c r="F136" s="13">
        <f t="shared" ca="1" si="74"/>
        <v>0</v>
      </c>
      <c r="G136" s="16"/>
      <c r="H136" s="13">
        <f t="shared" ca="1" si="75"/>
        <v>0</v>
      </c>
      <c r="I136" s="15">
        <f t="shared" ca="1" si="69"/>
        <v>1</v>
      </c>
      <c r="J136" s="15"/>
      <c r="K136" s="15">
        <f t="shared" ca="1" si="68"/>
        <v>0</v>
      </c>
    </row>
    <row r="137" spans="1:11" x14ac:dyDescent="0.4">
      <c r="A137" s="11" t="s">
        <v>8</v>
      </c>
      <c r="B137" s="40">
        <f t="shared" ref="B137:F139" ca="1" si="76">OFFSET(B137,-12,0)</f>
        <v>0</v>
      </c>
      <c r="C137" s="13">
        <f t="shared" ca="1" si="76"/>
        <v>0</v>
      </c>
      <c r="D137" s="17">
        <f t="shared" ca="1" si="76"/>
        <v>0</v>
      </c>
      <c r="E137" s="17">
        <f t="shared" ca="1" si="76"/>
        <v>0</v>
      </c>
      <c r="F137" s="13">
        <f t="shared" ca="1" si="76"/>
        <v>0</v>
      </c>
      <c r="G137" s="16"/>
      <c r="H137" s="13">
        <f t="shared" ref="H137:H139" ca="1" si="77">OFFSET(H137,-12,0)</f>
        <v>0</v>
      </c>
      <c r="I137" s="15">
        <f t="shared" ca="1" si="69"/>
        <v>1</v>
      </c>
      <c r="J137" s="15"/>
      <c r="K137" s="15">
        <f t="shared" ca="1" si="68"/>
        <v>0</v>
      </c>
    </row>
    <row r="138" spans="1:11" x14ac:dyDescent="0.4">
      <c r="A138" s="11" t="s">
        <v>8</v>
      </c>
      <c r="B138" s="40">
        <f t="shared" ca="1" si="76"/>
        <v>0</v>
      </c>
      <c r="C138" s="13">
        <f t="shared" ca="1" si="76"/>
        <v>0</v>
      </c>
      <c r="D138" s="17">
        <f t="shared" ca="1" si="76"/>
        <v>0</v>
      </c>
      <c r="E138" s="17">
        <f t="shared" ca="1" si="76"/>
        <v>0</v>
      </c>
      <c r="F138" s="13">
        <f t="shared" ca="1" si="76"/>
        <v>0</v>
      </c>
      <c r="G138" s="16"/>
      <c r="H138" s="13">
        <f t="shared" ca="1" si="77"/>
        <v>0</v>
      </c>
      <c r="I138" s="15">
        <f t="shared" ca="1" si="69"/>
        <v>1</v>
      </c>
      <c r="J138" s="15"/>
      <c r="K138" s="15">
        <f t="shared" ca="1" si="68"/>
        <v>0</v>
      </c>
    </row>
    <row r="139" spans="1:11" x14ac:dyDescent="0.4">
      <c r="A139" s="11" t="s">
        <v>8</v>
      </c>
      <c r="B139" s="40">
        <f t="shared" ca="1" si="76"/>
        <v>0</v>
      </c>
      <c r="C139" s="13">
        <f t="shared" ca="1" si="76"/>
        <v>0</v>
      </c>
      <c r="D139" s="17">
        <f t="shared" ca="1" si="76"/>
        <v>0</v>
      </c>
      <c r="E139" s="17">
        <f t="shared" ca="1" si="76"/>
        <v>0</v>
      </c>
      <c r="F139" s="13">
        <f t="shared" ca="1" si="76"/>
        <v>0</v>
      </c>
      <c r="G139" s="16"/>
      <c r="H139" s="13">
        <f t="shared" ca="1" si="77"/>
        <v>0</v>
      </c>
      <c r="I139" s="15">
        <f t="shared" ca="1" si="69"/>
        <v>1</v>
      </c>
      <c r="J139" s="15"/>
      <c r="K139" s="15">
        <f t="shared" ca="1" si="68"/>
        <v>0</v>
      </c>
    </row>
    <row r="140" spans="1:11" x14ac:dyDescent="0.4">
      <c r="A140" s="11" t="s">
        <v>9</v>
      </c>
      <c r="B140" s="41">
        <f t="shared" ref="B140:F142" ca="1" si="78">OFFSET(B140,-15,0)</f>
        <v>0</v>
      </c>
      <c r="C140" s="19">
        <f t="shared" ca="1" si="78"/>
        <v>0</v>
      </c>
      <c r="D140" s="20">
        <f t="shared" ca="1" si="78"/>
        <v>0</v>
      </c>
      <c r="E140" s="20">
        <f t="shared" ca="1" si="78"/>
        <v>0</v>
      </c>
      <c r="F140" s="13">
        <f t="shared" ca="1" si="78"/>
        <v>0</v>
      </c>
      <c r="G140" s="16"/>
      <c r="H140" s="19">
        <f t="shared" ref="H140:H142" ca="1" si="79">OFFSET(H140,-15,0)</f>
        <v>0</v>
      </c>
      <c r="I140" s="15">
        <f t="shared" ca="1" si="69"/>
        <v>1</v>
      </c>
      <c r="J140" s="15"/>
      <c r="K140" s="15">
        <f t="shared" ca="1" si="68"/>
        <v>0</v>
      </c>
    </row>
    <row r="141" spans="1:11" x14ac:dyDescent="0.4">
      <c r="A141" s="11" t="s">
        <v>9</v>
      </c>
      <c r="B141" s="41">
        <f t="shared" ca="1" si="78"/>
        <v>0</v>
      </c>
      <c r="C141" s="19">
        <f t="shared" ca="1" si="78"/>
        <v>0</v>
      </c>
      <c r="D141" s="20">
        <f t="shared" ca="1" si="78"/>
        <v>0</v>
      </c>
      <c r="E141" s="20">
        <f t="shared" ca="1" si="78"/>
        <v>0</v>
      </c>
      <c r="F141" s="13">
        <f t="shared" ca="1" si="78"/>
        <v>0</v>
      </c>
      <c r="G141" s="16"/>
      <c r="H141" s="19">
        <f t="shared" ca="1" si="79"/>
        <v>0</v>
      </c>
      <c r="I141" s="15">
        <f t="shared" ca="1" si="69"/>
        <v>1</v>
      </c>
      <c r="J141" s="15"/>
      <c r="K141" s="15">
        <f t="shared" ca="1" si="68"/>
        <v>0</v>
      </c>
    </row>
    <row r="142" spans="1:11" x14ac:dyDescent="0.4">
      <c r="A142" s="11" t="s">
        <v>9</v>
      </c>
      <c r="B142" s="41">
        <f t="shared" ca="1" si="78"/>
        <v>0</v>
      </c>
      <c r="C142" s="19">
        <f t="shared" ca="1" si="78"/>
        <v>0</v>
      </c>
      <c r="D142" s="20">
        <f t="shared" ca="1" si="78"/>
        <v>0</v>
      </c>
      <c r="E142" s="20">
        <f t="shared" ca="1" si="78"/>
        <v>0</v>
      </c>
      <c r="F142" s="13">
        <f t="shared" ca="1" si="78"/>
        <v>0</v>
      </c>
      <c r="G142" s="16"/>
      <c r="H142" s="19">
        <f t="shared" ca="1" si="79"/>
        <v>0</v>
      </c>
      <c r="I142" s="15">
        <f t="shared" ca="1" si="69"/>
        <v>1</v>
      </c>
      <c r="J142" s="15"/>
      <c r="K142" s="15">
        <f t="shared" ca="1" si="68"/>
        <v>0</v>
      </c>
    </row>
    <row r="143" spans="1:11" ht="17.399999999999999" x14ac:dyDescent="0.4">
      <c r="A143" s="77" t="s">
        <v>27</v>
      </c>
      <c r="B143" s="75"/>
      <c r="C143" s="75"/>
      <c r="D143" s="75"/>
      <c r="E143" s="75"/>
      <c r="F143" s="75"/>
      <c r="G143" s="75"/>
      <c r="H143" s="75"/>
      <c r="I143" s="75"/>
      <c r="J143" s="75"/>
      <c r="K143" s="76"/>
    </row>
    <row r="144" spans="1:11" x14ac:dyDescent="0.4">
      <c r="A144" s="11" t="s">
        <v>5</v>
      </c>
      <c r="B144" s="40"/>
      <c r="C144" s="13"/>
      <c r="D144" s="11"/>
      <c r="E144" s="17"/>
      <c r="F144" s="13"/>
      <c r="G144" s="16"/>
      <c r="H144" s="13"/>
      <c r="I144" s="15">
        <f>ROUND((10^(H144/10))/(10^(F144/10)),3)</f>
        <v>1</v>
      </c>
      <c r="J144" s="15"/>
      <c r="K144" s="15">
        <f t="shared" ref="K144:K161" si="80">G144*I144</f>
        <v>0</v>
      </c>
    </row>
    <row r="145" spans="1:11" x14ac:dyDescent="0.4">
      <c r="A145" s="11" t="s">
        <v>5</v>
      </c>
      <c r="B145" s="40"/>
      <c r="C145" s="13"/>
      <c r="D145" s="11"/>
      <c r="E145" s="17"/>
      <c r="F145" s="13"/>
      <c r="G145" s="16"/>
      <c r="H145" s="13"/>
      <c r="I145" s="15">
        <f t="shared" ref="I145:I161" si="81">ROUND((10^(H145/10))/(10^(F145/10)),3)</f>
        <v>1</v>
      </c>
      <c r="J145" s="15"/>
      <c r="K145" s="15">
        <f t="shared" si="80"/>
        <v>0</v>
      </c>
    </row>
    <row r="146" spans="1:11" x14ac:dyDescent="0.4">
      <c r="A146" s="11" t="s">
        <v>5</v>
      </c>
      <c r="B146" s="40"/>
      <c r="C146" s="13"/>
      <c r="D146" s="11"/>
      <c r="E146" s="17"/>
      <c r="F146" s="13"/>
      <c r="G146" s="16"/>
      <c r="H146" s="13"/>
      <c r="I146" s="15">
        <f t="shared" si="81"/>
        <v>1</v>
      </c>
      <c r="J146" s="15"/>
      <c r="K146" s="15">
        <f t="shared" si="80"/>
        <v>0</v>
      </c>
    </row>
    <row r="147" spans="1:11" x14ac:dyDescent="0.4">
      <c r="A147" s="11" t="s">
        <v>6</v>
      </c>
      <c r="B147" s="41">
        <f t="shared" ref="B147:F149" ca="1" si="82">OFFSET(B147,-3,0)</f>
        <v>0</v>
      </c>
      <c r="C147" s="19">
        <f t="shared" ca="1" si="82"/>
        <v>0</v>
      </c>
      <c r="D147" s="20">
        <f t="shared" ca="1" si="82"/>
        <v>0</v>
      </c>
      <c r="E147" s="20">
        <f t="shared" ca="1" si="82"/>
        <v>0</v>
      </c>
      <c r="F147" s="13">
        <f t="shared" ca="1" si="82"/>
        <v>0</v>
      </c>
      <c r="G147" s="16"/>
      <c r="H147" s="19">
        <f t="shared" ref="H147:H149" ca="1" si="83">OFFSET(H147,-3,0)</f>
        <v>0</v>
      </c>
      <c r="I147" s="15">
        <f t="shared" ca="1" si="81"/>
        <v>1</v>
      </c>
      <c r="J147" s="15"/>
      <c r="K147" s="15">
        <f t="shared" ca="1" si="80"/>
        <v>0</v>
      </c>
    </row>
    <row r="148" spans="1:11" x14ac:dyDescent="0.4">
      <c r="A148" s="11" t="s">
        <v>6</v>
      </c>
      <c r="B148" s="41">
        <f t="shared" ca="1" si="82"/>
        <v>0</v>
      </c>
      <c r="C148" s="19">
        <f t="shared" ca="1" si="82"/>
        <v>0</v>
      </c>
      <c r="D148" s="20">
        <f t="shared" ca="1" si="82"/>
        <v>0</v>
      </c>
      <c r="E148" s="20">
        <f t="shared" ca="1" si="82"/>
        <v>0</v>
      </c>
      <c r="F148" s="13">
        <f t="shared" ca="1" si="82"/>
        <v>0</v>
      </c>
      <c r="G148" s="16"/>
      <c r="H148" s="19">
        <f t="shared" ca="1" si="83"/>
        <v>0</v>
      </c>
      <c r="I148" s="15">
        <f t="shared" ca="1" si="81"/>
        <v>1</v>
      </c>
      <c r="J148" s="15"/>
      <c r="K148" s="15">
        <f t="shared" ca="1" si="80"/>
        <v>0</v>
      </c>
    </row>
    <row r="149" spans="1:11" x14ac:dyDescent="0.4">
      <c r="A149" s="11" t="s">
        <v>6</v>
      </c>
      <c r="B149" s="41">
        <f t="shared" ca="1" si="82"/>
        <v>0</v>
      </c>
      <c r="C149" s="19">
        <f t="shared" ca="1" si="82"/>
        <v>0</v>
      </c>
      <c r="D149" s="20">
        <f t="shared" ca="1" si="82"/>
        <v>0</v>
      </c>
      <c r="E149" s="20">
        <f t="shared" ca="1" si="82"/>
        <v>0</v>
      </c>
      <c r="F149" s="13">
        <f t="shared" ca="1" si="82"/>
        <v>0</v>
      </c>
      <c r="G149" s="16"/>
      <c r="H149" s="19">
        <f t="shared" ca="1" si="83"/>
        <v>0</v>
      </c>
      <c r="I149" s="15">
        <f t="shared" ca="1" si="81"/>
        <v>1</v>
      </c>
      <c r="J149" s="15"/>
      <c r="K149" s="15">
        <f t="shared" ca="1" si="80"/>
        <v>0</v>
      </c>
    </row>
    <row r="150" spans="1:11" x14ac:dyDescent="0.4">
      <c r="A150" s="11" t="s">
        <v>10</v>
      </c>
      <c r="B150" s="40">
        <f t="shared" ref="B150:F152" ca="1" si="84">OFFSET(B150,-6,0)</f>
        <v>0</v>
      </c>
      <c r="C150" s="13">
        <f t="shared" ca="1" si="84"/>
        <v>0</v>
      </c>
      <c r="D150" s="17">
        <f t="shared" ca="1" si="84"/>
        <v>0</v>
      </c>
      <c r="E150" s="17">
        <f t="shared" ca="1" si="84"/>
        <v>0</v>
      </c>
      <c r="F150" s="13">
        <f t="shared" ca="1" si="84"/>
        <v>0</v>
      </c>
      <c r="G150" s="16"/>
      <c r="H150" s="13">
        <f t="shared" ref="H150:H152" ca="1" si="85">OFFSET(H150,-6,0)</f>
        <v>0</v>
      </c>
      <c r="I150" s="15">
        <f t="shared" ca="1" si="81"/>
        <v>1</v>
      </c>
      <c r="J150" s="15"/>
      <c r="K150" s="15">
        <f t="shared" ca="1" si="80"/>
        <v>0</v>
      </c>
    </row>
    <row r="151" spans="1:11" x14ac:dyDescent="0.4">
      <c r="A151" s="11" t="s">
        <v>10</v>
      </c>
      <c r="B151" s="40">
        <f t="shared" ca="1" si="84"/>
        <v>0</v>
      </c>
      <c r="C151" s="13">
        <f t="shared" ca="1" si="84"/>
        <v>0</v>
      </c>
      <c r="D151" s="17">
        <f t="shared" ca="1" si="84"/>
        <v>0</v>
      </c>
      <c r="E151" s="17">
        <f t="shared" ca="1" si="84"/>
        <v>0</v>
      </c>
      <c r="F151" s="13">
        <f t="shared" ca="1" si="84"/>
        <v>0</v>
      </c>
      <c r="G151" s="16"/>
      <c r="H151" s="13">
        <f t="shared" ca="1" si="85"/>
        <v>0</v>
      </c>
      <c r="I151" s="15">
        <f t="shared" ca="1" si="81"/>
        <v>1</v>
      </c>
      <c r="J151" s="15"/>
      <c r="K151" s="15">
        <f t="shared" ca="1" si="80"/>
        <v>0</v>
      </c>
    </row>
    <row r="152" spans="1:11" x14ac:dyDescent="0.4">
      <c r="A152" s="11" t="s">
        <v>10</v>
      </c>
      <c r="B152" s="40">
        <f t="shared" ca="1" si="84"/>
        <v>0</v>
      </c>
      <c r="C152" s="13">
        <f t="shared" ca="1" si="84"/>
        <v>0</v>
      </c>
      <c r="D152" s="17">
        <f t="shared" ca="1" si="84"/>
        <v>0</v>
      </c>
      <c r="E152" s="17">
        <f t="shared" ca="1" si="84"/>
        <v>0</v>
      </c>
      <c r="F152" s="13">
        <f t="shared" ca="1" si="84"/>
        <v>0</v>
      </c>
      <c r="G152" s="16"/>
      <c r="H152" s="13">
        <f t="shared" ca="1" si="85"/>
        <v>0</v>
      </c>
      <c r="I152" s="15">
        <f t="shared" ca="1" si="81"/>
        <v>1</v>
      </c>
      <c r="J152" s="15"/>
      <c r="K152" s="15">
        <f t="shared" ca="1" si="80"/>
        <v>0</v>
      </c>
    </row>
    <row r="153" spans="1:11" x14ac:dyDescent="0.4">
      <c r="A153" s="11" t="s">
        <v>7</v>
      </c>
      <c r="B153" s="40">
        <f t="shared" ref="B153:F155" ca="1" si="86">OFFSET(B153,-9,0)</f>
        <v>0</v>
      </c>
      <c r="C153" s="13">
        <f t="shared" ca="1" si="86"/>
        <v>0</v>
      </c>
      <c r="D153" s="17">
        <f t="shared" ca="1" si="86"/>
        <v>0</v>
      </c>
      <c r="E153" s="17">
        <f t="shared" ca="1" si="86"/>
        <v>0</v>
      </c>
      <c r="F153" s="13">
        <f t="shared" ca="1" si="86"/>
        <v>0</v>
      </c>
      <c r="G153" s="16"/>
      <c r="H153" s="13">
        <f t="shared" ref="H153:H155" ca="1" si="87">OFFSET(H153,-9,0)</f>
        <v>0</v>
      </c>
      <c r="I153" s="15">
        <f t="shared" ca="1" si="81"/>
        <v>1</v>
      </c>
      <c r="J153" s="15"/>
      <c r="K153" s="15">
        <f t="shared" ca="1" si="80"/>
        <v>0</v>
      </c>
    </row>
    <row r="154" spans="1:11" x14ac:dyDescent="0.4">
      <c r="A154" s="11" t="s">
        <v>7</v>
      </c>
      <c r="B154" s="40">
        <f t="shared" ca="1" si="86"/>
        <v>0</v>
      </c>
      <c r="C154" s="13">
        <f t="shared" ca="1" si="86"/>
        <v>0</v>
      </c>
      <c r="D154" s="17">
        <f t="shared" ca="1" si="86"/>
        <v>0</v>
      </c>
      <c r="E154" s="17">
        <f t="shared" ca="1" si="86"/>
        <v>0</v>
      </c>
      <c r="F154" s="13">
        <f t="shared" ca="1" si="86"/>
        <v>0</v>
      </c>
      <c r="G154" s="16"/>
      <c r="H154" s="13">
        <f t="shared" ca="1" si="87"/>
        <v>0</v>
      </c>
      <c r="I154" s="15">
        <f t="shared" ca="1" si="81"/>
        <v>1</v>
      </c>
      <c r="J154" s="15"/>
      <c r="K154" s="15">
        <f t="shared" ca="1" si="80"/>
        <v>0</v>
      </c>
    </row>
    <row r="155" spans="1:11" x14ac:dyDescent="0.4">
      <c r="A155" s="11" t="s">
        <v>7</v>
      </c>
      <c r="B155" s="40">
        <f t="shared" ca="1" si="86"/>
        <v>0</v>
      </c>
      <c r="C155" s="13">
        <f t="shared" ca="1" si="86"/>
        <v>0</v>
      </c>
      <c r="D155" s="17">
        <f t="shared" ca="1" si="86"/>
        <v>0</v>
      </c>
      <c r="E155" s="17">
        <f t="shared" ca="1" si="86"/>
        <v>0</v>
      </c>
      <c r="F155" s="13">
        <f t="shared" ca="1" si="86"/>
        <v>0</v>
      </c>
      <c r="G155" s="16"/>
      <c r="H155" s="13">
        <f t="shared" ca="1" si="87"/>
        <v>0</v>
      </c>
      <c r="I155" s="15">
        <f t="shared" ca="1" si="81"/>
        <v>1</v>
      </c>
      <c r="J155" s="15"/>
      <c r="K155" s="15">
        <f t="shared" ca="1" si="80"/>
        <v>0</v>
      </c>
    </row>
    <row r="156" spans="1:11" x14ac:dyDescent="0.4">
      <c r="A156" s="11" t="s">
        <v>8</v>
      </c>
      <c r="B156" s="40">
        <f t="shared" ref="B156:F158" ca="1" si="88">OFFSET(B156,-12,0)</f>
        <v>0</v>
      </c>
      <c r="C156" s="13">
        <f t="shared" ca="1" si="88"/>
        <v>0</v>
      </c>
      <c r="D156" s="17">
        <f t="shared" ca="1" si="88"/>
        <v>0</v>
      </c>
      <c r="E156" s="17">
        <f t="shared" ca="1" si="88"/>
        <v>0</v>
      </c>
      <c r="F156" s="13">
        <f t="shared" ca="1" si="88"/>
        <v>0</v>
      </c>
      <c r="G156" s="16"/>
      <c r="H156" s="13">
        <f t="shared" ref="H156:H158" ca="1" si="89">OFFSET(H156,-12,0)</f>
        <v>0</v>
      </c>
      <c r="I156" s="15">
        <f t="shared" ca="1" si="81"/>
        <v>1</v>
      </c>
      <c r="J156" s="15"/>
      <c r="K156" s="15">
        <f t="shared" ca="1" si="80"/>
        <v>0</v>
      </c>
    </row>
    <row r="157" spans="1:11" x14ac:dyDescent="0.4">
      <c r="A157" s="11" t="s">
        <v>8</v>
      </c>
      <c r="B157" s="40">
        <f t="shared" ca="1" si="88"/>
        <v>0</v>
      </c>
      <c r="C157" s="13">
        <f t="shared" ca="1" si="88"/>
        <v>0</v>
      </c>
      <c r="D157" s="17">
        <f t="shared" ca="1" si="88"/>
        <v>0</v>
      </c>
      <c r="E157" s="17">
        <f t="shared" ca="1" si="88"/>
        <v>0</v>
      </c>
      <c r="F157" s="13">
        <f t="shared" ca="1" si="88"/>
        <v>0</v>
      </c>
      <c r="G157" s="16"/>
      <c r="H157" s="13">
        <f t="shared" ca="1" si="89"/>
        <v>0</v>
      </c>
      <c r="I157" s="15">
        <f t="shared" ca="1" si="81"/>
        <v>1</v>
      </c>
      <c r="J157" s="15"/>
      <c r="K157" s="15">
        <f t="shared" ca="1" si="80"/>
        <v>0</v>
      </c>
    </row>
    <row r="158" spans="1:11" x14ac:dyDescent="0.4">
      <c r="A158" s="11" t="s">
        <v>8</v>
      </c>
      <c r="B158" s="40">
        <f t="shared" ca="1" si="88"/>
        <v>0</v>
      </c>
      <c r="C158" s="13">
        <f t="shared" ca="1" si="88"/>
        <v>0</v>
      </c>
      <c r="D158" s="17">
        <f t="shared" ca="1" si="88"/>
        <v>0</v>
      </c>
      <c r="E158" s="17">
        <f t="shared" ca="1" si="88"/>
        <v>0</v>
      </c>
      <c r="F158" s="13">
        <f t="shared" ca="1" si="88"/>
        <v>0</v>
      </c>
      <c r="G158" s="16"/>
      <c r="H158" s="13">
        <f t="shared" ca="1" si="89"/>
        <v>0</v>
      </c>
      <c r="I158" s="15">
        <f t="shared" ca="1" si="81"/>
        <v>1</v>
      </c>
      <c r="J158" s="15"/>
      <c r="K158" s="15">
        <f t="shared" ca="1" si="80"/>
        <v>0</v>
      </c>
    </row>
    <row r="159" spans="1:11" x14ac:dyDescent="0.4">
      <c r="A159" s="11" t="s">
        <v>9</v>
      </c>
      <c r="B159" s="41">
        <f t="shared" ref="B159:F161" ca="1" si="90">OFFSET(B159,-15,0)</f>
        <v>0</v>
      </c>
      <c r="C159" s="19">
        <f t="shared" ca="1" si="90"/>
        <v>0</v>
      </c>
      <c r="D159" s="20">
        <f t="shared" ca="1" si="90"/>
        <v>0</v>
      </c>
      <c r="E159" s="20">
        <f t="shared" ca="1" si="90"/>
        <v>0</v>
      </c>
      <c r="F159" s="13">
        <f t="shared" ca="1" si="90"/>
        <v>0</v>
      </c>
      <c r="G159" s="16"/>
      <c r="H159" s="19">
        <f t="shared" ref="H159:H161" ca="1" si="91">OFFSET(H159,-15,0)</f>
        <v>0</v>
      </c>
      <c r="I159" s="15">
        <f t="shared" ca="1" si="81"/>
        <v>1</v>
      </c>
      <c r="J159" s="15"/>
      <c r="K159" s="15">
        <f t="shared" ca="1" si="80"/>
        <v>0</v>
      </c>
    </row>
    <row r="160" spans="1:11" x14ac:dyDescent="0.4">
      <c r="A160" s="11" t="s">
        <v>9</v>
      </c>
      <c r="B160" s="41">
        <f t="shared" ca="1" si="90"/>
        <v>0</v>
      </c>
      <c r="C160" s="19">
        <f t="shared" ca="1" si="90"/>
        <v>0</v>
      </c>
      <c r="D160" s="20">
        <f t="shared" ca="1" si="90"/>
        <v>0</v>
      </c>
      <c r="E160" s="20">
        <f t="shared" ca="1" si="90"/>
        <v>0</v>
      </c>
      <c r="F160" s="13">
        <f t="shared" ca="1" si="90"/>
        <v>0</v>
      </c>
      <c r="G160" s="16"/>
      <c r="H160" s="19">
        <f t="shared" ca="1" si="91"/>
        <v>0</v>
      </c>
      <c r="I160" s="15">
        <f t="shared" ca="1" si="81"/>
        <v>1</v>
      </c>
      <c r="J160" s="15"/>
      <c r="K160" s="15">
        <f t="shared" ca="1" si="80"/>
        <v>0</v>
      </c>
    </row>
    <row r="161" spans="1:11" x14ac:dyDescent="0.4">
      <c r="A161" s="11" t="s">
        <v>9</v>
      </c>
      <c r="B161" s="41">
        <f t="shared" ca="1" si="90"/>
        <v>0</v>
      </c>
      <c r="C161" s="19">
        <f t="shared" ca="1" si="90"/>
        <v>0</v>
      </c>
      <c r="D161" s="20">
        <f t="shared" ca="1" si="90"/>
        <v>0</v>
      </c>
      <c r="E161" s="20">
        <f t="shared" ca="1" si="90"/>
        <v>0</v>
      </c>
      <c r="F161" s="13">
        <f t="shared" ca="1" si="90"/>
        <v>0</v>
      </c>
      <c r="G161" s="16"/>
      <c r="H161" s="19">
        <f t="shared" ca="1" si="91"/>
        <v>0</v>
      </c>
      <c r="I161" s="15">
        <f t="shared" ca="1" si="81"/>
        <v>1</v>
      </c>
      <c r="J161" s="15"/>
      <c r="K161" s="15">
        <f t="shared" ca="1" si="80"/>
        <v>0</v>
      </c>
    </row>
    <row r="162" spans="1:11" ht="17.399999999999999" x14ac:dyDescent="0.4">
      <c r="A162" s="77" t="s">
        <v>31</v>
      </c>
      <c r="B162" s="75"/>
      <c r="C162" s="75"/>
      <c r="D162" s="75"/>
      <c r="E162" s="75"/>
      <c r="F162" s="75"/>
      <c r="G162" s="75"/>
      <c r="H162" s="75"/>
      <c r="I162" s="75"/>
      <c r="J162" s="75"/>
      <c r="K162" s="76"/>
    </row>
    <row r="163" spans="1:11" x14ac:dyDescent="0.4">
      <c r="A163" s="11" t="s">
        <v>5</v>
      </c>
      <c r="B163" s="40"/>
      <c r="C163" s="13"/>
      <c r="D163" s="11"/>
      <c r="E163" s="17"/>
      <c r="F163" s="13"/>
      <c r="G163" s="16"/>
      <c r="H163" s="13"/>
      <c r="I163" s="15">
        <f>ROUND((10^(H163/10))/(10^(F163/10)),3)</f>
        <v>1</v>
      </c>
      <c r="J163" s="15"/>
      <c r="K163" s="15">
        <f t="shared" ref="K163:K180" si="92">G163*I163</f>
        <v>0</v>
      </c>
    </row>
    <row r="164" spans="1:11" x14ac:dyDescent="0.4">
      <c r="A164" s="11" t="s">
        <v>5</v>
      </c>
      <c r="B164" s="40"/>
      <c r="C164" s="13"/>
      <c r="D164" s="11"/>
      <c r="E164" s="17"/>
      <c r="F164" s="13"/>
      <c r="G164" s="16"/>
      <c r="H164" s="13"/>
      <c r="I164" s="15">
        <f t="shared" ref="I164:I180" si="93">ROUND((10^(H164/10))/(10^(F164/10)),3)</f>
        <v>1</v>
      </c>
      <c r="J164" s="15"/>
      <c r="K164" s="15">
        <f t="shared" si="92"/>
        <v>0</v>
      </c>
    </row>
    <row r="165" spans="1:11" x14ac:dyDescent="0.4">
      <c r="A165" s="11" t="s">
        <v>5</v>
      </c>
      <c r="B165" s="40"/>
      <c r="C165" s="13"/>
      <c r="D165" s="11"/>
      <c r="E165" s="17"/>
      <c r="F165" s="13"/>
      <c r="G165" s="16"/>
      <c r="H165" s="13"/>
      <c r="I165" s="15">
        <f t="shared" si="93"/>
        <v>1</v>
      </c>
      <c r="J165" s="15"/>
      <c r="K165" s="15">
        <f t="shared" si="92"/>
        <v>0</v>
      </c>
    </row>
    <row r="166" spans="1:11" x14ac:dyDescent="0.4">
      <c r="A166" s="11" t="s">
        <v>6</v>
      </c>
      <c r="B166" s="41">
        <f t="shared" ref="B166:F168" ca="1" si="94">OFFSET(B166,-3,0)</f>
        <v>0</v>
      </c>
      <c r="C166" s="19">
        <f t="shared" ca="1" si="94"/>
        <v>0</v>
      </c>
      <c r="D166" s="20">
        <f t="shared" ca="1" si="94"/>
        <v>0</v>
      </c>
      <c r="E166" s="20">
        <f t="shared" ca="1" si="94"/>
        <v>0</v>
      </c>
      <c r="F166" s="13">
        <f t="shared" ca="1" si="94"/>
        <v>0</v>
      </c>
      <c r="G166" s="16"/>
      <c r="H166" s="19">
        <f t="shared" ref="H166:H168" ca="1" si="95">OFFSET(H166,-3,0)</f>
        <v>0</v>
      </c>
      <c r="I166" s="15">
        <f t="shared" ca="1" si="93"/>
        <v>1</v>
      </c>
      <c r="J166" s="15"/>
      <c r="K166" s="15">
        <f t="shared" ca="1" si="92"/>
        <v>0</v>
      </c>
    </row>
    <row r="167" spans="1:11" x14ac:dyDescent="0.4">
      <c r="A167" s="11" t="s">
        <v>6</v>
      </c>
      <c r="B167" s="41">
        <f t="shared" ca="1" si="94"/>
        <v>0</v>
      </c>
      <c r="C167" s="19">
        <f t="shared" ca="1" si="94"/>
        <v>0</v>
      </c>
      <c r="D167" s="20">
        <f t="shared" ca="1" si="94"/>
        <v>0</v>
      </c>
      <c r="E167" s="20">
        <f t="shared" ca="1" si="94"/>
        <v>0</v>
      </c>
      <c r="F167" s="13">
        <f t="shared" ca="1" si="94"/>
        <v>0</v>
      </c>
      <c r="G167" s="16"/>
      <c r="H167" s="19">
        <f t="shared" ca="1" si="95"/>
        <v>0</v>
      </c>
      <c r="I167" s="15">
        <f t="shared" ca="1" si="93"/>
        <v>1</v>
      </c>
      <c r="J167" s="15"/>
      <c r="K167" s="15">
        <f t="shared" ca="1" si="92"/>
        <v>0</v>
      </c>
    </row>
    <row r="168" spans="1:11" x14ac:dyDescent="0.4">
      <c r="A168" s="11" t="s">
        <v>6</v>
      </c>
      <c r="B168" s="41">
        <f t="shared" ca="1" si="94"/>
        <v>0</v>
      </c>
      <c r="C168" s="19">
        <f t="shared" ca="1" si="94"/>
        <v>0</v>
      </c>
      <c r="D168" s="20">
        <f t="shared" ca="1" si="94"/>
        <v>0</v>
      </c>
      <c r="E168" s="20">
        <f t="shared" ca="1" si="94"/>
        <v>0</v>
      </c>
      <c r="F168" s="13">
        <f t="shared" ca="1" si="94"/>
        <v>0</v>
      </c>
      <c r="G168" s="16"/>
      <c r="H168" s="19">
        <f t="shared" ca="1" si="95"/>
        <v>0</v>
      </c>
      <c r="I168" s="15">
        <f t="shared" ca="1" si="93"/>
        <v>1</v>
      </c>
      <c r="J168" s="15"/>
      <c r="K168" s="15">
        <f t="shared" ca="1" si="92"/>
        <v>0</v>
      </c>
    </row>
    <row r="169" spans="1:11" x14ac:dyDescent="0.4">
      <c r="A169" s="11" t="s">
        <v>10</v>
      </c>
      <c r="B169" s="40">
        <f t="shared" ref="B169:F171" ca="1" si="96">OFFSET(B169,-6,0)</f>
        <v>0</v>
      </c>
      <c r="C169" s="13">
        <f t="shared" ca="1" si="96"/>
        <v>0</v>
      </c>
      <c r="D169" s="17">
        <f t="shared" ca="1" si="96"/>
        <v>0</v>
      </c>
      <c r="E169" s="17">
        <f t="shared" ca="1" si="96"/>
        <v>0</v>
      </c>
      <c r="F169" s="13">
        <f t="shared" ca="1" si="96"/>
        <v>0</v>
      </c>
      <c r="G169" s="16"/>
      <c r="H169" s="13">
        <f t="shared" ref="H169:H171" ca="1" si="97">OFFSET(H169,-6,0)</f>
        <v>0</v>
      </c>
      <c r="I169" s="15">
        <f t="shared" ca="1" si="93"/>
        <v>1</v>
      </c>
      <c r="J169" s="15"/>
      <c r="K169" s="15">
        <f t="shared" ca="1" si="92"/>
        <v>0</v>
      </c>
    </row>
    <row r="170" spans="1:11" x14ac:dyDescent="0.4">
      <c r="A170" s="11" t="s">
        <v>10</v>
      </c>
      <c r="B170" s="40">
        <f t="shared" ca="1" si="96"/>
        <v>0</v>
      </c>
      <c r="C170" s="13">
        <f t="shared" ca="1" si="96"/>
        <v>0</v>
      </c>
      <c r="D170" s="17">
        <f t="shared" ca="1" si="96"/>
        <v>0</v>
      </c>
      <c r="E170" s="17">
        <f t="shared" ca="1" si="96"/>
        <v>0</v>
      </c>
      <c r="F170" s="13">
        <f t="shared" ca="1" si="96"/>
        <v>0</v>
      </c>
      <c r="G170" s="16"/>
      <c r="H170" s="13">
        <f t="shared" ca="1" si="97"/>
        <v>0</v>
      </c>
      <c r="I170" s="15">
        <f t="shared" ca="1" si="93"/>
        <v>1</v>
      </c>
      <c r="J170" s="15"/>
      <c r="K170" s="15">
        <f t="shared" ca="1" si="92"/>
        <v>0</v>
      </c>
    </row>
    <row r="171" spans="1:11" x14ac:dyDescent="0.4">
      <c r="A171" s="11" t="s">
        <v>10</v>
      </c>
      <c r="B171" s="40">
        <f t="shared" ca="1" si="96"/>
        <v>0</v>
      </c>
      <c r="C171" s="13">
        <f t="shared" ca="1" si="96"/>
        <v>0</v>
      </c>
      <c r="D171" s="17">
        <f t="shared" ca="1" si="96"/>
        <v>0</v>
      </c>
      <c r="E171" s="17">
        <f t="shared" ca="1" si="96"/>
        <v>0</v>
      </c>
      <c r="F171" s="13">
        <f t="shared" ca="1" si="96"/>
        <v>0</v>
      </c>
      <c r="G171" s="16"/>
      <c r="H171" s="13">
        <f t="shared" ca="1" si="97"/>
        <v>0</v>
      </c>
      <c r="I171" s="15">
        <f t="shared" ca="1" si="93"/>
        <v>1</v>
      </c>
      <c r="J171" s="15"/>
      <c r="K171" s="15">
        <f t="shared" ca="1" si="92"/>
        <v>0</v>
      </c>
    </row>
    <row r="172" spans="1:11" x14ac:dyDescent="0.4">
      <c r="A172" s="11" t="s">
        <v>7</v>
      </c>
      <c r="B172" s="40">
        <f t="shared" ref="B172:F174" ca="1" si="98">OFFSET(B172,-9,0)</f>
        <v>0</v>
      </c>
      <c r="C172" s="13">
        <f t="shared" ca="1" si="98"/>
        <v>0</v>
      </c>
      <c r="D172" s="17">
        <f t="shared" ca="1" si="98"/>
        <v>0</v>
      </c>
      <c r="E172" s="17">
        <f t="shared" ca="1" si="98"/>
        <v>0</v>
      </c>
      <c r="F172" s="13">
        <f t="shared" ca="1" si="98"/>
        <v>0</v>
      </c>
      <c r="G172" s="16"/>
      <c r="H172" s="13">
        <f t="shared" ref="H172:H174" ca="1" si="99">OFFSET(H172,-9,0)</f>
        <v>0</v>
      </c>
      <c r="I172" s="15">
        <f t="shared" ca="1" si="93"/>
        <v>1</v>
      </c>
      <c r="J172" s="15"/>
      <c r="K172" s="15">
        <f t="shared" ca="1" si="92"/>
        <v>0</v>
      </c>
    </row>
    <row r="173" spans="1:11" x14ac:dyDescent="0.4">
      <c r="A173" s="11" t="s">
        <v>7</v>
      </c>
      <c r="B173" s="40">
        <f t="shared" ca="1" si="98"/>
        <v>0</v>
      </c>
      <c r="C173" s="13">
        <f t="shared" ca="1" si="98"/>
        <v>0</v>
      </c>
      <c r="D173" s="17">
        <f t="shared" ca="1" si="98"/>
        <v>0</v>
      </c>
      <c r="E173" s="17">
        <f t="shared" ca="1" si="98"/>
        <v>0</v>
      </c>
      <c r="F173" s="13">
        <f t="shared" ca="1" si="98"/>
        <v>0</v>
      </c>
      <c r="G173" s="16"/>
      <c r="H173" s="13">
        <f t="shared" ca="1" si="99"/>
        <v>0</v>
      </c>
      <c r="I173" s="15">
        <f t="shared" ca="1" si="93"/>
        <v>1</v>
      </c>
      <c r="J173" s="15"/>
      <c r="K173" s="15">
        <f t="shared" ca="1" si="92"/>
        <v>0</v>
      </c>
    </row>
    <row r="174" spans="1:11" x14ac:dyDescent="0.4">
      <c r="A174" s="11" t="s">
        <v>7</v>
      </c>
      <c r="B174" s="40">
        <f t="shared" ca="1" si="98"/>
        <v>0</v>
      </c>
      <c r="C174" s="13">
        <f t="shared" ca="1" si="98"/>
        <v>0</v>
      </c>
      <c r="D174" s="17">
        <f t="shared" ca="1" si="98"/>
        <v>0</v>
      </c>
      <c r="E174" s="17">
        <f t="shared" ca="1" si="98"/>
        <v>0</v>
      </c>
      <c r="F174" s="13">
        <f t="shared" ca="1" si="98"/>
        <v>0</v>
      </c>
      <c r="G174" s="16"/>
      <c r="H174" s="13">
        <f t="shared" ca="1" si="99"/>
        <v>0</v>
      </c>
      <c r="I174" s="15">
        <f t="shared" ca="1" si="93"/>
        <v>1</v>
      </c>
      <c r="J174" s="15"/>
      <c r="K174" s="15">
        <f t="shared" ca="1" si="92"/>
        <v>0</v>
      </c>
    </row>
    <row r="175" spans="1:11" x14ac:dyDescent="0.4">
      <c r="A175" s="11" t="s">
        <v>8</v>
      </c>
      <c r="B175" s="40">
        <f t="shared" ref="B175:F177" ca="1" si="100">OFFSET(B175,-12,0)</f>
        <v>0</v>
      </c>
      <c r="C175" s="13">
        <f t="shared" ca="1" si="100"/>
        <v>0</v>
      </c>
      <c r="D175" s="17">
        <f t="shared" ca="1" si="100"/>
        <v>0</v>
      </c>
      <c r="E175" s="17">
        <f t="shared" ca="1" si="100"/>
        <v>0</v>
      </c>
      <c r="F175" s="13">
        <f t="shared" ca="1" si="100"/>
        <v>0</v>
      </c>
      <c r="G175" s="16"/>
      <c r="H175" s="13">
        <f t="shared" ref="H175:H177" ca="1" si="101">OFFSET(H175,-12,0)</f>
        <v>0</v>
      </c>
      <c r="I175" s="15">
        <f t="shared" ca="1" si="93"/>
        <v>1</v>
      </c>
      <c r="J175" s="15"/>
      <c r="K175" s="15">
        <f t="shared" ca="1" si="92"/>
        <v>0</v>
      </c>
    </row>
    <row r="176" spans="1:11" x14ac:dyDescent="0.4">
      <c r="A176" s="11" t="s">
        <v>8</v>
      </c>
      <c r="B176" s="40">
        <f t="shared" ca="1" si="100"/>
        <v>0</v>
      </c>
      <c r="C176" s="13">
        <f t="shared" ca="1" si="100"/>
        <v>0</v>
      </c>
      <c r="D176" s="17">
        <f t="shared" ca="1" si="100"/>
        <v>0</v>
      </c>
      <c r="E176" s="17">
        <f t="shared" ca="1" si="100"/>
        <v>0</v>
      </c>
      <c r="F176" s="13">
        <f t="shared" ca="1" si="100"/>
        <v>0</v>
      </c>
      <c r="G176" s="16"/>
      <c r="H176" s="13">
        <f t="shared" ca="1" si="101"/>
        <v>0</v>
      </c>
      <c r="I176" s="15">
        <f t="shared" ca="1" si="93"/>
        <v>1</v>
      </c>
      <c r="J176" s="15"/>
      <c r="K176" s="15">
        <f t="shared" ca="1" si="92"/>
        <v>0</v>
      </c>
    </row>
    <row r="177" spans="1:11" x14ac:dyDescent="0.4">
      <c r="A177" s="11" t="s">
        <v>8</v>
      </c>
      <c r="B177" s="40">
        <f t="shared" ca="1" si="100"/>
        <v>0</v>
      </c>
      <c r="C177" s="13">
        <f t="shared" ca="1" si="100"/>
        <v>0</v>
      </c>
      <c r="D177" s="17">
        <f t="shared" ca="1" si="100"/>
        <v>0</v>
      </c>
      <c r="E177" s="17">
        <f t="shared" ca="1" si="100"/>
        <v>0</v>
      </c>
      <c r="F177" s="13">
        <f t="shared" ca="1" si="100"/>
        <v>0</v>
      </c>
      <c r="G177" s="16"/>
      <c r="H177" s="13">
        <f t="shared" ca="1" si="101"/>
        <v>0</v>
      </c>
      <c r="I177" s="15">
        <f t="shared" ca="1" si="93"/>
        <v>1</v>
      </c>
      <c r="J177" s="15"/>
      <c r="K177" s="15">
        <f t="shared" ca="1" si="92"/>
        <v>0</v>
      </c>
    </row>
    <row r="178" spans="1:11" x14ac:dyDescent="0.4">
      <c r="A178" s="11" t="s">
        <v>9</v>
      </c>
      <c r="B178" s="41">
        <f t="shared" ref="B178:F180" ca="1" si="102">OFFSET(B178,-15,0)</f>
        <v>0</v>
      </c>
      <c r="C178" s="19">
        <f t="shared" ca="1" si="102"/>
        <v>0</v>
      </c>
      <c r="D178" s="20">
        <f t="shared" ca="1" si="102"/>
        <v>0</v>
      </c>
      <c r="E178" s="20">
        <f t="shared" ca="1" si="102"/>
        <v>0</v>
      </c>
      <c r="F178" s="13">
        <f t="shared" ca="1" si="102"/>
        <v>0</v>
      </c>
      <c r="G178" s="16"/>
      <c r="H178" s="19">
        <f t="shared" ref="H178:H180" ca="1" si="103">OFFSET(H178,-15,0)</f>
        <v>0</v>
      </c>
      <c r="I178" s="15">
        <f t="shared" ca="1" si="93"/>
        <v>1</v>
      </c>
      <c r="J178" s="15"/>
      <c r="K178" s="15">
        <f t="shared" ca="1" si="92"/>
        <v>0</v>
      </c>
    </row>
    <row r="179" spans="1:11" x14ac:dyDescent="0.4">
      <c r="A179" s="11" t="s">
        <v>9</v>
      </c>
      <c r="B179" s="41">
        <f t="shared" ca="1" si="102"/>
        <v>0</v>
      </c>
      <c r="C179" s="19">
        <f t="shared" ca="1" si="102"/>
        <v>0</v>
      </c>
      <c r="D179" s="20">
        <f t="shared" ca="1" si="102"/>
        <v>0</v>
      </c>
      <c r="E179" s="20">
        <f t="shared" ca="1" si="102"/>
        <v>0</v>
      </c>
      <c r="F179" s="13">
        <f t="shared" ca="1" si="102"/>
        <v>0</v>
      </c>
      <c r="G179" s="16"/>
      <c r="H179" s="19">
        <f t="shared" ca="1" si="103"/>
        <v>0</v>
      </c>
      <c r="I179" s="15">
        <f t="shared" ca="1" si="93"/>
        <v>1</v>
      </c>
      <c r="J179" s="15"/>
      <c r="K179" s="15">
        <f t="shared" ca="1" si="92"/>
        <v>0</v>
      </c>
    </row>
    <row r="180" spans="1:11" x14ac:dyDescent="0.4">
      <c r="A180" s="11" t="s">
        <v>9</v>
      </c>
      <c r="B180" s="41">
        <f t="shared" ca="1" si="102"/>
        <v>0</v>
      </c>
      <c r="C180" s="19">
        <f t="shared" ca="1" si="102"/>
        <v>0</v>
      </c>
      <c r="D180" s="20">
        <f t="shared" ca="1" si="102"/>
        <v>0</v>
      </c>
      <c r="E180" s="20">
        <f t="shared" ca="1" si="102"/>
        <v>0</v>
      </c>
      <c r="F180" s="13">
        <f t="shared" ca="1" si="102"/>
        <v>0</v>
      </c>
      <c r="G180" s="16"/>
      <c r="H180" s="19">
        <f t="shared" ca="1" si="103"/>
        <v>0</v>
      </c>
      <c r="I180" s="15">
        <f t="shared" ca="1" si="93"/>
        <v>1</v>
      </c>
      <c r="J180" s="15"/>
      <c r="K180" s="15">
        <f t="shared" ca="1" si="92"/>
        <v>0</v>
      </c>
    </row>
    <row r="181" spans="1:11" ht="17.399999999999999" x14ac:dyDescent="0.4">
      <c r="A181" s="77" t="s">
        <v>23</v>
      </c>
      <c r="B181" s="75"/>
      <c r="C181" s="75"/>
      <c r="D181" s="75"/>
      <c r="E181" s="75"/>
      <c r="F181" s="75"/>
      <c r="G181" s="75"/>
      <c r="H181" s="75"/>
      <c r="I181" s="75"/>
      <c r="J181" s="75"/>
      <c r="K181" s="76"/>
    </row>
    <row r="182" spans="1:11" x14ac:dyDescent="0.4">
      <c r="A182" s="11" t="str">
        <f ca="1">INDEX(A30:A180, MATCH(MAX(K30:K180), K30:K180, 0), 0)</f>
        <v>Front</v>
      </c>
      <c r="B182" s="40">
        <f ca="1">INDEX(B30:B180, MATCH(MAX(K30:K180), K30:K180, 0), 0)</f>
        <v>0</v>
      </c>
      <c r="C182" s="13">
        <f ca="1">INDEX(C30:C180, MATCH(MAX(K30:K180), K30:K180, 0), 0)</f>
        <v>0</v>
      </c>
      <c r="D182" s="11">
        <f ca="1">INDEX(D30:D180, MATCH(MAX(K30:K180), K30:K180, 0), 0)</f>
        <v>0</v>
      </c>
      <c r="E182" s="17">
        <f ca="1">INDEX(E30:E180, MATCH(MAX(K30:K180), K30:K180, 0), 0)</f>
        <v>0</v>
      </c>
      <c r="F182" s="13">
        <f ca="1">INDEX(F30:F180, MATCH(MAX(K30:K180), K30:K180, 0), 0)</f>
        <v>0</v>
      </c>
      <c r="G182" s="16"/>
      <c r="H182" s="13">
        <f ca="1">INDEX(H30:H180, MATCH(MAX(K30:K180), K30:K180, 0), 0)</f>
        <v>0</v>
      </c>
      <c r="I182" s="15">
        <f ca="1">ROUND((10^(H182/10))/(10^(F182/10)),3)</f>
        <v>1</v>
      </c>
      <c r="J182" s="15"/>
      <c r="K182" s="15">
        <f t="shared" ref="K182" ca="1" si="104">G182*I182</f>
        <v>0</v>
      </c>
    </row>
    <row r="183" spans="1:11" x14ac:dyDescent="0.4">
      <c r="A183" s="11"/>
      <c r="B183" s="40"/>
      <c r="C183" s="13"/>
      <c r="D183" s="11"/>
      <c r="E183" s="17"/>
      <c r="F183" s="13"/>
      <c r="G183" s="16"/>
      <c r="H183" s="13"/>
      <c r="I183" s="15"/>
      <c r="J183" s="15"/>
      <c r="K183" s="15"/>
    </row>
    <row r="184" spans="1:11" x14ac:dyDescent="0.4">
      <c r="A184" s="11"/>
      <c r="B184" s="40"/>
      <c r="C184" s="13"/>
      <c r="D184" s="11"/>
      <c r="E184" s="17"/>
      <c r="F184" s="13"/>
      <c r="G184" s="16"/>
      <c r="H184" s="13"/>
      <c r="I184" s="15"/>
      <c r="J184" s="15"/>
      <c r="K184" s="15"/>
    </row>
    <row r="185" spans="1:11" x14ac:dyDescent="0.4">
      <c r="A185" s="11"/>
      <c r="B185" s="41"/>
      <c r="C185" s="19"/>
      <c r="D185" s="11"/>
      <c r="E185" s="20"/>
      <c r="F185" s="19"/>
      <c r="G185" s="16"/>
      <c r="H185" s="19"/>
      <c r="I185" s="15"/>
      <c r="J185" s="15"/>
      <c r="K185" s="15"/>
    </row>
    <row r="186" spans="1:11" x14ac:dyDescent="0.4">
      <c r="A186" s="11"/>
      <c r="B186" s="41"/>
      <c r="C186" s="19"/>
      <c r="D186" s="11"/>
      <c r="E186" s="20"/>
      <c r="F186" s="19"/>
      <c r="G186" s="16"/>
      <c r="H186" s="19"/>
      <c r="I186" s="15"/>
      <c r="J186" s="15"/>
      <c r="K186" s="15"/>
    </row>
    <row r="187" spans="1:11" x14ac:dyDescent="0.4">
      <c r="A187" s="11"/>
      <c r="B187" s="41"/>
      <c r="C187" s="19"/>
      <c r="D187" s="11"/>
      <c r="E187" s="20"/>
      <c r="F187" s="19"/>
      <c r="G187" s="16"/>
      <c r="H187" s="19"/>
      <c r="I187" s="15"/>
      <c r="J187" s="15"/>
      <c r="K187" s="15"/>
    </row>
    <row r="188" spans="1:11" x14ac:dyDescent="0.4">
      <c r="A188" s="11"/>
      <c r="B188" s="40"/>
      <c r="C188" s="13"/>
      <c r="D188" s="11"/>
      <c r="E188" s="17"/>
      <c r="F188" s="13"/>
      <c r="G188" s="16"/>
      <c r="H188" s="13"/>
      <c r="I188" s="15"/>
      <c r="J188" s="15"/>
      <c r="K188" s="15"/>
    </row>
    <row r="189" spans="1:11" x14ac:dyDescent="0.4">
      <c r="A189" s="11"/>
      <c r="B189" s="40"/>
      <c r="C189" s="13"/>
      <c r="D189" s="11"/>
      <c r="E189" s="17"/>
      <c r="F189" s="13"/>
      <c r="G189" s="16"/>
      <c r="H189" s="13"/>
      <c r="I189" s="15"/>
      <c r="J189" s="15"/>
      <c r="K189" s="15"/>
    </row>
    <row r="190" spans="1:11" x14ac:dyDescent="0.4">
      <c r="A190" s="11"/>
      <c r="B190" s="40"/>
      <c r="C190" s="13"/>
      <c r="D190" s="11"/>
      <c r="E190" s="17"/>
      <c r="F190" s="13"/>
      <c r="G190" s="16"/>
      <c r="H190" s="13"/>
      <c r="I190" s="15"/>
      <c r="J190" s="15"/>
      <c r="K190" s="15"/>
    </row>
    <row r="191" spans="1:11" x14ac:dyDescent="0.4">
      <c r="A191" s="11"/>
      <c r="B191" s="40"/>
      <c r="C191" s="13"/>
      <c r="D191" s="11"/>
      <c r="E191" s="17"/>
      <c r="F191" s="13"/>
      <c r="G191" s="16"/>
      <c r="H191" s="13"/>
      <c r="I191" s="15"/>
      <c r="J191" s="15"/>
      <c r="K191" s="15"/>
    </row>
    <row r="192" spans="1:11" x14ac:dyDescent="0.4">
      <c r="A192" s="11"/>
      <c r="B192" s="40"/>
      <c r="C192" s="13"/>
      <c r="D192" s="11"/>
      <c r="E192" s="17"/>
      <c r="F192" s="13"/>
      <c r="G192" s="16"/>
      <c r="H192" s="13"/>
      <c r="I192" s="15"/>
      <c r="J192" s="15"/>
      <c r="K192" s="15"/>
    </row>
    <row r="193" spans="1:11" x14ac:dyDescent="0.4">
      <c r="A193" s="11"/>
      <c r="B193" s="40"/>
      <c r="C193" s="13"/>
      <c r="D193" s="11"/>
      <c r="E193" s="17"/>
      <c r="F193" s="13"/>
      <c r="G193" s="16"/>
      <c r="H193" s="13"/>
      <c r="I193" s="15"/>
      <c r="J193" s="15"/>
      <c r="K193" s="15"/>
    </row>
    <row r="194" spans="1:11" x14ac:dyDescent="0.4">
      <c r="A194" s="11"/>
      <c r="B194" s="40"/>
      <c r="C194" s="13"/>
      <c r="D194" s="11"/>
      <c r="E194" s="17"/>
      <c r="F194" s="13"/>
      <c r="G194" s="16"/>
      <c r="H194" s="13"/>
      <c r="I194" s="15"/>
      <c r="J194" s="15"/>
      <c r="K194" s="15"/>
    </row>
    <row r="195" spans="1:11" x14ac:dyDescent="0.4">
      <c r="A195" s="11"/>
      <c r="B195" s="40"/>
      <c r="C195" s="13"/>
      <c r="D195" s="11"/>
      <c r="E195" s="17"/>
      <c r="F195" s="13"/>
      <c r="G195" s="16"/>
      <c r="H195" s="13"/>
      <c r="I195" s="15"/>
      <c r="J195" s="15"/>
      <c r="K195" s="15"/>
    </row>
    <row r="196" spans="1:11" x14ac:dyDescent="0.4">
      <c r="A196" s="11"/>
      <c r="B196" s="40"/>
      <c r="C196" s="13"/>
      <c r="D196" s="11"/>
      <c r="E196" s="17"/>
      <c r="F196" s="13"/>
      <c r="G196" s="16"/>
      <c r="H196" s="13"/>
      <c r="I196" s="15"/>
      <c r="J196" s="15"/>
      <c r="K196" s="15"/>
    </row>
    <row r="197" spans="1:11" x14ac:dyDescent="0.4">
      <c r="A197" s="11"/>
      <c r="B197" s="41"/>
      <c r="C197" s="19"/>
      <c r="D197" s="11"/>
      <c r="E197" s="20"/>
      <c r="F197" s="19"/>
      <c r="G197" s="16"/>
      <c r="H197" s="19"/>
      <c r="I197" s="15"/>
      <c r="J197" s="15"/>
      <c r="K197" s="15"/>
    </row>
    <row r="198" spans="1:11" x14ac:dyDescent="0.4">
      <c r="A198" s="11"/>
      <c r="B198" s="41"/>
      <c r="C198" s="19"/>
      <c r="D198" s="11"/>
      <c r="E198" s="20"/>
      <c r="F198" s="19"/>
      <c r="G198" s="16"/>
      <c r="H198" s="19"/>
      <c r="I198" s="15"/>
      <c r="J198" s="15"/>
      <c r="K198" s="15"/>
    </row>
    <row r="199" spans="1:11" x14ac:dyDescent="0.4">
      <c r="A199" s="11"/>
      <c r="B199" s="41"/>
      <c r="C199" s="19"/>
      <c r="D199" s="11"/>
      <c r="E199" s="20"/>
      <c r="F199" s="19"/>
      <c r="G199" s="16"/>
      <c r="H199" s="19"/>
      <c r="I199" s="15"/>
      <c r="J199" s="15"/>
      <c r="K199" s="15"/>
    </row>
    <row r="200" spans="1:11" ht="17.399999999999999" x14ac:dyDescent="0.4">
      <c r="A200" s="77" t="s">
        <v>24</v>
      </c>
      <c r="B200" s="75"/>
      <c r="C200" s="75"/>
      <c r="D200" s="75"/>
      <c r="E200" s="75"/>
      <c r="F200" s="75"/>
      <c r="G200" s="75"/>
      <c r="H200" s="75"/>
      <c r="I200" s="75"/>
      <c r="J200" s="75"/>
      <c r="K200" s="76"/>
    </row>
    <row r="201" spans="1:11" x14ac:dyDescent="0.4">
      <c r="A201" s="11" t="str">
        <f ca="1">INDEX(A30:A180, MATCH(MAX(K30:K180), K30:K180, 0), 0)</f>
        <v>Front</v>
      </c>
      <c r="B201" s="40">
        <f ca="1">INDEX(B30:B180, MATCH(MAX(K30:K180), K30:K180, 0), 0)</f>
        <v>0</v>
      </c>
      <c r="C201" s="13">
        <f ca="1">INDEX(C30:C180, MATCH(MAX(K30:K180), K30:K180, 0), 0)</f>
        <v>0</v>
      </c>
      <c r="D201" s="11">
        <f ca="1">INDEX(D30:D180, MATCH(MAX(K30:K180), K30:K180, 0), 0)</f>
        <v>0</v>
      </c>
      <c r="E201" s="17">
        <f ca="1">INDEX(E30:E180, MATCH(MAX(K30:K180), K30:K180, 0), 0)</f>
        <v>0</v>
      </c>
      <c r="F201" s="13">
        <f ca="1">INDEX(F30:F180, MATCH(MAX(K30:K180), K30:K180, 0), 0)</f>
        <v>0</v>
      </c>
      <c r="G201" s="16"/>
      <c r="H201" s="13">
        <f ca="1">INDEX(H30:H180, MATCH(MAX(K30:K180), K30:K180, 0), 0)</f>
        <v>0</v>
      </c>
      <c r="I201" s="15">
        <f ca="1">ROUND((10^(H201/10))/(10^(F201/10)),3)</f>
        <v>1</v>
      </c>
      <c r="J201" s="15"/>
      <c r="K201" s="15">
        <f t="shared" ref="K201" ca="1" si="105">G201*I201</f>
        <v>0</v>
      </c>
    </row>
    <row r="202" spans="1:11" x14ac:dyDescent="0.4">
      <c r="A202" s="11"/>
      <c r="B202" s="40"/>
      <c r="C202" s="13"/>
      <c r="D202" s="11"/>
      <c r="E202" s="17"/>
      <c r="F202" s="13"/>
      <c r="G202" s="16"/>
      <c r="H202" s="13"/>
      <c r="I202" s="15"/>
      <c r="J202" s="15"/>
      <c r="K202" s="52"/>
    </row>
    <row r="203" spans="1:11" x14ac:dyDescent="0.4">
      <c r="A203" s="11"/>
      <c r="B203" s="40"/>
      <c r="C203" s="13"/>
      <c r="D203" s="11"/>
      <c r="E203" s="17"/>
      <c r="F203" s="13"/>
      <c r="G203" s="16"/>
      <c r="H203" s="13"/>
      <c r="I203" s="15"/>
      <c r="J203" s="15"/>
      <c r="K203" s="52"/>
    </row>
    <row r="204" spans="1:11" x14ac:dyDescent="0.4">
      <c r="A204" s="11"/>
      <c r="B204" s="41"/>
      <c r="C204" s="19"/>
      <c r="D204" s="11"/>
      <c r="E204" s="20"/>
      <c r="F204" s="19"/>
      <c r="G204" s="16"/>
      <c r="H204" s="19"/>
      <c r="I204" s="15"/>
      <c r="J204" s="15"/>
      <c r="K204" s="52"/>
    </row>
    <row r="205" spans="1:11" x14ac:dyDescent="0.4">
      <c r="A205" s="11"/>
      <c r="B205" s="41"/>
      <c r="C205" s="19"/>
      <c r="D205" s="11"/>
      <c r="E205" s="20"/>
      <c r="F205" s="19"/>
      <c r="G205" s="16"/>
      <c r="H205" s="19"/>
      <c r="I205" s="15"/>
      <c r="J205" s="15"/>
      <c r="K205" s="52"/>
    </row>
    <row r="206" spans="1:11" x14ac:dyDescent="0.4">
      <c r="A206" s="11"/>
      <c r="B206" s="41"/>
      <c r="C206" s="19"/>
      <c r="D206" s="11"/>
      <c r="E206" s="20"/>
      <c r="F206" s="19"/>
      <c r="G206" s="16"/>
      <c r="H206" s="19"/>
      <c r="I206" s="15"/>
      <c r="J206" s="15"/>
      <c r="K206" s="52"/>
    </row>
    <row r="207" spans="1:11" x14ac:dyDescent="0.4">
      <c r="A207" s="11"/>
      <c r="B207" s="40"/>
      <c r="C207" s="13"/>
      <c r="D207" s="11"/>
      <c r="E207" s="17"/>
      <c r="F207" s="13"/>
      <c r="G207" s="16"/>
      <c r="H207" s="13"/>
      <c r="I207" s="15"/>
      <c r="J207" s="15"/>
      <c r="K207" s="52"/>
    </row>
    <row r="208" spans="1:11" x14ac:dyDescent="0.4">
      <c r="A208" s="11"/>
      <c r="B208" s="40"/>
      <c r="C208" s="13"/>
      <c r="D208" s="11"/>
      <c r="E208" s="17"/>
      <c r="F208" s="13"/>
      <c r="G208" s="16"/>
      <c r="H208" s="13"/>
      <c r="I208" s="15"/>
      <c r="J208" s="15"/>
      <c r="K208" s="52"/>
    </row>
    <row r="209" spans="1:11" x14ac:dyDescent="0.4">
      <c r="A209" s="11"/>
      <c r="B209" s="40"/>
      <c r="C209" s="13"/>
      <c r="D209" s="11"/>
      <c r="E209" s="17"/>
      <c r="F209" s="13"/>
      <c r="G209" s="16"/>
      <c r="H209" s="13"/>
      <c r="I209" s="15"/>
      <c r="J209" s="15"/>
      <c r="K209" s="52"/>
    </row>
    <row r="210" spans="1:11" x14ac:dyDescent="0.4">
      <c r="A210" s="11"/>
      <c r="B210" s="40"/>
      <c r="C210" s="13"/>
      <c r="D210" s="11"/>
      <c r="E210" s="17"/>
      <c r="F210" s="13"/>
      <c r="G210" s="16"/>
      <c r="H210" s="13"/>
      <c r="I210" s="15"/>
      <c r="J210" s="15"/>
      <c r="K210" s="52"/>
    </row>
    <row r="211" spans="1:11" x14ac:dyDescent="0.4">
      <c r="A211" s="11"/>
      <c r="B211" s="40"/>
      <c r="C211" s="13"/>
      <c r="D211" s="11"/>
      <c r="E211" s="17"/>
      <c r="F211" s="13"/>
      <c r="G211" s="16"/>
      <c r="H211" s="13"/>
      <c r="I211" s="15"/>
      <c r="J211" s="15"/>
      <c r="K211" s="52"/>
    </row>
    <row r="212" spans="1:11" x14ac:dyDescent="0.4">
      <c r="A212" s="11"/>
      <c r="B212" s="40"/>
      <c r="C212" s="13"/>
      <c r="D212" s="11"/>
      <c r="E212" s="17"/>
      <c r="F212" s="13"/>
      <c r="G212" s="16"/>
      <c r="H212" s="13"/>
      <c r="I212" s="15"/>
      <c r="J212" s="15"/>
      <c r="K212" s="52"/>
    </row>
    <row r="213" spans="1:11" x14ac:dyDescent="0.4">
      <c r="A213" s="11"/>
      <c r="B213" s="40"/>
      <c r="C213" s="13"/>
      <c r="D213" s="11"/>
      <c r="E213" s="17"/>
      <c r="F213" s="13"/>
      <c r="G213" s="16"/>
      <c r="H213" s="13"/>
      <c r="I213" s="15"/>
      <c r="J213" s="15"/>
      <c r="K213" s="52"/>
    </row>
    <row r="214" spans="1:11" x14ac:dyDescent="0.4">
      <c r="A214" s="11"/>
      <c r="B214" s="40"/>
      <c r="C214" s="13"/>
      <c r="D214" s="11"/>
      <c r="E214" s="17"/>
      <c r="F214" s="13"/>
      <c r="G214" s="16"/>
      <c r="H214" s="13"/>
      <c r="I214" s="15"/>
      <c r="J214" s="15"/>
      <c r="K214" s="52"/>
    </row>
    <row r="215" spans="1:11" x14ac:dyDescent="0.4">
      <c r="A215" s="11"/>
      <c r="B215" s="40"/>
      <c r="C215" s="13"/>
      <c r="D215" s="11"/>
      <c r="E215" s="17"/>
      <c r="F215" s="13"/>
      <c r="G215" s="16"/>
      <c r="H215" s="13"/>
      <c r="I215" s="15"/>
      <c r="J215" s="15"/>
      <c r="K215" s="52"/>
    </row>
    <row r="216" spans="1:11" x14ac:dyDescent="0.4">
      <c r="A216" s="11"/>
      <c r="B216" s="41"/>
      <c r="C216" s="19"/>
      <c r="D216" s="11"/>
      <c r="E216" s="20"/>
      <c r="F216" s="19"/>
      <c r="G216" s="16"/>
      <c r="H216" s="19"/>
      <c r="I216" s="15"/>
      <c r="J216" s="15"/>
      <c r="K216" s="52"/>
    </row>
    <row r="217" spans="1:11" x14ac:dyDescent="0.4">
      <c r="A217" s="11"/>
      <c r="B217" s="41"/>
      <c r="C217" s="19"/>
      <c r="D217" s="11"/>
      <c r="E217" s="20"/>
      <c r="F217" s="19"/>
      <c r="G217" s="16"/>
      <c r="H217" s="19"/>
      <c r="I217" s="15"/>
      <c r="J217" s="15"/>
      <c r="K217" s="52"/>
    </row>
    <row r="218" spans="1:11" x14ac:dyDescent="0.4">
      <c r="A218" s="11"/>
      <c r="B218" s="41"/>
      <c r="C218" s="19"/>
      <c r="D218" s="11"/>
      <c r="E218" s="20"/>
      <c r="F218" s="19"/>
      <c r="G218" s="16"/>
      <c r="H218" s="19"/>
      <c r="I218" s="15"/>
      <c r="J218" s="15"/>
      <c r="K218" s="52"/>
    </row>
  </sheetData>
  <mergeCells count="39">
    <mergeCell ref="A162:K162"/>
    <mergeCell ref="A181:K181"/>
    <mergeCell ref="A200:K200"/>
    <mergeCell ref="A48:K48"/>
    <mergeCell ref="A67:K67"/>
    <mergeCell ref="A86:K86"/>
    <mergeCell ref="A105:K105"/>
    <mergeCell ref="A124:K124"/>
    <mergeCell ref="A143:K143"/>
    <mergeCell ref="A29:K29"/>
    <mergeCell ref="A26:A28"/>
    <mergeCell ref="B26:B28"/>
    <mergeCell ref="C26:D26"/>
    <mergeCell ref="E26:E28"/>
    <mergeCell ref="F26:F28"/>
    <mergeCell ref="G26:G28"/>
    <mergeCell ref="H26:H28"/>
    <mergeCell ref="I26:J27"/>
    <mergeCell ref="K26:K28"/>
    <mergeCell ref="C27:C28"/>
    <mergeCell ref="D27:D28"/>
    <mergeCell ref="J6:J8"/>
    <mergeCell ref="C7:C8"/>
    <mergeCell ref="D7:D8"/>
    <mergeCell ref="A22:F24"/>
    <mergeCell ref="G22:I22"/>
    <mergeCell ref="G23:I23"/>
    <mergeCell ref="G24:I24"/>
    <mergeCell ref="A2:E4"/>
    <mergeCell ref="F2:H2"/>
    <mergeCell ref="F3:H3"/>
    <mergeCell ref="F4:H4"/>
    <mergeCell ref="A6:A8"/>
    <mergeCell ref="B6:B8"/>
    <mergeCell ref="C6:D6"/>
    <mergeCell ref="E6:E8"/>
    <mergeCell ref="F6:F8"/>
    <mergeCell ref="G6:G8"/>
    <mergeCell ref="H6:I7"/>
  </mergeCells>
  <phoneticPr fontId="1" type="noConversion"/>
  <conditionalFormatting sqref="E9">
    <cfRule type="cellIs" dxfId="155" priority="312" operator="between">
      <formula>G9</formula>
      <formula>9999</formula>
    </cfRule>
  </conditionalFormatting>
  <conditionalFormatting sqref="E10">
    <cfRule type="cellIs" dxfId="154" priority="311" operator="between">
      <formula>G10</formula>
      <formula>9999</formula>
    </cfRule>
  </conditionalFormatting>
  <conditionalFormatting sqref="E11">
    <cfRule type="cellIs" dxfId="153" priority="310" operator="between">
      <formula>G11</formula>
      <formula>9999</formula>
    </cfRule>
  </conditionalFormatting>
  <conditionalFormatting sqref="E15">
    <cfRule type="cellIs" dxfId="152" priority="309" operator="between">
      <formula>G15</formula>
      <formula>9999</formula>
    </cfRule>
  </conditionalFormatting>
  <conditionalFormatting sqref="E16">
    <cfRule type="cellIs" dxfId="151" priority="308" operator="between">
      <formula>G16</formula>
      <formula>9999</formula>
    </cfRule>
  </conditionalFormatting>
  <conditionalFormatting sqref="E17">
    <cfRule type="cellIs" dxfId="150" priority="307" operator="between">
      <formula>G17</formula>
      <formula>9999</formula>
    </cfRule>
  </conditionalFormatting>
  <conditionalFormatting sqref="E18">
    <cfRule type="cellIs" dxfId="149" priority="306" operator="between">
      <formula>G18</formula>
      <formula>9999</formula>
    </cfRule>
  </conditionalFormatting>
  <conditionalFormatting sqref="E19">
    <cfRule type="cellIs" dxfId="148" priority="305" operator="between">
      <formula>G19</formula>
      <formula>9999</formula>
    </cfRule>
  </conditionalFormatting>
  <conditionalFormatting sqref="E20">
    <cfRule type="cellIs" dxfId="147" priority="304" operator="between">
      <formula>G20</formula>
      <formula>9999</formula>
    </cfRule>
  </conditionalFormatting>
  <conditionalFormatting sqref="F30">
    <cfRule type="cellIs" dxfId="146" priority="303" operator="between">
      <formula>H30</formula>
      <formula>9999</formula>
    </cfRule>
  </conditionalFormatting>
  <conditionalFormatting sqref="F31">
    <cfRule type="cellIs" dxfId="145" priority="302" operator="between">
      <formula>H31</formula>
      <formula>9999</formula>
    </cfRule>
  </conditionalFormatting>
  <conditionalFormatting sqref="F32">
    <cfRule type="cellIs" dxfId="144" priority="301" operator="between">
      <formula>H32</formula>
      <formula>9999</formula>
    </cfRule>
  </conditionalFormatting>
  <conditionalFormatting sqref="F33">
    <cfRule type="cellIs" dxfId="143" priority="300" operator="between">
      <formula>H33</formula>
      <formula>9999</formula>
    </cfRule>
  </conditionalFormatting>
  <conditionalFormatting sqref="F34">
    <cfRule type="cellIs" dxfId="142" priority="299" operator="between">
      <formula>H34</formula>
      <formula>9999</formula>
    </cfRule>
  </conditionalFormatting>
  <conditionalFormatting sqref="F35">
    <cfRule type="cellIs" dxfId="141" priority="298" operator="between">
      <formula>H35</formula>
      <formula>9999</formula>
    </cfRule>
  </conditionalFormatting>
  <conditionalFormatting sqref="F36">
    <cfRule type="cellIs" dxfId="140" priority="297" operator="between">
      <formula>H36</formula>
      <formula>9999</formula>
    </cfRule>
  </conditionalFormatting>
  <conditionalFormatting sqref="F37">
    <cfRule type="cellIs" dxfId="139" priority="296" operator="between">
      <formula>H37</formula>
      <formula>9999</formula>
    </cfRule>
  </conditionalFormatting>
  <conditionalFormatting sqref="F38">
    <cfRule type="cellIs" dxfId="138" priority="295" operator="between">
      <formula>H38</formula>
      <formula>9999</formula>
    </cfRule>
  </conditionalFormatting>
  <conditionalFormatting sqref="F39">
    <cfRule type="cellIs" dxfId="137" priority="294" operator="between">
      <formula>H39</formula>
      <formula>9999</formula>
    </cfRule>
  </conditionalFormatting>
  <conditionalFormatting sqref="F40">
    <cfRule type="cellIs" dxfId="136" priority="293" operator="between">
      <formula>H40</formula>
      <formula>9999</formula>
    </cfRule>
  </conditionalFormatting>
  <conditionalFormatting sqref="F41">
    <cfRule type="cellIs" dxfId="135" priority="292" operator="between">
      <formula>H41</formula>
      <formula>9999</formula>
    </cfRule>
  </conditionalFormatting>
  <conditionalFormatting sqref="F42">
    <cfRule type="cellIs" dxfId="134" priority="291" operator="between">
      <formula>H42</formula>
      <formula>9999</formula>
    </cfRule>
  </conditionalFormatting>
  <conditionalFormatting sqref="F43">
    <cfRule type="cellIs" dxfId="133" priority="290" operator="between">
      <formula>H43</formula>
      <formula>9999</formula>
    </cfRule>
  </conditionalFormatting>
  <conditionalFormatting sqref="F44">
    <cfRule type="cellIs" dxfId="132" priority="289" operator="between">
      <formula>H44</formula>
      <formula>9999</formula>
    </cfRule>
  </conditionalFormatting>
  <conditionalFormatting sqref="F45">
    <cfRule type="cellIs" dxfId="131" priority="288" operator="between">
      <formula>H45</formula>
      <formula>9999</formula>
    </cfRule>
  </conditionalFormatting>
  <conditionalFormatting sqref="F46">
    <cfRule type="cellIs" dxfId="130" priority="287" operator="between">
      <formula>H46</formula>
      <formula>9999</formula>
    </cfRule>
  </conditionalFormatting>
  <conditionalFormatting sqref="F47">
    <cfRule type="cellIs" dxfId="129" priority="286" operator="between">
      <formula>H47</formula>
      <formula>9999</formula>
    </cfRule>
  </conditionalFormatting>
  <conditionalFormatting sqref="F49">
    <cfRule type="cellIs" dxfId="128" priority="285" operator="between">
      <formula>H49</formula>
      <formula>9999</formula>
    </cfRule>
  </conditionalFormatting>
  <conditionalFormatting sqref="F50">
    <cfRule type="cellIs" dxfId="127" priority="284" operator="between">
      <formula>H50</formula>
      <formula>9999</formula>
    </cfRule>
  </conditionalFormatting>
  <conditionalFormatting sqref="F51">
    <cfRule type="cellIs" dxfId="126" priority="283" operator="between">
      <formula>H51</formula>
      <formula>9999</formula>
    </cfRule>
  </conditionalFormatting>
  <conditionalFormatting sqref="F52">
    <cfRule type="cellIs" dxfId="125" priority="282" operator="between">
      <formula>H52</formula>
      <formula>9999</formula>
    </cfRule>
  </conditionalFormatting>
  <conditionalFormatting sqref="F53">
    <cfRule type="cellIs" dxfId="124" priority="281" operator="between">
      <formula>H53</formula>
      <formula>9999</formula>
    </cfRule>
  </conditionalFormatting>
  <conditionalFormatting sqref="F54">
    <cfRule type="cellIs" dxfId="123" priority="280" operator="between">
      <formula>H54</formula>
      <formula>9999</formula>
    </cfRule>
  </conditionalFormatting>
  <conditionalFormatting sqref="F55">
    <cfRule type="cellIs" dxfId="122" priority="279" operator="between">
      <formula>H55</formula>
      <formula>9999</formula>
    </cfRule>
  </conditionalFormatting>
  <conditionalFormatting sqref="F56">
    <cfRule type="cellIs" dxfId="121" priority="278" operator="between">
      <formula>H56</formula>
      <formula>9999</formula>
    </cfRule>
  </conditionalFormatting>
  <conditionalFormatting sqref="F57">
    <cfRule type="cellIs" dxfId="120" priority="277" operator="between">
      <formula>H57</formula>
      <formula>9999</formula>
    </cfRule>
  </conditionalFormatting>
  <conditionalFormatting sqref="F58">
    <cfRule type="cellIs" dxfId="119" priority="276" operator="between">
      <formula>H58</formula>
      <formula>9999</formula>
    </cfRule>
  </conditionalFormatting>
  <conditionalFormatting sqref="F59">
    <cfRule type="cellIs" dxfId="118" priority="275" operator="between">
      <formula>H59</formula>
      <formula>9999</formula>
    </cfRule>
  </conditionalFormatting>
  <conditionalFormatting sqref="F60">
    <cfRule type="cellIs" dxfId="117" priority="274" operator="between">
      <formula>H60</formula>
      <formula>9999</formula>
    </cfRule>
  </conditionalFormatting>
  <conditionalFormatting sqref="F61">
    <cfRule type="cellIs" dxfId="116" priority="273" operator="between">
      <formula>H61</formula>
      <formula>9999</formula>
    </cfRule>
  </conditionalFormatting>
  <conditionalFormatting sqref="F62">
    <cfRule type="cellIs" dxfId="115" priority="272" operator="between">
      <formula>H62</formula>
      <formula>9999</formula>
    </cfRule>
  </conditionalFormatting>
  <conditionalFormatting sqref="F63">
    <cfRule type="cellIs" dxfId="114" priority="271" operator="between">
      <formula>H63</formula>
      <formula>9999</formula>
    </cfRule>
  </conditionalFormatting>
  <conditionalFormatting sqref="F64">
    <cfRule type="cellIs" dxfId="113" priority="270" operator="between">
      <formula>H64</formula>
      <formula>9999</formula>
    </cfRule>
  </conditionalFormatting>
  <conditionalFormatting sqref="F65">
    <cfRule type="cellIs" dxfId="112" priority="269" operator="between">
      <formula>H65</formula>
      <formula>9999</formula>
    </cfRule>
  </conditionalFormatting>
  <conditionalFormatting sqref="F66">
    <cfRule type="cellIs" dxfId="111" priority="268" operator="between">
      <formula>H66</formula>
      <formula>9999</formula>
    </cfRule>
  </conditionalFormatting>
  <conditionalFormatting sqref="F68">
    <cfRule type="cellIs" dxfId="110" priority="267" operator="between">
      <formula>H68</formula>
      <formula>9999</formula>
    </cfRule>
  </conditionalFormatting>
  <conditionalFormatting sqref="F69">
    <cfRule type="cellIs" dxfId="109" priority="266" operator="between">
      <formula>H69</formula>
      <formula>9999</formula>
    </cfRule>
  </conditionalFormatting>
  <conditionalFormatting sqref="F70">
    <cfRule type="cellIs" dxfId="108" priority="265" operator="between">
      <formula>H70</formula>
      <formula>9999</formula>
    </cfRule>
  </conditionalFormatting>
  <conditionalFormatting sqref="F71">
    <cfRule type="cellIs" dxfId="107" priority="264" operator="between">
      <formula>H71</formula>
      <formula>9999</formula>
    </cfRule>
  </conditionalFormatting>
  <conditionalFormatting sqref="F72">
    <cfRule type="cellIs" dxfId="106" priority="263" operator="between">
      <formula>H72</formula>
      <formula>9999</formula>
    </cfRule>
  </conditionalFormatting>
  <conditionalFormatting sqref="F73">
    <cfRule type="cellIs" dxfId="105" priority="262" operator="between">
      <formula>H73</formula>
      <formula>9999</formula>
    </cfRule>
  </conditionalFormatting>
  <conditionalFormatting sqref="F74">
    <cfRule type="cellIs" dxfId="104" priority="261" operator="between">
      <formula>H74</formula>
      <formula>9999</formula>
    </cfRule>
  </conditionalFormatting>
  <conditionalFormatting sqref="F75">
    <cfRule type="cellIs" dxfId="103" priority="260" operator="between">
      <formula>H75</formula>
      <formula>9999</formula>
    </cfRule>
  </conditionalFormatting>
  <conditionalFormatting sqref="F76">
    <cfRule type="cellIs" dxfId="102" priority="259" operator="between">
      <formula>H76</formula>
      <formula>9999</formula>
    </cfRule>
  </conditionalFormatting>
  <conditionalFormatting sqref="F77">
    <cfRule type="cellIs" dxfId="101" priority="258" operator="between">
      <formula>H77</formula>
      <formula>9999</formula>
    </cfRule>
  </conditionalFormatting>
  <conditionalFormatting sqref="F78">
    <cfRule type="cellIs" dxfId="100" priority="257" operator="between">
      <formula>H78</formula>
      <formula>9999</formula>
    </cfRule>
  </conditionalFormatting>
  <conditionalFormatting sqref="F79">
    <cfRule type="cellIs" dxfId="99" priority="256" operator="between">
      <formula>H79</formula>
      <formula>9999</formula>
    </cfRule>
  </conditionalFormatting>
  <conditionalFormatting sqref="F80">
    <cfRule type="cellIs" dxfId="98" priority="255" operator="between">
      <formula>H80</formula>
      <formula>9999</formula>
    </cfRule>
  </conditionalFormatting>
  <conditionalFormatting sqref="F81">
    <cfRule type="cellIs" dxfId="97" priority="254" operator="between">
      <formula>H81</formula>
      <formula>9999</formula>
    </cfRule>
  </conditionalFormatting>
  <conditionalFormatting sqref="F82">
    <cfRule type="cellIs" dxfId="96" priority="253" operator="between">
      <formula>H82</formula>
      <formula>9999</formula>
    </cfRule>
  </conditionalFormatting>
  <conditionalFormatting sqref="F83">
    <cfRule type="cellIs" dxfId="95" priority="252" operator="between">
      <formula>H83</formula>
      <formula>9999</formula>
    </cfRule>
  </conditionalFormatting>
  <conditionalFormatting sqref="F84">
    <cfRule type="cellIs" dxfId="94" priority="251" operator="between">
      <formula>H84</formula>
      <formula>9999</formula>
    </cfRule>
  </conditionalFormatting>
  <conditionalFormatting sqref="F85">
    <cfRule type="cellIs" dxfId="93" priority="250" operator="between">
      <formula>H85</formula>
      <formula>9999</formula>
    </cfRule>
  </conditionalFormatting>
  <conditionalFormatting sqref="F87">
    <cfRule type="cellIs" dxfId="92" priority="249" operator="between">
      <formula>H87</formula>
      <formula>9999</formula>
    </cfRule>
  </conditionalFormatting>
  <conditionalFormatting sqref="F88">
    <cfRule type="cellIs" dxfId="91" priority="248" operator="between">
      <formula>H88</formula>
      <formula>9999</formula>
    </cfRule>
  </conditionalFormatting>
  <conditionalFormatting sqref="F89">
    <cfRule type="cellIs" dxfId="90" priority="247" operator="between">
      <formula>H89</formula>
      <formula>9999</formula>
    </cfRule>
  </conditionalFormatting>
  <conditionalFormatting sqref="F90">
    <cfRule type="cellIs" dxfId="89" priority="246" operator="between">
      <formula>H90</formula>
      <formula>9999</formula>
    </cfRule>
  </conditionalFormatting>
  <conditionalFormatting sqref="F91">
    <cfRule type="cellIs" dxfId="88" priority="245" operator="between">
      <formula>H91</formula>
      <formula>9999</formula>
    </cfRule>
  </conditionalFormatting>
  <conditionalFormatting sqref="F92">
    <cfRule type="cellIs" dxfId="87" priority="244" operator="between">
      <formula>H92</formula>
      <formula>9999</formula>
    </cfRule>
  </conditionalFormatting>
  <conditionalFormatting sqref="F93">
    <cfRule type="cellIs" dxfId="86" priority="243" operator="between">
      <formula>H93</formula>
      <formula>9999</formula>
    </cfRule>
  </conditionalFormatting>
  <conditionalFormatting sqref="F94">
    <cfRule type="cellIs" dxfId="85" priority="242" operator="between">
      <formula>H94</formula>
      <formula>9999</formula>
    </cfRule>
  </conditionalFormatting>
  <conditionalFormatting sqref="F95">
    <cfRule type="cellIs" dxfId="84" priority="241" operator="between">
      <formula>H95</formula>
      <formula>9999</formula>
    </cfRule>
  </conditionalFormatting>
  <conditionalFormatting sqref="F96">
    <cfRule type="cellIs" dxfId="83" priority="240" operator="between">
      <formula>H96</formula>
      <formula>9999</formula>
    </cfRule>
  </conditionalFormatting>
  <conditionalFormatting sqref="F97">
    <cfRule type="cellIs" dxfId="82" priority="239" operator="between">
      <formula>H97</formula>
      <formula>9999</formula>
    </cfRule>
  </conditionalFormatting>
  <conditionalFormatting sqref="F98">
    <cfRule type="cellIs" dxfId="81" priority="238" operator="between">
      <formula>H98</formula>
      <formula>9999</formula>
    </cfRule>
  </conditionalFormatting>
  <conditionalFormatting sqref="F99">
    <cfRule type="cellIs" dxfId="80" priority="237" operator="between">
      <formula>H99</formula>
      <formula>9999</formula>
    </cfRule>
  </conditionalFormatting>
  <conditionalFormatting sqref="F100">
    <cfRule type="cellIs" dxfId="79" priority="236" operator="between">
      <formula>H100</formula>
      <formula>9999</formula>
    </cfRule>
  </conditionalFormatting>
  <conditionalFormatting sqref="F101">
    <cfRule type="cellIs" dxfId="78" priority="235" operator="between">
      <formula>H101</formula>
      <formula>9999</formula>
    </cfRule>
  </conditionalFormatting>
  <conditionalFormatting sqref="F102">
    <cfRule type="cellIs" dxfId="77" priority="234" operator="between">
      <formula>H102</formula>
      <formula>9999</formula>
    </cfRule>
  </conditionalFormatting>
  <conditionalFormatting sqref="F103">
    <cfRule type="cellIs" dxfId="76" priority="233" operator="between">
      <formula>H103</formula>
      <formula>9999</formula>
    </cfRule>
  </conditionalFormatting>
  <conditionalFormatting sqref="F104">
    <cfRule type="cellIs" dxfId="75" priority="232" operator="between">
      <formula>H104</formula>
      <formula>9999</formula>
    </cfRule>
  </conditionalFormatting>
  <conditionalFormatting sqref="F106">
    <cfRule type="cellIs" dxfId="74" priority="231" operator="between">
      <formula>H106</formula>
      <formula>9999</formula>
    </cfRule>
  </conditionalFormatting>
  <conditionalFormatting sqref="F107">
    <cfRule type="cellIs" dxfId="73" priority="230" operator="between">
      <formula>H107</formula>
      <formula>9999</formula>
    </cfRule>
  </conditionalFormatting>
  <conditionalFormatting sqref="F108">
    <cfRule type="cellIs" dxfId="72" priority="229" operator="between">
      <formula>H108</formula>
      <formula>9999</formula>
    </cfRule>
  </conditionalFormatting>
  <conditionalFormatting sqref="F109">
    <cfRule type="cellIs" dxfId="71" priority="228" operator="between">
      <formula>H109</formula>
      <formula>9999</formula>
    </cfRule>
  </conditionalFormatting>
  <conditionalFormatting sqref="F110">
    <cfRule type="cellIs" dxfId="70" priority="227" operator="between">
      <formula>H110</formula>
      <formula>9999</formula>
    </cfRule>
  </conditionalFormatting>
  <conditionalFormatting sqref="F111">
    <cfRule type="cellIs" dxfId="69" priority="226" operator="between">
      <formula>H111</formula>
      <formula>9999</formula>
    </cfRule>
  </conditionalFormatting>
  <conditionalFormatting sqref="F112">
    <cfRule type="cellIs" dxfId="68" priority="225" operator="between">
      <formula>H112</formula>
      <formula>9999</formula>
    </cfRule>
  </conditionalFormatting>
  <conditionalFormatting sqref="F113">
    <cfRule type="cellIs" dxfId="67" priority="224" operator="between">
      <formula>H113</formula>
      <formula>9999</formula>
    </cfRule>
  </conditionalFormatting>
  <conditionalFormatting sqref="F114">
    <cfRule type="cellIs" dxfId="66" priority="223" operator="between">
      <formula>H114</formula>
      <formula>9999</formula>
    </cfRule>
  </conditionalFormatting>
  <conditionalFormatting sqref="F115">
    <cfRule type="cellIs" dxfId="65" priority="222" operator="between">
      <formula>H115</formula>
      <formula>9999</formula>
    </cfRule>
  </conditionalFormatting>
  <conditionalFormatting sqref="F116">
    <cfRule type="cellIs" dxfId="64" priority="221" operator="between">
      <formula>H116</formula>
      <formula>9999</formula>
    </cfRule>
  </conditionalFormatting>
  <conditionalFormatting sqref="F117">
    <cfRule type="cellIs" dxfId="63" priority="220" operator="between">
      <formula>H117</formula>
      <formula>9999</formula>
    </cfRule>
  </conditionalFormatting>
  <conditionalFormatting sqref="F118">
    <cfRule type="cellIs" dxfId="62" priority="219" operator="between">
      <formula>H118</formula>
      <formula>9999</formula>
    </cfRule>
  </conditionalFormatting>
  <conditionalFormatting sqref="F119">
    <cfRule type="cellIs" dxfId="61" priority="218" operator="between">
      <formula>H119</formula>
      <formula>9999</formula>
    </cfRule>
  </conditionalFormatting>
  <conditionalFormatting sqref="F120">
    <cfRule type="cellIs" dxfId="60" priority="217" operator="between">
      <formula>H120</formula>
      <formula>9999</formula>
    </cfRule>
  </conditionalFormatting>
  <conditionalFormatting sqref="F121">
    <cfRule type="cellIs" dxfId="59" priority="216" operator="between">
      <formula>H121</formula>
      <formula>9999</formula>
    </cfRule>
  </conditionalFormatting>
  <conditionalFormatting sqref="F122">
    <cfRule type="cellIs" dxfId="58" priority="215" operator="between">
      <formula>H122</formula>
      <formula>9999</formula>
    </cfRule>
  </conditionalFormatting>
  <conditionalFormatting sqref="F123">
    <cfRule type="cellIs" dxfId="57" priority="214" operator="between">
      <formula>H123</formula>
      <formula>9999</formula>
    </cfRule>
  </conditionalFormatting>
  <conditionalFormatting sqref="F125">
    <cfRule type="cellIs" dxfId="56" priority="213" operator="between">
      <formula>H125</formula>
      <formula>9999</formula>
    </cfRule>
  </conditionalFormatting>
  <conditionalFormatting sqref="F126">
    <cfRule type="cellIs" dxfId="55" priority="212" operator="between">
      <formula>H126</formula>
      <formula>9999</formula>
    </cfRule>
  </conditionalFormatting>
  <conditionalFormatting sqref="F127">
    <cfRule type="cellIs" dxfId="54" priority="211" operator="between">
      <formula>H127</formula>
      <formula>9999</formula>
    </cfRule>
  </conditionalFormatting>
  <conditionalFormatting sqref="F128">
    <cfRule type="cellIs" dxfId="53" priority="210" operator="between">
      <formula>H128</formula>
      <formula>9999</formula>
    </cfRule>
  </conditionalFormatting>
  <conditionalFormatting sqref="F129">
    <cfRule type="cellIs" dxfId="52" priority="209" operator="between">
      <formula>H129</formula>
      <formula>9999</formula>
    </cfRule>
  </conditionalFormatting>
  <conditionalFormatting sqref="F130">
    <cfRule type="cellIs" dxfId="51" priority="208" operator="between">
      <formula>H130</formula>
      <formula>9999</formula>
    </cfRule>
  </conditionalFormatting>
  <conditionalFormatting sqref="F131">
    <cfRule type="cellIs" dxfId="50" priority="207" operator="between">
      <formula>H131</formula>
      <formula>9999</formula>
    </cfRule>
  </conditionalFormatting>
  <conditionalFormatting sqref="F132">
    <cfRule type="cellIs" dxfId="49" priority="206" operator="between">
      <formula>H132</formula>
      <formula>9999</formula>
    </cfRule>
  </conditionalFormatting>
  <conditionalFormatting sqref="F133">
    <cfRule type="cellIs" dxfId="48" priority="205" operator="between">
      <formula>H133</formula>
      <formula>9999</formula>
    </cfRule>
  </conditionalFormatting>
  <conditionalFormatting sqref="F134">
    <cfRule type="cellIs" dxfId="47" priority="204" operator="between">
      <formula>H134</formula>
      <formula>9999</formula>
    </cfRule>
  </conditionalFormatting>
  <conditionalFormatting sqref="F135">
    <cfRule type="cellIs" dxfId="46" priority="203" operator="between">
      <formula>H135</formula>
      <formula>9999</formula>
    </cfRule>
  </conditionalFormatting>
  <conditionalFormatting sqref="F136">
    <cfRule type="cellIs" dxfId="45" priority="202" operator="between">
      <formula>H136</formula>
      <formula>9999</formula>
    </cfRule>
  </conditionalFormatting>
  <conditionalFormatting sqref="F137">
    <cfRule type="cellIs" dxfId="44" priority="201" operator="between">
      <formula>H137</formula>
      <formula>9999</formula>
    </cfRule>
  </conditionalFormatting>
  <conditionalFormatting sqref="F138">
    <cfRule type="cellIs" dxfId="43" priority="200" operator="between">
      <formula>H138</formula>
      <formula>9999</formula>
    </cfRule>
  </conditionalFormatting>
  <conditionalFormatting sqref="F139">
    <cfRule type="cellIs" dxfId="42" priority="199" operator="between">
      <formula>H139</formula>
      <formula>9999</formula>
    </cfRule>
  </conditionalFormatting>
  <conditionalFormatting sqref="F140">
    <cfRule type="cellIs" dxfId="41" priority="198" operator="between">
      <formula>H140</formula>
      <formula>9999</formula>
    </cfRule>
  </conditionalFormatting>
  <conditionalFormatting sqref="F141">
    <cfRule type="cellIs" dxfId="40" priority="197" operator="between">
      <formula>H141</formula>
      <formula>9999</formula>
    </cfRule>
  </conditionalFormatting>
  <conditionalFormatting sqref="F142">
    <cfRule type="cellIs" dxfId="39" priority="196" operator="between">
      <formula>H142</formula>
      <formula>9999</formula>
    </cfRule>
  </conditionalFormatting>
  <conditionalFormatting sqref="F144">
    <cfRule type="cellIs" dxfId="38" priority="195" operator="between">
      <formula>H144</formula>
      <formula>9999</formula>
    </cfRule>
  </conditionalFormatting>
  <conditionalFormatting sqref="F145">
    <cfRule type="cellIs" dxfId="37" priority="194" operator="between">
      <formula>H145</formula>
      <formula>9999</formula>
    </cfRule>
  </conditionalFormatting>
  <conditionalFormatting sqref="F146">
    <cfRule type="cellIs" dxfId="36" priority="193" operator="between">
      <formula>H146</formula>
      <formula>9999</formula>
    </cfRule>
  </conditionalFormatting>
  <conditionalFormatting sqref="F147">
    <cfRule type="cellIs" dxfId="35" priority="192" operator="between">
      <formula>H147</formula>
      <formula>9999</formula>
    </cfRule>
  </conditionalFormatting>
  <conditionalFormatting sqref="F148">
    <cfRule type="cellIs" dxfId="34" priority="191" operator="between">
      <formula>H148</formula>
      <formula>9999</formula>
    </cfRule>
  </conditionalFormatting>
  <conditionalFormatting sqref="F149">
    <cfRule type="cellIs" dxfId="33" priority="190" operator="between">
      <formula>H149</formula>
      <formula>9999</formula>
    </cfRule>
  </conditionalFormatting>
  <conditionalFormatting sqref="F150">
    <cfRule type="cellIs" dxfId="32" priority="189" operator="between">
      <formula>H150</formula>
      <formula>9999</formula>
    </cfRule>
  </conditionalFormatting>
  <conditionalFormatting sqref="F151">
    <cfRule type="cellIs" dxfId="31" priority="188" operator="between">
      <formula>H151</formula>
      <formula>9999</formula>
    </cfRule>
  </conditionalFormatting>
  <conditionalFormatting sqref="F152">
    <cfRule type="cellIs" dxfId="30" priority="187" operator="between">
      <formula>H152</formula>
      <formula>9999</formula>
    </cfRule>
  </conditionalFormatting>
  <conditionalFormatting sqref="F153">
    <cfRule type="cellIs" dxfId="29" priority="186" operator="between">
      <formula>H153</formula>
      <formula>9999</formula>
    </cfRule>
  </conditionalFormatting>
  <conditionalFormatting sqref="F154">
    <cfRule type="cellIs" dxfId="28" priority="185" operator="between">
      <formula>H154</formula>
      <formula>9999</formula>
    </cfRule>
  </conditionalFormatting>
  <conditionalFormatting sqref="F155">
    <cfRule type="cellIs" dxfId="27" priority="184" operator="between">
      <formula>H155</formula>
      <formula>9999</formula>
    </cfRule>
  </conditionalFormatting>
  <conditionalFormatting sqref="F156">
    <cfRule type="cellIs" dxfId="26" priority="183" operator="between">
      <formula>H156</formula>
      <formula>9999</formula>
    </cfRule>
  </conditionalFormatting>
  <conditionalFormatting sqref="F157">
    <cfRule type="cellIs" dxfId="25" priority="182" operator="between">
      <formula>H157</formula>
      <formula>9999</formula>
    </cfRule>
  </conditionalFormatting>
  <conditionalFormatting sqref="F158">
    <cfRule type="cellIs" dxfId="24" priority="181" operator="between">
      <formula>H158</formula>
      <formula>9999</formula>
    </cfRule>
  </conditionalFormatting>
  <conditionalFormatting sqref="F159">
    <cfRule type="cellIs" dxfId="23" priority="180" operator="between">
      <formula>H159</formula>
      <formula>9999</formula>
    </cfRule>
  </conditionalFormatting>
  <conditionalFormatting sqref="F160">
    <cfRule type="cellIs" dxfId="22" priority="179" operator="between">
      <formula>H160</formula>
      <formula>9999</formula>
    </cfRule>
  </conditionalFormatting>
  <conditionalFormatting sqref="F161">
    <cfRule type="cellIs" dxfId="21" priority="178" operator="between">
      <formula>H161</formula>
      <formula>9999</formula>
    </cfRule>
  </conditionalFormatting>
  <conditionalFormatting sqref="F163">
    <cfRule type="cellIs" dxfId="20" priority="177" operator="between">
      <formula>H163</formula>
      <formula>9999</formula>
    </cfRule>
  </conditionalFormatting>
  <conditionalFormatting sqref="F164">
    <cfRule type="cellIs" dxfId="19" priority="176" operator="between">
      <formula>H164</formula>
      <formula>9999</formula>
    </cfRule>
  </conditionalFormatting>
  <conditionalFormatting sqref="F165">
    <cfRule type="cellIs" dxfId="18" priority="175" operator="between">
      <formula>H165</formula>
      <formula>9999</formula>
    </cfRule>
  </conditionalFormatting>
  <conditionalFormatting sqref="F166">
    <cfRule type="cellIs" dxfId="17" priority="174" operator="between">
      <formula>H166</formula>
      <formula>9999</formula>
    </cfRule>
  </conditionalFormatting>
  <conditionalFormatting sqref="F167">
    <cfRule type="cellIs" dxfId="16" priority="173" operator="between">
      <formula>H167</formula>
      <formula>9999</formula>
    </cfRule>
  </conditionalFormatting>
  <conditionalFormatting sqref="F168">
    <cfRule type="cellIs" dxfId="15" priority="172" operator="between">
      <formula>H168</formula>
      <formula>9999</formula>
    </cfRule>
  </conditionalFormatting>
  <conditionalFormatting sqref="F169">
    <cfRule type="cellIs" dxfId="14" priority="171" operator="between">
      <formula>H169</formula>
      <formula>9999</formula>
    </cfRule>
  </conditionalFormatting>
  <conditionalFormatting sqref="F170">
    <cfRule type="cellIs" dxfId="13" priority="170" operator="between">
      <formula>H170</formula>
      <formula>9999</formula>
    </cfRule>
  </conditionalFormatting>
  <conditionalFormatting sqref="F171">
    <cfRule type="cellIs" dxfId="12" priority="169" operator="between">
      <formula>H171</formula>
      <formula>9999</formula>
    </cfRule>
  </conditionalFormatting>
  <conditionalFormatting sqref="F172">
    <cfRule type="cellIs" dxfId="11" priority="168" operator="between">
      <formula>H172</formula>
      <formula>9999</formula>
    </cfRule>
  </conditionalFormatting>
  <conditionalFormatting sqref="F173">
    <cfRule type="cellIs" dxfId="10" priority="167" operator="between">
      <formula>H173</formula>
      <formula>9999</formula>
    </cfRule>
  </conditionalFormatting>
  <conditionalFormatting sqref="F174">
    <cfRule type="cellIs" dxfId="9" priority="166" operator="between">
      <formula>H174</formula>
      <formula>9999</formula>
    </cfRule>
  </conditionalFormatting>
  <conditionalFormatting sqref="F175">
    <cfRule type="cellIs" dxfId="8" priority="165" operator="between">
      <formula>H175</formula>
      <formula>9999</formula>
    </cfRule>
  </conditionalFormatting>
  <conditionalFormatting sqref="F176">
    <cfRule type="cellIs" dxfId="7" priority="164" operator="between">
      <formula>H176</formula>
      <formula>9999</formula>
    </cfRule>
  </conditionalFormatting>
  <conditionalFormatting sqref="F177">
    <cfRule type="cellIs" dxfId="6" priority="163" operator="between">
      <formula>H177</formula>
      <formula>9999</formula>
    </cfRule>
  </conditionalFormatting>
  <conditionalFormatting sqref="F178">
    <cfRule type="cellIs" dxfId="5" priority="162" operator="between">
      <formula>H178</formula>
      <formula>9999</formula>
    </cfRule>
  </conditionalFormatting>
  <conditionalFormatting sqref="F179">
    <cfRule type="cellIs" dxfId="4" priority="161" operator="between">
      <formula>H179</formula>
      <formula>9999</formula>
    </cfRule>
  </conditionalFormatting>
  <conditionalFormatting sqref="F180">
    <cfRule type="cellIs" dxfId="3" priority="160" operator="between">
      <formula>H180</formula>
      <formula>9999</formula>
    </cfRule>
  </conditionalFormatting>
  <conditionalFormatting sqref="F182">
    <cfRule type="cellIs" dxfId="2" priority="159" operator="between">
      <formula>H182</formula>
      <formula>9999</formula>
    </cfRule>
  </conditionalFormatting>
  <conditionalFormatting sqref="F201">
    <cfRule type="cellIs" dxfId="1" priority="158" operator="between">
      <formula>H201</formula>
      <formula>9999</formula>
    </cfRule>
  </conditionalFormatting>
  <conditionalFormatting sqref="E12:E14">
    <cfRule type="cellIs" dxfId="0" priority="157" operator="between">
      <formula>G12</formula>
      <formula>9999</formula>
    </cfRule>
  </conditionalFormatting>
  <printOptions horizontalCentered="1"/>
  <pageMargins left="0.23622047244094491" right="0.23622047244094491" top="0.98425196850393704" bottom="0.74803149606299213" header="0.47244094488188981" footer="0.31496062992125984"/>
  <pageSetup paperSize="9" scale="65" fitToHeight="0" orientation="portrait" r:id="rId1"/>
  <headerFooter scaleWithDoc="0">
    <oddHeader>&amp;L&amp;G&amp;C&amp;"-,굵게"&amp;25SAR Test Worksheet</oddHeader>
    <oddFooter>&amp;LRTT5041-49(2018.01.01)(5)                                                      &amp;C&amp;P/&amp;N&amp;RA4(210mm*297mm)</oddFooter>
  </headerFooter>
  <rowBreaks count="1" manualBreakCount="1">
    <brk id="163" max="11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5121" r:id="rId5" name="cbxApplyCode">
          <controlPr defaultSize="0" autoLine="0" r:id="rId6">
            <anchor moveWithCells="1">
              <from>
                <xdr:col>8</xdr:col>
                <xdr:colOff>792480</xdr:colOff>
                <xdr:row>0</xdr:row>
                <xdr:rowOff>15240</xdr:rowOff>
              </from>
              <to>
                <xdr:col>10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1" r:id="rId5" name="cbxApplyCod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94"/>
  <sheetViews>
    <sheetView workbookViewId="0">
      <selection activeCell="F24" sqref="F24:F39"/>
    </sheetView>
  </sheetViews>
  <sheetFormatPr defaultRowHeight="17.399999999999999" x14ac:dyDescent="0.4"/>
  <cols>
    <col min="1" max="1" width="15.59765625" bestFit="1" customWidth="1"/>
    <col min="3" max="3" width="12.59765625" customWidth="1"/>
    <col min="4" max="5" width="12.59765625" style="47" customWidth="1"/>
    <col min="6" max="6" width="16.69921875" style="47" bestFit="1" customWidth="1"/>
    <col min="7" max="7" width="9" style="47"/>
    <col min="8" max="10" width="12.59765625" style="47" customWidth="1"/>
    <col min="11" max="11" width="16.69921875" style="47" bestFit="1" customWidth="1"/>
    <col min="12" max="12" width="9" style="47"/>
    <col min="14" max="14" width="13.5" bestFit="1" customWidth="1"/>
    <col min="15" max="15" width="16.3984375" customWidth="1"/>
  </cols>
  <sheetData>
    <row r="1" spans="1:15" s="47" customFormat="1" x14ac:dyDescent="0.4">
      <c r="A1" s="81" t="s">
        <v>120</v>
      </c>
      <c r="B1" s="81"/>
      <c r="C1" s="81"/>
      <c r="D1" s="81"/>
      <c r="E1" s="81"/>
      <c r="F1" s="81" t="s">
        <v>143</v>
      </c>
      <c r="G1" s="81"/>
      <c r="H1" s="81"/>
      <c r="I1" s="81"/>
      <c r="J1" s="81"/>
      <c r="K1" s="81" t="s">
        <v>144</v>
      </c>
      <c r="L1" s="81"/>
      <c r="M1" s="81"/>
      <c r="N1" s="81"/>
      <c r="O1" s="81"/>
    </row>
    <row r="2" spans="1:15" s="47" customFormat="1" x14ac:dyDescent="0.4">
      <c r="A2" s="80" t="s">
        <v>89</v>
      </c>
      <c r="B2" s="80" t="s">
        <v>145</v>
      </c>
      <c r="C2" s="80" t="s">
        <v>118</v>
      </c>
      <c r="D2" s="80"/>
      <c r="E2" s="80"/>
      <c r="F2" s="80" t="s">
        <v>89</v>
      </c>
      <c r="G2" s="80" t="s">
        <v>91</v>
      </c>
      <c r="H2" s="80" t="s">
        <v>118</v>
      </c>
      <c r="I2" s="80"/>
      <c r="J2" s="80"/>
      <c r="K2" s="80" t="s">
        <v>89</v>
      </c>
      <c r="L2" s="80" t="s">
        <v>91</v>
      </c>
      <c r="M2" s="80" t="s">
        <v>118</v>
      </c>
      <c r="N2" s="80"/>
      <c r="O2" s="80"/>
    </row>
    <row r="3" spans="1:15" ht="49.5" customHeight="1" x14ac:dyDescent="0.4">
      <c r="A3" s="80"/>
      <c r="B3" s="80"/>
      <c r="C3" s="21" t="s">
        <v>119</v>
      </c>
      <c r="D3" s="21" t="s">
        <v>117</v>
      </c>
      <c r="E3" s="48" t="s">
        <v>121</v>
      </c>
      <c r="F3" s="80"/>
      <c r="G3" s="80"/>
      <c r="H3" s="21" t="s">
        <v>119</v>
      </c>
      <c r="I3" s="21" t="s">
        <v>117</v>
      </c>
      <c r="J3" s="48" t="s">
        <v>121</v>
      </c>
      <c r="K3" s="80"/>
      <c r="L3" s="80"/>
      <c r="M3" s="21" t="s">
        <v>119</v>
      </c>
      <c r="N3" s="21" t="s">
        <v>117</v>
      </c>
      <c r="O3" s="48" t="s">
        <v>121</v>
      </c>
    </row>
    <row r="4" spans="1:15" s="47" customFormat="1" x14ac:dyDescent="0.4">
      <c r="A4" s="80" t="s">
        <v>130</v>
      </c>
      <c r="B4" s="46">
        <v>6</v>
      </c>
      <c r="C4" s="46"/>
      <c r="D4" s="46"/>
      <c r="E4" s="44"/>
      <c r="F4" s="80" t="s">
        <v>130</v>
      </c>
      <c r="G4" s="46">
        <v>6</v>
      </c>
      <c r="H4" s="46"/>
      <c r="I4" s="46"/>
      <c r="J4" s="44"/>
      <c r="K4" s="80" t="s">
        <v>130</v>
      </c>
      <c r="L4" s="46">
        <v>6</v>
      </c>
      <c r="M4" s="46"/>
      <c r="N4" s="46"/>
      <c r="O4" s="44"/>
    </row>
    <row r="5" spans="1:15" s="47" customFormat="1" x14ac:dyDescent="0.4">
      <c r="A5" s="80"/>
      <c r="B5" s="46">
        <v>9</v>
      </c>
      <c r="C5" s="46"/>
      <c r="D5" s="46"/>
      <c r="E5" s="44"/>
      <c r="F5" s="80"/>
      <c r="G5" s="46">
        <v>9</v>
      </c>
      <c r="H5" s="46"/>
      <c r="I5" s="46"/>
      <c r="J5" s="44"/>
      <c r="K5" s="80"/>
      <c r="L5" s="46">
        <v>9</v>
      </c>
      <c r="M5" s="46"/>
      <c r="N5" s="46"/>
      <c r="O5" s="44"/>
    </row>
    <row r="6" spans="1:15" s="47" customFormat="1" x14ac:dyDescent="0.4">
      <c r="A6" s="80"/>
      <c r="B6" s="46">
        <v>12</v>
      </c>
      <c r="C6" s="46"/>
      <c r="D6" s="46"/>
      <c r="E6" s="44"/>
      <c r="F6" s="80"/>
      <c r="G6" s="46">
        <v>12</v>
      </c>
      <c r="H6" s="46"/>
      <c r="I6" s="46"/>
      <c r="J6" s="44"/>
      <c r="K6" s="80"/>
      <c r="L6" s="46">
        <v>12</v>
      </c>
      <c r="M6" s="46"/>
      <c r="N6" s="46"/>
      <c r="O6" s="44"/>
    </row>
    <row r="7" spans="1:15" s="47" customFormat="1" x14ac:dyDescent="0.4">
      <c r="A7" s="80"/>
      <c r="B7" s="46">
        <v>18</v>
      </c>
      <c r="C7" s="46"/>
      <c r="D7" s="46"/>
      <c r="E7" s="44"/>
      <c r="F7" s="80"/>
      <c r="G7" s="46">
        <v>18</v>
      </c>
      <c r="H7" s="46"/>
      <c r="I7" s="46"/>
      <c r="J7" s="44"/>
      <c r="K7" s="80"/>
      <c r="L7" s="46">
        <v>18</v>
      </c>
      <c r="M7" s="46"/>
      <c r="N7" s="46"/>
      <c r="O7" s="44"/>
    </row>
    <row r="8" spans="1:15" s="47" customFormat="1" x14ac:dyDescent="0.4">
      <c r="A8" s="80"/>
      <c r="B8" s="46">
        <v>24</v>
      </c>
      <c r="C8" s="46"/>
      <c r="D8" s="46"/>
      <c r="E8" s="44"/>
      <c r="F8" s="80"/>
      <c r="G8" s="46">
        <v>24</v>
      </c>
      <c r="H8" s="46"/>
      <c r="I8" s="46"/>
      <c r="J8" s="44"/>
      <c r="K8" s="80"/>
      <c r="L8" s="46">
        <v>24</v>
      </c>
      <c r="M8" s="46"/>
      <c r="N8" s="46"/>
      <c r="O8" s="44"/>
    </row>
    <row r="9" spans="1:15" s="47" customFormat="1" x14ac:dyDescent="0.4">
      <c r="A9" s="80"/>
      <c r="B9" s="46">
        <v>36</v>
      </c>
      <c r="C9" s="46"/>
      <c r="D9" s="46"/>
      <c r="E9" s="44"/>
      <c r="F9" s="80"/>
      <c r="G9" s="46">
        <v>36</v>
      </c>
      <c r="H9" s="46"/>
      <c r="I9" s="46"/>
      <c r="J9" s="44"/>
      <c r="K9" s="80"/>
      <c r="L9" s="46">
        <v>36</v>
      </c>
      <c r="M9" s="46"/>
      <c r="N9" s="46"/>
      <c r="O9" s="44"/>
    </row>
    <row r="10" spans="1:15" s="47" customFormat="1" x14ac:dyDescent="0.4">
      <c r="A10" s="80"/>
      <c r="B10" s="46">
        <v>48</v>
      </c>
      <c r="C10" s="46"/>
      <c r="D10" s="46"/>
      <c r="E10" s="44"/>
      <c r="F10" s="80"/>
      <c r="G10" s="46">
        <v>48</v>
      </c>
      <c r="H10" s="46"/>
      <c r="I10" s="46"/>
      <c r="J10" s="44"/>
      <c r="K10" s="80"/>
      <c r="L10" s="46">
        <v>48</v>
      </c>
      <c r="M10" s="46"/>
      <c r="N10" s="46"/>
      <c r="O10" s="44"/>
    </row>
    <row r="11" spans="1:15" s="47" customFormat="1" x14ac:dyDescent="0.4">
      <c r="A11" s="80"/>
      <c r="B11" s="46">
        <v>54</v>
      </c>
      <c r="C11" s="46"/>
      <c r="D11" s="46"/>
      <c r="E11" s="44"/>
      <c r="F11" s="80"/>
      <c r="G11" s="46">
        <v>54</v>
      </c>
      <c r="H11" s="46"/>
      <c r="I11" s="46"/>
      <c r="J11" s="44"/>
      <c r="K11" s="80"/>
      <c r="L11" s="46">
        <v>54</v>
      </c>
      <c r="M11" s="46"/>
      <c r="N11" s="46"/>
      <c r="O11" s="44"/>
    </row>
    <row r="12" spans="1:15" x14ac:dyDescent="0.4">
      <c r="A12" s="80" t="s">
        <v>90</v>
      </c>
      <c r="B12" s="46" t="s">
        <v>96</v>
      </c>
      <c r="C12" s="35"/>
      <c r="D12" s="35"/>
      <c r="E12" s="35"/>
      <c r="F12" s="80" t="s">
        <v>90</v>
      </c>
      <c r="G12" s="46" t="s">
        <v>96</v>
      </c>
      <c r="H12" s="35"/>
      <c r="I12" s="35"/>
      <c r="J12" s="35"/>
      <c r="K12" s="80" t="s">
        <v>90</v>
      </c>
      <c r="L12" s="25" t="s">
        <v>96</v>
      </c>
      <c r="M12" s="43"/>
      <c r="N12" s="43"/>
      <c r="O12" s="43"/>
    </row>
    <row r="13" spans="1:15" x14ac:dyDescent="0.4">
      <c r="A13" s="80"/>
      <c r="B13" s="46" t="s">
        <v>93</v>
      </c>
      <c r="C13" s="35"/>
      <c r="D13" s="35"/>
      <c r="E13" s="35"/>
      <c r="F13" s="80"/>
      <c r="G13" s="46" t="s">
        <v>93</v>
      </c>
      <c r="H13" s="35"/>
      <c r="I13" s="35"/>
      <c r="J13" s="35"/>
      <c r="K13" s="80"/>
      <c r="L13" s="25" t="s">
        <v>93</v>
      </c>
      <c r="M13" s="43"/>
      <c r="N13" s="43"/>
      <c r="O13" s="43"/>
    </row>
    <row r="14" spans="1:15" x14ac:dyDescent="0.4">
      <c r="A14" s="80"/>
      <c r="B14" s="46" t="s">
        <v>92</v>
      </c>
      <c r="C14" s="35"/>
      <c r="D14" s="35"/>
      <c r="E14" s="35"/>
      <c r="F14" s="80"/>
      <c r="G14" s="46" t="s">
        <v>92</v>
      </c>
      <c r="H14" s="35"/>
      <c r="I14" s="35"/>
      <c r="J14" s="35"/>
      <c r="K14" s="80"/>
      <c r="L14" s="25" t="s">
        <v>92</v>
      </c>
      <c r="M14" s="43"/>
      <c r="N14" s="43"/>
      <c r="O14" s="43"/>
    </row>
    <row r="15" spans="1:15" x14ac:dyDescent="0.4">
      <c r="A15" s="80"/>
      <c r="B15" s="46" t="s">
        <v>94</v>
      </c>
      <c r="C15" s="35"/>
      <c r="D15" s="35"/>
      <c r="E15" s="35"/>
      <c r="F15" s="80"/>
      <c r="G15" s="46" t="s">
        <v>94</v>
      </c>
      <c r="H15" s="35"/>
      <c r="I15" s="35"/>
      <c r="J15" s="35"/>
      <c r="K15" s="80"/>
      <c r="L15" s="25" t="s">
        <v>94</v>
      </c>
      <c r="M15" s="43"/>
      <c r="N15" s="43"/>
      <c r="O15" s="43"/>
    </row>
    <row r="16" spans="1:15" x14ac:dyDescent="0.4">
      <c r="A16" s="80" t="s">
        <v>95</v>
      </c>
      <c r="B16" s="46" t="s">
        <v>97</v>
      </c>
      <c r="C16" s="35"/>
      <c r="D16" s="35"/>
      <c r="E16" s="35"/>
      <c r="F16" s="80" t="s">
        <v>95</v>
      </c>
      <c r="G16" s="46" t="s">
        <v>97</v>
      </c>
      <c r="H16" s="35"/>
      <c r="I16" s="35"/>
      <c r="J16" s="35"/>
      <c r="K16" s="80" t="s">
        <v>95</v>
      </c>
      <c r="L16" s="46" t="s">
        <v>97</v>
      </c>
      <c r="M16" s="35"/>
      <c r="N16" s="35"/>
      <c r="O16" s="35"/>
    </row>
    <row r="17" spans="1:15" x14ac:dyDescent="0.4">
      <c r="A17" s="80"/>
      <c r="B17" s="46" t="s">
        <v>98</v>
      </c>
      <c r="C17" s="35"/>
      <c r="D17" s="35"/>
      <c r="E17" s="35"/>
      <c r="F17" s="80"/>
      <c r="G17" s="46" t="s">
        <v>98</v>
      </c>
      <c r="H17" s="35"/>
      <c r="I17" s="35"/>
      <c r="J17" s="35"/>
      <c r="K17" s="80"/>
      <c r="L17" s="46" t="s">
        <v>98</v>
      </c>
      <c r="M17" s="35"/>
      <c r="N17" s="35"/>
      <c r="O17" s="35"/>
    </row>
    <row r="18" spans="1:15" x14ac:dyDescent="0.4">
      <c r="A18" s="80"/>
      <c r="B18" s="46" t="s">
        <v>99</v>
      </c>
      <c r="C18" s="35"/>
      <c r="D18" s="35"/>
      <c r="E18" s="35"/>
      <c r="F18" s="80"/>
      <c r="G18" s="46" t="s">
        <v>99</v>
      </c>
      <c r="H18" s="35"/>
      <c r="I18" s="35"/>
      <c r="J18" s="35"/>
      <c r="K18" s="80"/>
      <c r="L18" s="46" t="s">
        <v>99</v>
      </c>
      <c r="M18" s="35"/>
      <c r="N18" s="35"/>
      <c r="O18" s="35"/>
    </row>
    <row r="19" spans="1:15" x14ac:dyDescent="0.4">
      <c r="A19" s="80"/>
      <c r="B19" s="46" t="s">
        <v>100</v>
      </c>
      <c r="C19" s="35"/>
      <c r="D19" s="35"/>
      <c r="E19" s="35"/>
      <c r="F19" s="80"/>
      <c r="G19" s="46" t="s">
        <v>100</v>
      </c>
      <c r="H19" s="35"/>
      <c r="I19" s="35"/>
      <c r="J19" s="35"/>
      <c r="K19" s="80"/>
      <c r="L19" s="46" t="s">
        <v>100</v>
      </c>
      <c r="M19" s="35"/>
      <c r="N19" s="35"/>
      <c r="O19" s="35"/>
    </row>
    <row r="20" spans="1:15" x14ac:dyDescent="0.4">
      <c r="A20" s="80"/>
      <c r="B20" s="46" t="s">
        <v>101</v>
      </c>
      <c r="C20" s="35"/>
      <c r="D20" s="35"/>
      <c r="E20" s="35"/>
      <c r="F20" s="80"/>
      <c r="G20" s="46" t="s">
        <v>101</v>
      </c>
      <c r="H20" s="35"/>
      <c r="I20" s="35"/>
      <c r="J20" s="35"/>
      <c r="K20" s="80"/>
      <c r="L20" s="46" t="s">
        <v>101</v>
      </c>
      <c r="M20" s="35"/>
      <c r="N20" s="35"/>
      <c r="O20" s="35"/>
    </row>
    <row r="21" spans="1:15" x14ac:dyDescent="0.4">
      <c r="A21" s="80"/>
      <c r="B21" s="46" t="s">
        <v>102</v>
      </c>
      <c r="C21" s="35"/>
      <c r="D21" s="35"/>
      <c r="E21" s="35"/>
      <c r="F21" s="80"/>
      <c r="G21" s="46" t="s">
        <v>102</v>
      </c>
      <c r="H21" s="35"/>
      <c r="I21" s="35"/>
      <c r="J21" s="35"/>
      <c r="K21" s="80"/>
      <c r="L21" s="46" t="s">
        <v>102</v>
      </c>
      <c r="M21" s="35"/>
      <c r="N21" s="35"/>
      <c r="O21" s="35"/>
    </row>
    <row r="22" spans="1:15" x14ac:dyDescent="0.4">
      <c r="A22" s="80"/>
      <c r="B22" s="46" t="s">
        <v>103</v>
      </c>
      <c r="C22" s="35"/>
      <c r="D22" s="35"/>
      <c r="E22" s="35"/>
      <c r="F22" s="80"/>
      <c r="G22" s="46" t="s">
        <v>103</v>
      </c>
      <c r="H22" s="35"/>
      <c r="I22" s="35"/>
      <c r="J22" s="35"/>
      <c r="K22" s="80"/>
      <c r="L22" s="46" t="s">
        <v>103</v>
      </c>
      <c r="M22" s="35"/>
      <c r="N22" s="35"/>
      <c r="O22" s="35"/>
    </row>
    <row r="23" spans="1:15" x14ac:dyDescent="0.4">
      <c r="A23" s="80"/>
      <c r="B23" s="46" t="s">
        <v>104</v>
      </c>
      <c r="C23" s="35"/>
      <c r="D23" s="35"/>
      <c r="E23" s="35"/>
      <c r="F23" s="80"/>
      <c r="G23" s="46" t="s">
        <v>104</v>
      </c>
      <c r="H23" s="35"/>
      <c r="I23" s="35"/>
      <c r="J23" s="35"/>
      <c r="K23" s="80"/>
      <c r="L23" s="46" t="s">
        <v>104</v>
      </c>
      <c r="M23" s="35"/>
      <c r="N23" s="35"/>
      <c r="O23" s="35"/>
    </row>
    <row r="24" spans="1:15" x14ac:dyDescent="0.4">
      <c r="A24" s="80" t="s">
        <v>105</v>
      </c>
      <c r="B24" s="46" t="s">
        <v>122</v>
      </c>
      <c r="C24" s="35"/>
      <c r="D24" s="35"/>
      <c r="E24" s="35"/>
      <c r="F24" s="80" t="s">
        <v>105</v>
      </c>
      <c r="G24" s="46" t="s">
        <v>122</v>
      </c>
      <c r="H24" s="35"/>
      <c r="I24" s="35"/>
      <c r="J24" s="35"/>
      <c r="K24" s="80" t="s">
        <v>105</v>
      </c>
      <c r="L24" s="46" t="s">
        <v>122</v>
      </c>
      <c r="M24" s="35"/>
      <c r="N24" s="35"/>
      <c r="O24" s="35"/>
    </row>
    <row r="25" spans="1:15" x14ac:dyDescent="0.4">
      <c r="A25" s="80"/>
      <c r="B25" s="46" t="s">
        <v>123</v>
      </c>
      <c r="C25" s="35"/>
      <c r="D25" s="35"/>
      <c r="E25" s="35"/>
      <c r="F25" s="80"/>
      <c r="G25" s="46" t="s">
        <v>123</v>
      </c>
      <c r="H25" s="35"/>
      <c r="I25" s="35"/>
      <c r="J25" s="35"/>
      <c r="K25" s="80"/>
      <c r="L25" s="46" t="s">
        <v>123</v>
      </c>
      <c r="M25" s="35"/>
      <c r="N25" s="35"/>
      <c r="O25" s="35"/>
    </row>
    <row r="26" spans="1:15" x14ac:dyDescent="0.4">
      <c r="A26" s="80"/>
      <c r="B26" s="46" t="s">
        <v>124</v>
      </c>
      <c r="C26" s="35"/>
      <c r="D26" s="35"/>
      <c r="E26" s="35"/>
      <c r="F26" s="80"/>
      <c r="G26" s="46" t="s">
        <v>124</v>
      </c>
      <c r="H26" s="35"/>
      <c r="I26" s="35"/>
      <c r="J26" s="35"/>
      <c r="K26" s="80"/>
      <c r="L26" s="46" t="s">
        <v>124</v>
      </c>
      <c r="M26" s="35"/>
      <c r="N26" s="35"/>
      <c r="O26" s="35"/>
    </row>
    <row r="27" spans="1:15" x14ac:dyDescent="0.4">
      <c r="A27" s="80"/>
      <c r="B27" s="46" t="s">
        <v>125</v>
      </c>
      <c r="C27" s="35"/>
      <c r="D27" s="35"/>
      <c r="E27" s="35"/>
      <c r="F27" s="80"/>
      <c r="G27" s="46" t="s">
        <v>125</v>
      </c>
      <c r="H27" s="35"/>
      <c r="I27" s="35"/>
      <c r="J27" s="35"/>
      <c r="K27" s="80"/>
      <c r="L27" s="46" t="s">
        <v>125</v>
      </c>
      <c r="M27" s="35"/>
      <c r="N27" s="35"/>
      <c r="O27" s="35"/>
    </row>
    <row r="28" spans="1:15" x14ac:dyDescent="0.4">
      <c r="A28" s="80"/>
      <c r="B28" s="46" t="s">
        <v>126</v>
      </c>
      <c r="C28" s="35"/>
      <c r="D28" s="35"/>
      <c r="E28" s="35"/>
      <c r="F28" s="80"/>
      <c r="G28" s="46" t="s">
        <v>126</v>
      </c>
      <c r="H28" s="35"/>
      <c r="I28" s="35"/>
      <c r="J28" s="35"/>
      <c r="K28" s="80"/>
      <c r="L28" s="46" t="s">
        <v>126</v>
      </c>
      <c r="M28" s="35"/>
      <c r="N28" s="35"/>
      <c r="O28" s="35"/>
    </row>
    <row r="29" spans="1:15" x14ac:dyDescent="0.4">
      <c r="A29" s="80"/>
      <c r="B29" s="46" t="s">
        <v>127</v>
      </c>
      <c r="C29" s="35"/>
      <c r="D29" s="35"/>
      <c r="E29" s="35"/>
      <c r="F29" s="80"/>
      <c r="G29" s="46" t="s">
        <v>127</v>
      </c>
      <c r="H29" s="35"/>
      <c r="I29" s="35"/>
      <c r="J29" s="35"/>
      <c r="K29" s="80"/>
      <c r="L29" s="46" t="s">
        <v>127</v>
      </c>
      <c r="M29" s="35"/>
      <c r="N29" s="35"/>
      <c r="O29" s="35"/>
    </row>
    <row r="30" spans="1:15" x14ac:dyDescent="0.4">
      <c r="A30" s="80"/>
      <c r="B30" s="46" t="s">
        <v>128</v>
      </c>
      <c r="C30" s="35"/>
      <c r="D30" s="35"/>
      <c r="E30" s="35"/>
      <c r="F30" s="80"/>
      <c r="G30" s="46" t="s">
        <v>128</v>
      </c>
      <c r="H30" s="35"/>
      <c r="I30" s="35"/>
      <c r="J30" s="35"/>
      <c r="K30" s="80"/>
      <c r="L30" s="46" t="s">
        <v>128</v>
      </c>
      <c r="M30" s="35"/>
      <c r="N30" s="35"/>
      <c r="O30" s="35"/>
    </row>
    <row r="31" spans="1:15" x14ac:dyDescent="0.4">
      <c r="A31" s="80"/>
      <c r="B31" s="46" t="s">
        <v>129</v>
      </c>
      <c r="C31" s="35"/>
      <c r="D31" s="35"/>
      <c r="E31" s="35"/>
      <c r="F31" s="80"/>
      <c r="G31" s="46" t="s">
        <v>129</v>
      </c>
      <c r="H31" s="35"/>
      <c r="I31" s="35"/>
      <c r="J31" s="35"/>
      <c r="K31" s="80"/>
      <c r="L31" s="46" t="s">
        <v>129</v>
      </c>
      <c r="M31" s="35"/>
      <c r="N31" s="35"/>
      <c r="O31" s="35"/>
    </row>
    <row r="32" spans="1:15" x14ac:dyDescent="0.4">
      <c r="A32" s="80"/>
      <c r="B32" s="34" t="s">
        <v>134</v>
      </c>
      <c r="C32" s="45"/>
      <c r="D32" s="45"/>
      <c r="E32" s="45"/>
      <c r="F32" s="80"/>
      <c r="G32" s="34" t="s">
        <v>134</v>
      </c>
      <c r="H32" s="45"/>
      <c r="I32" s="45"/>
      <c r="J32" s="45"/>
      <c r="K32" s="80"/>
      <c r="L32" s="25" t="s">
        <v>134</v>
      </c>
      <c r="M32" s="43"/>
      <c r="N32" s="43"/>
      <c r="O32" s="43"/>
    </row>
    <row r="33" spans="1:15" x14ac:dyDescent="0.4">
      <c r="A33" s="80"/>
      <c r="B33" s="34" t="s">
        <v>135</v>
      </c>
      <c r="C33" s="45"/>
      <c r="D33" s="45"/>
      <c r="E33" s="45"/>
      <c r="F33" s="80"/>
      <c r="G33" s="34" t="s">
        <v>135</v>
      </c>
      <c r="H33" s="45"/>
      <c r="I33" s="45"/>
      <c r="J33" s="45"/>
      <c r="K33" s="80"/>
      <c r="L33" s="25" t="s">
        <v>135</v>
      </c>
      <c r="M33" s="43"/>
      <c r="N33" s="43"/>
      <c r="O33" s="43"/>
    </row>
    <row r="34" spans="1:15" x14ac:dyDescent="0.4">
      <c r="A34" s="80"/>
      <c r="B34" s="34" t="s">
        <v>136</v>
      </c>
      <c r="C34" s="45"/>
      <c r="D34" s="45"/>
      <c r="E34" s="45"/>
      <c r="F34" s="80"/>
      <c r="G34" s="34" t="s">
        <v>136</v>
      </c>
      <c r="H34" s="45"/>
      <c r="I34" s="45"/>
      <c r="J34" s="45"/>
      <c r="K34" s="80"/>
      <c r="L34" s="25" t="s">
        <v>136</v>
      </c>
      <c r="M34" s="43"/>
      <c r="N34" s="43"/>
      <c r="O34" s="43"/>
    </row>
    <row r="35" spans="1:15" x14ac:dyDescent="0.4">
      <c r="A35" s="80"/>
      <c r="B35" s="34" t="s">
        <v>137</v>
      </c>
      <c r="C35" s="45"/>
      <c r="D35" s="45"/>
      <c r="E35" s="45"/>
      <c r="F35" s="80"/>
      <c r="G35" s="34" t="s">
        <v>137</v>
      </c>
      <c r="H35" s="45"/>
      <c r="I35" s="45"/>
      <c r="J35" s="45"/>
      <c r="K35" s="80"/>
      <c r="L35" s="25" t="s">
        <v>137</v>
      </c>
      <c r="M35" s="43"/>
      <c r="N35" s="43"/>
      <c r="O35" s="43"/>
    </row>
    <row r="36" spans="1:15" x14ac:dyDescent="0.4">
      <c r="A36" s="80"/>
      <c r="B36" s="34" t="s">
        <v>138</v>
      </c>
      <c r="C36" s="45"/>
      <c r="D36" s="45"/>
      <c r="E36" s="45"/>
      <c r="F36" s="80"/>
      <c r="G36" s="34" t="s">
        <v>138</v>
      </c>
      <c r="H36" s="45"/>
      <c r="I36" s="45"/>
      <c r="J36" s="45"/>
      <c r="K36" s="80"/>
      <c r="L36" s="25" t="s">
        <v>138</v>
      </c>
      <c r="M36" s="43"/>
      <c r="N36" s="43"/>
      <c r="O36" s="43"/>
    </row>
    <row r="37" spans="1:15" x14ac:dyDescent="0.4">
      <c r="A37" s="80"/>
      <c r="B37" s="34" t="s">
        <v>139</v>
      </c>
      <c r="C37" s="45"/>
      <c r="D37" s="45"/>
      <c r="E37" s="45"/>
      <c r="F37" s="80"/>
      <c r="G37" s="34" t="s">
        <v>139</v>
      </c>
      <c r="H37" s="45"/>
      <c r="I37" s="45"/>
      <c r="J37" s="45"/>
      <c r="K37" s="80"/>
      <c r="L37" s="25" t="s">
        <v>139</v>
      </c>
      <c r="M37" s="43"/>
      <c r="N37" s="43"/>
      <c r="O37" s="43"/>
    </row>
    <row r="38" spans="1:15" x14ac:dyDescent="0.4">
      <c r="A38" s="80"/>
      <c r="B38" s="34" t="s">
        <v>140</v>
      </c>
      <c r="C38" s="45"/>
      <c r="D38" s="45"/>
      <c r="E38" s="45"/>
      <c r="F38" s="80"/>
      <c r="G38" s="34" t="s">
        <v>140</v>
      </c>
      <c r="H38" s="45"/>
      <c r="I38" s="45"/>
      <c r="J38" s="45"/>
      <c r="K38" s="80"/>
      <c r="L38" s="25" t="s">
        <v>140</v>
      </c>
      <c r="M38" s="43"/>
      <c r="N38" s="43"/>
      <c r="O38" s="43"/>
    </row>
    <row r="39" spans="1:15" x14ac:dyDescent="0.4">
      <c r="A39" s="80"/>
      <c r="B39" s="34" t="s">
        <v>141</v>
      </c>
      <c r="C39" s="45"/>
      <c r="D39" s="45"/>
      <c r="E39" s="45"/>
      <c r="F39" s="80"/>
      <c r="G39" s="34" t="s">
        <v>141</v>
      </c>
      <c r="H39" s="45"/>
      <c r="I39" s="45"/>
      <c r="J39" s="45"/>
      <c r="K39" s="80"/>
      <c r="L39" s="25" t="s">
        <v>141</v>
      </c>
      <c r="M39" s="43"/>
      <c r="N39" s="43"/>
      <c r="O39" s="43"/>
    </row>
    <row r="40" spans="1:15" x14ac:dyDescent="0.4">
      <c r="A40" s="80" t="s">
        <v>114</v>
      </c>
      <c r="B40" s="46" t="s">
        <v>122</v>
      </c>
      <c r="C40" s="35"/>
      <c r="D40" s="35"/>
      <c r="E40" s="35"/>
      <c r="F40" s="80" t="s">
        <v>114</v>
      </c>
      <c r="G40" s="46" t="s">
        <v>122</v>
      </c>
      <c r="H40" s="35"/>
      <c r="I40" s="35"/>
      <c r="J40" s="35"/>
      <c r="K40" s="80" t="s">
        <v>114</v>
      </c>
      <c r="L40" s="46" t="s">
        <v>122</v>
      </c>
      <c r="M40" s="35"/>
      <c r="N40" s="35"/>
      <c r="O40" s="35"/>
    </row>
    <row r="41" spans="1:15" x14ac:dyDescent="0.4">
      <c r="A41" s="80"/>
      <c r="B41" s="46" t="s">
        <v>123</v>
      </c>
      <c r="C41" s="35"/>
      <c r="D41" s="35"/>
      <c r="E41" s="35"/>
      <c r="F41" s="80"/>
      <c r="G41" s="46" t="s">
        <v>123</v>
      </c>
      <c r="H41" s="35"/>
      <c r="I41" s="35"/>
      <c r="J41" s="35"/>
      <c r="K41" s="80"/>
      <c r="L41" s="46" t="s">
        <v>123</v>
      </c>
      <c r="M41" s="35"/>
      <c r="N41" s="35"/>
      <c r="O41" s="35"/>
    </row>
    <row r="42" spans="1:15" x14ac:dyDescent="0.4">
      <c r="A42" s="80"/>
      <c r="B42" s="46" t="s">
        <v>124</v>
      </c>
      <c r="C42" s="35"/>
      <c r="D42" s="35"/>
      <c r="E42" s="35"/>
      <c r="F42" s="80"/>
      <c r="G42" s="46" t="s">
        <v>124</v>
      </c>
      <c r="H42" s="35"/>
      <c r="I42" s="35"/>
      <c r="J42" s="35"/>
      <c r="K42" s="80"/>
      <c r="L42" s="46" t="s">
        <v>124</v>
      </c>
      <c r="M42" s="35"/>
      <c r="N42" s="35"/>
      <c r="O42" s="35"/>
    </row>
    <row r="43" spans="1:15" x14ac:dyDescent="0.4">
      <c r="A43" s="80"/>
      <c r="B43" s="46" t="s">
        <v>125</v>
      </c>
      <c r="C43" s="35"/>
      <c r="D43" s="35"/>
      <c r="E43" s="35"/>
      <c r="F43" s="80"/>
      <c r="G43" s="46" t="s">
        <v>125</v>
      </c>
      <c r="H43" s="35"/>
      <c r="I43" s="35"/>
      <c r="J43" s="35"/>
      <c r="K43" s="80"/>
      <c r="L43" s="46" t="s">
        <v>125</v>
      </c>
      <c r="M43" s="35"/>
      <c r="N43" s="35"/>
      <c r="O43" s="35"/>
    </row>
    <row r="44" spans="1:15" x14ac:dyDescent="0.4">
      <c r="A44" s="80"/>
      <c r="B44" s="46" t="s">
        <v>126</v>
      </c>
      <c r="C44" s="35"/>
      <c r="D44" s="35"/>
      <c r="E44" s="35"/>
      <c r="F44" s="80"/>
      <c r="G44" s="46" t="s">
        <v>126</v>
      </c>
      <c r="H44" s="35"/>
      <c r="I44" s="35"/>
      <c r="J44" s="35"/>
      <c r="K44" s="80"/>
      <c r="L44" s="46" t="s">
        <v>126</v>
      </c>
      <c r="M44" s="35"/>
      <c r="N44" s="35"/>
      <c r="O44" s="35"/>
    </row>
    <row r="45" spans="1:15" x14ac:dyDescent="0.4">
      <c r="A45" s="80"/>
      <c r="B45" s="46" t="s">
        <v>127</v>
      </c>
      <c r="C45" s="35"/>
      <c r="D45" s="35"/>
      <c r="E45" s="35"/>
      <c r="F45" s="80"/>
      <c r="G45" s="46" t="s">
        <v>127</v>
      </c>
      <c r="H45" s="35"/>
      <c r="I45" s="35"/>
      <c r="J45" s="35"/>
      <c r="K45" s="80"/>
      <c r="L45" s="46" t="s">
        <v>127</v>
      </c>
      <c r="M45" s="35"/>
      <c r="N45" s="35"/>
      <c r="O45" s="35"/>
    </row>
    <row r="46" spans="1:15" x14ac:dyDescent="0.4">
      <c r="A46" s="80"/>
      <c r="B46" s="46" t="s">
        <v>128</v>
      </c>
      <c r="C46" s="35"/>
      <c r="D46" s="35"/>
      <c r="E46" s="35"/>
      <c r="F46" s="80"/>
      <c r="G46" s="46" t="s">
        <v>128</v>
      </c>
      <c r="H46" s="35"/>
      <c r="I46" s="35"/>
      <c r="J46" s="35"/>
      <c r="K46" s="80"/>
      <c r="L46" s="46" t="s">
        <v>128</v>
      </c>
      <c r="M46" s="35"/>
      <c r="N46" s="35"/>
      <c r="O46" s="35"/>
    </row>
    <row r="47" spans="1:15" x14ac:dyDescent="0.4">
      <c r="A47" s="80"/>
      <c r="B47" s="46" t="s">
        <v>129</v>
      </c>
      <c r="C47" s="35"/>
      <c r="D47" s="35"/>
      <c r="E47" s="35"/>
      <c r="F47" s="80"/>
      <c r="G47" s="46" t="s">
        <v>129</v>
      </c>
      <c r="H47" s="35"/>
      <c r="I47" s="35"/>
      <c r="J47" s="35"/>
      <c r="K47" s="80"/>
      <c r="L47" s="46" t="s">
        <v>129</v>
      </c>
      <c r="M47" s="35"/>
      <c r="N47" s="35"/>
      <c r="O47" s="35"/>
    </row>
    <row r="48" spans="1:15" x14ac:dyDescent="0.4">
      <c r="A48" s="80"/>
      <c r="B48" s="34" t="s">
        <v>134</v>
      </c>
      <c r="C48" s="45"/>
      <c r="D48" s="45"/>
      <c r="E48" s="45"/>
      <c r="F48" s="80"/>
      <c r="G48" s="34" t="s">
        <v>134</v>
      </c>
      <c r="H48" s="45"/>
      <c r="I48" s="45"/>
      <c r="J48" s="45"/>
      <c r="K48" s="80"/>
      <c r="L48" s="25" t="s">
        <v>134</v>
      </c>
      <c r="M48" s="43"/>
      <c r="N48" s="43"/>
      <c r="O48" s="43"/>
    </row>
    <row r="49" spans="1:15" x14ac:dyDescent="0.4">
      <c r="A49" s="80"/>
      <c r="B49" s="34" t="s">
        <v>135</v>
      </c>
      <c r="C49" s="45"/>
      <c r="D49" s="45"/>
      <c r="E49" s="45"/>
      <c r="F49" s="80"/>
      <c r="G49" s="34" t="s">
        <v>135</v>
      </c>
      <c r="H49" s="45"/>
      <c r="I49" s="45"/>
      <c r="J49" s="45"/>
      <c r="K49" s="80"/>
      <c r="L49" s="25" t="s">
        <v>135</v>
      </c>
      <c r="M49" s="43"/>
      <c r="N49" s="43"/>
      <c r="O49" s="43"/>
    </row>
    <row r="50" spans="1:15" x14ac:dyDescent="0.4">
      <c r="A50" s="80"/>
      <c r="B50" s="34" t="s">
        <v>136</v>
      </c>
      <c r="C50" s="45"/>
      <c r="D50" s="45"/>
      <c r="E50" s="45"/>
      <c r="F50" s="80"/>
      <c r="G50" s="34" t="s">
        <v>136</v>
      </c>
      <c r="H50" s="45"/>
      <c r="I50" s="45"/>
      <c r="J50" s="45"/>
      <c r="K50" s="80"/>
      <c r="L50" s="25" t="s">
        <v>136</v>
      </c>
      <c r="M50" s="43"/>
      <c r="N50" s="43"/>
      <c r="O50" s="43"/>
    </row>
    <row r="51" spans="1:15" x14ac:dyDescent="0.4">
      <c r="A51" s="80"/>
      <c r="B51" s="34" t="s">
        <v>137</v>
      </c>
      <c r="C51" s="45"/>
      <c r="D51" s="45"/>
      <c r="E51" s="45"/>
      <c r="F51" s="80"/>
      <c r="G51" s="34" t="s">
        <v>137</v>
      </c>
      <c r="H51" s="45"/>
      <c r="I51" s="45"/>
      <c r="J51" s="45"/>
      <c r="K51" s="80"/>
      <c r="L51" s="25" t="s">
        <v>137</v>
      </c>
      <c r="M51" s="43"/>
      <c r="N51" s="43"/>
      <c r="O51" s="43"/>
    </row>
    <row r="52" spans="1:15" x14ac:dyDescent="0.4">
      <c r="A52" s="80"/>
      <c r="B52" s="34" t="s">
        <v>138</v>
      </c>
      <c r="C52" s="45"/>
      <c r="D52" s="45"/>
      <c r="E52" s="45"/>
      <c r="F52" s="80"/>
      <c r="G52" s="34" t="s">
        <v>138</v>
      </c>
      <c r="H52" s="45"/>
      <c r="I52" s="45"/>
      <c r="J52" s="45"/>
      <c r="K52" s="80"/>
      <c r="L52" s="25" t="s">
        <v>138</v>
      </c>
      <c r="M52" s="43"/>
      <c r="N52" s="43"/>
      <c r="O52" s="43"/>
    </row>
    <row r="53" spans="1:15" x14ac:dyDescent="0.4">
      <c r="A53" s="80"/>
      <c r="B53" s="34" t="s">
        <v>139</v>
      </c>
      <c r="C53" s="45"/>
      <c r="D53" s="45"/>
      <c r="E53" s="45"/>
      <c r="F53" s="80"/>
      <c r="G53" s="34" t="s">
        <v>139</v>
      </c>
      <c r="H53" s="45"/>
      <c r="I53" s="45"/>
      <c r="J53" s="45"/>
      <c r="K53" s="80"/>
      <c r="L53" s="25" t="s">
        <v>139</v>
      </c>
      <c r="M53" s="43"/>
      <c r="N53" s="43"/>
      <c r="O53" s="43"/>
    </row>
    <row r="54" spans="1:15" x14ac:dyDescent="0.4">
      <c r="A54" s="80"/>
      <c r="B54" s="34" t="s">
        <v>140</v>
      </c>
      <c r="C54" s="45"/>
      <c r="D54" s="45"/>
      <c r="E54" s="45"/>
      <c r="F54" s="80"/>
      <c r="G54" s="34" t="s">
        <v>140</v>
      </c>
      <c r="H54" s="45"/>
      <c r="I54" s="45"/>
      <c r="J54" s="45"/>
      <c r="K54" s="80"/>
      <c r="L54" s="25" t="s">
        <v>140</v>
      </c>
      <c r="M54" s="43"/>
      <c r="N54" s="43"/>
      <c r="O54" s="43"/>
    </row>
    <row r="55" spans="1:15" x14ac:dyDescent="0.4">
      <c r="A55" s="80"/>
      <c r="B55" s="34" t="s">
        <v>141</v>
      </c>
      <c r="C55" s="45"/>
      <c r="D55" s="45"/>
      <c r="E55" s="45"/>
      <c r="F55" s="80"/>
      <c r="G55" s="34" t="s">
        <v>141</v>
      </c>
      <c r="H55" s="45"/>
      <c r="I55" s="45"/>
      <c r="J55" s="45"/>
      <c r="K55" s="80"/>
      <c r="L55" s="25" t="s">
        <v>141</v>
      </c>
      <c r="M55" s="43"/>
      <c r="N55" s="43"/>
      <c r="O55" s="43"/>
    </row>
    <row r="56" spans="1:15" x14ac:dyDescent="0.4">
      <c r="A56" s="80" t="s">
        <v>131</v>
      </c>
      <c r="B56" s="46" t="s">
        <v>106</v>
      </c>
      <c r="C56" s="35"/>
      <c r="D56" s="35"/>
      <c r="E56" s="35"/>
      <c r="F56" s="80" t="s">
        <v>131</v>
      </c>
      <c r="G56" s="46" t="s">
        <v>106</v>
      </c>
      <c r="H56" s="35"/>
      <c r="I56" s="35"/>
      <c r="J56" s="35"/>
      <c r="K56" s="80" t="s">
        <v>131</v>
      </c>
      <c r="L56" s="25" t="s">
        <v>106</v>
      </c>
      <c r="M56" s="43"/>
      <c r="N56" s="43"/>
      <c r="O56" s="43"/>
    </row>
    <row r="57" spans="1:15" x14ac:dyDescent="0.4">
      <c r="A57" s="80"/>
      <c r="B57" s="46" t="s">
        <v>107</v>
      </c>
      <c r="C57" s="35"/>
      <c r="D57" s="35"/>
      <c r="E57" s="35"/>
      <c r="F57" s="80"/>
      <c r="G57" s="46" t="s">
        <v>107</v>
      </c>
      <c r="H57" s="35"/>
      <c r="I57" s="35"/>
      <c r="J57" s="35"/>
      <c r="K57" s="80"/>
      <c r="L57" s="25" t="s">
        <v>107</v>
      </c>
      <c r="M57" s="43"/>
      <c r="N57" s="43"/>
      <c r="O57" s="43"/>
    </row>
    <row r="58" spans="1:15" x14ac:dyDescent="0.4">
      <c r="A58" s="80"/>
      <c r="B58" s="46" t="s">
        <v>108</v>
      </c>
      <c r="C58" s="35"/>
      <c r="D58" s="35"/>
      <c r="E58" s="35"/>
      <c r="F58" s="80"/>
      <c r="G58" s="46" t="s">
        <v>108</v>
      </c>
      <c r="H58" s="35"/>
      <c r="I58" s="35"/>
      <c r="J58" s="35"/>
      <c r="K58" s="80"/>
      <c r="L58" s="25" t="s">
        <v>108</v>
      </c>
      <c r="M58" s="43"/>
      <c r="N58" s="43"/>
      <c r="O58" s="43"/>
    </row>
    <row r="59" spans="1:15" x14ac:dyDescent="0.4">
      <c r="A59" s="80"/>
      <c r="B59" s="46" t="s">
        <v>109</v>
      </c>
      <c r="C59" s="35"/>
      <c r="D59" s="35"/>
      <c r="E59" s="35"/>
      <c r="F59" s="80"/>
      <c r="G59" s="46" t="s">
        <v>109</v>
      </c>
      <c r="H59" s="35"/>
      <c r="I59" s="35"/>
      <c r="J59" s="35"/>
      <c r="K59" s="80"/>
      <c r="L59" s="25" t="s">
        <v>109</v>
      </c>
      <c r="M59" s="43"/>
      <c r="N59" s="43"/>
      <c r="O59" s="43"/>
    </row>
    <row r="60" spans="1:15" x14ac:dyDescent="0.4">
      <c r="A60" s="80"/>
      <c r="B60" s="46" t="s">
        <v>110</v>
      </c>
      <c r="C60" s="35"/>
      <c r="D60" s="35"/>
      <c r="E60" s="35"/>
      <c r="F60" s="80"/>
      <c r="G60" s="46" t="s">
        <v>110</v>
      </c>
      <c r="H60" s="35"/>
      <c r="I60" s="35"/>
      <c r="J60" s="35"/>
      <c r="K60" s="80"/>
      <c r="L60" s="46" t="s">
        <v>110</v>
      </c>
      <c r="M60" s="35"/>
      <c r="N60" s="35"/>
      <c r="O60" s="35"/>
    </row>
    <row r="61" spans="1:15" x14ac:dyDescent="0.4">
      <c r="A61" s="80"/>
      <c r="B61" s="46" t="s">
        <v>111</v>
      </c>
      <c r="C61" s="35"/>
      <c r="D61" s="35"/>
      <c r="E61" s="35"/>
      <c r="F61" s="80"/>
      <c r="G61" s="46" t="s">
        <v>111</v>
      </c>
      <c r="H61" s="35"/>
      <c r="I61" s="35"/>
      <c r="J61" s="35"/>
      <c r="K61" s="80"/>
      <c r="L61" s="46" t="s">
        <v>111</v>
      </c>
      <c r="M61" s="35"/>
      <c r="N61" s="35"/>
      <c r="O61" s="35"/>
    </row>
    <row r="62" spans="1:15" x14ac:dyDescent="0.4">
      <c r="A62" s="80"/>
      <c r="B62" s="46" t="s">
        <v>112</v>
      </c>
      <c r="C62" s="35"/>
      <c r="D62" s="35"/>
      <c r="E62" s="35"/>
      <c r="F62" s="80"/>
      <c r="G62" s="46" t="s">
        <v>112</v>
      </c>
      <c r="H62" s="35"/>
      <c r="I62" s="35"/>
      <c r="J62" s="35"/>
      <c r="K62" s="80"/>
      <c r="L62" s="46" t="s">
        <v>112</v>
      </c>
      <c r="M62" s="35"/>
      <c r="N62" s="35"/>
      <c r="O62" s="35"/>
    </row>
    <row r="63" spans="1:15" x14ac:dyDescent="0.4">
      <c r="A63" s="80"/>
      <c r="B63" s="46" t="s">
        <v>113</v>
      </c>
      <c r="C63" s="35"/>
      <c r="D63" s="35"/>
      <c r="E63" s="35"/>
      <c r="F63" s="80"/>
      <c r="G63" s="46" t="s">
        <v>113</v>
      </c>
      <c r="H63" s="35"/>
      <c r="I63" s="35"/>
      <c r="J63" s="35"/>
      <c r="K63" s="80"/>
      <c r="L63" s="46" t="s">
        <v>113</v>
      </c>
      <c r="M63" s="35"/>
      <c r="N63" s="35"/>
      <c r="O63" s="35"/>
    </row>
    <row r="64" spans="1:15" x14ac:dyDescent="0.4">
      <c r="A64" s="80"/>
      <c r="B64" s="46" t="s">
        <v>115</v>
      </c>
      <c r="C64" s="35"/>
      <c r="D64" s="35"/>
      <c r="E64" s="35"/>
      <c r="F64" s="80"/>
      <c r="G64" s="46" t="s">
        <v>115</v>
      </c>
      <c r="H64" s="35"/>
      <c r="I64" s="35"/>
      <c r="J64" s="35"/>
      <c r="K64" s="80"/>
      <c r="L64" s="46" t="s">
        <v>115</v>
      </c>
      <c r="M64" s="35"/>
      <c r="N64" s="35"/>
      <c r="O64" s="35"/>
    </row>
    <row r="65" spans="1:15" x14ac:dyDescent="0.4">
      <c r="A65" s="80" t="s">
        <v>132</v>
      </c>
      <c r="B65" s="46" t="s">
        <v>106</v>
      </c>
      <c r="C65" s="35"/>
      <c r="D65" s="35"/>
      <c r="E65" s="35"/>
      <c r="F65" s="80" t="s">
        <v>132</v>
      </c>
      <c r="G65" s="46" t="s">
        <v>106</v>
      </c>
      <c r="H65" s="35"/>
      <c r="I65" s="35"/>
      <c r="J65" s="35"/>
      <c r="K65" s="80" t="s">
        <v>132</v>
      </c>
      <c r="L65" s="46" t="s">
        <v>106</v>
      </c>
      <c r="M65" s="35"/>
      <c r="N65" s="35"/>
      <c r="O65" s="35"/>
    </row>
    <row r="66" spans="1:15" x14ac:dyDescent="0.4">
      <c r="A66" s="80"/>
      <c r="B66" s="46" t="s">
        <v>107</v>
      </c>
      <c r="C66" s="35"/>
      <c r="D66" s="35"/>
      <c r="E66" s="35"/>
      <c r="F66" s="80"/>
      <c r="G66" s="46" t="s">
        <v>107</v>
      </c>
      <c r="H66" s="35"/>
      <c r="I66" s="35"/>
      <c r="J66" s="35"/>
      <c r="K66" s="80"/>
      <c r="L66" s="46" t="s">
        <v>107</v>
      </c>
      <c r="M66" s="35"/>
      <c r="N66" s="35"/>
      <c r="O66" s="35"/>
    </row>
    <row r="67" spans="1:15" x14ac:dyDescent="0.4">
      <c r="A67" s="80"/>
      <c r="B67" s="46" t="s">
        <v>108</v>
      </c>
      <c r="C67" s="35"/>
      <c r="D67" s="35"/>
      <c r="E67" s="35"/>
      <c r="F67" s="80"/>
      <c r="G67" s="46" t="s">
        <v>108</v>
      </c>
      <c r="H67" s="35"/>
      <c r="I67" s="35"/>
      <c r="J67" s="35"/>
      <c r="K67" s="80"/>
      <c r="L67" s="46" t="s">
        <v>108</v>
      </c>
      <c r="M67" s="35"/>
      <c r="N67" s="35"/>
      <c r="O67" s="35"/>
    </row>
    <row r="68" spans="1:15" x14ac:dyDescent="0.4">
      <c r="A68" s="80"/>
      <c r="B68" s="46" t="s">
        <v>109</v>
      </c>
      <c r="C68" s="35"/>
      <c r="D68" s="35"/>
      <c r="E68" s="35"/>
      <c r="F68" s="80"/>
      <c r="G68" s="46" t="s">
        <v>109</v>
      </c>
      <c r="H68" s="35"/>
      <c r="I68" s="35"/>
      <c r="J68" s="35"/>
      <c r="K68" s="80"/>
      <c r="L68" s="46" t="s">
        <v>109</v>
      </c>
      <c r="M68" s="35"/>
      <c r="N68" s="35"/>
      <c r="O68" s="35"/>
    </row>
    <row r="69" spans="1:15" x14ac:dyDescent="0.4">
      <c r="A69" s="80"/>
      <c r="B69" s="46" t="s">
        <v>110</v>
      </c>
      <c r="C69" s="35"/>
      <c r="D69" s="35"/>
      <c r="E69" s="35"/>
      <c r="F69" s="80"/>
      <c r="G69" s="46" t="s">
        <v>110</v>
      </c>
      <c r="H69" s="35"/>
      <c r="I69" s="35"/>
      <c r="J69" s="35"/>
      <c r="K69" s="80"/>
      <c r="L69" s="46" t="s">
        <v>110</v>
      </c>
      <c r="M69" s="35"/>
      <c r="N69" s="35"/>
      <c r="O69" s="35"/>
    </row>
    <row r="70" spans="1:15" x14ac:dyDescent="0.4">
      <c r="A70" s="80"/>
      <c r="B70" s="46" t="s">
        <v>111</v>
      </c>
      <c r="C70" s="35"/>
      <c r="D70" s="35"/>
      <c r="E70" s="35"/>
      <c r="F70" s="80"/>
      <c r="G70" s="46" t="s">
        <v>111</v>
      </c>
      <c r="H70" s="35"/>
      <c r="I70" s="35"/>
      <c r="J70" s="35"/>
      <c r="K70" s="80"/>
      <c r="L70" s="46" t="s">
        <v>111</v>
      </c>
      <c r="M70" s="35"/>
      <c r="N70" s="35"/>
      <c r="O70" s="35"/>
    </row>
    <row r="71" spans="1:15" x14ac:dyDescent="0.4">
      <c r="A71" s="80"/>
      <c r="B71" s="46" t="s">
        <v>112</v>
      </c>
      <c r="C71" s="35"/>
      <c r="D71" s="35"/>
      <c r="E71" s="35"/>
      <c r="F71" s="80"/>
      <c r="G71" s="46" t="s">
        <v>112</v>
      </c>
      <c r="H71" s="35"/>
      <c r="I71" s="35"/>
      <c r="J71" s="35"/>
      <c r="K71" s="80"/>
      <c r="L71" s="46" t="s">
        <v>112</v>
      </c>
      <c r="M71" s="35"/>
      <c r="N71" s="35"/>
      <c r="O71" s="35"/>
    </row>
    <row r="72" spans="1:15" x14ac:dyDescent="0.4">
      <c r="A72" s="80"/>
      <c r="B72" s="46" t="s">
        <v>113</v>
      </c>
      <c r="C72" s="35"/>
      <c r="D72" s="35"/>
      <c r="E72" s="35"/>
      <c r="F72" s="80"/>
      <c r="G72" s="46" t="s">
        <v>113</v>
      </c>
      <c r="H72" s="35"/>
      <c r="I72" s="35"/>
      <c r="J72" s="35"/>
      <c r="K72" s="80"/>
      <c r="L72" s="46" t="s">
        <v>113</v>
      </c>
      <c r="M72" s="35"/>
      <c r="N72" s="35"/>
      <c r="O72" s="35"/>
    </row>
    <row r="73" spans="1:15" x14ac:dyDescent="0.4">
      <c r="A73" s="80"/>
      <c r="B73" s="46" t="s">
        <v>115</v>
      </c>
      <c r="C73" s="35"/>
      <c r="D73" s="35"/>
      <c r="E73" s="35"/>
      <c r="F73" s="80"/>
      <c r="G73" s="46" t="s">
        <v>115</v>
      </c>
      <c r="H73" s="35"/>
      <c r="I73" s="35"/>
      <c r="J73" s="35"/>
      <c r="K73" s="80"/>
      <c r="L73" s="46" t="s">
        <v>115</v>
      </c>
      <c r="M73" s="35"/>
      <c r="N73" s="35"/>
      <c r="O73" s="35"/>
    </row>
    <row r="74" spans="1:15" x14ac:dyDescent="0.4">
      <c r="A74" s="80"/>
      <c r="B74" s="46" t="s">
        <v>116</v>
      </c>
      <c r="C74" s="35"/>
      <c r="D74" s="35"/>
      <c r="E74" s="35"/>
      <c r="F74" s="80"/>
      <c r="G74" s="46" t="s">
        <v>116</v>
      </c>
      <c r="H74" s="35"/>
      <c r="I74" s="35"/>
      <c r="J74" s="35"/>
      <c r="K74" s="80"/>
      <c r="L74" s="46" t="s">
        <v>116</v>
      </c>
      <c r="M74" s="35"/>
      <c r="N74" s="35"/>
      <c r="O74" s="35"/>
    </row>
    <row r="75" spans="1:15" x14ac:dyDescent="0.4">
      <c r="A75" s="80" t="s">
        <v>133</v>
      </c>
      <c r="B75" s="46" t="s">
        <v>106</v>
      </c>
      <c r="C75" s="35"/>
      <c r="D75" s="35"/>
      <c r="E75" s="35"/>
      <c r="F75" s="80" t="s">
        <v>133</v>
      </c>
      <c r="G75" s="46" t="s">
        <v>106</v>
      </c>
      <c r="H75" s="35"/>
      <c r="I75" s="35"/>
      <c r="J75" s="35"/>
      <c r="K75" s="80" t="s">
        <v>133</v>
      </c>
      <c r="L75" s="46" t="s">
        <v>106</v>
      </c>
      <c r="M75" s="35"/>
      <c r="N75" s="35"/>
      <c r="O75" s="35"/>
    </row>
    <row r="76" spans="1:15" x14ac:dyDescent="0.4">
      <c r="A76" s="80"/>
      <c r="B76" s="46" t="s">
        <v>107</v>
      </c>
      <c r="C76" s="35"/>
      <c r="D76" s="35"/>
      <c r="E76" s="35"/>
      <c r="F76" s="80"/>
      <c r="G76" s="46" t="s">
        <v>107</v>
      </c>
      <c r="H76" s="35"/>
      <c r="I76" s="35"/>
      <c r="J76" s="35"/>
      <c r="K76" s="80"/>
      <c r="L76" s="46" t="s">
        <v>107</v>
      </c>
      <c r="M76" s="35"/>
      <c r="N76" s="35"/>
      <c r="O76" s="35"/>
    </row>
    <row r="77" spans="1:15" x14ac:dyDescent="0.4">
      <c r="A77" s="80"/>
      <c r="B77" s="46" t="s">
        <v>108</v>
      </c>
      <c r="C77" s="35"/>
      <c r="D77" s="35"/>
      <c r="E77" s="35"/>
      <c r="F77" s="80"/>
      <c r="G77" s="46" t="s">
        <v>108</v>
      </c>
      <c r="H77" s="35"/>
      <c r="I77" s="35"/>
      <c r="J77" s="35"/>
      <c r="K77" s="80"/>
      <c r="L77" s="46" t="s">
        <v>108</v>
      </c>
      <c r="M77" s="35"/>
      <c r="N77" s="35"/>
      <c r="O77" s="35"/>
    </row>
    <row r="78" spans="1:15" x14ac:dyDescent="0.4">
      <c r="A78" s="80"/>
      <c r="B78" s="46" t="s">
        <v>109</v>
      </c>
      <c r="C78" s="35"/>
      <c r="D78" s="35"/>
      <c r="E78" s="35"/>
      <c r="F78" s="80"/>
      <c r="G78" s="46" t="s">
        <v>109</v>
      </c>
      <c r="H78" s="35"/>
      <c r="I78" s="35"/>
      <c r="J78" s="35"/>
      <c r="K78" s="80"/>
      <c r="L78" s="46" t="s">
        <v>109</v>
      </c>
      <c r="M78" s="35"/>
      <c r="N78" s="35"/>
      <c r="O78" s="35"/>
    </row>
    <row r="79" spans="1:15" x14ac:dyDescent="0.4">
      <c r="A79" s="80"/>
      <c r="B79" s="46" t="s">
        <v>110</v>
      </c>
      <c r="C79" s="35"/>
      <c r="D79" s="35"/>
      <c r="E79" s="35"/>
      <c r="F79" s="80"/>
      <c r="G79" s="46" t="s">
        <v>110</v>
      </c>
      <c r="H79" s="35"/>
      <c r="I79" s="35"/>
      <c r="J79" s="35"/>
      <c r="K79" s="80"/>
      <c r="L79" s="46" t="s">
        <v>110</v>
      </c>
      <c r="M79" s="35"/>
      <c r="N79" s="35"/>
      <c r="O79" s="35"/>
    </row>
    <row r="80" spans="1:15" x14ac:dyDescent="0.4">
      <c r="A80" s="80"/>
      <c r="B80" s="46" t="s">
        <v>111</v>
      </c>
      <c r="C80" s="35"/>
      <c r="D80" s="35"/>
      <c r="E80" s="35"/>
      <c r="F80" s="80"/>
      <c r="G80" s="46" t="s">
        <v>111</v>
      </c>
      <c r="H80" s="35"/>
      <c r="I80" s="35"/>
      <c r="J80" s="35"/>
      <c r="K80" s="80"/>
      <c r="L80" s="46" t="s">
        <v>111</v>
      </c>
      <c r="M80" s="35"/>
      <c r="N80" s="35"/>
      <c r="O80" s="35"/>
    </row>
    <row r="81" spans="1:15" x14ac:dyDescent="0.4">
      <c r="A81" s="80"/>
      <c r="B81" s="46" t="s">
        <v>112</v>
      </c>
      <c r="C81" s="35"/>
      <c r="D81" s="35"/>
      <c r="E81" s="35"/>
      <c r="F81" s="80"/>
      <c r="G81" s="46" t="s">
        <v>112</v>
      </c>
      <c r="H81" s="35"/>
      <c r="I81" s="35"/>
      <c r="J81" s="35"/>
      <c r="K81" s="80"/>
      <c r="L81" s="46" t="s">
        <v>112</v>
      </c>
      <c r="M81" s="35"/>
      <c r="N81" s="35"/>
      <c r="O81" s="35"/>
    </row>
    <row r="82" spans="1:15" x14ac:dyDescent="0.4">
      <c r="A82" s="80"/>
      <c r="B82" s="46" t="s">
        <v>113</v>
      </c>
      <c r="C82" s="35"/>
      <c r="D82" s="35"/>
      <c r="E82" s="35"/>
      <c r="F82" s="80"/>
      <c r="G82" s="46" t="s">
        <v>113</v>
      </c>
      <c r="H82" s="35"/>
      <c r="I82" s="35"/>
      <c r="J82" s="35"/>
      <c r="K82" s="80"/>
      <c r="L82" s="46" t="s">
        <v>113</v>
      </c>
      <c r="M82" s="35"/>
      <c r="N82" s="35"/>
      <c r="O82" s="35"/>
    </row>
    <row r="83" spans="1:15" x14ac:dyDescent="0.4">
      <c r="A83" s="80"/>
      <c r="B83" s="46" t="s">
        <v>115</v>
      </c>
      <c r="C83" s="35"/>
      <c r="D83" s="35"/>
      <c r="E83" s="35"/>
      <c r="F83" s="80"/>
      <c r="G83" s="46" t="s">
        <v>115</v>
      </c>
      <c r="H83" s="35"/>
      <c r="I83" s="35"/>
      <c r="J83" s="35"/>
      <c r="K83" s="80"/>
      <c r="L83" s="46" t="s">
        <v>115</v>
      </c>
      <c r="M83" s="35"/>
      <c r="N83" s="35"/>
      <c r="O83" s="35"/>
    </row>
    <row r="84" spans="1:15" x14ac:dyDescent="0.4">
      <c r="A84" s="80"/>
      <c r="B84" s="46" t="s">
        <v>116</v>
      </c>
      <c r="C84" s="35"/>
      <c r="D84" s="35"/>
      <c r="E84" s="35"/>
      <c r="F84" s="80"/>
      <c r="G84" s="46" t="s">
        <v>116</v>
      </c>
      <c r="H84" s="35"/>
      <c r="I84" s="35"/>
      <c r="J84" s="35"/>
      <c r="K84" s="80"/>
      <c r="L84" s="46" t="s">
        <v>116</v>
      </c>
      <c r="M84" s="35"/>
      <c r="N84" s="35"/>
      <c r="O84" s="35"/>
    </row>
    <row r="85" spans="1:15" x14ac:dyDescent="0.4">
      <c r="A85" s="80" t="s">
        <v>142</v>
      </c>
      <c r="B85" s="46" t="s">
        <v>106</v>
      </c>
      <c r="C85" s="35"/>
      <c r="D85" s="35"/>
      <c r="E85" s="35"/>
      <c r="F85" s="80" t="s">
        <v>142</v>
      </c>
      <c r="G85" s="46" t="s">
        <v>106</v>
      </c>
      <c r="H85" s="35"/>
      <c r="I85" s="35"/>
      <c r="J85" s="35"/>
      <c r="K85" s="80" t="s">
        <v>142</v>
      </c>
      <c r="L85" s="46" t="s">
        <v>106</v>
      </c>
      <c r="M85" s="35"/>
      <c r="N85" s="35"/>
      <c r="O85" s="35"/>
    </row>
    <row r="86" spans="1:15" x14ac:dyDescent="0.4">
      <c r="A86" s="80"/>
      <c r="B86" s="46" t="s">
        <v>107</v>
      </c>
      <c r="C86" s="35"/>
      <c r="D86" s="35"/>
      <c r="E86" s="35"/>
      <c r="F86" s="80"/>
      <c r="G86" s="46" t="s">
        <v>107</v>
      </c>
      <c r="H86" s="35"/>
      <c r="I86" s="35"/>
      <c r="J86" s="35"/>
      <c r="K86" s="80"/>
      <c r="L86" s="46" t="s">
        <v>107</v>
      </c>
      <c r="M86" s="35"/>
      <c r="N86" s="35"/>
      <c r="O86" s="35"/>
    </row>
    <row r="87" spans="1:15" x14ac:dyDescent="0.4">
      <c r="A87" s="80"/>
      <c r="B87" s="46" t="s">
        <v>108</v>
      </c>
      <c r="C87" s="35"/>
      <c r="D87" s="35"/>
      <c r="E87" s="35"/>
      <c r="F87" s="80"/>
      <c r="G87" s="46" t="s">
        <v>108</v>
      </c>
      <c r="H87" s="35"/>
      <c r="I87" s="35"/>
      <c r="J87" s="35"/>
      <c r="K87" s="80"/>
      <c r="L87" s="46" t="s">
        <v>108</v>
      </c>
      <c r="M87" s="35"/>
      <c r="N87" s="35"/>
      <c r="O87" s="35"/>
    </row>
    <row r="88" spans="1:15" x14ac:dyDescent="0.4">
      <c r="A88" s="80"/>
      <c r="B88" s="46" t="s">
        <v>109</v>
      </c>
      <c r="C88" s="35"/>
      <c r="D88" s="35"/>
      <c r="E88" s="35"/>
      <c r="F88" s="80"/>
      <c r="G88" s="46" t="s">
        <v>109</v>
      </c>
      <c r="H88" s="35"/>
      <c r="I88" s="35"/>
      <c r="J88" s="35"/>
      <c r="K88" s="80"/>
      <c r="L88" s="46" t="s">
        <v>109</v>
      </c>
      <c r="M88" s="35"/>
      <c r="N88" s="35"/>
      <c r="O88" s="35"/>
    </row>
    <row r="89" spans="1:15" x14ac:dyDescent="0.4">
      <c r="A89" s="80"/>
      <c r="B89" s="46" t="s">
        <v>110</v>
      </c>
      <c r="C89" s="35"/>
      <c r="D89" s="35"/>
      <c r="E89" s="35"/>
      <c r="F89" s="80"/>
      <c r="G89" s="46" t="s">
        <v>110</v>
      </c>
      <c r="H89" s="35"/>
      <c r="I89" s="35"/>
      <c r="J89" s="35"/>
      <c r="K89" s="80"/>
      <c r="L89" s="46" t="s">
        <v>110</v>
      </c>
      <c r="M89" s="35"/>
      <c r="N89" s="35"/>
      <c r="O89" s="35"/>
    </row>
    <row r="90" spans="1:15" x14ac:dyDescent="0.4">
      <c r="A90" s="80"/>
      <c r="B90" s="46" t="s">
        <v>111</v>
      </c>
      <c r="C90" s="35"/>
      <c r="D90" s="35"/>
      <c r="E90" s="35"/>
      <c r="F90" s="80"/>
      <c r="G90" s="46" t="s">
        <v>111</v>
      </c>
      <c r="H90" s="35"/>
      <c r="I90" s="35"/>
      <c r="J90" s="35"/>
      <c r="K90" s="80"/>
      <c r="L90" s="46" t="s">
        <v>111</v>
      </c>
      <c r="M90" s="35"/>
      <c r="N90" s="35"/>
      <c r="O90" s="35"/>
    </row>
    <row r="91" spans="1:15" x14ac:dyDescent="0.4">
      <c r="A91" s="80"/>
      <c r="B91" s="46" t="s">
        <v>112</v>
      </c>
      <c r="C91" s="35"/>
      <c r="D91" s="35"/>
      <c r="E91" s="35"/>
      <c r="F91" s="80"/>
      <c r="G91" s="46" t="s">
        <v>112</v>
      </c>
      <c r="H91" s="35"/>
      <c r="I91" s="35"/>
      <c r="J91" s="35"/>
      <c r="K91" s="80"/>
      <c r="L91" s="46" t="s">
        <v>112</v>
      </c>
      <c r="M91" s="35"/>
      <c r="N91" s="35"/>
      <c r="O91" s="35"/>
    </row>
    <row r="92" spans="1:15" x14ac:dyDescent="0.4">
      <c r="A92" s="80"/>
      <c r="B92" s="46" t="s">
        <v>113</v>
      </c>
      <c r="C92" s="35"/>
      <c r="D92" s="35"/>
      <c r="E92" s="35"/>
      <c r="F92" s="80"/>
      <c r="G92" s="46" t="s">
        <v>113</v>
      </c>
      <c r="H92" s="35"/>
      <c r="I92" s="35"/>
      <c r="J92" s="35"/>
      <c r="K92" s="80"/>
      <c r="L92" s="46" t="s">
        <v>113</v>
      </c>
      <c r="M92" s="35"/>
      <c r="N92" s="35"/>
      <c r="O92" s="35"/>
    </row>
    <row r="93" spans="1:15" x14ac:dyDescent="0.4">
      <c r="A93" s="80"/>
      <c r="B93" s="46" t="s">
        <v>115</v>
      </c>
      <c r="C93" s="35"/>
      <c r="D93" s="35"/>
      <c r="E93" s="35"/>
      <c r="F93" s="80"/>
      <c r="G93" s="46" t="s">
        <v>115</v>
      </c>
      <c r="H93" s="35"/>
      <c r="I93" s="35"/>
      <c r="J93" s="35"/>
      <c r="K93" s="80"/>
      <c r="L93" s="46" t="s">
        <v>115</v>
      </c>
      <c r="M93" s="35"/>
      <c r="N93" s="35"/>
      <c r="O93" s="35"/>
    </row>
    <row r="94" spans="1:15" x14ac:dyDescent="0.4">
      <c r="A94" s="80"/>
      <c r="B94" s="46" t="s">
        <v>116</v>
      </c>
      <c r="C94" s="35"/>
      <c r="D94" s="35"/>
      <c r="E94" s="35"/>
      <c r="F94" s="80"/>
      <c r="G94" s="46" t="s">
        <v>116</v>
      </c>
      <c r="H94" s="35"/>
      <c r="I94" s="35"/>
      <c r="J94" s="35"/>
      <c r="K94" s="80"/>
      <c r="L94" s="46" t="s">
        <v>116</v>
      </c>
      <c r="M94" s="35"/>
      <c r="N94" s="35"/>
      <c r="O94" s="35"/>
    </row>
  </sheetData>
  <mergeCells count="39">
    <mergeCell ref="C2:E2"/>
    <mergeCell ref="A1:E1"/>
    <mergeCell ref="B2:B3"/>
    <mergeCell ref="A2:A3"/>
    <mergeCell ref="A4:A11"/>
    <mergeCell ref="A12:A15"/>
    <mergeCell ref="A16:A23"/>
    <mergeCell ref="A75:A84"/>
    <mergeCell ref="A56:A64"/>
    <mergeCell ref="A65:A74"/>
    <mergeCell ref="A85:A94"/>
    <mergeCell ref="F1:J1"/>
    <mergeCell ref="F2:F3"/>
    <mergeCell ref="G2:G3"/>
    <mergeCell ref="H2:J2"/>
    <mergeCell ref="F4:F11"/>
    <mergeCell ref="F12:F15"/>
    <mergeCell ref="F16:F23"/>
    <mergeCell ref="F24:F39"/>
    <mergeCell ref="F40:F55"/>
    <mergeCell ref="F56:F64"/>
    <mergeCell ref="F65:F74"/>
    <mergeCell ref="F75:F84"/>
    <mergeCell ref="F85:F94"/>
    <mergeCell ref="A24:A39"/>
    <mergeCell ref="A40:A55"/>
    <mergeCell ref="K85:K94"/>
    <mergeCell ref="K1:O1"/>
    <mergeCell ref="K2:K3"/>
    <mergeCell ref="L2:L3"/>
    <mergeCell ref="M2:O2"/>
    <mergeCell ref="K4:K11"/>
    <mergeCell ref="K65:K74"/>
    <mergeCell ref="K75:K84"/>
    <mergeCell ref="K12:K15"/>
    <mergeCell ref="K16:K23"/>
    <mergeCell ref="K24:K39"/>
    <mergeCell ref="K40:K55"/>
    <mergeCell ref="K56:K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AD131"/>
  <sheetViews>
    <sheetView view="pageBreakPreview" zoomScale="85" zoomScaleNormal="100" zoomScaleSheetLayoutView="85" workbookViewId="0">
      <selection activeCell="E16" sqref="E16"/>
    </sheetView>
  </sheetViews>
  <sheetFormatPr defaultRowHeight="17.399999999999999" x14ac:dyDescent="0.4"/>
  <cols>
    <col min="1" max="1" width="20.5" bestFit="1" customWidth="1"/>
    <col min="3" max="3" width="8.8984375" customWidth="1"/>
    <col min="4" max="4" width="9" style="30"/>
    <col min="6" max="6" width="11.59765625" customWidth="1"/>
    <col min="7" max="7" width="17.69921875" style="26" hidden="1" customWidth="1"/>
    <col min="8" max="8" width="17.19921875" style="26" hidden="1" customWidth="1"/>
    <col min="9" max="20" width="9" style="26" hidden="1" customWidth="1"/>
    <col min="21" max="26" width="9" style="29" hidden="1" customWidth="1"/>
    <col min="27" max="27" width="26" style="26" hidden="1" customWidth="1"/>
    <col min="28" max="28" width="26.19921875" style="26" hidden="1" customWidth="1"/>
    <col min="29" max="29" width="30.09765625" style="29" hidden="1" customWidth="1"/>
    <col min="30" max="30" width="9.3984375" customWidth="1"/>
  </cols>
  <sheetData>
    <row r="1" spans="1:30" x14ac:dyDescent="0.4">
      <c r="A1" s="82" t="s">
        <v>82</v>
      </c>
      <c r="B1" s="82"/>
      <c r="C1" s="82"/>
      <c r="D1" s="82"/>
      <c r="E1" s="82"/>
      <c r="M1" s="26" t="s">
        <v>75</v>
      </c>
      <c r="AD1" s="31"/>
    </row>
    <row r="2" spans="1:30" x14ac:dyDescent="0.4">
      <c r="A2" s="21" t="s">
        <v>58</v>
      </c>
      <c r="B2" s="21" t="s">
        <v>64</v>
      </c>
      <c r="C2" s="21" t="s">
        <v>60</v>
      </c>
      <c r="D2" s="21" t="s">
        <v>81</v>
      </c>
      <c r="E2" s="21" t="s">
        <v>83</v>
      </c>
      <c r="G2" s="33" t="s">
        <v>72</v>
      </c>
      <c r="H2" s="33" t="s">
        <v>74</v>
      </c>
      <c r="I2" s="83" t="s">
        <v>69</v>
      </c>
      <c r="J2" s="83"/>
      <c r="K2" s="83" t="s">
        <v>70</v>
      </c>
      <c r="L2" s="83"/>
      <c r="M2" s="83" t="s">
        <v>71</v>
      </c>
      <c r="N2" s="83"/>
      <c r="O2" s="83" t="s">
        <v>73</v>
      </c>
      <c r="P2" s="83"/>
      <c r="Q2" s="83" t="s">
        <v>70</v>
      </c>
      <c r="R2" s="83"/>
      <c r="S2" s="83" t="s">
        <v>71</v>
      </c>
      <c r="T2" s="83"/>
      <c r="U2" s="83" t="s">
        <v>78</v>
      </c>
      <c r="V2" s="83"/>
      <c r="W2" s="83" t="s">
        <v>70</v>
      </c>
      <c r="X2" s="83"/>
      <c r="Y2" s="83" t="s">
        <v>71</v>
      </c>
      <c r="Z2" s="83"/>
      <c r="AA2" s="83" t="s">
        <v>79</v>
      </c>
      <c r="AB2" s="83" t="s">
        <v>80</v>
      </c>
      <c r="AC2" s="33" t="s">
        <v>81</v>
      </c>
      <c r="AD2" s="31"/>
    </row>
    <row r="3" spans="1:30" x14ac:dyDescent="0.4">
      <c r="A3" s="23" t="str">
        <f>G3</f>
        <v>WLAN 2.4 GHz Ant1</v>
      </c>
      <c r="B3" s="25">
        <f ca="1">COUNT(INDIRECT(AA3))</f>
        <v>0</v>
      </c>
      <c r="C3" s="25">
        <f t="shared" ref="C3:D3" ca="1" si="0">COUNT(INDIRECT(AB3))</f>
        <v>0</v>
      </c>
      <c r="D3" s="25">
        <f t="shared" ca="1" si="0"/>
        <v>0</v>
      </c>
      <c r="E3" s="22">
        <f ca="1">SUM(B3:C3)</f>
        <v>0</v>
      </c>
      <c r="G3" s="27" t="s">
        <v>151</v>
      </c>
      <c r="H3" s="27" t="s">
        <v>148</v>
      </c>
      <c r="I3" s="27" t="s">
        <v>59</v>
      </c>
      <c r="J3" s="27" t="s">
        <v>76</v>
      </c>
      <c r="K3" s="27">
        <f>M1+10</f>
        <v>9</v>
      </c>
      <c r="L3" s="27" t="str">
        <f>J3&amp;K3</f>
        <v>G9</v>
      </c>
      <c r="M3" s="27">
        <f>K3+11</f>
        <v>20</v>
      </c>
      <c r="N3" s="27" t="str">
        <f>J3&amp;M3</f>
        <v>G20</v>
      </c>
      <c r="O3" s="27" t="s">
        <v>60</v>
      </c>
      <c r="P3" s="27" t="s">
        <v>150</v>
      </c>
      <c r="Q3" s="27">
        <f t="shared" ref="Q3:Q6" si="1">M3+9</f>
        <v>29</v>
      </c>
      <c r="R3" s="27" t="str">
        <f>P3&amp;Q3</f>
        <v>H29</v>
      </c>
      <c r="S3" s="27">
        <f>Q3+189-19</f>
        <v>199</v>
      </c>
      <c r="T3" s="27" t="str">
        <f>P3&amp;S3</f>
        <v>H199</v>
      </c>
      <c r="U3" s="27" t="s">
        <v>77</v>
      </c>
      <c r="V3" s="27" t="s">
        <v>150</v>
      </c>
      <c r="W3" s="27">
        <f>S3+1</f>
        <v>200</v>
      </c>
      <c r="X3" s="27" t="str">
        <f>V3&amp;W3</f>
        <v>H200</v>
      </c>
      <c r="Y3" s="27">
        <f>W3+18</f>
        <v>218</v>
      </c>
      <c r="Z3" s="27" t="str">
        <f>V3&amp;Y3</f>
        <v>H218</v>
      </c>
      <c r="AA3" s="32" t="str">
        <f t="shared" ref="AA3" si="2">"'"&amp;H3&amp;"'"&amp;"!"&amp;L3&amp;":"&amp;N3</f>
        <v>'WLAN Ant1'!G9:G20</v>
      </c>
      <c r="AB3" s="28" t="str">
        <f>"'"&amp;H3&amp;"'"&amp;"!"&amp;R3&amp;":"&amp;T3</f>
        <v>'WLAN Ant1'!H29:H199</v>
      </c>
      <c r="AC3" s="29" t="str">
        <f>"'"&amp;H3&amp;"'"&amp;"!"&amp;X3&amp;":"&amp;Z3</f>
        <v>'WLAN Ant1'!H200:H218</v>
      </c>
      <c r="AD3" s="24"/>
    </row>
    <row r="4" spans="1:30" x14ac:dyDescent="0.4">
      <c r="A4" s="23" t="str">
        <f t="shared" ref="A4:A6" si="3">G4</f>
        <v xml:space="preserve">EGSM 900 </v>
      </c>
      <c r="B4" s="25">
        <f t="shared" ref="B4:B6" ca="1" si="4">COUNT(INDIRECT(AA4))</f>
        <v>0</v>
      </c>
      <c r="C4" s="25">
        <f t="shared" ref="C4:C6" ca="1" si="5">COUNT(INDIRECT(AB4))</f>
        <v>0</v>
      </c>
      <c r="D4" s="25">
        <f t="shared" ref="D4:D6" ca="1" si="6">COUNT(INDIRECT(AC4))</f>
        <v>0</v>
      </c>
      <c r="E4" s="22">
        <f t="shared" ref="E4:E6" ca="1" si="7">SUM(B4:C4)</f>
        <v>0</v>
      </c>
      <c r="G4" s="27" t="s">
        <v>66</v>
      </c>
      <c r="H4" s="27" t="s">
        <v>148</v>
      </c>
      <c r="I4" s="27" t="s">
        <v>59</v>
      </c>
      <c r="J4" s="27" t="s">
        <v>76</v>
      </c>
      <c r="K4" s="27">
        <f>Y3+10</f>
        <v>228</v>
      </c>
      <c r="L4" s="27" t="str">
        <f t="shared" ref="L4:L6" si="8">J4&amp;K4</f>
        <v>G228</v>
      </c>
      <c r="M4" s="27">
        <f>K4+11</f>
        <v>239</v>
      </c>
      <c r="N4" s="27" t="str">
        <f t="shared" ref="N4:N6" si="9">J4&amp;M4</f>
        <v>G239</v>
      </c>
      <c r="O4" s="27" t="s">
        <v>60</v>
      </c>
      <c r="P4" s="27" t="s">
        <v>150</v>
      </c>
      <c r="Q4" s="27">
        <f t="shared" si="1"/>
        <v>248</v>
      </c>
      <c r="R4" s="27" t="str">
        <f t="shared" ref="R4:R6" si="10">P4&amp;Q4</f>
        <v>H248</v>
      </c>
      <c r="S4" s="27">
        <f t="shared" ref="S4:S6" si="11">Q4+189-19</f>
        <v>418</v>
      </c>
      <c r="T4" s="27" t="str">
        <f t="shared" ref="T4:T6" si="12">P4&amp;S4</f>
        <v>H418</v>
      </c>
      <c r="U4" s="27" t="s">
        <v>77</v>
      </c>
      <c r="V4" s="27" t="s">
        <v>150</v>
      </c>
      <c r="W4" s="27">
        <f t="shared" ref="W4:W6" si="13">S4+1</f>
        <v>419</v>
      </c>
      <c r="X4" s="27" t="str">
        <f t="shared" ref="X4:X6" si="14">V4&amp;W4</f>
        <v>H419</v>
      </c>
      <c r="Y4" s="27">
        <f t="shared" ref="Y4:Y6" si="15">W4+18</f>
        <v>437</v>
      </c>
      <c r="Z4" s="27" t="str">
        <f t="shared" ref="Z4:Z6" si="16">V4&amp;Y4</f>
        <v>H437</v>
      </c>
      <c r="AA4" s="32" t="str">
        <f t="shared" ref="AA4:AA6" si="17">"'"&amp;H4&amp;"'"&amp;"!"&amp;L4&amp;":"&amp;N4</f>
        <v>'WLAN Ant1'!G228:G239</v>
      </c>
      <c r="AB4" s="32" t="str">
        <f t="shared" ref="AB4:AB6" si="18">"'"&amp;H4&amp;"'"&amp;"!"&amp;R4&amp;":"&amp;T4</f>
        <v>'WLAN Ant1'!H248:H418</v>
      </c>
      <c r="AC4" s="32" t="str">
        <f t="shared" ref="AC4:AC6" si="19">"'"&amp;H4&amp;"'"&amp;"!"&amp;X4&amp;":"&amp;Z4</f>
        <v>'WLAN Ant1'!H419:H437</v>
      </c>
      <c r="AD4" s="24"/>
    </row>
    <row r="5" spans="1:30" x14ac:dyDescent="0.4">
      <c r="A5" s="23" t="str">
        <f t="shared" si="3"/>
        <v>DCS 1800</v>
      </c>
      <c r="B5" s="25">
        <f t="shared" ca="1" si="4"/>
        <v>0</v>
      </c>
      <c r="C5" s="25">
        <f t="shared" ca="1" si="5"/>
        <v>0</v>
      </c>
      <c r="D5" s="25">
        <f t="shared" ca="1" si="6"/>
        <v>0</v>
      </c>
      <c r="E5" s="22">
        <f t="shared" ca="1" si="7"/>
        <v>0</v>
      </c>
      <c r="G5" s="27" t="s">
        <v>67</v>
      </c>
      <c r="H5" s="27" t="s">
        <v>148</v>
      </c>
      <c r="I5" s="27" t="s">
        <v>59</v>
      </c>
      <c r="J5" s="27" t="s">
        <v>76</v>
      </c>
      <c r="K5" s="27">
        <f>Y4+10</f>
        <v>447</v>
      </c>
      <c r="L5" s="27" t="str">
        <f t="shared" si="8"/>
        <v>G447</v>
      </c>
      <c r="M5" s="27">
        <f>K5+11</f>
        <v>458</v>
      </c>
      <c r="N5" s="27" t="str">
        <f t="shared" si="9"/>
        <v>G458</v>
      </c>
      <c r="O5" s="27" t="s">
        <v>60</v>
      </c>
      <c r="P5" s="27" t="s">
        <v>150</v>
      </c>
      <c r="Q5" s="27">
        <f t="shared" si="1"/>
        <v>467</v>
      </c>
      <c r="R5" s="27" t="str">
        <f t="shared" si="10"/>
        <v>H467</v>
      </c>
      <c r="S5" s="27">
        <f t="shared" si="11"/>
        <v>637</v>
      </c>
      <c r="T5" s="27" t="str">
        <f t="shared" si="12"/>
        <v>H637</v>
      </c>
      <c r="U5" s="27" t="s">
        <v>77</v>
      </c>
      <c r="V5" s="27" t="s">
        <v>150</v>
      </c>
      <c r="W5" s="27">
        <f t="shared" si="13"/>
        <v>638</v>
      </c>
      <c r="X5" s="27" t="str">
        <f t="shared" si="14"/>
        <v>H638</v>
      </c>
      <c r="Y5" s="27">
        <f t="shared" si="15"/>
        <v>656</v>
      </c>
      <c r="Z5" s="27" t="str">
        <f t="shared" si="16"/>
        <v>H656</v>
      </c>
      <c r="AA5" s="32" t="str">
        <f t="shared" si="17"/>
        <v>'WLAN Ant1'!G447:G458</v>
      </c>
      <c r="AB5" s="32" t="str">
        <f t="shared" si="18"/>
        <v>'WLAN Ant1'!H467:H637</v>
      </c>
      <c r="AC5" s="32" t="str">
        <f t="shared" si="19"/>
        <v>'WLAN Ant1'!H638:H656</v>
      </c>
      <c r="AD5" s="24"/>
    </row>
    <row r="6" spans="1:30" x14ac:dyDescent="0.4">
      <c r="A6" s="23" t="str">
        <f t="shared" si="3"/>
        <v>PCS 1900</v>
      </c>
      <c r="B6" s="25">
        <f t="shared" ca="1" si="4"/>
        <v>0</v>
      </c>
      <c r="C6" s="25">
        <f t="shared" ca="1" si="5"/>
        <v>0</v>
      </c>
      <c r="D6" s="25">
        <f t="shared" ca="1" si="6"/>
        <v>0</v>
      </c>
      <c r="E6" s="22">
        <f t="shared" ca="1" si="7"/>
        <v>0</v>
      </c>
      <c r="G6" s="27" t="s">
        <v>68</v>
      </c>
      <c r="H6" s="27" t="s">
        <v>149</v>
      </c>
      <c r="I6" s="27" t="s">
        <v>59</v>
      </c>
      <c r="J6" s="27" t="s">
        <v>76</v>
      </c>
      <c r="K6" s="27">
        <f>Y5+10</f>
        <v>666</v>
      </c>
      <c r="L6" s="27" t="str">
        <f t="shared" si="8"/>
        <v>G666</v>
      </c>
      <c r="M6" s="27">
        <f>K6+11</f>
        <v>677</v>
      </c>
      <c r="N6" s="27" t="str">
        <f t="shared" si="9"/>
        <v>G677</v>
      </c>
      <c r="O6" s="27" t="s">
        <v>60</v>
      </c>
      <c r="P6" s="27" t="s">
        <v>150</v>
      </c>
      <c r="Q6" s="27">
        <f t="shared" si="1"/>
        <v>686</v>
      </c>
      <c r="R6" s="27" t="str">
        <f t="shared" si="10"/>
        <v>H686</v>
      </c>
      <c r="S6" s="27">
        <f t="shared" si="11"/>
        <v>856</v>
      </c>
      <c r="T6" s="27" t="str">
        <f t="shared" si="12"/>
        <v>H856</v>
      </c>
      <c r="U6" s="27" t="s">
        <v>77</v>
      </c>
      <c r="V6" s="27" t="s">
        <v>150</v>
      </c>
      <c r="W6" s="27">
        <f t="shared" si="13"/>
        <v>857</v>
      </c>
      <c r="X6" s="27" t="str">
        <f t="shared" si="14"/>
        <v>H857</v>
      </c>
      <c r="Y6" s="27">
        <f t="shared" si="15"/>
        <v>875</v>
      </c>
      <c r="Z6" s="27" t="str">
        <f t="shared" si="16"/>
        <v>H875</v>
      </c>
      <c r="AA6" s="32" t="str">
        <f t="shared" si="17"/>
        <v>'WLAN Ant1'!G666:G677</v>
      </c>
      <c r="AB6" s="32" t="str">
        <f t="shared" si="18"/>
        <v>'WLAN Ant1'!H686:H856</v>
      </c>
      <c r="AC6" s="32" t="str">
        <f t="shared" si="19"/>
        <v>'WLAN Ant1'!H857:H875</v>
      </c>
      <c r="AD6" s="24"/>
    </row>
    <row r="7" spans="1:30" x14ac:dyDescent="0.4">
      <c r="A7" s="21" t="s">
        <v>83</v>
      </c>
      <c r="B7" s="22">
        <f ca="1">SUM(B3:B6)</f>
        <v>0</v>
      </c>
      <c r="C7" s="22">
        <f ca="1">SUM(C3:C6)</f>
        <v>0</v>
      </c>
      <c r="D7" s="22">
        <f ca="1">SUM(D3:D6)</f>
        <v>0</v>
      </c>
      <c r="E7" s="22">
        <f ca="1">SUM(E3:E6)</f>
        <v>0</v>
      </c>
    </row>
    <row r="8" spans="1:30" x14ac:dyDescent="0.4">
      <c r="A8" s="30"/>
    </row>
    <row r="9" spans="1:30" x14ac:dyDescent="0.4">
      <c r="A9" s="30"/>
    </row>
    <row r="10" spans="1:30" x14ac:dyDescent="0.4">
      <c r="A10" s="30"/>
    </row>
    <row r="11" spans="1:30" x14ac:dyDescent="0.4">
      <c r="A11" s="30"/>
    </row>
    <row r="12" spans="1:30" x14ac:dyDescent="0.4">
      <c r="A12" s="30"/>
    </row>
    <row r="13" spans="1:30" x14ac:dyDescent="0.4">
      <c r="A13" s="30"/>
    </row>
    <row r="14" spans="1:30" x14ac:dyDescent="0.4">
      <c r="A14" s="30"/>
    </row>
    <row r="15" spans="1:30" x14ac:dyDescent="0.4">
      <c r="A15" s="30"/>
    </row>
    <row r="16" spans="1:30" x14ac:dyDescent="0.4">
      <c r="A16" s="30"/>
    </row>
    <row r="17" spans="1:1" x14ac:dyDescent="0.4">
      <c r="A17" s="30"/>
    </row>
    <row r="18" spans="1:1" x14ac:dyDescent="0.4">
      <c r="A18" s="30"/>
    </row>
    <row r="19" spans="1:1" x14ac:dyDescent="0.4">
      <c r="A19" s="30"/>
    </row>
    <row r="20" spans="1:1" x14ac:dyDescent="0.4">
      <c r="A20" s="30"/>
    </row>
    <row r="21" spans="1:1" x14ac:dyDescent="0.4">
      <c r="A21" s="30"/>
    </row>
    <row r="22" spans="1:1" x14ac:dyDescent="0.4">
      <c r="A22" s="30"/>
    </row>
    <row r="23" spans="1:1" x14ac:dyDescent="0.4">
      <c r="A23" s="30"/>
    </row>
    <row r="24" spans="1:1" x14ac:dyDescent="0.4">
      <c r="A24" s="30"/>
    </row>
    <row r="25" spans="1:1" x14ac:dyDescent="0.4">
      <c r="A25" s="30"/>
    </row>
    <row r="26" spans="1:1" x14ac:dyDescent="0.4">
      <c r="A26" s="30"/>
    </row>
    <row r="27" spans="1:1" x14ac:dyDescent="0.4">
      <c r="A27" s="30"/>
    </row>
    <row r="28" spans="1:1" x14ac:dyDescent="0.4">
      <c r="A28" s="30"/>
    </row>
    <row r="29" spans="1:1" x14ac:dyDescent="0.4">
      <c r="A29" s="30"/>
    </row>
    <row r="30" spans="1:1" x14ac:dyDescent="0.4">
      <c r="A30" s="30"/>
    </row>
    <row r="31" spans="1:1" x14ac:dyDescent="0.4">
      <c r="A31" s="30"/>
    </row>
    <row r="32" spans="1:1" x14ac:dyDescent="0.4">
      <c r="A32" s="30"/>
    </row>
    <row r="33" spans="1:1" x14ac:dyDescent="0.4">
      <c r="A33" s="30"/>
    </row>
    <row r="34" spans="1:1" x14ac:dyDescent="0.4">
      <c r="A34" s="30"/>
    </row>
    <row r="35" spans="1:1" x14ac:dyDescent="0.4">
      <c r="A35" s="30"/>
    </row>
    <row r="36" spans="1:1" x14ac:dyDescent="0.4">
      <c r="A36" s="30"/>
    </row>
    <row r="37" spans="1:1" x14ac:dyDescent="0.4">
      <c r="A37" s="30"/>
    </row>
    <row r="38" spans="1:1" x14ac:dyDescent="0.4">
      <c r="A38" s="30"/>
    </row>
    <row r="39" spans="1:1" x14ac:dyDescent="0.4">
      <c r="A39" s="30"/>
    </row>
    <row r="40" spans="1:1" x14ac:dyDescent="0.4">
      <c r="A40" s="30"/>
    </row>
    <row r="41" spans="1:1" x14ac:dyDescent="0.4">
      <c r="A41" s="30"/>
    </row>
    <row r="42" spans="1:1" x14ac:dyDescent="0.4">
      <c r="A42" s="30"/>
    </row>
    <row r="43" spans="1:1" x14ac:dyDescent="0.4">
      <c r="A43" s="30"/>
    </row>
    <row r="44" spans="1:1" x14ac:dyDescent="0.4">
      <c r="A44" s="30"/>
    </row>
    <row r="45" spans="1:1" x14ac:dyDescent="0.4">
      <c r="A45" s="30"/>
    </row>
    <row r="46" spans="1:1" x14ac:dyDescent="0.4">
      <c r="A46" s="30"/>
    </row>
    <row r="47" spans="1:1" x14ac:dyDescent="0.4">
      <c r="A47" s="30"/>
    </row>
    <row r="48" spans="1:1" x14ac:dyDescent="0.4">
      <c r="A48" s="30"/>
    </row>
    <row r="49" spans="1:1" x14ac:dyDescent="0.4">
      <c r="A49" s="30"/>
    </row>
    <row r="50" spans="1:1" x14ac:dyDescent="0.4">
      <c r="A50" s="30"/>
    </row>
    <row r="51" spans="1:1" x14ac:dyDescent="0.4">
      <c r="A51" s="30"/>
    </row>
    <row r="52" spans="1:1" x14ac:dyDescent="0.4">
      <c r="A52" s="30"/>
    </row>
    <row r="53" spans="1:1" x14ac:dyDescent="0.4">
      <c r="A53" s="30"/>
    </row>
    <row r="54" spans="1:1" x14ac:dyDescent="0.4">
      <c r="A54" s="30"/>
    </row>
    <row r="55" spans="1:1" x14ac:dyDescent="0.4">
      <c r="A55" s="30"/>
    </row>
    <row r="56" spans="1:1" x14ac:dyDescent="0.4">
      <c r="A56" s="30"/>
    </row>
    <row r="57" spans="1:1" x14ac:dyDescent="0.4">
      <c r="A57" s="30"/>
    </row>
    <row r="58" spans="1:1" x14ac:dyDescent="0.4">
      <c r="A58" s="30"/>
    </row>
    <row r="59" spans="1:1" x14ac:dyDescent="0.4">
      <c r="A59" s="30"/>
    </row>
    <row r="60" spans="1:1" x14ac:dyDescent="0.4">
      <c r="A60" s="30"/>
    </row>
    <row r="61" spans="1:1" x14ac:dyDescent="0.4">
      <c r="A61" s="30"/>
    </row>
    <row r="62" spans="1:1" x14ac:dyDescent="0.4">
      <c r="A62" s="30"/>
    </row>
    <row r="63" spans="1:1" x14ac:dyDescent="0.4">
      <c r="A63" s="30"/>
    </row>
    <row r="64" spans="1:1" x14ac:dyDescent="0.4">
      <c r="A64" s="30"/>
    </row>
    <row r="65" spans="1:1" x14ac:dyDescent="0.4">
      <c r="A65" s="30"/>
    </row>
    <row r="66" spans="1:1" x14ac:dyDescent="0.4">
      <c r="A66" s="30"/>
    </row>
    <row r="67" spans="1:1" x14ac:dyDescent="0.4">
      <c r="A67" s="30"/>
    </row>
    <row r="68" spans="1:1" x14ac:dyDescent="0.4">
      <c r="A68" s="30"/>
    </row>
    <row r="69" spans="1:1" x14ac:dyDescent="0.4">
      <c r="A69" s="30"/>
    </row>
    <row r="70" spans="1:1" x14ac:dyDescent="0.4">
      <c r="A70" s="30"/>
    </row>
    <row r="71" spans="1:1" x14ac:dyDescent="0.4">
      <c r="A71" s="30"/>
    </row>
    <row r="72" spans="1:1" x14ac:dyDescent="0.4">
      <c r="A72" s="30"/>
    </row>
    <row r="73" spans="1:1" x14ac:dyDescent="0.4">
      <c r="A73" s="30"/>
    </row>
    <row r="74" spans="1:1" x14ac:dyDescent="0.4">
      <c r="A74" s="30"/>
    </row>
    <row r="75" spans="1:1" x14ac:dyDescent="0.4">
      <c r="A75" s="30"/>
    </row>
    <row r="76" spans="1:1" x14ac:dyDescent="0.4">
      <c r="A76" s="30"/>
    </row>
    <row r="77" spans="1:1" x14ac:dyDescent="0.4">
      <c r="A77" s="30"/>
    </row>
    <row r="78" spans="1:1" x14ac:dyDescent="0.4">
      <c r="A78" s="30"/>
    </row>
    <row r="79" spans="1:1" x14ac:dyDescent="0.4">
      <c r="A79" s="30"/>
    </row>
    <row r="80" spans="1:1" x14ac:dyDescent="0.4">
      <c r="A80" s="30"/>
    </row>
    <row r="81" spans="1:1" x14ac:dyDescent="0.4">
      <c r="A81" s="30"/>
    </row>
    <row r="82" spans="1:1" x14ac:dyDescent="0.4">
      <c r="A82" s="30"/>
    </row>
    <row r="83" spans="1:1" x14ac:dyDescent="0.4">
      <c r="A83" s="30"/>
    </row>
    <row r="84" spans="1:1" x14ac:dyDescent="0.4">
      <c r="A84" s="30"/>
    </row>
    <row r="85" spans="1:1" x14ac:dyDescent="0.4">
      <c r="A85" s="30"/>
    </row>
    <row r="86" spans="1:1" x14ac:dyDescent="0.4">
      <c r="A86" s="30"/>
    </row>
    <row r="87" spans="1:1" x14ac:dyDescent="0.4">
      <c r="A87" s="30"/>
    </row>
    <row r="88" spans="1:1" x14ac:dyDescent="0.4">
      <c r="A88" s="30"/>
    </row>
    <row r="89" spans="1:1" x14ac:dyDescent="0.4">
      <c r="A89" s="30"/>
    </row>
    <row r="90" spans="1:1" x14ac:dyDescent="0.4">
      <c r="A90" s="30"/>
    </row>
    <row r="91" spans="1:1" x14ac:dyDescent="0.4">
      <c r="A91" s="30"/>
    </row>
    <row r="92" spans="1:1" x14ac:dyDescent="0.4">
      <c r="A92" s="30"/>
    </row>
    <row r="93" spans="1:1" x14ac:dyDescent="0.4">
      <c r="A93" s="30"/>
    </row>
    <row r="94" spans="1:1" x14ac:dyDescent="0.4">
      <c r="A94" s="30"/>
    </row>
    <row r="95" spans="1:1" x14ac:dyDescent="0.4">
      <c r="A95" s="30"/>
    </row>
    <row r="96" spans="1:1" x14ac:dyDescent="0.4">
      <c r="A96" s="30"/>
    </row>
    <row r="97" spans="1:1" x14ac:dyDescent="0.4">
      <c r="A97" s="30"/>
    </row>
    <row r="98" spans="1:1" x14ac:dyDescent="0.4">
      <c r="A98" s="30"/>
    </row>
    <row r="99" spans="1:1" x14ac:dyDescent="0.4">
      <c r="A99" s="30"/>
    </row>
    <row r="100" spans="1:1" x14ac:dyDescent="0.4">
      <c r="A100" s="30"/>
    </row>
    <row r="101" spans="1:1" x14ac:dyDescent="0.4">
      <c r="A101" s="30"/>
    </row>
    <row r="102" spans="1:1" x14ac:dyDescent="0.4">
      <c r="A102" s="30"/>
    </row>
    <row r="103" spans="1:1" x14ac:dyDescent="0.4">
      <c r="A103" s="30"/>
    </row>
    <row r="104" spans="1:1" x14ac:dyDescent="0.4">
      <c r="A104" s="30"/>
    </row>
    <row r="105" spans="1:1" x14ac:dyDescent="0.4">
      <c r="A105" s="30"/>
    </row>
    <row r="106" spans="1:1" x14ac:dyDescent="0.4">
      <c r="A106" s="30"/>
    </row>
    <row r="107" spans="1:1" x14ac:dyDescent="0.4">
      <c r="A107" s="30"/>
    </row>
    <row r="108" spans="1:1" x14ac:dyDescent="0.4">
      <c r="A108" s="30"/>
    </row>
    <row r="109" spans="1:1" x14ac:dyDescent="0.4">
      <c r="A109" s="30"/>
    </row>
    <row r="110" spans="1:1" x14ac:dyDescent="0.4">
      <c r="A110" s="30"/>
    </row>
    <row r="111" spans="1:1" x14ac:dyDescent="0.4">
      <c r="A111" s="30"/>
    </row>
    <row r="112" spans="1:1" x14ac:dyDescent="0.4">
      <c r="A112" s="30"/>
    </row>
    <row r="113" spans="1:1" x14ac:dyDescent="0.4">
      <c r="A113" s="30"/>
    </row>
    <row r="114" spans="1:1" x14ac:dyDescent="0.4">
      <c r="A114" s="30"/>
    </row>
    <row r="115" spans="1:1" x14ac:dyDescent="0.4">
      <c r="A115" s="30"/>
    </row>
    <row r="116" spans="1:1" x14ac:dyDescent="0.4">
      <c r="A116" s="30"/>
    </row>
    <row r="117" spans="1:1" x14ac:dyDescent="0.4">
      <c r="A117" s="30"/>
    </row>
    <row r="118" spans="1:1" x14ac:dyDescent="0.4">
      <c r="A118" s="30"/>
    </row>
    <row r="119" spans="1:1" x14ac:dyDescent="0.4">
      <c r="A119" s="30"/>
    </row>
    <row r="120" spans="1:1" x14ac:dyDescent="0.4">
      <c r="A120" s="30"/>
    </row>
    <row r="121" spans="1:1" x14ac:dyDescent="0.4">
      <c r="A121" s="30"/>
    </row>
    <row r="122" spans="1:1" x14ac:dyDescent="0.4">
      <c r="A122" s="30"/>
    </row>
    <row r="123" spans="1:1" x14ac:dyDescent="0.4">
      <c r="A123" s="30"/>
    </row>
    <row r="124" spans="1:1" x14ac:dyDescent="0.4">
      <c r="A124" s="30"/>
    </row>
    <row r="125" spans="1:1" x14ac:dyDescent="0.4">
      <c r="A125" s="30"/>
    </row>
    <row r="126" spans="1:1" x14ac:dyDescent="0.4">
      <c r="A126" s="30"/>
    </row>
    <row r="127" spans="1:1" x14ac:dyDescent="0.4">
      <c r="A127" s="30"/>
    </row>
    <row r="128" spans="1:1" x14ac:dyDescent="0.4">
      <c r="A128" s="30"/>
    </row>
    <row r="129" spans="1:1" x14ac:dyDescent="0.4">
      <c r="A129" s="30"/>
    </row>
    <row r="130" spans="1:1" x14ac:dyDescent="0.4">
      <c r="A130" s="30"/>
    </row>
    <row r="131" spans="1:1" x14ac:dyDescent="0.4">
      <c r="A131" s="30"/>
    </row>
  </sheetData>
  <autoFilter ref="E2:E7" xr:uid="{00000000-0009-0000-0000-000006000000}"/>
  <mergeCells count="11">
    <mergeCell ref="AA2:AB2"/>
    <mergeCell ref="Q2:R2"/>
    <mergeCell ref="S2:T2"/>
    <mergeCell ref="U2:V2"/>
    <mergeCell ref="W2:X2"/>
    <mergeCell ref="Y2:Z2"/>
    <mergeCell ref="A1:E1"/>
    <mergeCell ref="I2:J2"/>
    <mergeCell ref="K2:L2"/>
    <mergeCell ref="M2:N2"/>
    <mergeCell ref="O2:P2"/>
  </mergeCells>
  <phoneticPr fontId="1" type="noConversion"/>
  <printOptions horizontalCentered="1"/>
  <pageMargins left="0.23622047244094491" right="0.23622047244094491" top="0.98425196850393704" bottom="0.74803149606299213" header="0.47244094488188981" footer="0.31496062992125984"/>
  <pageSetup paperSize="9" fitToHeight="0" orientation="portrait" r:id="rId1"/>
  <headerFooter scaleWithDoc="0">
    <oddHeader>&amp;L&amp;G&amp;C&amp;"-,굵게"&amp;25SAR Test Worksheet</oddHeader>
    <oddFooter>&amp;LRTT5041-49(2018.01.01)(5)                                                      &amp;C&amp;P/&amp;N&amp;RA4(210mm*297mm)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WLAN 2.4GHz</vt:lpstr>
      <vt:lpstr>info</vt:lpstr>
      <vt:lpstr>WLAN 5GHz</vt:lpstr>
      <vt:lpstr>Bluetooth</vt:lpstr>
      <vt:lpstr>Ant+</vt:lpstr>
      <vt:lpstr>Duty Cycle</vt:lpstr>
      <vt:lpstr>Plot Count</vt:lpstr>
      <vt:lpstr>'Ant+'!Print_Area</vt:lpstr>
      <vt:lpstr>Bluetooth!Print_Area</vt:lpstr>
      <vt:lpstr>'WLAN 2.4GHz'!Print_Area</vt:lpstr>
      <vt:lpstr>'WLAN 5GHz'!Print_Area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Jongho_Park</dc:creator>
  <cp:lastModifiedBy>Ryu</cp:lastModifiedBy>
  <cp:lastPrinted>2020-03-02T07:04:28Z</cp:lastPrinted>
  <dcterms:created xsi:type="dcterms:W3CDTF">2017-12-26T02:15:24Z</dcterms:created>
  <dcterms:modified xsi:type="dcterms:W3CDTF">2020-06-18T06:02:42Z</dcterms:modified>
</cp:coreProperties>
</file>