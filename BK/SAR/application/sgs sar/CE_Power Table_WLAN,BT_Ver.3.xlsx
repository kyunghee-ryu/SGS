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+SGS\RTAP_SAR\RTAP_SAR\bin\Debug\SAR\application\sgs sar\"/>
    </mc:Choice>
  </mc:AlternateContent>
  <xr:revisionPtr revIDLastSave="0" documentId="13_ncr:1_{03AC4CC0-9B9E-4D97-BB5A-9C258B54EA4D}" xr6:coauthVersionLast="45" xr6:coauthVersionMax="45" xr10:uidLastSave="{00000000-0000-0000-0000-000000000000}"/>
  <bookViews>
    <workbookView xWindow="-21216" yWindow="12" windowWidth="19824" windowHeight="12336" tabRatio="660" firstSheet="5" activeTab="7" xr2:uid="{00000000-000D-0000-FFFF-FFFF00000000}"/>
  </bookViews>
  <sheets>
    <sheet name="WLAN 2.4 GHz Legacy" sheetId="29" r:id="rId1"/>
    <sheet name="WLAN 5 GHz Legacy" sheetId="19" r:id="rId2"/>
    <sheet name="WLAN 2.4 GHz 802.11ax Ant1" sheetId="32" r:id="rId3"/>
    <sheet name="WLAN 2.4 GHz 802.11ax Ant2" sheetId="33" r:id="rId4"/>
    <sheet name="WLAN 2.4 GHz 802.11ax Ant1+2" sheetId="34" r:id="rId5"/>
    <sheet name="WLAN 5 GHz 802.11ax Ant1" sheetId="35" r:id="rId6"/>
    <sheet name="WLAN 5 GHz 802.11ax Ant2" sheetId="36" r:id="rId7"/>
    <sheet name="WLAN 5 GHz 802.11ax Ant1+2" sheetId="37" r:id="rId8"/>
    <sheet name="Target Power" sheetId="31" state="hidden" r:id="rId9"/>
    <sheet name="Bluetooth,Ant" sheetId="38" r:id="rId10"/>
  </sheets>
  <definedNames>
    <definedName name="_xlnm.Print_Area" localSheetId="9">'Bluetooth,Ant'!$A$1:$L$65</definedName>
    <definedName name="_xlnm.Print_Area" localSheetId="2">'WLAN 2.4 GHz 802.11ax Ant1'!$A$1:$M$38</definedName>
    <definedName name="_xlnm.Print_Area" localSheetId="4">'WLAN 2.4 GHz 802.11ax Ant1+2'!$A$1:$Q$39</definedName>
    <definedName name="_xlnm.Print_Area" localSheetId="3">'WLAN 2.4 GHz 802.11ax Ant2'!$A$1:$M$38</definedName>
    <definedName name="_xlnm.Print_Area" localSheetId="0">'WLAN 2.4 GHz Legacy'!$A$1:$O$51</definedName>
    <definedName name="_xlnm.Print_Area" localSheetId="5">'WLAN 5 GHz 802.11ax Ant1'!$A$1:$AM$62</definedName>
    <definedName name="_xlnm.Print_Area" localSheetId="7">'WLAN 5 GHz 802.11ax Ant1+2'!$A$1:$AZ$62</definedName>
    <definedName name="_xlnm.Print_Area" localSheetId="6">'WLAN 5 GHz 802.11ax Ant2'!$A$1:$AM$62</definedName>
    <definedName name="_xlnm.Print_Area" localSheetId="1">'WLAN 5 GHz Legacy'!$A$1:$AS$69</definedName>
    <definedName name="돋움" localSheetId="2">#REF!</definedName>
    <definedName name="돋움" localSheetId="4">#REF!</definedName>
    <definedName name="돋움" localSheetId="3">#REF!</definedName>
    <definedName name="돋움" localSheetId="0">#REF!</definedName>
    <definedName name="돋움" localSheetId="5">#REF!</definedName>
    <definedName name="돋움" localSheetId="7">#REF!</definedName>
    <definedName name="돋움" localSheetId="6">#REF!</definedName>
    <definedName name="돋움" localSheetId="1">#REF!</definedName>
    <definedName name="돋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V38" i="37" l="1"/>
  <c r="AU38" i="37"/>
  <c r="AV37" i="37"/>
  <c r="AU37" i="37"/>
  <c r="AV36" i="37"/>
  <c r="AU36" i="37"/>
  <c r="AV35" i="37"/>
  <c r="AU35" i="37"/>
  <c r="AV34" i="37"/>
  <c r="AU34" i="37"/>
  <c r="AV33" i="37"/>
  <c r="AU33" i="37"/>
  <c r="AV32" i="37"/>
  <c r="AU32" i="37"/>
  <c r="AV31" i="37"/>
  <c r="AU31" i="37"/>
  <c r="AV30" i="37"/>
  <c r="AU30" i="37"/>
  <c r="AV29" i="37"/>
  <c r="AU29" i="37"/>
  <c r="AV28" i="37"/>
  <c r="AU28" i="37"/>
  <c r="AV27" i="37"/>
  <c r="AU27" i="37"/>
  <c r="AV26" i="37"/>
  <c r="AU26" i="37"/>
  <c r="AV25" i="37"/>
  <c r="AU25" i="37"/>
  <c r="AV24" i="37"/>
  <c r="AU24" i="37"/>
  <c r="AV23" i="37"/>
  <c r="AU23" i="37"/>
  <c r="AV22" i="37"/>
  <c r="AU22" i="37"/>
  <c r="AV21" i="37"/>
  <c r="AU21" i="37"/>
  <c r="AV20" i="37"/>
  <c r="AU20" i="37"/>
  <c r="AV19" i="37"/>
  <c r="AU19" i="37"/>
  <c r="AV18" i="37"/>
  <c r="AU18" i="37"/>
  <c r="AV17" i="37"/>
  <c r="AU17" i="37"/>
  <c r="AV16" i="37"/>
  <c r="AU16" i="37"/>
  <c r="AV15" i="37"/>
  <c r="AU15" i="37"/>
  <c r="AV14" i="37"/>
  <c r="AU14" i="37"/>
  <c r="AV13" i="37"/>
  <c r="AU13" i="37"/>
  <c r="AV12" i="37"/>
  <c r="AU12" i="37"/>
  <c r="AV11" i="37"/>
  <c r="AU11" i="37"/>
  <c r="AV10" i="37"/>
  <c r="AU10" i="37"/>
  <c r="AV9" i="37"/>
  <c r="AU9" i="37"/>
  <c r="AV8" i="37"/>
  <c r="AU8" i="37"/>
  <c r="AV7" i="37"/>
  <c r="AU7" i="37"/>
  <c r="AV6" i="37"/>
  <c r="AU6" i="37"/>
  <c r="AV5" i="37"/>
  <c r="AU5" i="37"/>
  <c r="AE59" i="37"/>
  <c r="AD59" i="37"/>
  <c r="AE58" i="37"/>
  <c r="AD58" i="37"/>
  <c r="AE57" i="37"/>
  <c r="AD57" i="37"/>
  <c r="AE56" i="37"/>
  <c r="AD56" i="37"/>
  <c r="AE55" i="37"/>
  <c r="AD55" i="37"/>
  <c r="AE54" i="37"/>
  <c r="AD54" i="37"/>
  <c r="AE53" i="37"/>
  <c r="AD53" i="37"/>
  <c r="AE52" i="37"/>
  <c r="AD52" i="37"/>
  <c r="AE51" i="37"/>
  <c r="AD51" i="37"/>
  <c r="AE50" i="37"/>
  <c r="AD50" i="37"/>
  <c r="AE49" i="37"/>
  <c r="AD49" i="37"/>
  <c r="AE48" i="37"/>
  <c r="AD48" i="37"/>
  <c r="AE47" i="37"/>
  <c r="AD47" i="37"/>
  <c r="AE46" i="37"/>
  <c r="AD46" i="37"/>
  <c r="AE45" i="37"/>
  <c r="AD45" i="37"/>
  <c r="AE44" i="37"/>
  <c r="AD44" i="37"/>
  <c r="AE43" i="37"/>
  <c r="AD43" i="37"/>
  <c r="AE42" i="37"/>
  <c r="AD42" i="37"/>
  <c r="AE41" i="37"/>
  <c r="AD41" i="37"/>
  <c r="AE40" i="37"/>
  <c r="AD40" i="37"/>
  <c r="AE39" i="37"/>
  <c r="AD39" i="37"/>
  <c r="AE38" i="37"/>
  <c r="AD38" i="37"/>
  <c r="AE37" i="37"/>
  <c r="AD37" i="37"/>
  <c r="AE36" i="37"/>
  <c r="AD36" i="37"/>
  <c r="AE35" i="37"/>
  <c r="AD35" i="37"/>
  <c r="AE34" i="37"/>
  <c r="AD34" i="37"/>
  <c r="AE33" i="37"/>
  <c r="AD33" i="37"/>
  <c r="AE32" i="37"/>
  <c r="AD32" i="37"/>
  <c r="AE31" i="37"/>
  <c r="AD31" i="37"/>
  <c r="AE30" i="37"/>
  <c r="AD30" i="37"/>
  <c r="AE29" i="37"/>
  <c r="AD29" i="37"/>
  <c r="AE28" i="37"/>
  <c r="AD28" i="37"/>
  <c r="AE27" i="37"/>
  <c r="AD27" i="37"/>
  <c r="AE26" i="37"/>
  <c r="AD26" i="37"/>
  <c r="AE25" i="37"/>
  <c r="AD25" i="37"/>
  <c r="AE24" i="37"/>
  <c r="AD24" i="37"/>
  <c r="AE23" i="37"/>
  <c r="AD23" i="37"/>
  <c r="AE22" i="37"/>
  <c r="AD22" i="37"/>
  <c r="AE21" i="37"/>
  <c r="AD21" i="37"/>
  <c r="AE20" i="37"/>
  <c r="AD20" i="37"/>
  <c r="AE19" i="37"/>
  <c r="AD19" i="37"/>
  <c r="AE18" i="37"/>
  <c r="AD18" i="37"/>
  <c r="AE17" i="37"/>
  <c r="AD17" i="37"/>
  <c r="AE16" i="37"/>
  <c r="AD16" i="37"/>
  <c r="AE15" i="37"/>
  <c r="AD15" i="37"/>
  <c r="AE14" i="37"/>
  <c r="AD14" i="37"/>
  <c r="AE13" i="37"/>
  <c r="AD13" i="37"/>
  <c r="AE12" i="37"/>
  <c r="AD12" i="37"/>
  <c r="AE11" i="37"/>
  <c r="AD11" i="37"/>
  <c r="AE10" i="37"/>
  <c r="AD10" i="37"/>
  <c r="AE9" i="37"/>
  <c r="AD9" i="37"/>
  <c r="AE8" i="37"/>
  <c r="AD8" i="37"/>
  <c r="AE7" i="37"/>
  <c r="AD7" i="37"/>
  <c r="AE6" i="37"/>
  <c r="AD6" i="37"/>
  <c r="AE5" i="37"/>
  <c r="AD5" i="37"/>
  <c r="M6" i="37"/>
  <c r="N6" i="37"/>
  <c r="M7" i="37"/>
  <c r="N7" i="37"/>
  <c r="M8" i="37"/>
  <c r="N8" i="37"/>
  <c r="M9" i="37"/>
  <c r="N9" i="37"/>
  <c r="M10" i="37"/>
  <c r="N10" i="37"/>
  <c r="M11" i="37"/>
  <c r="N11" i="37"/>
  <c r="M12" i="37"/>
  <c r="N12" i="37"/>
  <c r="M13" i="37"/>
  <c r="N13" i="37"/>
  <c r="M14" i="37"/>
  <c r="N14" i="37"/>
  <c r="M15" i="37"/>
  <c r="N15" i="37"/>
  <c r="M16" i="37"/>
  <c r="N16" i="37"/>
  <c r="M17" i="37"/>
  <c r="N17" i="37"/>
  <c r="M18" i="37"/>
  <c r="N18" i="37"/>
  <c r="M19" i="37"/>
  <c r="N19" i="37"/>
  <c r="M20" i="37"/>
  <c r="N20" i="37"/>
  <c r="M21" i="37"/>
  <c r="N21" i="37"/>
  <c r="M22" i="37"/>
  <c r="N22" i="37"/>
  <c r="M23" i="37"/>
  <c r="N23" i="37"/>
  <c r="M24" i="37"/>
  <c r="N24" i="37"/>
  <c r="M25" i="37"/>
  <c r="N25" i="37"/>
  <c r="M26" i="37"/>
  <c r="N26" i="37"/>
  <c r="M27" i="37"/>
  <c r="N27" i="37"/>
  <c r="M28" i="37"/>
  <c r="N28" i="37"/>
  <c r="M29" i="37"/>
  <c r="N29" i="37"/>
  <c r="M30" i="37"/>
  <c r="N30" i="37"/>
  <c r="M31" i="37"/>
  <c r="N31" i="37"/>
  <c r="M32" i="37"/>
  <c r="N32" i="37"/>
  <c r="M33" i="37"/>
  <c r="N33" i="37"/>
  <c r="M34" i="37"/>
  <c r="N34" i="37"/>
  <c r="M35" i="37"/>
  <c r="N35" i="37"/>
  <c r="M36" i="37"/>
  <c r="N36" i="37"/>
  <c r="M37" i="37"/>
  <c r="N37" i="37"/>
  <c r="M38" i="37"/>
  <c r="N38" i="37"/>
  <c r="M39" i="37"/>
  <c r="N39" i="37"/>
  <c r="M40" i="37"/>
  <c r="N40" i="37"/>
  <c r="M41" i="37"/>
  <c r="N41" i="37"/>
  <c r="M42" i="37"/>
  <c r="N42" i="37"/>
  <c r="M43" i="37"/>
  <c r="N43" i="37"/>
  <c r="M44" i="37"/>
  <c r="N44" i="37"/>
  <c r="M45" i="37"/>
  <c r="N45" i="37"/>
  <c r="M46" i="37"/>
  <c r="N46" i="37"/>
  <c r="M47" i="37"/>
  <c r="N47" i="37"/>
  <c r="M48" i="37"/>
  <c r="N48" i="37"/>
  <c r="M49" i="37"/>
  <c r="N49" i="37"/>
  <c r="M50" i="37"/>
  <c r="N50" i="37"/>
  <c r="M51" i="37"/>
  <c r="N51" i="37"/>
  <c r="M52" i="37"/>
  <c r="N52" i="37"/>
  <c r="M53" i="37"/>
  <c r="N53" i="37"/>
  <c r="M54" i="37"/>
  <c r="N54" i="37"/>
  <c r="M55" i="37"/>
  <c r="N55" i="37"/>
  <c r="M56" i="37"/>
  <c r="N56" i="37"/>
  <c r="M57" i="37"/>
  <c r="N57" i="37"/>
  <c r="M58" i="37"/>
  <c r="N58" i="37"/>
  <c r="M59" i="37"/>
  <c r="N59" i="37"/>
  <c r="M5" i="37"/>
  <c r="N5" i="37"/>
  <c r="N37" i="34"/>
  <c r="N36" i="34"/>
  <c r="N35" i="34"/>
  <c r="M35" i="34"/>
  <c r="M36" i="34"/>
  <c r="M37" i="34"/>
  <c r="N34" i="34"/>
  <c r="M34" i="34"/>
  <c r="N33" i="34"/>
  <c r="M33" i="34"/>
  <c r="N32" i="34"/>
  <c r="M32" i="34"/>
  <c r="N31" i="34"/>
  <c r="M31" i="34"/>
  <c r="N30" i="34"/>
  <c r="M30" i="34"/>
  <c r="N29" i="34"/>
  <c r="M29" i="34"/>
  <c r="N28" i="34"/>
  <c r="M28" i="34"/>
  <c r="N27" i="34"/>
  <c r="M27" i="34"/>
  <c r="N26" i="34"/>
  <c r="M26" i="34"/>
  <c r="N25" i="34"/>
  <c r="M25" i="34"/>
  <c r="N24" i="34"/>
  <c r="M24" i="34"/>
  <c r="N23" i="34"/>
  <c r="M23" i="34"/>
  <c r="N22" i="34"/>
  <c r="M22" i="34"/>
  <c r="N21" i="34"/>
  <c r="M21" i="34"/>
  <c r="N20" i="34"/>
  <c r="M20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5" i="34"/>
  <c r="AP64" i="19" l="1"/>
  <c r="AO64" i="19"/>
  <c r="AP63" i="19"/>
  <c r="AO63" i="19"/>
  <c r="AP62" i="19"/>
  <c r="AO62" i="19"/>
  <c r="AP61" i="19"/>
  <c r="AO61" i="19"/>
  <c r="AP60" i="19"/>
  <c r="AO60" i="19"/>
  <c r="AP59" i="19"/>
  <c r="AO59" i="19"/>
  <c r="AP58" i="19"/>
  <c r="AO58" i="19"/>
  <c r="AP57" i="19"/>
  <c r="AO57" i="19"/>
  <c r="AP56" i="19"/>
  <c r="AO56" i="19"/>
  <c r="AP55" i="19"/>
  <c r="AO55" i="19"/>
  <c r="AP54" i="19"/>
  <c r="AO54" i="19"/>
  <c r="AP53" i="19"/>
  <c r="AO53" i="19"/>
  <c r="AP52" i="19"/>
  <c r="AO52" i="19"/>
  <c r="AP51" i="19"/>
  <c r="AO51" i="19"/>
  <c r="AA68" i="19"/>
  <c r="Z68" i="19"/>
  <c r="AA67" i="19"/>
  <c r="Z67" i="19"/>
  <c r="AA66" i="19"/>
  <c r="Z66" i="19"/>
  <c r="AA65" i="19"/>
  <c r="Z65" i="19"/>
  <c r="AA64" i="19"/>
  <c r="Z64" i="19"/>
  <c r="AA63" i="19"/>
  <c r="Z63" i="19"/>
  <c r="AA62" i="19"/>
  <c r="Z62" i="19"/>
  <c r="AA61" i="19"/>
  <c r="Z61" i="19"/>
  <c r="AA60" i="19"/>
  <c r="Z60" i="19"/>
  <c r="AA59" i="19"/>
  <c r="Z59" i="19"/>
  <c r="AA58" i="19"/>
  <c r="Z58" i="19"/>
  <c r="AA57" i="19"/>
  <c r="Z57" i="19"/>
  <c r="AA56" i="19"/>
  <c r="Z56" i="19"/>
  <c r="AA55" i="19"/>
  <c r="Z55" i="19"/>
  <c r="AA54" i="19"/>
  <c r="Z54" i="19"/>
  <c r="AA53" i="19"/>
  <c r="Z53" i="19"/>
  <c r="AA52" i="19"/>
  <c r="Z52" i="19"/>
  <c r="AA51" i="19"/>
  <c r="Z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51" i="19"/>
  <c r="K68" i="19" l="1"/>
  <c r="K67" i="19"/>
  <c r="K66" i="19"/>
  <c r="K65" i="19"/>
  <c r="K64" i="19"/>
  <c r="K63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39" i="29"/>
  <c r="K40" i="29"/>
  <c r="K41" i="29"/>
  <c r="K42" i="29"/>
  <c r="K43" i="29"/>
  <c r="K44" i="29"/>
  <c r="K45" i="29"/>
  <c r="K46" i="29"/>
  <c r="K47" i="29"/>
  <c r="K48" i="29"/>
  <c r="K49" i="29"/>
  <c r="K50" i="29"/>
  <c r="AG37" i="35" l="1"/>
  <c r="AL37" i="35"/>
  <c r="AR51" i="19" l="1"/>
  <c r="AR52" i="19"/>
  <c r="AR53" i="19"/>
  <c r="AC51" i="19"/>
  <c r="AC52" i="19"/>
  <c r="AC53" i="19"/>
  <c r="N51" i="19"/>
  <c r="N52" i="19"/>
  <c r="N53" i="19"/>
  <c r="N39" i="29"/>
  <c r="N40" i="29"/>
  <c r="N41" i="29"/>
  <c r="N42" i="29"/>
  <c r="N43" i="29"/>
  <c r="N44" i="29"/>
  <c r="X53" i="37" l="1"/>
  <c r="X54" i="37"/>
  <c r="X55" i="37"/>
  <c r="X56" i="37"/>
  <c r="X57" i="37"/>
  <c r="X58" i="37"/>
  <c r="X59" i="37"/>
  <c r="X52" i="37"/>
  <c r="G53" i="37"/>
  <c r="G54" i="37"/>
  <c r="G55" i="37"/>
  <c r="G56" i="37"/>
  <c r="G57" i="37"/>
  <c r="G58" i="37"/>
  <c r="G59" i="37"/>
  <c r="G52" i="37"/>
  <c r="W59" i="37"/>
  <c r="F53" i="37"/>
  <c r="F54" i="37"/>
  <c r="F55" i="37"/>
  <c r="F56" i="37"/>
  <c r="F57" i="37"/>
  <c r="F58" i="37"/>
  <c r="F59" i="37"/>
  <c r="F52" i="37"/>
  <c r="AG59" i="37"/>
  <c r="P59" i="37"/>
  <c r="AG58" i="37"/>
  <c r="P58" i="37"/>
  <c r="AG57" i="37"/>
  <c r="P57" i="37"/>
  <c r="AG56" i="37"/>
  <c r="P56" i="37"/>
  <c r="AG55" i="37"/>
  <c r="P55" i="37"/>
  <c r="AG54" i="37"/>
  <c r="P54" i="37"/>
  <c r="AG53" i="37"/>
  <c r="P53" i="37"/>
  <c r="AG52" i="37"/>
  <c r="P52" i="37"/>
  <c r="F39" i="37"/>
  <c r="F40" i="37"/>
  <c r="F41" i="37"/>
  <c r="F42" i="37"/>
  <c r="F43" i="37"/>
  <c r="F44" i="37"/>
  <c r="F38" i="37"/>
  <c r="AN33" i="37"/>
  <c r="AN34" i="37"/>
  <c r="AN35" i="37"/>
  <c r="AN36" i="37"/>
  <c r="AN37" i="37"/>
  <c r="AN38" i="37"/>
  <c r="AL37" i="36"/>
  <c r="AL38" i="36"/>
  <c r="AF37" i="36"/>
  <c r="AF38" i="36"/>
  <c r="AL38" i="35"/>
  <c r="AG32" i="35"/>
  <c r="AL32" i="35"/>
  <c r="AG33" i="35"/>
  <c r="AL33" i="35"/>
  <c r="AG34" i="35"/>
  <c r="AL34" i="35"/>
  <c r="AG35" i="35"/>
  <c r="AL35" i="35"/>
  <c r="AG36" i="35"/>
  <c r="AL36" i="35"/>
  <c r="AG38" i="35"/>
  <c r="AN32" i="37"/>
  <c r="AO33" i="37"/>
  <c r="AO34" i="37"/>
  <c r="AO35" i="37"/>
  <c r="AO36" i="37"/>
  <c r="AO37" i="37"/>
  <c r="AO38" i="37"/>
  <c r="AO32" i="37"/>
  <c r="X39" i="37"/>
  <c r="X40" i="37"/>
  <c r="X41" i="37"/>
  <c r="X42" i="37"/>
  <c r="X43" i="37"/>
  <c r="X44" i="37"/>
  <c r="X45" i="37"/>
  <c r="X46" i="37"/>
  <c r="X47" i="37"/>
  <c r="X48" i="37"/>
  <c r="X49" i="37"/>
  <c r="X50" i="37"/>
  <c r="X51" i="37"/>
  <c r="X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38" i="37"/>
  <c r="AG51" i="37"/>
  <c r="V51" i="37"/>
  <c r="P51" i="37"/>
  <c r="E51" i="37"/>
  <c r="AG50" i="37"/>
  <c r="V50" i="37"/>
  <c r="P50" i="37"/>
  <c r="E50" i="37"/>
  <c r="AG49" i="37"/>
  <c r="V49" i="37"/>
  <c r="P49" i="37"/>
  <c r="E49" i="37"/>
  <c r="AG48" i="37"/>
  <c r="V48" i="37"/>
  <c r="P48" i="37"/>
  <c r="E48" i="37"/>
  <c r="AG47" i="37"/>
  <c r="V47" i="37"/>
  <c r="P47" i="37"/>
  <c r="E47" i="37"/>
  <c r="AG46" i="37"/>
  <c r="V46" i="37"/>
  <c r="P46" i="37"/>
  <c r="E46" i="37"/>
  <c r="AG45" i="37"/>
  <c r="V45" i="37"/>
  <c r="P45" i="37"/>
  <c r="E45" i="37"/>
  <c r="AX38" i="37"/>
  <c r="AG44" i="37"/>
  <c r="P44" i="37"/>
  <c r="AX37" i="37"/>
  <c r="AG43" i="37"/>
  <c r="P43" i="37"/>
  <c r="AX36" i="37"/>
  <c r="AG42" i="37"/>
  <c r="P42" i="37"/>
  <c r="AX35" i="37"/>
  <c r="AG41" i="37"/>
  <c r="P41" i="37"/>
  <c r="AX34" i="37"/>
  <c r="AG40" i="37"/>
  <c r="P40" i="37"/>
  <c r="AX33" i="37"/>
  <c r="AG39" i="37"/>
  <c r="P39" i="37"/>
  <c r="AX32" i="37"/>
  <c r="AG38" i="37"/>
  <c r="P38" i="37"/>
  <c r="F21" i="37"/>
  <c r="F22" i="37"/>
  <c r="F23" i="37"/>
  <c r="F24" i="37"/>
  <c r="F25" i="37"/>
  <c r="F20" i="37"/>
  <c r="AO23" i="37"/>
  <c r="AN21" i="37"/>
  <c r="AN22" i="37"/>
  <c r="AN23" i="37"/>
  <c r="AN24" i="37"/>
  <c r="AN25" i="37"/>
  <c r="AN20" i="37"/>
  <c r="AN6" i="37"/>
  <c r="AN7" i="37"/>
  <c r="AN8" i="37"/>
  <c r="AN9" i="37"/>
  <c r="AN14" i="37"/>
  <c r="AN19" i="37"/>
  <c r="AN5" i="37"/>
  <c r="AO21" i="37"/>
  <c r="AO22" i="37"/>
  <c r="AO24" i="37"/>
  <c r="AO25" i="37"/>
  <c r="AO26" i="37"/>
  <c r="AO27" i="37"/>
  <c r="AO28" i="37"/>
  <c r="AO29" i="37"/>
  <c r="AO30" i="37"/>
  <c r="AO31" i="37"/>
  <c r="AO20" i="37"/>
  <c r="X21" i="37"/>
  <c r="X22" i="37"/>
  <c r="X23" i="37"/>
  <c r="X24" i="37"/>
  <c r="X25" i="37"/>
  <c r="X26" i="37"/>
  <c r="X27" i="37"/>
  <c r="X28" i="37"/>
  <c r="X29" i="37"/>
  <c r="X30" i="37"/>
  <c r="X31" i="37"/>
  <c r="X32" i="37"/>
  <c r="X33" i="37"/>
  <c r="X34" i="37"/>
  <c r="X35" i="37"/>
  <c r="X36" i="37"/>
  <c r="X37" i="37"/>
  <c r="X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20" i="37"/>
  <c r="AG37" i="37"/>
  <c r="P37" i="37"/>
  <c r="AG36" i="37"/>
  <c r="P36" i="37"/>
  <c r="AG35" i="37"/>
  <c r="P35" i="37"/>
  <c r="AG34" i="37"/>
  <c r="P34" i="37"/>
  <c r="AG33" i="37"/>
  <c r="P33" i="37"/>
  <c r="AG32" i="37"/>
  <c r="P32" i="37"/>
  <c r="AX31" i="37"/>
  <c r="AG31" i="37"/>
  <c r="P31" i="37"/>
  <c r="AX30" i="37"/>
  <c r="AG30" i="37"/>
  <c r="P30" i="37"/>
  <c r="AX29" i="37"/>
  <c r="AG29" i="37"/>
  <c r="P29" i="37"/>
  <c r="AX28" i="37"/>
  <c r="AG28" i="37"/>
  <c r="P28" i="37"/>
  <c r="AX27" i="37"/>
  <c r="AG27" i="37"/>
  <c r="P27" i="37"/>
  <c r="AX26" i="37"/>
  <c r="AG26" i="37"/>
  <c r="P26" i="37"/>
  <c r="AX25" i="37"/>
  <c r="AG25" i="37"/>
  <c r="P25" i="37"/>
  <c r="AX24" i="37"/>
  <c r="AG24" i="37"/>
  <c r="P24" i="37"/>
  <c r="AX23" i="37"/>
  <c r="AG23" i="37"/>
  <c r="P23" i="37"/>
  <c r="AX22" i="37"/>
  <c r="AG22" i="37"/>
  <c r="P22" i="37"/>
  <c r="AX21" i="37"/>
  <c r="AG21" i="37"/>
  <c r="P21" i="37"/>
  <c r="AX20" i="37"/>
  <c r="AG20" i="37"/>
  <c r="P20" i="37"/>
  <c r="F6" i="37"/>
  <c r="F7" i="37"/>
  <c r="F8" i="37"/>
  <c r="F9" i="37"/>
  <c r="F5" i="37"/>
  <c r="AO6" i="37"/>
  <c r="AO7" i="37"/>
  <c r="AO8" i="37"/>
  <c r="AO9" i="37"/>
  <c r="AO10" i="37"/>
  <c r="AO11" i="37"/>
  <c r="AO12" i="37"/>
  <c r="AO13" i="37"/>
  <c r="AO14" i="37"/>
  <c r="AO15" i="37"/>
  <c r="AO16" i="37"/>
  <c r="AO17" i="37"/>
  <c r="AO18" i="37"/>
  <c r="AO19" i="37"/>
  <c r="AO5" i="37"/>
  <c r="X6" i="37"/>
  <c r="X7" i="37"/>
  <c r="X8" i="37"/>
  <c r="X9" i="37"/>
  <c r="X10" i="37"/>
  <c r="X11" i="37"/>
  <c r="X12" i="37"/>
  <c r="X13" i="37"/>
  <c r="X14" i="37"/>
  <c r="X15" i="37"/>
  <c r="X16" i="37"/>
  <c r="X17" i="37"/>
  <c r="X18" i="37"/>
  <c r="X19" i="37"/>
  <c r="X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5" i="37"/>
  <c r="AX19" i="37"/>
  <c r="AG19" i="37"/>
  <c r="P19" i="37"/>
  <c r="AX18" i="37"/>
  <c r="AG18" i="37"/>
  <c r="P18" i="37"/>
  <c r="AX17" i="37"/>
  <c r="AG17" i="37"/>
  <c r="P17" i="37"/>
  <c r="AX16" i="37"/>
  <c r="AG16" i="37"/>
  <c r="P16" i="37"/>
  <c r="AX15" i="37"/>
  <c r="AG15" i="37"/>
  <c r="P15" i="37"/>
  <c r="AX14" i="37"/>
  <c r="AG14" i="37"/>
  <c r="P14" i="37"/>
  <c r="AX13" i="37"/>
  <c r="AG13" i="37"/>
  <c r="P13" i="37"/>
  <c r="AX12" i="37"/>
  <c r="AG12" i="37"/>
  <c r="P12" i="37"/>
  <c r="AX11" i="37"/>
  <c r="AG11" i="37"/>
  <c r="P11" i="37"/>
  <c r="AX10" i="37"/>
  <c r="AG10" i="37"/>
  <c r="P10" i="37"/>
  <c r="AX9" i="37"/>
  <c r="AG9" i="37"/>
  <c r="P9" i="37"/>
  <c r="AX8" i="37"/>
  <c r="AG8" i="37"/>
  <c r="P8" i="37"/>
  <c r="AX7" i="37"/>
  <c r="AG7" i="37"/>
  <c r="P7" i="37"/>
  <c r="AX6" i="37"/>
  <c r="AG6" i="37"/>
  <c r="P6" i="37"/>
  <c r="AX5" i="37"/>
  <c r="AG5" i="37"/>
  <c r="P5" i="37"/>
  <c r="S59" i="36"/>
  <c r="F53" i="36"/>
  <c r="F54" i="36"/>
  <c r="F55" i="36"/>
  <c r="F56" i="36"/>
  <c r="F57" i="36"/>
  <c r="F58" i="36"/>
  <c r="F59" i="36"/>
  <c r="F52" i="36"/>
  <c r="F44" i="36"/>
  <c r="F43" i="36"/>
  <c r="F42" i="36"/>
  <c r="F41" i="36"/>
  <c r="F40" i="36"/>
  <c r="F39" i="36"/>
  <c r="F38" i="36"/>
  <c r="AF33" i="36"/>
  <c r="AF34" i="36"/>
  <c r="AF35" i="36"/>
  <c r="AF36" i="36"/>
  <c r="AF32" i="36"/>
  <c r="AF21" i="36"/>
  <c r="AF22" i="36"/>
  <c r="AF23" i="36"/>
  <c r="AF24" i="36"/>
  <c r="AF25" i="36"/>
  <c r="AF20" i="36"/>
  <c r="F21" i="36"/>
  <c r="F22" i="36"/>
  <c r="F23" i="36"/>
  <c r="F24" i="36"/>
  <c r="F25" i="36"/>
  <c r="F20" i="36"/>
  <c r="AF19" i="36"/>
  <c r="AF14" i="36"/>
  <c r="AF9" i="36"/>
  <c r="AF8" i="36"/>
  <c r="AF7" i="36"/>
  <c r="AF6" i="36"/>
  <c r="AF5" i="36"/>
  <c r="F6" i="36"/>
  <c r="F7" i="36"/>
  <c r="F8" i="36"/>
  <c r="F9" i="36"/>
  <c r="F5" i="36"/>
  <c r="A53" i="36"/>
  <c r="G56" i="36" s="1"/>
  <c r="N53" i="36"/>
  <c r="T59" i="36" s="1"/>
  <c r="AA33" i="36"/>
  <c r="AG35" i="36" s="1"/>
  <c r="N39" i="36"/>
  <c r="T49" i="36" s="1"/>
  <c r="A39" i="36"/>
  <c r="G49" i="36" s="1"/>
  <c r="A21" i="36"/>
  <c r="G33" i="36" s="1"/>
  <c r="N21" i="36"/>
  <c r="T22" i="36" s="1"/>
  <c r="AA21" i="36"/>
  <c r="AG27" i="36" s="1"/>
  <c r="AA6" i="36"/>
  <c r="AG17" i="36" s="1"/>
  <c r="N6" i="36"/>
  <c r="T8" i="36" s="1"/>
  <c r="A6" i="36"/>
  <c r="G15" i="36" s="1"/>
  <c r="Y59" i="36"/>
  <c r="L59" i="36"/>
  <c r="Y58" i="36"/>
  <c r="L58" i="36"/>
  <c r="Y57" i="36"/>
  <c r="L57" i="36"/>
  <c r="Y56" i="36"/>
  <c r="L56" i="36"/>
  <c r="Y55" i="36"/>
  <c r="L55" i="36"/>
  <c r="Y54" i="36"/>
  <c r="L54" i="36"/>
  <c r="Y53" i="36"/>
  <c r="L53" i="36"/>
  <c r="Y52" i="36"/>
  <c r="L52" i="36"/>
  <c r="Y51" i="36"/>
  <c r="L51" i="36"/>
  <c r="Y50" i="36"/>
  <c r="L50" i="36"/>
  <c r="Y49" i="36"/>
  <c r="L49" i="36"/>
  <c r="Y48" i="36"/>
  <c r="L48" i="36"/>
  <c r="Y47" i="36"/>
  <c r="L47" i="36"/>
  <c r="Y46" i="36"/>
  <c r="L46" i="36"/>
  <c r="Y45" i="36"/>
  <c r="L45" i="36"/>
  <c r="Y44" i="36"/>
  <c r="L44" i="36"/>
  <c r="Y43" i="36"/>
  <c r="L43" i="36"/>
  <c r="Y42" i="36"/>
  <c r="L42" i="36"/>
  <c r="Y41" i="36"/>
  <c r="L41" i="36"/>
  <c r="Y40" i="36"/>
  <c r="L40" i="36"/>
  <c r="Y39" i="36"/>
  <c r="L39" i="36"/>
  <c r="Y38" i="36"/>
  <c r="L38" i="36"/>
  <c r="AL36" i="36"/>
  <c r="Y37" i="36"/>
  <c r="L37" i="36"/>
  <c r="AL35" i="36"/>
  <c r="Y36" i="36"/>
  <c r="L36" i="36"/>
  <c r="AL34" i="36"/>
  <c r="Y35" i="36"/>
  <c r="L35" i="36"/>
  <c r="AL33" i="36"/>
  <c r="Y34" i="36"/>
  <c r="L34" i="36"/>
  <c r="AL32" i="36"/>
  <c r="Y33" i="36"/>
  <c r="L33" i="36"/>
  <c r="Y32" i="36"/>
  <c r="L32" i="36"/>
  <c r="AL31" i="36"/>
  <c r="Y31" i="36"/>
  <c r="L31" i="36"/>
  <c r="AL30" i="36"/>
  <c r="Y30" i="36"/>
  <c r="L30" i="36"/>
  <c r="AL29" i="36"/>
  <c r="Y29" i="36"/>
  <c r="L29" i="36"/>
  <c r="AL28" i="36"/>
  <c r="Y28" i="36"/>
  <c r="L28" i="36"/>
  <c r="AL27" i="36"/>
  <c r="Y27" i="36"/>
  <c r="L27" i="36"/>
  <c r="AL26" i="36"/>
  <c r="Y26" i="36"/>
  <c r="L26" i="36"/>
  <c r="AL25" i="36"/>
  <c r="Y25" i="36"/>
  <c r="L25" i="36"/>
  <c r="AL24" i="36"/>
  <c r="Y24" i="36"/>
  <c r="L24" i="36"/>
  <c r="AL23" i="36"/>
  <c r="Y23" i="36"/>
  <c r="L23" i="36"/>
  <c r="AL22" i="36"/>
  <c r="Y22" i="36"/>
  <c r="L22" i="36"/>
  <c r="AL21" i="36"/>
  <c r="Y21" i="36"/>
  <c r="L21" i="36"/>
  <c r="AL20" i="36"/>
  <c r="Y20" i="36"/>
  <c r="L20" i="36"/>
  <c r="AL19" i="36"/>
  <c r="Y19" i="36"/>
  <c r="L19" i="36"/>
  <c r="AL18" i="36"/>
  <c r="Y18" i="36"/>
  <c r="L18" i="36"/>
  <c r="AL17" i="36"/>
  <c r="Y17" i="36"/>
  <c r="L17" i="36"/>
  <c r="AL16" i="36"/>
  <c r="Y16" i="36"/>
  <c r="L16" i="36"/>
  <c r="AL15" i="36"/>
  <c r="Y15" i="36"/>
  <c r="L15" i="36"/>
  <c r="AL14" i="36"/>
  <c r="Y14" i="36"/>
  <c r="L14" i="36"/>
  <c r="AL13" i="36"/>
  <c r="Y13" i="36"/>
  <c r="L13" i="36"/>
  <c r="AL12" i="36"/>
  <c r="Y12" i="36"/>
  <c r="L12" i="36"/>
  <c r="AL11" i="36"/>
  <c r="Y11" i="36"/>
  <c r="L11" i="36"/>
  <c r="AL10" i="36"/>
  <c r="Y10" i="36"/>
  <c r="L10" i="36"/>
  <c r="AL9" i="36"/>
  <c r="Y9" i="36"/>
  <c r="L9" i="36"/>
  <c r="AL8" i="36"/>
  <c r="Y8" i="36"/>
  <c r="L8" i="36"/>
  <c r="AL7" i="36"/>
  <c r="Y7" i="36"/>
  <c r="L7" i="36"/>
  <c r="AL6" i="36"/>
  <c r="Y6" i="36"/>
  <c r="L6" i="36"/>
  <c r="AL5" i="36"/>
  <c r="Y5" i="36"/>
  <c r="L5" i="36"/>
  <c r="T53" i="35"/>
  <c r="T54" i="35"/>
  <c r="T55" i="35"/>
  <c r="T56" i="35"/>
  <c r="T57" i="35"/>
  <c r="T58" i="35"/>
  <c r="T59" i="35"/>
  <c r="T52" i="35"/>
  <c r="G53" i="35"/>
  <c r="G54" i="35"/>
  <c r="G55" i="35"/>
  <c r="G56" i="35"/>
  <c r="G57" i="35"/>
  <c r="G58" i="35"/>
  <c r="G59" i="35"/>
  <c r="G52" i="35"/>
  <c r="Y59" i="35"/>
  <c r="L59" i="35"/>
  <c r="Y58" i="35"/>
  <c r="S58" i="35"/>
  <c r="W58" i="37" s="1"/>
  <c r="L58" i="35"/>
  <c r="Y57" i="35"/>
  <c r="S57" i="35"/>
  <c r="S57" i="36" s="1"/>
  <c r="L57" i="35"/>
  <c r="Y56" i="35"/>
  <c r="S56" i="35"/>
  <c r="S56" i="36" s="1"/>
  <c r="L56" i="35"/>
  <c r="Y55" i="35"/>
  <c r="S55" i="35"/>
  <c r="S55" i="36" s="1"/>
  <c r="L55" i="35"/>
  <c r="Y54" i="35"/>
  <c r="S54" i="35"/>
  <c r="W54" i="37" s="1"/>
  <c r="L54" i="35"/>
  <c r="Y53" i="35"/>
  <c r="S53" i="35"/>
  <c r="S53" i="36" s="1"/>
  <c r="L53" i="35"/>
  <c r="Y52" i="35"/>
  <c r="S52" i="35"/>
  <c r="S52" i="36" s="1"/>
  <c r="L52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38" i="35"/>
  <c r="S39" i="35"/>
  <c r="S39" i="36" s="1"/>
  <c r="S40" i="35"/>
  <c r="S40" i="36" s="1"/>
  <c r="S41" i="35"/>
  <c r="S41" i="36" s="1"/>
  <c r="S42" i="35"/>
  <c r="S42" i="36" s="1"/>
  <c r="S43" i="35"/>
  <c r="S43" i="36" s="1"/>
  <c r="S44" i="35"/>
  <c r="S44" i="36" s="1"/>
  <c r="F46" i="35"/>
  <c r="S46" i="35" s="1"/>
  <c r="S46" i="36" s="1"/>
  <c r="F47" i="35"/>
  <c r="S47" i="35" s="1"/>
  <c r="S47" i="36" s="1"/>
  <c r="F48" i="35"/>
  <c r="S48" i="35" s="1"/>
  <c r="S48" i="36" s="1"/>
  <c r="F49" i="35"/>
  <c r="S49" i="35" s="1"/>
  <c r="S49" i="36" s="1"/>
  <c r="F50" i="35"/>
  <c r="S50" i="35" s="1"/>
  <c r="S50" i="36" s="1"/>
  <c r="F51" i="35"/>
  <c r="S51" i="35" s="1"/>
  <c r="S51" i="36" s="1"/>
  <c r="F45" i="35"/>
  <c r="S45" i="35" s="1"/>
  <c r="S45" i="36" s="1"/>
  <c r="Y51" i="35"/>
  <c r="L51" i="35"/>
  <c r="Y50" i="35"/>
  <c r="L50" i="35"/>
  <c r="Y49" i="35"/>
  <c r="L49" i="35"/>
  <c r="Y48" i="35"/>
  <c r="L48" i="35"/>
  <c r="Y47" i="35"/>
  <c r="L47" i="35"/>
  <c r="Y46" i="35"/>
  <c r="L46" i="35"/>
  <c r="Y45" i="35"/>
  <c r="L45" i="35"/>
  <c r="Y44" i="35"/>
  <c r="L44" i="35"/>
  <c r="Y43" i="35"/>
  <c r="L43" i="35"/>
  <c r="Y42" i="35"/>
  <c r="L42" i="35"/>
  <c r="Y41" i="35"/>
  <c r="L41" i="35"/>
  <c r="Y40" i="35"/>
  <c r="L40" i="35"/>
  <c r="Y39" i="35"/>
  <c r="L39" i="35"/>
  <c r="Y38" i="35"/>
  <c r="S38" i="35"/>
  <c r="S38" i="36" s="1"/>
  <c r="L38" i="35"/>
  <c r="AG21" i="35"/>
  <c r="AG22" i="35"/>
  <c r="AG23" i="35"/>
  <c r="AG24" i="35"/>
  <c r="AG25" i="35"/>
  <c r="AG26" i="35"/>
  <c r="AG27" i="35"/>
  <c r="AG28" i="35"/>
  <c r="AG29" i="35"/>
  <c r="AG30" i="35"/>
  <c r="AG31" i="35"/>
  <c r="AG20" i="35"/>
  <c r="T21" i="35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20" i="35"/>
  <c r="Y37" i="35"/>
  <c r="L37" i="35"/>
  <c r="Y36" i="35"/>
  <c r="L36" i="35"/>
  <c r="Y35" i="35"/>
  <c r="L35" i="35"/>
  <c r="Y34" i="35"/>
  <c r="L34" i="35"/>
  <c r="Y33" i="35"/>
  <c r="L33" i="35"/>
  <c r="Y32" i="35"/>
  <c r="L32" i="35"/>
  <c r="AL31" i="35"/>
  <c r="AF31" i="35"/>
  <c r="AN31" i="37" s="1"/>
  <c r="Y31" i="35"/>
  <c r="L31" i="35"/>
  <c r="F31" i="35"/>
  <c r="F37" i="35" s="1"/>
  <c r="S37" i="35" s="1"/>
  <c r="S37" i="36" s="1"/>
  <c r="AL30" i="35"/>
  <c r="AF30" i="35"/>
  <c r="AF30" i="36" s="1"/>
  <c r="Y30" i="35"/>
  <c r="L30" i="35"/>
  <c r="F30" i="35"/>
  <c r="F36" i="35" s="1"/>
  <c r="S36" i="35" s="1"/>
  <c r="W36" i="37" s="1"/>
  <c r="AL29" i="35"/>
  <c r="AF29" i="35"/>
  <c r="AF29" i="36" s="1"/>
  <c r="Y29" i="35"/>
  <c r="L29" i="35"/>
  <c r="F29" i="35"/>
  <c r="F35" i="35" s="1"/>
  <c r="S35" i="35" s="1"/>
  <c r="S35" i="36" s="1"/>
  <c r="AL28" i="35"/>
  <c r="AF28" i="35"/>
  <c r="AF28" i="36" s="1"/>
  <c r="Y28" i="35"/>
  <c r="L28" i="35"/>
  <c r="F28" i="35"/>
  <c r="F34" i="35" s="1"/>
  <c r="S34" i="35" s="1"/>
  <c r="W34" i="37" s="1"/>
  <c r="AL27" i="35"/>
  <c r="AF27" i="35"/>
  <c r="AN27" i="37" s="1"/>
  <c r="Y27" i="35"/>
  <c r="L27" i="35"/>
  <c r="F27" i="35"/>
  <c r="F33" i="35" s="1"/>
  <c r="S33" i="35" s="1"/>
  <c r="S33" i="36" s="1"/>
  <c r="AL26" i="35"/>
  <c r="AF26" i="35"/>
  <c r="AF26" i="36" s="1"/>
  <c r="Y26" i="35"/>
  <c r="L26" i="35"/>
  <c r="F26" i="35"/>
  <c r="F32" i="35" s="1"/>
  <c r="S32" i="35" s="1"/>
  <c r="W32" i="37" s="1"/>
  <c r="AL25" i="35"/>
  <c r="Y25" i="35"/>
  <c r="S25" i="35"/>
  <c r="S25" i="36" s="1"/>
  <c r="L25" i="35"/>
  <c r="AL24" i="35"/>
  <c r="Y24" i="35"/>
  <c r="S24" i="35"/>
  <c r="W24" i="37" s="1"/>
  <c r="L24" i="35"/>
  <c r="AL23" i="35"/>
  <c r="Y23" i="35"/>
  <c r="S23" i="35"/>
  <c r="W23" i="37" s="1"/>
  <c r="L23" i="35"/>
  <c r="AL22" i="35"/>
  <c r="Y22" i="35"/>
  <c r="S22" i="35"/>
  <c r="S22" i="36" s="1"/>
  <c r="L22" i="35"/>
  <c r="AL21" i="35"/>
  <c r="Y21" i="35"/>
  <c r="S21" i="35"/>
  <c r="S21" i="36" s="1"/>
  <c r="L21" i="35"/>
  <c r="AL20" i="35"/>
  <c r="Y20" i="35"/>
  <c r="S20" i="35"/>
  <c r="S20" i="36" s="1"/>
  <c r="L20" i="35"/>
  <c r="AG6" i="35"/>
  <c r="AG7" i="35"/>
  <c r="AG8" i="35"/>
  <c r="AG9" i="35"/>
  <c r="AG10" i="35"/>
  <c r="AG11" i="35"/>
  <c r="AG12" i="35"/>
  <c r="AG13" i="35"/>
  <c r="AG14" i="35"/>
  <c r="AG15" i="35"/>
  <c r="AG16" i="35"/>
  <c r="AG17" i="35"/>
  <c r="AG18" i="35"/>
  <c r="AG19" i="35"/>
  <c r="AG5" i="35"/>
  <c r="T6" i="35"/>
  <c r="T7" i="35"/>
  <c r="T8" i="35"/>
  <c r="T9" i="35"/>
  <c r="T10" i="35"/>
  <c r="T11" i="35"/>
  <c r="T12" i="35"/>
  <c r="T13" i="35"/>
  <c r="T14" i="35"/>
  <c r="T15" i="35"/>
  <c r="T16" i="35"/>
  <c r="T17" i="35"/>
  <c r="T18" i="35"/>
  <c r="T19" i="35"/>
  <c r="T5" i="35"/>
  <c r="G19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5" i="35"/>
  <c r="AL19" i="35"/>
  <c r="Y19" i="35"/>
  <c r="L19" i="35"/>
  <c r="AL18" i="35"/>
  <c r="Y18" i="35"/>
  <c r="L18" i="35"/>
  <c r="AL17" i="35"/>
  <c r="Y17" i="35"/>
  <c r="L17" i="35"/>
  <c r="AL16" i="35"/>
  <c r="Y16" i="35"/>
  <c r="L16" i="35"/>
  <c r="AL15" i="35"/>
  <c r="Y15" i="35"/>
  <c r="L15" i="35"/>
  <c r="AL14" i="35"/>
  <c r="Y14" i="35"/>
  <c r="L14" i="35"/>
  <c r="F14" i="35"/>
  <c r="F19" i="35" s="1"/>
  <c r="S19" i="35" s="1"/>
  <c r="W19" i="37" s="1"/>
  <c r="AL13" i="35"/>
  <c r="AF13" i="35"/>
  <c r="AF18" i="35" s="1"/>
  <c r="AF18" i="36" s="1"/>
  <c r="Y13" i="35"/>
  <c r="L13" i="35"/>
  <c r="F13" i="35"/>
  <c r="F18" i="35" s="1"/>
  <c r="S18" i="35" s="1"/>
  <c r="S18" i="36" s="1"/>
  <c r="AL12" i="35"/>
  <c r="AF12" i="35"/>
  <c r="AF17" i="35" s="1"/>
  <c r="AN17" i="37" s="1"/>
  <c r="Y12" i="35"/>
  <c r="L12" i="35"/>
  <c r="F12" i="35"/>
  <c r="F17" i="35" s="1"/>
  <c r="S17" i="35" s="1"/>
  <c r="S17" i="36" s="1"/>
  <c r="AL11" i="35"/>
  <c r="AF11" i="35"/>
  <c r="AF16" i="35" s="1"/>
  <c r="AN16" i="37" s="1"/>
  <c r="Y11" i="35"/>
  <c r="L11" i="35"/>
  <c r="F11" i="35"/>
  <c r="S11" i="35" s="1"/>
  <c r="W11" i="37" s="1"/>
  <c r="AL10" i="35"/>
  <c r="AF10" i="35"/>
  <c r="AF15" i="35" s="1"/>
  <c r="AF15" i="36" s="1"/>
  <c r="Y10" i="35"/>
  <c r="L10" i="35"/>
  <c r="F10" i="35"/>
  <c r="F15" i="35" s="1"/>
  <c r="S15" i="35" s="1"/>
  <c r="W15" i="37" s="1"/>
  <c r="AL9" i="35"/>
  <c r="Y9" i="35"/>
  <c r="S9" i="35"/>
  <c r="S9" i="36" s="1"/>
  <c r="L9" i="35"/>
  <c r="AL8" i="35"/>
  <c r="Y8" i="35"/>
  <c r="S8" i="35"/>
  <c r="W8" i="37" s="1"/>
  <c r="L8" i="35"/>
  <c r="AL7" i="35"/>
  <c r="Y7" i="35"/>
  <c r="S7" i="35"/>
  <c r="W7" i="37" s="1"/>
  <c r="L7" i="35"/>
  <c r="AL6" i="35"/>
  <c r="Y6" i="35"/>
  <c r="S6" i="35"/>
  <c r="S6" i="36" s="1"/>
  <c r="L6" i="35"/>
  <c r="AL5" i="35"/>
  <c r="Y5" i="35"/>
  <c r="S5" i="35"/>
  <c r="W5" i="37" s="1"/>
  <c r="L5" i="35"/>
  <c r="T7" i="36" l="1"/>
  <c r="G36" i="36"/>
  <c r="T52" i="36"/>
  <c r="S58" i="36"/>
  <c r="S19" i="36"/>
  <c r="F26" i="36"/>
  <c r="F12" i="37"/>
  <c r="W18" i="37"/>
  <c r="AN15" i="37"/>
  <c r="AN30" i="37"/>
  <c r="F48" i="37"/>
  <c r="W50" i="37"/>
  <c r="W46" i="37"/>
  <c r="W42" i="37"/>
  <c r="W52" i="37"/>
  <c r="W56" i="37"/>
  <c r="F19" i="36"/>
  <c r="W35" i="37"/>
  <c r="AN26" i="37"/>
  <c r="F29" i="37"/>
  <c r="F51" i="37"/>
  <c r="F47" i="37"/>
  <c r="W49" i="37"/>
  <c r="W45" i="37"/>
  <c r="W41" i="37"/>
  <c r="W55" i="37"/>
  <c r="F15" i="36"/>
  <c r="F34" i="36"/>
  <c r="S34" i="36"/>
  <c r="S54" i="36"/>
  <c r="AN11" i="37"/>
  <c r="F50" i="37"/>
  <c r="F46" i="37"/>
  <c r="W38" i="37"/>
  <c r="W48" i="37"/>
  <c r="W44" i="37"/>
  <c r="W40" i="37"/>
  <c r="S15" i="36"/>
  <c r="AF16" i="36"/>
  <c r="F30" i="36"/>
  <c r="F49" i="37"/>
  <c r="F45" i="37"/>
  <c r="W51" i="37"/>
  <c r="W47" i="37"/>
  <c r="W43" i="37"/>
  <c r="W39" i="37"/>
  <c r="W57" i="37"/>
  <c r="W53" i="37"/>
  <c r="T56" i="36"/>
  <c r="G25" i="36"/>
  <c r="T58" i="36"/>
  <c r="T15" i="36"/>
  <c r="T54" i="36"/>
  <c r="AG20" i="36"/>
  <c r="AG15" i="36"/>
  <c r="AG16" i="36"/>
  <c r="AG5" i="36"/>
  <c r="AG6" i="36"/>
  <c r="AG8" i="36"/>
  <c r="AG9" i="36"/>
  <c r="AG10" i="36"/>
  <c r="AG11" i="36"/>
  <c r="T21" i="36"/>
  <c r="G12" i="36"/>
  <c r="AG18" i="36"/>
  <c r="T29" i="36"/>
  <c r="T50" i="36"/>
  <c r="AG28" i="36"/>
  <c r="AG23" i="36"/>
  <c r="AG24" i="36"/>
  <c r="AG26" i="36"/>
  <c r="T17" i="36"/>
  <c r="T19" i="36"/>
  <c r="G23" i="36"/>
  <c r="AG25" i="36"/>
  <c r="T53" i="36"/>
  <c r="T57" i="36"/>
  <c r="AG21" i="36"/>
  <c r="AG22" i="36"/>
  <c r="G26" i="36"/>
  <c r="G28" i="36"/>
  <c r="AG29" i="36"/>
  <c r="AG30" i="36"/>
  <c r="AG31" i="36"/>
  <c r="T51" i="36"/>
  <c r="T55" i="36"/>
  <c r="AG37" i="36"/>
  <c r="G8" i="36"/>
  <c r="AG12" i="36"/>
  <c r="AG13" i="36"/>
  <c r="AG14" i="36"/>
  <c r="G18" i="36"/>
  <c r="AG19" i="36"/>
  <c r="G53" i="36"/>
  <c r="G57" i="36"/>
  <c r="G5" i="36"/>
  <c r="AG7" i="36"/>
  <c r="T33" i="36"/>
  <c r="S7" i="36"/>
  <c r="S11" i="36"/>
  <c r="W6" i="37"/>
  <c r="F33" i="37"/>
  <c r="G6" i="36"/>
  <c r="G9" i="36"/>
  <c r="G13" i="36"/>
  <c r="G16" i="36"/>
  <c r="G19" i="36"/>
  <c r="T26" i="36"/>
  <c r="T32" i="36"/>
  <c r="AG36" i="36"/>
  <c r="F18" i="36"/>
  <c r="F14" i="36"/>
  <c r="F10" i="36"/>
  <c r="S8" i="36"/>
  <c r="AF13" i="36"/>
  <c r="AF17" i="36"/>
  <c r="F37" i="36"/>
  <c r="F33" i="36"/>
  <c r="F29" i="36"/>
  <c r="S23" i="36"/>
  <c r="AF31" i="36"/>
  <c r="AF27" i="36"/>
  <c r="F47" i="36"/>
  <c r="F51" i="36"/>
  <c r="F19" i="37"/>
  <c r="F15" i="37"/>
  <c r="F11" i="37"/>
  <c r="W17" i="37"/>
  <c r="W9" i="37"/>
  <c r="W20" i="37"/>
  <c r="W22" i="37"/>
  <c r="AN18" i="37"/>
  <c r="AN10" i="37"/>
  <c r="AN29" i="37"/>
  <c r="F36" i="37"/>
  <c r="F32" i="37"/>
  <c r="F28" i="37"/>
  <c r="F46" i="36"/>
  <c r="F37" i="37"/>
  <c r="G7" i="36"/>
  <c r="G10" i="36"/>
  <c r="G14" i="36"/>
  <c r="G17" i="36"/>
  <c r="T27" i="36"/>
  <c r="F17" i="36"/>
  <c r="F13" i="36"/>
  <c r="S5" i="36"/>
  <c r="AF10" i="36"/>
  <c r="F36" i="36"/>
  <c r="F32" i="36"/>
  <c r="F28" i="36"/>
  <c r="S24" i="36"/>
  <c r="S32" i="36"/>
  <c r="S36" i="36"/>
  <c r="F48" i="36"/>
  <c r="F18" i="37"/>
  <c r="F14" i="37"/>
  <c r="F10" i="37"/>
  <c r="W37" i="37"/>
  <c r="W33" i="37"/>
  <c r="W25" i="37"/>
  <c r="W21" i="37"/>
  <c r="AN13" i="37"/>
  <c r="AN28" i="37"/>
  <c r="F35" i="37"/>
  <c r="F31" i="37"/>
  <c r="F27" i="37"/>
  <c r="F11" i="36"/>
  <c r="AF12" i="36"/>
  <c r="F50" i="36"/>
  <c r="G11" i="36"/>
  <c r="T25" i="36"/>
  <c r="T28" i="36"/>
  <c r="T35" i="36"/>
  <c r="T37" i="36"/>
  <c r="F12" i="36"/>
  <c r="AF11" i="36"/>
  <c r="F35" i="36"/>
  <c r="F31" i="36"/>
  <c r="F27" i="36"/>
  <c r="F45" i="36"/>
  <c r="F49" i="36"/>
  <c r="F17" i="37"/>
  <c r="F13" i="37"/>
  <c r="AN12" i="37"/>
  <c r="F34" i="37"/>
  <c r="F30" i="37"/>
  <c r="F26" i="37"/>
  <c r="G54" i="36"/>
  <c r="G58" i="36"/>
  <c r="G55" i="36"/>
  <c r="G59" i="36"/>
  <c r="G52" i="36"/>
  <c r="AG32" i="36"/>
  <c r="AG33" i="36"/>
  <c r="AG34" i="36"/>
  <c r="AG38" i="36"/>
  <c r="T38" i="36"/>
  <c r="T39" i="36"/>
  <c r="T40" i="36"/>
  <c r="T41" i="36"/>
  <c r="T42" i="36"/>
  <c r="T43" i="36"/>
  <c r="T44" i="36"/>
  <c r="T45" i="36"/>
  <c r="T46" i="36"/>
  <c r="T47" i="36"/>
  <c r="T48" i="36"/>
  <c r="G39" i="36"/>
  <c r="G43" i="36"/>
  <c r="G46" i="36"/>
  <c r="G50" i="36"/>
  <c r="G47" i="36"/>
  <c r="G40" i="36"/>
  <c r="G44" i="36"/>
  <c r="G41" i="36"/>
  <c r="G48" i="36"/>
  <c r="G51" i="36"/>
  <c r="G38" i="36"/>
  <c r="G42" i="36"/>
  <c r="G45" i="36"/>
  <c r="G20" i="36"/>
  <c r="G27" i="36"/>
  <c r="G29" i="36"/>
  <c r="G30" i="36"/>
  <c r="G31" i="36"/>
  <c r="G34" i="36"/>
  <c r="G37" i="36"/>
  <c r="G22" i="36"/>
  <c r="G24" i="36"/>
  <c r="G35" i="36"/>
  <c r="G21" i="36"/>
  <c r="G32" i="36"/>
  <c r="T20" i="36"/>
  <c r="T24" i="36"/>
  <c r="T30" i="36"/>
  <c r="T31" i="36"/>
  <c r="T23" i="36"/>
  <c r="T34" i="36"/>
  <c r="T36" i="36"/>
  <c r="T6" i="36"/>
  <c r="T10" i="36"/>
  <c r="T11" i="36"/>
  <c r="T5" i="36"/>
  <c r="T9" i="36"/>
  <c r="T12" i="36"/>
  <c r="T13" i="36"/>
  <c r="T14" i="36"/>
  <c r="T16" i="36"/>
  <c r="T18" i="36"/>
  <c r="S12" i="35"/>
  <c r="S28" i="35"/>
  <c r="S26" i="35"/>
  <c r="S30" i="35"/>
  <c r="S29" i="35"/>
  <c r="S27" i="35"/>
  <c r="S31" i="35"/>
  <c r="S10" i="35"/>
  <c r="F16" i="35"/>
  <c r="S13" i="35"/>
  <c r="S14" i="35"/>
  <c r="S13" i="36" l="1"/>
  <c r="W13" i="37"/>
  <c r="S27" i="36"/>
  <c r="W27" i="37"/>
  <c r="W28" i="37"/>
  <c r="S28" i="36"/>
  <c r="S16" i="35"/>
  <c r="F16" i="36"/>
  <c r="F16" i="37"/>
  <c r="S29" i="36"/>
  <c r="W29" i="37"/>
  <c r="W12" i="37"/>
  <c r="S12" i="36"/>
  <c r="S10" i="36"/>
  <c r="W10" i="37"/>
  <c r="S30" i="36"/>
  <c r="W30" i="37"/>
  <c r="S14" i="36"/>
  <c r="W14" i="37"/>
  <c r="W31" i="37"/>
  <c r="S31" i="36"/>
  <c r="W26" i="37"/>
  <c r="S26" i="36"/>
  <c r="W16" i="37" l="1"/>
  <c r="S16" i="36"/>
  <c r="F21" i="34" l="1"/>
  <c r="F22" i="34"/>
  <c r="F23" i="34"/>
  <c r="F24" i="34"/>
  <c r="F25" i="34"/>
  <c r="F20" i="34"/>
  <c r="F6" i="34"/>
  <c r="F7" i="34"/>
  <c r="F8" i="34"/>
  <c r="F9" i="34"/>
  <c r="F5" i="34"/>
  <c r="F25" i="33"/>
  <c r="F24" i="33"/>
  <c r="F23" i="33"/>
  <c r="F22" i="33"/>
  <c r="F21" i="33"/>
  <c r="F20" i="33"/>
  <c r="F6" i="33"/>
  <c r="F7" i="33"/>
  <c r="F8" i="33"/>
  <c r="F9" i="33"/>
  <c r="F5" i="33"/>
  <c r="A21" i="33"/>
  <c r="G37" i="33" s="1"/>
  <c r="A6" i="33"/>
  <c r="G19" i="33" s="1"/>
  <c r="P37" i="34"/>
  <c r="G37" i="34"/>
  <c r="P36" i="34"/>
  <c r="G36" i="34"/>
  <c r="P35" i="34"/>
  <c r="G35" i="34"/>
  <c r="P34" i="34"/>
  <c r="G34" i="34"/>
  <c r="P19" i="34"/>
  <c r="G19" i="34"/>
  <c r="P33" i="34"/>
  <c r="G33" i="34"/>
  <c r="P18" i="34"/>
  <c r="G18" i="34"/>
  <c r="P32" i="34"/>
  <c r="G32" i="34"/>
  <c r="P17" i="34"/>
  <c r="G17" i="34"/>
  <c r="P31" i="34"/>
  <c r="G31" i="34"/>
  <c r="P16" i="34"/>
  <c r="G16" i="34"/>
  <c r="P30" i="34"/>
  <c r="G30" i="34"/>
  <c r="P15" i="34"/>
  <c r="G15" i="34"/>
  <c r="P29" i="34"/>
  <c r="G29" i="34"/>
  <c r="P14" i="34"/>
  <c r="G14" i="34"/>
  <c r="P28" i="34"/>
  <c r="G28" i="34"/>
  <c r="P13" i="34"/>
  <c r="G13" i="34"/>
  <c r="P27" i="34"/>
  <c r="G27" i="34"/>
  <c r="P12" i="34"/>
  <c r="G12" i="34"/>
  <c r="P26" i="34"/>
  <c r="G26" i="34"/>
  <c r="P11" i="34"/>
  <c r="G11" i="34"/>
  <c r="P25" i="34"/>
  <c r="G25" i="34"/>
  <c r="P10" i="34"/>
  <c r="G10" i="34"/>
  <c r="P24" i="34"/>
  <c r="G24" i="34"/>
  <c r="P9" i="34"/>
  <c r="G9" i="34"/>
  <c r="P23" i="34"/>
  <c r="G23" i="34"/>
  <c r="P8" i="34"/>
  <c r="G8" i="34"/>
  <c r="P22" i="34"/>
  <c r="G22" i="34"/>
  <c r="P7" i="34"/>
  <c r="G7" i="34"/>
  <c r="P21" i="34"/>
  <c r="G21" i="34"/>
  <c r="P6" i="34"/>
  <c r="G6" i="34"/>
  <c r="P20" i="34"/>
  <c r="G20" i="34"/>
  <c r="P5" i="34"/>
  <c r="G5" i="34"/>
  <c r="L37" i="33"/>
  <c r="L36" i="33"/>
  <c r="L35" i="33"/>
  <c r="L34" i="33"/>
  <c r="L19" i="33"/>
  <c r="L33" i="33"/>
  <c r="L18" i="33"/>
  <c r="L32" i="33"/>
  <c r="L17" i="33"/>
  <c r="L31" i="33"/>
  <c r="L16" i="33"/>
  <c r="L30" i="33"/>
  <c r="L15" i="33"/>
  <c r="L29" i="33"/>
  <c r="L14" i="33"/>
  <c r="L28" i="33"/>
  <c r="L13" i="33"/>
  <c r="L27" i="33"/>
  <c r="L12" i="33"/>
  <c r="L26" i="33"/>
  <c r="L11" i="33"/>
  <c r="L25" i="33"/>
  <c r="L10" i="33"/>
  <c r="L24" i="33"/>
  <c r="L9" i="33"/>
  <c r="L23" i="33"/>
  <c r="L8" i="33"/>
  <c r="L22" i="33"/>
  <c r="L7" i="33"/>
  <c r="L21" i="33"/>
  <c r="L6" i="33"/>
  <c r="L20" i="33"/>
  <c r="L5" i="33"/>
  <c r="L37" i="32"/>
  <c r="G37" i="32"/>
  <c r="L36" i="32"/>
  <c r="G36" i="32"/>
  <c r="L35" i="32"/>
  <c r="G35" i="32"/>
  <c r="L34" i="32"/>
  <c r="G34" i="32"/>
  <c r="L19" i="32"/>
  <c r="G19" i="32"/>
  <c r="L33" i="32"/>
  <c r="G33" i="32"/>
  <c r="L18" i="32"/>
  <c r="G18" i="32"/>
  <c r="L32" i="32"/>
  <c r="G32" i="32"/>
  <c r="L17" i="32"/>
  <c r="G17" i="32"/>
  <c r="L31" i="32"/>
  <c r="G31" i="32"/>
  <c r="F31" i="32"/>
  <c r="F31" i="33" s="1"/>
  <c r="L16" i="32"/>
  <c r="G16" i="32"/>
  <c r="L30" i="32"/>
  <c r="G30" i="32"/>
  <c r="F30" i="32"/>
  <c r="F36" i="32" s="1"/>
  <c r="F36" i="34" s="1"/>
  <c r="L15" i="32"/>
  <c r="G15" i="32"/>
  <c r="L29" i="32"/>
  <c r="G29" i="32"/>
  <c r="F29" i="32"/>
  <c r="F29" i="34" s="1"/>
  <c r="L14" i="32"/>
  <c r="G14" i="32"/>
  <c r="F14" i="32"/>
  <c r="F14" i="33" s="1"/>
  <c r="L28" i="32"/>
  <c r="G28" i="32"/>
  <c r="F28" i="32"/>
  <c r="F28" i="34" s="1"/>
  <c r="L13" i="32"/>
  <c r="G13" i="32"/>
  <c r="F13" i="32"/>
  <c r="F18" i="32" s="1"/>
  <c r="F18" i="33" s="1"/>
  <c r="L27" i="32"/>
  <c r="G27" i="32"/>
  <c r="F27" i="32"/>
  <c r="F27" i="33" s="1"/>
  <c r="L12" i="32"/>
  <c r="G12" i="32"/>
  <c r="F12" i="32"/>
  <c r="F12" i="34" s="1"/>
  <c r="L26" i="32"/>
  <c r="G26" i="32"/>
  <c r="F26" i="32"/>
  <c r="F26" i="33" s="1"/>
  <c r="L11" i="32"/>
  <c r="G11" i="32"/>
  <c r="F11" i="32"/>
  <c r="F16" i="32" s="1"/>
  <c r="F16" i="34" s="1"/>
  <c r="L25" i="32"/>
  <c r="G25" i="32"/>
  <c r="L10" i="32"/>
  <c r="G10" i="32"/>
  <c r="F10" i="32"/>
  <c r="F10" i="33" s="1"/>
  <c r="L24" i="32"/>
  <c r="G24" i="32"/>
  <c r="L9" i="32"/>
  <c r="G9" i="32"/>
  <c r="L23" i="32"/>
  <c r="G23" i="32"/>
  <c r="L8" i="32"/>
  <c r="G8" i="32"/>
  <c r="L22" i="32"/>
  <c r="G22" i="32"/>
  <c r="L7" i="32"/>
  <c r="G7" i="32"/>
  <c r="L21" i="32"/>
  <c r="G21" i="32"/>
  <c r="L6" i="32"/>
  <c r="G6" i="32"/>
  <c r="L20" i="32"/>
  <c r="G20" i="32"/>
  <c r="L5" i="32"/>
  <c r="G5" i="32"/>
  <c r="F18" i="34" l="1"/>
  <c r="F31" i="34"/>
  <c r="F28" i="33"/>
  <c r="F14" i="34"/>
  <c r="F13" i="33"/>
  <c r="F36" i="33"/>
  <c r="F10" i="34"/>
  <c r="F16" i="33"/>
  <c r="F12" i="33"/>
  <c r="F29" i="33"/>
  <c r="F13" i="34"/>
  <c r="F30" i="34"/>
  <c r="F26" i="34"/>
  <c r="F27" i="34"/>
  <c r="F11" i="33"/>
  <c r="F30" i="33"/>
  <c r="F11" i="34"/>
  <c r="G5" i="33"/>
  <c r="G20" i="33"/>
  <c r="G8" i="33"/>
  <c r="G24" i="33"/>
  <c r="G26" i="33"/>
  <c r="G6" i="33"/>
  <c r="G22" i="33"/>
  <c r="G9" i="33"/>
  <c r="G13" i="33"/>
  <c r="G7" i="33"/>
  <c r="G10" i="33"/>
  <c r="G11" i="33"/>
  <c r="G12" i="33"/>
  <c r="G21" i="33"/>
  <c r="G23" i="33"/>
  <c r="G25" i="33"/>
  <c r="G27" i="33"/>
  <c r="G29" i="33"/>
  <c r="G31" i="33"/>
  <c r="G33" i="33"/>
  <c r="G36" i="33"/>
  <c r="G14" i="33"/>
  <c r="G16" i="33"/>
  <c r="G18" i="33"/>
  <c r="G35" i="33"/>
  <c r="G28" i="33"/>
  <c r="G30" i="33"/>
  <c r="G32" i="33"/>
  <c r="G34" i="33"/>
  <c r="G15" i="33"/>
  <c r="G17" i="33"/>
  <c r="F32" i="32"/>
  <c r="F34" i="32"/>
  <c r="F15" i="32"/>
  <c r="F17" i="32"/>
  <c r="F19" i="32"/>
  <c r="F37" i="32"/>
  <c r="F33" i="32"/>
  <c r="F35" i="32"/>
  <c r="BG1" i="19"/>
  <c r="BF1" i="19"/>
  <c r="F33" i="34" l="1"/>
  <c r="F33" i="33"/>
  <c r="F35" i="34"/>
  <c r="F35" i="33"/>
  <c r="F15" i="34"/>
  <c r="F15" i="33"/>
  <c r="F37" i="33"/>
  <c r="F37" i="34"/>
  <c r="F34" i="33"/>
  <c r="F34" i="34"/>
  <c r="F19" i="34"/>
  <c r="F19" i="33"/>
  <c r="F32" i="34"/>
  <c r="F32" i="33"/>
  <c r="F17" i="33"/>
  <c r="F17" i="34"/>
  <c r="M2" i="31"/>
  <c r="J5" i="29" l="1"/>
  <c r="L2" i="31" l="1"/>
  <c r="N50" i="29"/>
  <c r="N49" i="29"/>
  <c r="N48" i="29"/>
  <c r="N47" i="29"/>
  <c r="N46" i="29"/>
  <c r="N45" i="29"/>
  <c r="AN28" i="19" l="1"/>
  <c r="J45" i="19"/>
  <c r="Y22" i="19"/>
  <c r="J22" i="19"/>
  <c r="N68" i="19"/>
  <c r="Y45" i="19"/>
  <c r="J14" i="19" l="1"/>
  <c r="Y14" i="19"/>
  <c r="J15" i="19"/>
  <c r="Y15" i="19"/>
  <c r="J16" i="19"/>
  <c r="Y16" i="19"/>
  <c r="J17" i="19"/>
  <c r="Y17" i="19"/>
  <c r="J18" i="19"/>
  <c r="Y18" i="19"/>
  <c r="J19" i="19"/>
  <c r="Y19" i="19"/>
  <c r="AC68" i="19"/>
  <c r="AR64" i="19" l="1"/>
  <c r="AR63" i="19"/>
  <c r="AR62" i="19"/>
  <c r="AR61" i="19"/>
  <c r="AR60" i="19"/>
  <c r="AR59" i="19"/>
  <c r="AR58" i="19"/>
  <c r="AR57" i="19"/>
  <c r="AR56" i="19"/>
  <c r="AR55" i="19"/>
  <c r="AR54" i="19"/>
  <c r="AC67" i="19"/>
  <c r="AC66" i="19"/>
  <c r="AC65" i="19"/>
  <c r="AC64" i="19"/>
  <c r="AC63" i="19"/>
  <c r="AC62" i="19"/>
  <c r="AC61" i="19"/>
  <c r="AC60" i="19"/>
  <c r="AC59" i="19"/>
  <c r="AC58" i="19"/>
  <c r="AC57" i="19"/>
  <c r="AC56" i="19"/>
  <c r="AC55" i="19"/>
  <c r="AC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54" i="19"/>
  <c r="AN41" i="19"/>
  <c r="AN40" i="19"/>
  <c r="AN39" i="19"/>
  <c r="AN38" i="19"/>
  <c r="AN37" i="19"/>
  <c r="AN36" i="19"/>
  <c r="AN35" i="19"/>
  <c r="AN34" i="19"/>
  <c r="AN33" i="19"/>
  <c r="AN32" i="19"/>
  <c r="AN31" i="19"/>
  <c r="AN30" i="19"/>
  <c r="AN29" i="19"/>
  <c r="AN18" i="19"/>
  <c r="AN17" i="19"/>
  <c r="AN16" i="19"/>
  <c r="AN15" i="19"/>
  <c r="AN14" i="19"/>
  <c r="AN13" i="19"/>
  <c r="AN12" i="19"/>
  <c r="AN11" i="19"/>
  <c r="AN10" i="19"/>
  <c r="AN9" i="19"/>
  <c r="AN8" i="19"/>
  <c r="AN7" i="19"/>
  <c r="AN6" i="19"/>
  <c r="AN5" i="19"/>
  <c r="J33" i="29" l="1"/>
  <c r="J32" i="29"/>
  <c r="J31" i="29"/>
  <c r="J16" i="29"/>
  <c r="J15" i="29"/>
  <c r="J14" i="29"/>
  <c r="J30" i="29" l="1"/>
  <c r="J29" i="29"/>
  <c r="J28" i="29"/>
  <c r="J27" i="29"/>
  <c r="J26" i="29"/>
  <c r="J25" i="29"/>
  <c r="J24" i="29"/>
  <c r="J23" i="29"/>
  <c r="J22" i="29"/>
  <c r="J13" i="29"/>
  <c r="J12" i="29"/>
  <c r="J11" i="29"/>
  <c r="J10" i="29"/>
  <c r="J9" i="29"/>
  <c r="J8" i="29"/>
  <c r="J7" i="29"/>
  <c r="J6" i="29"/>
  <c r="AH30" i="19" l="1"/>
  <c r="AH33" i="19" s="1"/>
  <c r="AH38" i="19" s="1"/>
  <c r="Y29" i="19" l="1"/>
  <c r="Y7" i="19"/>
  <c r="Y28" i="19"/>
  <c r="J28" i="19"/>
  <c r="Y5" i="19"/>
  <c r="J5" i="19"/>
  <c r="Y30" i="19" l="1"/>
  <c r="Y31" i="19"/>
  <c r="Y6" i="19"/>
  <c r="J6" i="19"/>
  <c r="J29" i="19"/>
  <c r="J31" i="19"/>
  <c r="J30" i="19"/>
  <c r="J8" i="19"/>
  <c r="J7" i="19"/>
  <c r="J32" i="19" l="1"/>
  <c r="J9" i="19"/>
  <c r="Y8" i="19"/>
  <c r="Y32" i="19" l="1"/>
  <c r="Y33" i="19"/>
  <c r="J33" i="19"/>
  <c r="J10" i="19"/>
  <c r="Y9" i="19"/>
  <c r="Y34" i="19" l="1"/>
  <c r="J34" i="19"/>
  <c r="J11" i="19"/>
  <c r="Y10" i="19"/>
  <c r="Y35" i="19" l="1"/>
  <c r="J35" i="19"/>
  <c r="J12" i="19"/>
  <c r="Y11" i="19"/>
  <c r="Y36" i="19" l="1"/>
  <c r="J36" i="19"/>
  <c r="J13" i="19"/>
  <c r="Y12" i="19"/>
  <c r="Y37" i="19" l="1"/>
  <c r="J37" i="19"/>
  <c r="Y13" i="19"/>
  <c r="Y38" i="19" l="1"/>
  <c r="J38" i="19"/>
  <c r="Y39" i="19" l="1"/>
  <c r="J39" i="19"/>
  <c r="Y40" i="19" l="1"/>
  <c r="J40" i="19"/>
  <c r="Y41" i="19" l="1"/>
  <c r="J41" i="19"/>
  <c r="Y42" i="19" l="1"/>
  <c r="J42" i="19"/>
  <c r="Y43" i="19" l="1"/>
  <c r="Y44" i="19"/>
  <c r="J44" i="19"/>
  <c r="J43" i="19"/>
  <c r="J20" i="19"/>
  <c r="J21" i="19"/>
  <c r="Y21" i="19" l="1"/>
  <c r="Y20" i="19"/>
</calcChain>
</file>

<file path=xl/sharedStrings.xml><?xml version="1.0" encoding="utf-8"?>
<sst xmlns="http://schemas.openxmlformats.org/spreadsheetml/2006/main" count="1289" uniqueCount="211">
  <si>
    <t>Mode</t>
  </si>
  <si>
    <t>Freq.</t>
  </si>
  <si>
    <t>Channel</t>
    <phoneticPr fontId="7" type="noConversion"/>
  </si>
  <si>
    <t>Data Rate</t>
    <phoneticPr fontId="7" type="noConversion"/>
  </si>
  <si>
    <t>E.I.R.P</t>
    <phoneticPr fontId="7" type="noConversion"/>
  </si>
  <si>
    <t>802.11a</t>
  </si>
  <si>
    <t>MCS0</t>
    <phoneticPr fontId="7" type="noConversion"/>
  </si>
  <si>
    <t>802.11n
HT20</t>
    <phoneticPr fontId="7" type="noConversion"/>
  </si>
  <si>
    <t>802.11g</t>
    <phoneticPr fontId="6" type="noConversion"/>
  </si>
  <si>
    <t>MCS0</t>
    <phoneticPr fontId="6" type="noConversion"/>
  </si>
  <si>
    <t>802.11n
HT40</t>
    <phoneticPr fontId="7" type="noConversion"/>
  </si>
  <si>
    <t>802.11ac
VHT20</t>
    <phoneticPr fontId="7" type="noConversion"/>
  </si>
  <si>
    <t>802.11ac
VHT40</t>
    <phoneticPr fontId="7" type="noConversion"/>
  </si>
  <si>
    <t>802.11ac
VHT80</t>
    <phoneticPr fontId="7" type="noConversion"/>
  </si>
  <si>
    <t>802.11b</t>
    <phoneticPr fontId="6" type="noConversion"/>
  </si>
  <si>
    <t>802.11n
HT20</t>
    <phoneticPr fontId="6" type="noConversion"/>
  </si>
  <si>
    <t>802.11n
HT40</t>
    <phoneticPr fontId="6" type="noConversion"/>
  </si>
  <si>
    <t>MCS8</t>
  </si>
  <si>
    <t>MCS8</t>
    <phoneticPr fontId="7" type="noConversion"/>
  </si>
  <si>
    <t>MCS0</t>
    <phoneticPr fontId="6" type="noConversion"/>
  </si>
  <si>
    <t>802.11ac VHT160</t>
    <phoneticPr fontId="6" type="noConversion"/>
  </si>
  <si>
    <t>802.11ac VHT160</t>
    <phoneticPr fontId="6" type="noConversion"/>
  </si>
  <si>
    <t>MCS8</t>
    <phoneticPr fontId="6" type="noConversion"/>
  </si>
  <si>
    <t>802.11ac VHT160</t>
    <phoneticPr fontId="6" type="noConversion"/>
  </si>
  <si>
    <t>MCS0</t>
    <phoneticPr fontId="6" type="noConversion"/>
  </si>
  <si>
    <t>MCS0</t>
    <phoneticPr fontId="6" type="noConversion"/>
  </si>
  <si>
    <t>802.11ac VHT160</t>
    <phoneticPr fontId="6" type="noConversion"/>
  </si>
  <si>
    <t>2.4GHz - 20MHz</t>
  </si>
  <si>
    <t>Central Freq.</t>
  </si>
  <si>
    <t>Control / Central Channel</t>
  </si>
  <si>
    <t>20MHz CCK</t>
  </si>
  <si>
    <t>20MHz OFDM</t>
  </si>
  <si>
    <t>SISO A</t>
  </si>
  <si>
    <t>SISO B</t>
  </si>
  <si>
    <t>MIMO 2</t>
  </si>
  <si>
    <t>NA</t>
  </si>
  <si>
    <t>2.4GHz - 40MHz</t>
  </si>
  <si>
    <t>Central channel</t>
  </si>
  <si>
    <t>Control channel</t>
  </si>
  <si>
    <t>Extension channel offset</t>
  </si>
  <si>
    <t>40MHz CCK</t>
  </si>
  <si>
    <t>40MHz OFDM</t>
  </si>
  <si>
    <t>MIMO2</t>
  </si>
  <si>
    <t>3F</t>
  </si>
  <si>
    <t>Above</t>
  </si>
  <si>
    <t>Below</t>
  </si>
  <si>
    <t>4F</t>
  </si>
  <si>
    <t>5F</t>
  </si>
  <si>
    <t>6F</t>
  </si>
  <si>
    <t>7F</t>
  </si>
  <si>
    <t>8F</t>
  </si>
  <si>
    <t>9F</t>
  </si>
  <si>
    <t>10F</t>
  </si>
  <si>
    <t>11F</t>
  </si>
  <si>
    <t>5GHz - 20/40/80/160MHz</t>
  </si>
  <si>
    <t>Control Channel</t>
  </si>
  <si>
    <t>20MHz</t>
  </si>
  <si>
    <t>40MHz</t>
  </si>
  <si>
    <t>80MHz</t>
  </si>
  <si>
    <t>160MHz</t>
  </si>
  <si>
    <t>Central Frequency</t>
  </si>
  <si>
    <t>Central Channel</t>
  </si>
  <si>
    <t>38F</t>
  </si>
  <si>
    <t>42ac80</t>
  </si>
  <si>
    <t>50AC160</t>
  </si>
  <si>
    <t>46F</t>
  </si>
  <si>
    <t>54F</t>
  </si>
  <si>
    <t>58ac80</t>
  </si>
  <si>
    <t>62F</t>
  </si>
  <si>
    <t>102F</t>
  </si>
  <si>
    <t>106ac80</t>
  </si>
  <si>
    <t>114AC160</t>
  </si>
  <si>
    <t>110F</t>
  </si>
  <si>
    <t>118F</t>
  </si>
  <si>
    <t>122ac80</t>
  </si>
  <si>
    <t>126F</t>
  </si>
  <si>
    <t>134F</t>
  </si>
  <si>
    <t>138ac80</t>
  </si>
  <si>
    <t>142F</t>
  </si>
  <si>
    <t>151F</t>
  </si>
  <si>
    <t>155ac80</t>
  </si>
  <si>
    <t>159F</t>
  </si>
  <si>
    <t>Tolerance</t>
  </si>
  <si>
    <t>Peak Gain</t>
    <phoneticPr fontId="6" type="noConversion"/>
  </si>
  <si>
    <t>2.4GHz</t>
  </si>
  <si>
    <t>5.2GHz</t>
  </si>
  <si>
    <t>5.5GHz</t>
  </si>
  <si>
    <t>5.8GHz</t>
  </si>
  <si>
    <t>Data</t>
    <phoneticPr fontId="6" type="noConversion"/>
  </si>
  <si>
    <t>Amount</t>
    <phoneticPr fontId="6" type="noConversion"/>
  </si>
  <si>
    <t>rest</t>
    <phoneticPr fontId="6" type="noConversion"/>
  </si>
  <si>
    <t>PLS</t>
    <phoneticPr fontId="6" type="noConversion"/>
  </si>
  <si>
    <t>Main</t>
    <phoneticPr fontId="6" type="noConversion"/>
  </si>
  <si>
    <t>Aux</t>
    <phoneticPr fontId="6" type="noConversion"/>
  </si>
  <si>
    <t>Main</t>
    <phoneticPr fontId="6" type="noConversion"/>
  </si>
  <si>
    <t>Ant.1
PLS</t>
    <phoneticPr fontId="6" type="noConversion"/>
  </si>
  <si>
    <t>Ant.2
PLS</t>
    <phoneticPr fontId="6" type="noConversion"/>
  </si>
  <si>
    <t>MIMO (Antenna 1 + Antenna 2)</t>
    <phoneticPr fontId="6" type="noConversion"/>
  </si>
  <si>
    <t>SISO (Antenna 1)</t>
    <phoneticPr fontId="6" type="noConversion"/>
  </si>
  <si>
    <t>SISO (Antenna 2)</t>
    <phoneticPr fontId="6" type="noConversion"/>
  </si>
  <si>
    <t>SISO (Antenna 1)</t>
    <phoneticPr fontId="6" type="noConversion"/>
  </si>
  <si>
    <t>2.4 GHz Legacy</t>
    <phoneticPr fontId="7" type="noConversion"/>
  </si>
  <si>
    <t>5.2 &amp;5.3 GHz Legacy</t>
    <phoneticPr fontId="7" type="noConversion"/>
  </si>
  <si>
    <t>5.2 &amp;5.3 GHz Legacy</t>
    <phoneticPr fontId="7" type="noConversion"/>
  </si>
  <si>
    <t>5.5 &amp; 5.6 GHz Legacy</t>
    <phoneticPr fontId="7" type="noConversion"/>
  </si>
  <si>
    <t>5.5 &amp; 5.6 GHz Legacy</t>
    <phoneticPr fontId="6" type="noConversion"/>
  </si>
  <si>
    <t>5.8 GHz Legacy</t>
    <phoneticPr fontId="6" type="noConversion"/>
  </si>
  <si>
    <t>5.8 GHz Legacy</t>
    <phoneticPr fontId="7" type="noConversion"/>
  </si>
  <si>
    <t>5.8 GHz Legacy</t>
    <phoneticPr fontId="6" type="noConversion"/>
  </si>
  <si>
    <t>SISO (Antenna 1)</t>
    <phoneticPr fontId="6" type="noConversion"/>
  </si>
  <si>
    <t>Worst 
Data Rate</t>
    <phoneticPr fontId="6" type="noConversion"/>
  </si>
  <si>
    <r>
      <t>Freq.
(</t>
    </r>
    <r>
      <rPr>
        <b/>
        <sz val="10"/>
        <color rgb="FF000000"/>
        <rFont val="돋움"/>
        <family val="3"/>
        <charset val="129"/>
      </rPr>
      <t>㎒</t>
    </r>
    <r>
      <rPr>
        <b/>
        <sz val="10"/>
        <color rgb="FF000000"/>
        <rFont val="Arial"/>
        <family val="2"/>
      </rPr>
      <t>)</t>
    </r>
    <phoneticPr fontId="6" type="noConversion"/>
  </si>
  <si>
    <t>Channel</t>
    <phoneticPr fontId="7" type="noConversion"/>
  </si>
  <si>
    <t>Tone</t>
    <phoneticPr fontId="6" type="noConversion"/>
  </si>
  <si>
    <t>Worst
RU</t>
    <phoneticPr fontId="6" type="noConversion"/>
  </si>
  <si>
    <t>Data Rate</t>
    <phoneticPr fontId="7" type="noConversion"/>
  </si>
  <si>
    <t>E.I.R.P</t>
  </si>
  <si>
    <t>802.11ax
HE20</t>
  </si>
  <si>
    <t>26T</t>
    <phoneticPr fontId="6" type="noConversion"/>
  </si>
  <si>
    <t>802.11ax
HE40</t>
    <phoneticPr fontId="6" type="noConversion"/>
  </si>
  <si>
    <t>52T</t>
    <phoneticPr fontId="6" type="noConversion"/>
  </si>
  <si>
    <t>52T</t>
    <phoneticPr fontId="6" type="noConversion"/>
  </si>
  <si>
    <t>106T</t>
    <phoneticPr fontId="6" type="noConversion"/>
  </si>
  <si>
    <t>106T</t>
    <phoneticPr fontId="6" type="noConversion"/>
  </si>
  <si>
    <t>242T</t>
    <phoneticPr fontId="6" type="noConversion"/>
  </si>
  <si>
    <t>SU</t>
    <phoneticPr fontId="6" type="noConversion"/>
  </si>
  <si>
    <t>X</t>
    <phoneticPr fontId="6" type="noConversion"/>
  </si>
  <si>
    <t>484T</t>
    <phoneticPr fontId="6" type="noConversion"/>
  </si>
  <si>
    <t>484T</t>
    <phoneticPr fontId="6" type="noConversion"/>
  </si>
  <si>
    <t>SISO (Antenna 2)</t>
    <phoneticPr fontId="6" type="noConversion"/>
  </si>
  <si>
    <t>MIMO (Antenna 1 + Antenna 2)</t>
    <phoneticPr fontId="6" type="noConversion"/>
  </si>
  <si>
    <t>26T</t>
    <phoneticPr fontId="6" type="noConversion"/>
  </si>
  <si>
    <t>242T</t>
    <phoneticPr fontId="6" type="noConversion"/>
  </si>
  <si>
    <t>52T</t>
    <phoneticPr fontId="6" type="noConversion"/>
  </si>
  <si>
    <t>SU</t>
    <phoneticPr fontId="6" type="noConversion"/>
  </si>
  <si>
    <t>106T</t>
    <phoneticPr fontId="6" type="noConversion"/>
  </si>
  <si>
    <t>484T</t>
    <phoneticPr fontId="6" type="noConversion"/>
  </si>
  <si>
    <t>2.4 GHz 802.11ax</t>
    <phoneticPr fontId="6" type="noConversion"/>
  </si>
  <si>
    <t>802.11ax
HE20</t>
    <phoneticPr fontId="6" type="noConversion"/>
  </si>
  <si>
    <t>Worst 
Data Rate</t>
    <phoneticPr fontId="6" type="noConversion"/>
  </si>
  <si>
    <r>
      <t>Freq.
(</t>
    </r>
    <r>
      <rPr>
        <b/>
        <sz val="10"/>
        <color rgb="FF000000"/>
        <rFont val="돋움"/>
        <family val="3"/>
        <charset val="129"/>
      </rPr>
      <t>㎒</t>
    </r>
    <r>
      <rPr>
        <b/>
        <sz val="10"/>
        <color rgb="FF000000"/>
        <rFont val="Arial"/>
        <family val="2"/>
      </rPr>
      <t>)</t>
    </r>
    <phoneticPr fontId="6" type="noConversion"/>
  </si>
  <si>
    <t>Channel</t>
    <phoneticPr fontId="7" type="noConversion"/>
  </si>
  <si>
    <t>Tone</t>
    <phoneticPr fontId="6" type="noConversion"/>
  </si>
  <si>
    <t>Worst
RU</t>
    <phoneticPr fontId="6" type="noConversion"/>
  </si>
  <si>
    <t>Data Rate</t>
    <phoneticPr fontId="7" type="noConversion"/>
  </si>
  <si>
    <t>802.11ax
HE20</t>
    <phoneticPr fontId="6" type="noConversion"/>
  </si>
  <si>
    <t>26T</t>
    <phoneticPr fontId="6" type="noConversion"/>
  </si>
  <si>
    <t>242T</t>
  </si>
  <si>
    <t>26T</t>
    <phoneticPr fontId="6" type="noConversion"/>
  </si>
  <si>
    <t>52T</t>
    <phoneticPr fontId="6" type="noConversion"/>
  </si>
  <si>
    <t>52T</t>
    <phoneticPr fontId="6" type="noConversion"/>
  </si>
  <si>
    <t>106T</t>
    <phoneticPr fontId="6" type="noConversion"/>
  </si>
  <si>
    <t>106T</t>
    <phoneticPr fontId="6" type="noConversion"/>
  </si>
  <si>
    <t>SU</t>
    <phoneticPr fontId="6" type="noConversion"/>
  </si>
  <si>
    <t>X</t>
    <phoneticPr fontId="6" type="noConversion"/>
  </si>
  <si>
    <t>26T</t>
    <phoneticPr fontId="6" type="noConversion"/>
  </si>
  <si>
    <t>52T</t>
    <phoneticPr fontId="6" type="noConversion"/>
  </si>
  <si>
    <t>SU</t>
    <phoneticPr fontId="6" type="noConversion"/>
  </si>
  <si>
    <t>X</t>
    <phoneticPr fontId="6" type="noConversion"/>
  </si>
  <si>
    <t>SU</t>
    <phoneticPr fontId="6" type="noConversion"/>
  </si>
  <si>
    <t>802.11ax
HE40</t>
    <phoneticPr fontId="6" type="noConversion"/>
  </si>
  <si>
    <t>484T</t>
  </si>
  <si>
    <t>X</t>
    <phoneticPr fontId="6" type="noConversion"/>
  </si>
  <si>
    <t>5.2 GHz 802.11ax</t>
    <phoneticPr fontId="6" type="noConversion"/>
  </si>
  <si>
    <t>5.5 GHz 802.11ax</t>
    <phoneticPr fontId="6" type="noConversion"/>
  </si>
  <si>
    <t>5.8 GHz 802.11ax</t>
    <phoneticPr fontId="6" type="noConversion"/>
  </si>
  <si>
    <t>802.11ax
HE80</t>
    <phoneticPr fontId="6" type="noConversion"/>
  </si>
  <si>
    <t>802.11ax
HE80</t>
    <phoneticPr fontId="6" type="noConversion"/>
  </si>
  <si>
    <t>802.11ax
HE80</t>
  </si>
  <si>
    <t>996T</t>
  </si>
  <si>
    <t>802.11ax
HE160</t>
    <phoneticPr fontId="6" type="noConversion"/>
  </si>
  <si>
    <t>802.11ax
HE160</t>
    <phoneticPr fontId="6" type="noConversion"/>
  </si>
  <si>
    <t>2x996T</t>
    <phoneticPr fontId="6" type="noConversion"/>
  </si>
  <si>
    <t>Peak Gain
(dBi)</t>
    <phoneticPr fontId="6" type="noConversion"/>
  </si>
  <si>
    <r>
      <t>Average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</si>
  <si>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r>
      <t>Tune-Up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</si>
  <si>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t>Peak
Gain(dBi)</t>
    <phoneticPr fontId="6" type="noConversion"/>
  </si>
  <si>
    <r>
      <t>Ant.1
Average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</si>
  <si>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r>
      <t>Ant.2
Average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</si>
  <si>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r>
      <t>Ant.1+Ant.2
Average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</si>
  <si>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t>SISO (Antenna 2)</t>
    <phoneticPr fontId="6" type="noConversion"/>
  </si>
  <si>
    <t>52T</t>
    <phoneticPr fontId="6" type="noConversion"/>
  </si>
  <si>
    <t>106T</t>
    <phoneticPr fontId="6" type="noConversion"/>
  </si>
  <si>
    <t>SU</t>
    <phoneticPr fontId="6" type="noConversion"/>
  </si>
  <si>
    <t>26T</t>
    <phoneticPr fontId="6" type="noConversion"/>
  </si>
  <si>
    <t>996T</t>
    <phoneticPr fontId="6" type="noConversion"/>
  </si>
  <si>
    <t>996T</t>
    <phoneticPr fontId="6" type="noConversion"/>
  </si>
  <si>
    <t>5.5 GHz 802.11ax</t>
    <phoneticPr fontId="6" type="noConversion"/>
  </si>
  <si>
    <t>2x996T</t>
    <phoneticPr fontId="6" type="noConversion"/>
  </si>
  <si>
    <t>BT Power for SAR</t>
  </si>
  <si>
    <t>Modulation</t>
  </si>
  <si>
    <t>Frequency</t>
  </si>
  <si>
    <t>Conducted Burst Power [dBm]</t>
  </si>
  <si>
    <t>E.I.R.P [dBm]</t>
  </si>
  <si>
    <t>DH1</t>
  </si>
  <si>
    <t>DH3</t>
  </si>
  <si>
    <t>DH5</t>
  </si>
  <si>
    <t>2DH1</t>
  </si>
  <si>
    <t>2DH3</t>
  </si>
  <si>
    <t>2DH5</t>
  </si>
  <si>
    <t>3DH1</t>
  </si>
  <si>
    <t>3DH3</t>
  </si>
  <si>
    <t>3DH5</t>
  </si>
  <si>
    <t>LE Power for SAR</t>
  </si>
  <si>
    <t>PHY</t>
  </si>
  <si>
    <t>Packet Length</t>
  </si>
  <si>
    <t>1M</t>
  </si>
  <si>
    <t>2M</t>
  </si>
  <si>
    <t>125k</t>
  </si>
  <si>
    <t>500k</t>
  </si>
  <si>
    <t>ANT+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</si>
</sst>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"/>
    <numFmt numFmtId="178" formatCode="0.000_ "/>
    <numFmt numFmtId="179" formatCode="0.0"/>
  </numFmts>
  <fonts count="2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1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2"/>
      <name val="新細明體"/>
      <family val="1"/>
      <charset val="136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rgb="FFFF000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돋움"/>
      <family val="3"/>
      <charset val="129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돋움"/>
      <family val="3"/>
      <charset val="129"/>
    </font>
    <font>
      <sz val="11"/>
      <color rgb="FF9C570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2">
    <xf numFmtId="0" fontId="0" fillId="0" borderId="0" applyBorder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4" fillId="0" borderId="0" applyBorder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16" fillId="0" borderId="0"/>
    <xf numFmtId="0" fontId="2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83">
    <xf numFmtId="0" fontId="0" fillId="0" borderId="0" xfId="0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4" applyFont="1" applyAlignment="1">
      <alignment vertical="center"/>
    </xf>
    <xf numFmtId="0" fontId="5" fillId="2" borderId="0" xfId="4" applyFont="1" applyFill="1" applyAlignment="1">
      <alignment vertical="center"/>
    </xf>
    <xf numFmtId="0" fontId="9" fillId="0" borderId="0" xfId="4" applyFont="1" applyFill="1" applyAlignment="1">
      <alignment vertical="center"/>
    </xf>
    <xf numFmtId="2" fontId="9" fillId="0" borderId="0" xfId="4" applyNumberFormat="1" applyFont="1" applyAlignment="1">
      <alignment vertical="center"/>
    </xf>
    <xf numFmtId="176" fontId="9" fillId="0" borderId="0" xfId="4" applyNumberFormat="1" applyFont="1" applyAlignment="1">
      <alignment vertical="center"/>
    </xf>
    <xf numFmtId="0" fontId="16" fillId="0" borderId="0" xfId="7"/>
    <xf numFmtId="0" fontId="16" fillId="0" borderId="0" xfId="7" applyAlignment="1">
      <alignment horizontal="center" vertical="center"/>
    </xf>
    <xf numFmtId="0" fontId="16" fillId="0" borderId="24" xfId="7" applyBorder="1" applyAlignment="1">
      <alignment horizontal="center" vertical="center"/>
    </xf>
    <xf numFmtId="0" fontId="16" fillId="0" borderId="25" xfId="7" applyBorder="1" applyAlignment="1">
      <alignment horizontal="center" vertical="center"/>
    </xf>
    <xf numFmtId="0" fontId="15" fillId="0" borderId="26" xfId="7" applyFont="1" applyBorder="1" applyAlignment="1">
      <alignment horizontal="center" vertical="center"/>
    </xf>
    <xf numFmtId="0" fontId="16" fillId="0" borderId="27" xfId="7" applyBorder="1" applyAlignment="1">
      <alignment horizontal="center" vertical="center"/>
    </xf>
    <xf numFmtId="0" fontId="16" fillId="0" borderId="28" xfId="7" applyBorder="1" applyAlignment="1">
      <alignment horizontal="center" vertical="center"/>
    </xf>
    <xf numFmtId="0" fontId="16" fillId="0" borderId="29" xfId="7" applyBorder="1" applyAlignment="1">
      <alignment horizontal="center" vertical="center"/>
    </xf>
    <xf numFmtId="0" fontId="16" fillId="0" borderId="31" xfId="7" applyFill="1" applyBorder="1" applyAlignment="1">
      <alignment horizontal="center" vertical="center"/>
    </xf>
    <xf numFmtId="0" fontId="16" fillId="0" borderId="33" xfId="7" applyBorder="1" applyAlignment="1">
      <alignment horizontal="center" vertical="center"/>
    </xf>
    <xf numFmtId="0" fontId="16" fillId="0" borderId="34" xfId="7" applyFill="1" applyBorder="1" applyAlignment="1">
      <alignment horizontal="center" vertical="center"/>
    </xf>
    <xf numFmtId="0" fontId="16" fillId="0" borderId="37" xfId="7" applyBorder="1" applyAlignment="1">
      <alignment horizontal="center" vertical="center"/>
    </xf>
    <xf numFmtId="0" fontId="16" fillId="0" borderId="38" xfId="7" applyFill="1" applyBorder="1" applyAlignment="1">
      <alignment horizontal="center" vertical="center"/>
    </xf>
    <xf numFmtId="0" fontId="16" fillId="0" borderId="11" xfId="7" applyFill="1" applyBorder="1" applyAlignment="1">
      <alignment horizontal="center" vertical="center"/>
    </xf>
    <xf numFmtId="0" fontId="16" fillId="0" borderId="0" xfId="7" applyBorder="1" applyAlignment="1">
      <alignment horizontal="center" vertical="center"/>
    </xf>
    <xf numFmtId="0" fontId="16" fillId="0" borderId="40" xfId="7" applyBorder="1" applyAlignment="1">
      <alignment horizontal="center" vertical="center"/>
    </xf>
    <xf numFmtId="0" fontId="16" fillId="0" borderId="4" xfId="7" applyBorder="1" applyAlignment="1">
      <alignment horizontal="center" vertical="center"/>
    </xf>
    <xf numFmtId="0" fontId="16" fillId="0" borderId="43" xfId="7" applyBorder="1" applyAlignment="1">
      <alignment horizontal="center" vertical="center"/>
    </xf>
    <xf numFmtId="0" fontId="15" fillId="0" borderId="32" xfId="7" applyFont="1" applyBorder="1" applyAlignment="1">
      <alignment horizontal="center" vertical="center"/>
    </xf>
    <xf numFmtId="179" fontId="16" fillId="0" borderId="0" xfId="7" applyNumberFormat="1" applyAlignment="1">
      <alignment horizontal="center" vertical="center"/>
    </xf>
    <xf numFmtId="0" fontId="16" fillId="0" borderId="44" xfId="7" applyBorder="1" applyAlignment="1">
      <alignment horizontal="center" vertical="center"/>
    </xf>
    <xf numFmtId="0" fontId="16" fillId="0" borderId="36" xfId="7" applyBorder="1" applyAlignment="1">
      <alignment horizontal="center" vertical="center"/>
    </xf>
    <xf numFmtId="0" fontId="16" fillId="0" borderId="32" xfId="7" applyBorder="1" applyAlignment="1">
      <alignment horizontal="center" vertical="center"/>
    </xf>
    <xf numFmtId="0" fontId="16" fillId="0" borderId="46" xfId="7" applyBorder="1" applyAlignment="1">
      <alignment horizontal="center" vertical="center"/>
    </xf>
    <xf numFmtId="0" fontId="16" fillId="0" borderId="9" xfId="7" applyBorder="1" applyAlignment="1">
      <alignment horizontal="center" vertical="center"/>
    </xf>
    <xf numFmtId="0" fontId="16" fillId="0" borderId="39" xfId="7" applyBorder="1" applyAlignment="1">
      <alignment horizontal="center" vertical="center"/>
    </xf>
    <xf numFmtId="14" fontId="16" fillId="0" borderId="24" xfId="7" applyNumberFormat="1" applyBorder="1" applyAlignment="1">
      <alignment horizontal="center" vertical="center" wrapText="1"/>
    </xf>
    <xf numFmtId="14" fontId="16" fillId="0" borderId="12" xfId="7" applyNumberFormat="1" applyBorder="1" applyAlignment="1">
      <alignment horizontal="center" vertical="center" wrapText="1"/>
    </xf>
    <xf numFmtId="0" fontId="16" fillId="0" borderId="50" xfId="7" applyBorder="1" applyAlignment="1">
      <alignment horizontal="center" vertical="center"/>
    </xf>
    <xf numFmtId="0" fontId="16" fillId="0" borderId="49" xfId="7" applyBorder="1" applyAlignment="1">
      <alignment horizontal="center" vertical="center"/>
    </xf>
    <xf numFmtId="0" fontId="16" fillId="0" borderId="48" xfId="7" applyBorder="1" applyAlignment="1">
      <alignment horizontal="center" vertical="center" wrapText="1"/>
    </xf>
    <xf numFmtId="14" fontId="16" fillId="0" borderId="41" xfId="7" applyNumberFormat="1" applyBorder="1" applyAlignment="1">
      <alignment horizontal="center" vertical="center" wrapText="1"/>
    </xf>
    <xf numFmtId="0" fontId="16" fillId="0" borderId="6" xfId="7" applyFill="1" applyBorder="1" applyAlignment="1">
      <alignment horizontal="center" vertical="center"/>
    </xf>
    <xf numFmtId="0" fontId="16" fillId="0" borderId="52" xfId="7" applyFill="1" applyBorder="1" applyAlignment="1">
      <alignment horizontal="center" vertical="center"/>
    </xf>
    <xf numFmtId="0" fontId="15" fillId="0" borderId="53" xfId="7" applyFont="1" applyBorder="1" applyAlignment="1">
      <alignment horizontal="center" vertical="center"/>
    </xf>
    <xf numFmtId="0" fontId="16" fillId="0" borderId="52" xfId="7" applyBorder="1" applyAlignment="1">
      <alignment horizontal="center" vertical="center"/>
    </xf>
    <xf numFmtId="0" fontId="16" fillId="0" borderId="44" xfId="7" applyFill="1" applyBorder="1" applyAlignment="1">
      <alignment horizontal="center" vertical="center"/>
    </xf>
    <xf numFmtId="0" fontId="16" fillId="0" borderId="55" xfId="7" applyFill="1" applyBorder="1" applyAlignment="1">
      <alignment horizontal="center" vertical="center"/>
    </xf>
    <xf numFmtId="0" fontId="15" fillId="0" borderId="36" xfId="7" applyFont="1" applyBorder="1" applyAlignment="1">
      <alignment horizontal="center" vertical="center"/>
    </xf>
    <xf numFmtId="0" fontId="16" fillId="0" borderId="55" xfId="7" applyBorder="1" applyAlignment="1">
      <alignment horizontal="center" vertical="center"/>
    </xf>
    <xf numFmtId="0" fontId="16" fillId="0" borderId="9" xfId="7" applyFill="1" applyBorder="1" applyAlignment="1">
      <alignment horizontal="center" vertical="center"/>
    </xf>
    <xf numFmtId="0" fontId="16" fillId="0" borderId="56" xfId="7" applyFill="1" applyBorder="1" applyAlignment="1">
      <alignment horizontal="center" vertical="center"/>
    </xf>
    <xf numFmtId="0" fontId="16" fillId="0" borderId="56" xfId="7" applyBorder="1" applyAlignment="1">
      <alignment horizontal="center" vertical="center"/>
    </xf>
    <xf numFmtId="0" fontId="16" fillId="0" borderId="57" xfId="7" applyBorder="1" applyAlignment="1">
      <alignment horizontal="center" vertical="center"/>
    </xf>
    <xf numFmtId="0" fontId="15" fillId="0" borderId="10" xfId="7" applyFont="1" applyBorder="1" applyAlignment="1">
      <alignment horizontal="center" vertical="center"/>
    </xf>
    <xf numFmtId="0" fontId="15" fillId="0" borderId="39" xfId="7" applyFont="1" applyBorder="1" applyAlignment="1">
      <alignment horizontal="center" vertical="center"/>
    </xf>
    <xf numFmtId="0" fontId="16" fillId="0" borderId="26" xfId="7" applyBorder="1" applyAlignment="1">
      <alignment horizontal="center" vertical="center"/>
    </xf>
    <xf numFmtId="179" fontId="16" fillId="0" borderId="31" xfId="7" applyNumberFormat="1" applyFill="1" applyBorder="1" applyAlignment="1">
      <alignment horizontal="center" vertical="center"/>
    </xf>
    <xf numFmtId="0" fontId="16" fillId="0" borderId="41" xfId="8" applyFill="1" applyBorder="1" applyAlignment="1">
      <alignment horizontal="center" vertical="center"/>
    </xf>
    <xf numFmtId="0" fontId="16" fillId="0" borderId="13" xfId="7" applyFill="1" applyBorder="1" applyAlignment="1">
      <alignment horizontal="center" vertical="center"/>
    </xf>
    <xf numFmtId="14" fontId="16" fillId="0" borderId="12" xfId="7" applyNumberFormat="1" applyFill="1" applyBorder="1" applyAlignment="1">
      <alignment horizontal="center" vertical="center" wrapText="1"/>
    </xf>
    <xf numFmtId="14" fontId="16" fillId="0" borderId="49" xfId="7" applyNumberFormat="1" applyFill="1" applyBorder="1" applyAlignment="1">
      <alignment horizontal="center" vertical="center" wrapText="1"/>
    </xf>
    <xf numFmtId="0" fontId="16" fillId="0" borderId="50" xfId="7" applyFill="1" applyBorder="1" applyAlignment="1">
      <alignment horizontal="center" vertical="center"/>
    </xf>
    <xf numFmtId="0" fontId="16" fillId="0" borderId="49" xfId="7" applyFill="1" applyBorder="1" applyAlignment="1">
      <alignment horizontal="center" vertical="center"/>
    </xf>
    <xf numFmtId="0" fontId="16" fillId="0" borderId="51" xfId="7" applyFill="1" applyBorder="1" applyAlignment="1">
      <alignment horizontal="center" vertical="center"/>
    </xf>
    <xf numFmtId="0" fontId="16" fillId="0" borderId="18" xfId="7" applyFill="1" applyBorder="1" applyAlignment="1">
      <alignment horizontal="center" vertical="center"/>
    </xf>
    <xf numFmtId="0" fontId="15" fillId="0" borderId="9" xfId="7" applyFont="1" applyFill="1" applyBorder="1" applyAlignment="1">
      <alignment horizontal="center" vertical="center"/>
    </xf>
    <xf numFmtId="0" fontId="15" fillId="0" borderId="10" xfId="7" applyFont="1" applyFill="1" applyBorder="1" applyAlignment="1">
      <alignment horizontal="center" vertical="center"/>
    </xf>
    <xf numFmtId="0" fontId="15" fillId="0" borderId="11" xfId="7" applyFont="1" applyFill="1" applyBorder="1" applyAlignment="1">
      <alignment horizontal="center" vertical="center"/>
    </xf>
    <xf numFmtId="0" fontId="15" fillId="0" borderId="38" xfId="7" applyFont="1" applyFill="1" applyBorder="1" applyAlignment="1">
      <alignment horizontal="center" vertical="center"/>
    </xf>
    <xf numFmtId="0" fontId="15" fillId="0" borderId="11" xfId="7" applyFont="1" applyBorder="1" applyAlignment="1">
      <alignment horizontal="center" vertical="center"/>
    </xf>
    <xf numFmtId="0" fontId="15" fillId="0" borderId="9" xfId="7" applyFont="1" applyBorder="1" applyAlignment="1">
      <alignment horizontal="center" vertical="center"/>
    </xf>
    <xf numFmtId="0" fontId="15" fillId="0" borderId="34" xfId="7" applyFont="1" applyFill="1" applyBorder="1" applyAlignment="1">
      <alignment horizontal="center" vertical="center"/>
    </xf>
    <xf numFmtId="0" fontId="15" fillId="0" borderId="8" xfId="7" applyFont="1" applyFill="1" applyBorder="1" applyAlignment="1">
      <alignment horizontal="center" vertical="center"/>
    </xf>
    <xf numFmtId="0" fontId="15" fillId="0" borderId="38" xfId="7" applyFont="1" applyBorder="1" applyAlignment="1">
      <alignment horizontal="center" vertical="center"/>
    </xf>
    <xf numFmtId="0" fontId="16" fillId="0" borderId="21" xfId="7" applyBorder="1" applyAlignment="1">
      <alignment horizontal="center" vertical="center"/>
    </xf>
    <xf numFmtId="0" fontId="16" fillId="0" borderId="16" xfId="7" applyBorder="1" applyAlignment="1">
      <alignment horizontal="center" vertical="center"/>
    </xf>
    <xf numFmtId="176" fontId="16" fillId="0" borderId="0" xfId="7" applyNumberFormat="1" applyAlignment="1">
      <alignment horizontal="center" vertical="center"/>
    </xf>
    <xf numFmtId="176" fontId="16" fillId="0" borderId="5" xfId="7" applyNumberFormat="1" applyBorder="1" applyAlignment="1">
      <alignment horizontal="center" vertical="center"/>
    </xf>
    <xf numFmtId="176" fontId="16" fillId="0" borderId="12" xfId="7" applyNumberFormat="1" applyBorder="1" applyAlignment="1">
      <alignment horizontal="center" vertical="center" wrapText="1"/>
    </xf>
    <xf numFmtId="176" fontId="16" fillId="0" borderId="41" xfId="7" applyNumberFormat="1" applyBorder="1" applyAlignment="1">
      <alignment horizontal="center" vertical="center" wrapText="1"/>
    </xf>
    <xf numFmtId="176" fontId="16" fillId="0" borderId="50" xfId="7" applyNumberFormat="1" applyBorder="1" applyAlignment="1">
      <alignment horizontal="center" vertical="center"/>
    </xf>
    <xf numFmtId="176" fontId="16" fillId="0" borderId="49" xfId="7" applyNumberFormat="1" applyBorder="1" applyAlignment="1">
      <alignment horizontal="center" vertical="center"/>
    </xf>
    <xf numFmtId="176" fontId="16" fillId="0" borderId="51" xfId="7" applyNumberFormat="1" applyBorder="1" applyAlignment="1">
      <alignment horizontal="center" vertical="center"/>
    </xf>
    <xf numFmtId="176" fontId="16" fillId="0" borderId="14" xfId="7" applyNumberFormat="1" applyBorder="1" applyAlignment="1">
      <alignment horizontal="center" vertical="center"/>
    </xf>
    <xf numFmtId="176" fontId="15" fillId="0" borderId="9" xfId="7" applyNumberFormat="1" applyFont="1" applyBorder="1" applyAlignment="1">
      <alignment horizontal="center" vertical="center"/>
    </xf>
    <xf numFmtId="176" fontId="15" fillId="0" borderId="11" xfId="7" applyNumberFormat="1" applyFont="1" applyBorder="1" applyAlignment="1">
      <alignment horizontal="center" vertical="center"/>
    </xf>
    <xf numFmtId="176" fontId="15" fillId="0" borderId="38" xfId="7" applyNumberFormat="1" applyFont="1" applyBorder="1" applyAlignment="1">
      <alignment horizontal="center" vertical="center"/>
    </xf>
    <xf numFmtId="176" fontId="15" fillId="0" borderId="10" xfId="7" applyNumberFormat="1" applyFont="1" applyBorder="1" applyAlignment="1">
      <alignment horizontal="center" vertical="center"/>
    </xf>
    <xf numFmtId="176" fontId="15" fillId="0" borderId="39" xfId="7" applyNumberFormat="1" applyFont="1" applyBorder="1" applyAlignment="1">
      <alignment horizontal="center" vertical="center"/>
    </xf>
    <xf numFmtId="176" fontId="15" fillId="0" borderId="37" xfId="7" applyNumberFormat="1" applyFont="1" applyBorder="1" applyAlignment="1">
      <alignment horizontal="center" vertical="center"/>
    </xf>
    <xf numFmtId="0" fontId="15" fillId="0" borderId="44" xfId="7" applyFont="1" applyBorder="1" applyAlignment="1">
      <alignment horizontal="center" vertical="center"/>
    </xf>
    <xf numFmtId="0" fontId="15" fillId="0" borderId="2" xfId="7" applyFont="1" applyBorder="1" applyAlignment="1">
      <alignment horizontal="center" vertical="center"/>
    </xf>
    <xf numFmtId="0" fontId="15" fillId="0" borderId="7" xfId="7" applyFont="1" applyBorder="1" applyAlignment="1">
      <alignment horizontal="center" vertical="center"/>
    </xf>
    <xf numFmtId="0" fontId="15" fillId="0" borderId="6" xfId="7" applyFont="1" applyBorder="1" applyAlignment="1">
      <alignment horizontal="center" vertical="center"/>
    </xf>
    <xf numFmtId="0" fontId="16" fillId="0" borderId="23" xfId="7" applyBorder="1" applyAlignment="1">
      <alignment horizontal="center" vertical="center"/>
    </xf>
    <xf numFmtId="0" fontId="15" fillId="0" borderId="3" xfId="7" applyFont="1" applyBorder="1" applyAlignment="1">
      <alignment horizontal="center" vertical="center"/>
    </xf>
    <xf numFmtId="0" fontId="15" fillId="0" borderId="31" xfId="7" applyFont="1" applyFill="1" applyBorder="1" applyAlignment="1">
      <alignment horizontal="center" vertical="center"/>
    </xf>
    <xf numFmtId="0" fontId="15" fillId="0" borderId="43" xfId="7" applyFont="1" applyBorder="1" applyAlignment="1">
      <alignment horizontal="center" vertical="center"/>
    </xf>
    <xf numFmtId="0" fontId="16" fillId="0" borderId="27" xfId="7" applyFill="1" applyBorder="1" applyAlignment="1">
      <alignment horizontal="center" vertical="center"/>
    </xf>
    <xf numFmtId="0" fontId="16" fillId="0" borderId="59" xfId="7" applyFill="1" applyBorder="1" applyAlignment="1">
      <alignment horizontal="center" vertical="center"/>
    </xf>
    <xf numFmtId="0" fontId="15" fillId="0" borderId="27" xfId="7" applyFont="1" applyBorder="1" applyAlignment="1">
      <alignment horizontal="center" vertical="center"/>
    </xf>
    <xf numFmtId="0" fontId="15" fillId="0" borderId="25" xfId="7" applyFont="1" applyBorder="1" applyAlignment="1">
      <alignment horizontal="center" vertical="center"/>
    </xf>
    <xf numFmtId="0" fontId="15" fillId="0" borderId="26" xfId="7" applyFont="1" applyFill="1" applyBorder="1" applyAlignment="1">
      <alignment horizontal="center" vertical="center"/>
    </xf>
    <xf numFmtId="176" fontId="16" fillId="0" borderId="30" xfId="7" applyNumberFormat="1" applyFill="1" applyBorder="1" applyAlignment="1">
      <alignment horizontal="center" vertical="center"/>
    </xf>
    <xf numFmtId="2" fontId="16" fillId="0" borderId="30" xfId="7" applyNumberFormat="1" applyFill="1" applyBorder="1" applyAlignment="1">
      <alignment horizontal="center" vertical="center"/>
    </xf>
    <xf numFmtId="2" fontId="16" fillId="0" borderId="3" xfId="7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7" fillId="0" borderId="5" xfId="7" applyFont="1" applyFill="1" applyBorder="1" applyAlignment="1"/>
    <xf numFmtId="0" fontId="17" fillId="6" borderId="18" xfId="7" applyFont="1" applyFill="1" applyBorder="1" applyAlignment="1">
      <alignment horizontal="center"/>
    </xf>
    <xf numFmtId="14" fontId="0" fillId="0" borderId="1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9" fillId="6" borderId="6" xfId="7" applyFont="1" applyFill="1" applyBorder="1" applyAlignment="1">
      <alignment horizontal="center" vertical="center"/>
    </xf>
    <xf numFmtId="0" fontId="19" fillId="6" borderId="8" xfId="7" applyFont="1" applyFill="1" applyBorder="1" applyAlignment="1">
      <alignment horizontal="center" vertical="center"/>
    </xf>
    <xf numFmtId="0" fontId="19" fillId="0" borderId="9" xfId="7" applyFont="1" applyBorder="1" applyAlignment="1">
      <alignment horizontal="center" vertical="center"/>
    </xf>
    <xf numFmtId="0" fontId="19" fillId="0" borderId="11" xfId="7" applyFont="1" applyBorder="1" applyAlignment="1">
      <alignment horizontal="center" vertical="center"/>
    </xf>
    <xf numFmtId="0" fontId="9" fillId="0" borderId="0" xfId="0" applyFont="1">
      <alignment vertical="center"/>
    </xf>
    <xf numFmtId="0" fontId="21" fillId="0" borderId="0" xfId="0" applyFont="1">
      <alignment vertical="center"/>
    </xf>
    <xf numFmtId="178" fontId="9" fillId="0" borderId="0" xfId="0" applyNumberFormat="1" applyFont="1">
      <alignment vertical="center"/>
    </xf>
    <xf numFmtId="0" fontId="9" fillId="0" borderId="0" xfId="0" applyFont="1" applyAlignment="1" applyProtection="1">
      <alignment vertical="center"/>
      <protection hidden="1"/>
    </xf>
    <xf numFmtId="0" fontId="10" fillId="3" borderId="46" xfId="0" applyFont="1" applyFill="1" applyBorder="1" applyAlignment="1" applyProtection="1">
      <alignment horizontal="center" vertical="center"/>
      <protection hidden="1"/>
    </xf>
    <xf numFmtId="0" fontId="10" fillId="3" borderId="1" xfId="0" applyFont="1" applyFill="1" applyBorder="1" applyAlignment="1" applyProtection="1">
      <alignment horizontal="center" vertical="center"/>
      <protection hidden="1"/>
    </xf>
    <xf numFmtId="0" fontId="10" fillId="3" borderId="1" xfId="0" applyFont="1" applyFill="1" applyBorder="1" applyAlignment="1" applyProtection="1">
      <alignment horizontal="center" vertical="center" wrapText="1"/>
      <protection hidden="1"/>
    </xf>
    <xf numFmtId="0" fontId="10" fillId="3" borderId="60" xfId="0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center" vertical="center"/>
      <protection hidden="1"/>
    </xf>
    <xf numFmtId="176" fontId="11" fillId="5" borderId="34" xfId="0" applyNumberFormat="1" applyFont="1" applyFill="1" applyBorder="1" applyAlignment="1" applyProtection="1">
      <alignment horizontal="center" vertical="center"/>
      <protection hidden="1"/>
    </xf>
    <xf numFmtId="0" fontId="11" fillId="4" borderId="10" xfId="0" applyFont="1" applyFill="1" applyBorder="1" applyAlignment="1" applyProtection="1">
      <alignment horizontal="center" vertical="center"/>
      <protection hidden="1"/>
    </xf>
    <xf numFmtId="176" fontId="11" fillId="5" borderId="11" xfId="0" applyNumberFormat="1" applyFont="1" applyFill="1" applyBorder="1" applyAlignment="1" applyProtection="1">
      <alignment horizontal="center" vertical="center"/>
      <protection hidden="1"/>
    </xf>
    <xf numFmtId="176" fontId="9" fillId="0" borderId="0" xfId="0" applyNumberFormat="1" applyFont="1" applyAlignment="1" applyProtection="1">
      <alignment vertical="center"/>
      <protection hidden="1"/>
    </xf>
    <xf numFmtId="0" fontId="10" fillId="3" borderId="44" xfId="0" applyFont="1" applyFill="1" applyBorder="1" applyAlignment="1" applyProtection="1">
      <alignment horizontal="center" vertical="center"/>
      <protection hidden="1"/>
    </xf>
    <xf numFmtId="0" fontId="10" fillId="3" borderId="2" xfId="0" applyFont="1" applyFill="1" applyBorder="1" applyAlignment="1" applyProtection="1">
      <alignment horizontal="center" vertical="center"/>
      <protection hidden="1"/>
    </xf>
    <xf numFmtId="0" fontId="11" fillId="0" borderId="2" xfId="0" applyFont="1" applyFill="1" applyBorder="1" applyAlignment="1" applyProtection="1">
      <alignment horizontal="center" vertical="center"/>
      <protection hidden="1"/>
    </xf>
    <xf numFmtId="176" fontId="15" fillId="5" borderId="34" xfId="0" applyNumberFormat="1" applyFont="1" applyFill="1" applyBorder="1" applyAlignment="1" applyProtection="1">
      <alignment horizontal="center" vertical="center"/>
      <protection hidden="1"/>
    </xf>
    <xf numFmtId="176" fontId="15" fillId="5" borderId="11" xfId="0" applyNumberFormat="1" applyFont="1" applyFill="1" applyBorder="1" applyAlignment="1" applyProtection="1">
      <alignment horizontal="center" vertical="center"/>
      <protection hidden="1"/>
    </xf>
    <xf numFmtId="0" fontId="9" fillId="0" borderId="0" xfId="4" applyFont="1" applyFill="1" applyAlignment="1" applyProtection="1">
      <alignment vertical="center"/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0" xfId="0" applyFont="1" applyFill="1" applyAlignment="1" applyProtection="1">
      <alignment vertical="center"/>
      <protection hidden="1"/>
    </xf>
    <xf numFmtId="0" fontId="13" fillId="0" borderId="0" xfId="4" applyFont="1" applyFill="1" applyBorder="1" applyAlignment="1" applyProtection="1">
      <alignment vertical="center" wrapText="1"/>
      <protection hidden="1"/>
    </xf>
    <xf numFmtId="0" fontId="5" fillId="0" borderId="0" xfId="4" applyFont="1" applyFill="1" applyAlignment="1" applyProtection="1">
      <alignment horizontal="center" vertical="center"/>
      <protection hidden="1"/>
    </xf>
    <xf numFmtId="0" fontId="5" fillId="0" borderId="0" xfId="0" applyFont="1" applyFill="1" applyAlignment="1" applyProtection="1">
      <alignment vertical="center"/>
      <protection hidden="1"/>
    </xf>
    <xf numFmtId="0" fontId="0" fillId="0" borderId="0" xfId="0" applyProtection="1">
      <alignment vertical="center"/>
      <protection hidden="1"/>
    </xf>
    <xf numFmtId="0" fontId="12" fillId="0" borderId="2" xfId="4" applyFont="1" applyFill="1" applyBorder="1" applyAlignment="1" applyProtection="1">
      <alignment horizontal="center" vertical="center"/>
      <protection hidden="1"/>
    </xf>
    <xf numFmtId="176" fontId="11" fillId="5" borderId="34" xfId="4" applyNumberFormat="1" applyFont="1" applyFill="1" applyBorder="1" applyAlignment="1" applyProtection="1">
      <alignment horizontal="center" vertical="center"/>
      <protection hidden="1"/>
    </xf>
    <xf numFmtId="0" fontId="11" fillId="0" borderId="2" xfId="4" applyFont="1" applyFill="1" applyBorder="1" applyAlignment="1" applyProtection="1">
      <alignment horizontal="center" vertical="center"/>
      <protection hidden="1"/>
    </xf>
    <xf numFmtId="177" fontId="9" fillId="0" borderId="0" xfId="4" applyNumberFormat="1" applyFont="1" applyAlignment="1" applyProtection="1">
      <alignment vertical="center"/>
      <protection hidden="1"/>
    </xf>
    <xf numFmtId="0" fontId="12" fillId="4" borderId="2" xfId="4" applyFont="1" applyFill="1" applyBorder="1" applyAlignment="1" applyProtection="1">
      <alignment horizontal="center" vertical="center"/>
      <protection hidden="1"/>
    </xf>
    <xf numFmtId="0" fontId="11" fillId="4" borderId="2" xfId="4" applyFont="1" applyFill="1" applyBorder="1" applyAlignment="1" applyProtection="1">
      <alignment horizontal="center" vertical="center"/>
      <protection hidden="1"/>
    </xf>
    <xf numFmtId="0" fontId="11" fillId="0" borderId="9" xfId="0" applyFont="1" applyFill="1" applyBorder="1" applyAlignment="1" applyProtection="1">
      <alignment horizontal="center" vertical="center" wrapText="1"/>
      <protection hidden="1"/>
    </xf>
    <xf numFmtId="0" fontId="11" fillId="0" borderId="10" xfId="0" applyFont="1" applyFill="1" applyBorder="1" applyAlignment="1" applyProtection="1">
      <alignment horizontal="center" vertical="center"/>
      <protection hidden="1"/>
    </xf>
    <xf numFmtId="0" fontId="11" fillId="4" borderId="10" xfId="4" applyFont="1" applyFill="1" applyBorder="1" applyAlignment="1" applyProtection="1">
      <alignment horizontal="center" vertical="center"/>
      <protection hidden="1"/>
    </xf>
    <xf numFmtId="176" fontId="11" fillId="5" borderId="11" xfId="4" applyNumberFormat="1" applyFont="1" applyFill="1" applyBorder="1" applyAlignment="1" applyProtection="1">
      <alignment horizontal="center" vertical="center"/>
      <protection hidden="1"/>
    </xf>
    <xf numFmtId="0" fontId="15" fillId="0" borderId="9" xfId="4" applyFont="1" applyBorder="1" applyAlignment="1" applyProtection="1">
      <alignment horizontal="center" vertical="center" wrapText="1"/>
      <protection hidden="1"/>
    </xf>
    <xf numFmtId="0" fontId="12" fillId="4" borderId="10" xfId="4" applyFont="1" applyFill="1" applyBorder="1" applyAlignment="1" applyProtection="1">
      <alignment horizontal="center" vertical="center"/>
      <protection hidden="1"/>
    </xf>
    <xf numFmtId="0" fontId="15" fillId="0" borderId="0" xfId="4" applyFont="1" applyFill="1" applyBorder="1" applyAlignment="1" applyProtection="1">
      <alignment horizontal="center" vertical="center" wrapText="1"/>
      <protection hidden="1"/>
    </xf>
    <xf numFmtId="0" fontId="12" fillId="0" borderId="0" xfId="4" applyFont="1" applyFill="1" applyBorder="1" applyAlignment="1" applyProtection="1">
      <alignment horizontal="center" vertical="center"/>
      <protection hidden="1"/>
    </xf>
    <xf numFmtId="0" fontId="11" fillId="0" borderId="0" xfId="4" applyFont="1" applyFill="1" applyBorder="1" applyAlignment="1" applyProtection="1">
      <alignment horizontal="center" vertical="center"/>
      <protection hidden="1"/>
    </xf>
    <xf numFmtId="177" fontId="11" fillId="0" borderId="0" xfId="4" applyNumberFormat="1" applyFont="1" applyFill="1" applyBorder="1" applyAlignment="1" applyProtection="1">
      <alignment horizontal="center" vertical="center"/>
      <protection hidden="1"/>
    </xf>
    <xf numFmtId="176" fontId="12" fillId="0" borderId="0" xfId="4" applyNumberFormat="1" applyFont="1" applyFill="1" applyBorder="1" applyAlignment="1" applyProtection="1">
      <alignment horizontal="center" vertical="center"/>
      <protection hidden="1"/>
    </xf>
    <xf numFmtId="176" fontId="11" fillId="0" borderId="0" xfId="4" applyNumberFormat="1" applyFont="1" applyFill="1" applyBorder="1" applyAlignment="1" applyProtection="1">
      <alignment horizontal="center" vertical="center"/>
      <protection hidden="1"/>
    </xf>
    <xf numFmtId="176" fontId="9" fillId="0" borderId="0" xfId="4" applyNumberFormat="1" applyFont="1" applyFill="1" applyAlignment="1" applyProtection="1">
      <alignment vertical="center"/>
      <protection hidden="1"/>
    </xf>
    <xf numFmtId="178" fontId="9" fillId="0" borderId="0" xfId="4" applyNumberFormat="1" applyFont="1" applyFill="1" applyAlignment="1" applyProtection="1">
      <alignment vertical="center"/>
      <protection hidden="1"/>
    </xf>
    <xf numFmtId="178" fontId="9" fillId="0" borderId="0" xfId="4" applyNumberFormat="1" applyFont="1" applyAlignment="1" applyProtection="1">
      <alignment vertical="center"/>
      <protection hidden="1"/>
    </xf>
    <xf numFmtId="176" fontId="9" fillId="0" borderId="0" xfId="4" applyNumberFormat="1" applyFont="1" applyAlignment="1" applyProtection="1">
      <alignment vertical="center"/>
      <protection hidden="1"/>
    </xf>
    <xf numFmtId="0" fontId="9" fillId="0" borderId="9" xfId="4" applyFont="1" applyBorder="1" applyAlignment="1" applyProtection="1">
      <alignment horizontal="center" vertical="center" wrapText="1"/>
      <protection hidden="1"/>
    </xf>
    <xf numFmtId="0" fontId="9" fillId="0" borderId="0" xfId="4" applyFont="1" applyFill="1" applyBorder="1" applyAlignment="1" applyProtection="1">
      <alignment horizontal="center" vertical="center" wrapText="1"/>
      <protection hidden="1"/>
    </xf>
    <xf numFmtId="0" fontId="11" fillId="0" borderId="10" xfId="4" applyFont="1" applyFill="1" applyBorder="1" applyAlignment="1" applyProtection="1">
      <alignment horizontal="center" vertical="center"/>
      <protection hidden="1"/>
    </xf>
    <xf numFmtId="0" fontId="9" fillId="2" borderId="0" xfId="4" applyFont="1" applyFill="1" applyAlignment="1" applyProtection="1">
      <alignment vertical="center"/>
      <protection hidden="1"/>
    </xf>
    <xf numFmtId="0" fontId="15" fillId="0" borderId="10" xfId="4" applyFont="1" applyBorder="1" applyAlignment="1" applyProtection="1">
      <alignment horizontal="center" vertical="center"/>
      <protection hidden="1"/>
    </xf>
    <xf numFmtId="0" fontId="11" fillId="0" borderId="9" xfId="4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alignment vertical="center"/>
      <protection hidden="1"/>
    </xf>
    <xf numFmtId="0" fontId="10" fillId="3" borderId="6" xfId="0" applyFont="1" applyFill="1" applyBorder="1" applyAlignment="1" applyProtection="1">
      <alignment horizontal="center" vertical="center"/>
      <protection hidden="1"/>
    </xf>
    <xf numFmtId="0" fontId="10" fillId="3" borderId="7" xfId="0" applyFont="1" applyFill="1" applyBorder="1" applyAlignment="1" applyProtection="1">
      <alignment horizontal="center" vertical="center" wrapText="1"/>
      <protection hidden="1"/>
    </xf>
    <xf numFmtId="0" fontId="10" fillId="3" borderId="7" xfId="0" applyFont="1" applyFill="1" applyBorder="1" applyAlignment="1" applyProtection="1">
      <alignment horizontal="center" vertical="center"/>
      <protection hidden="1"/>
    </xf>
    <xf numFmtId="0" fontId="10" fillId="3" borderId="7" xfId="4" applyFont="1" applyFill="1" applyBorder="1" applyAlignment="1" applyProtection="1">
      <alignment horizontal="center" vertical="center" wrapText="1"/>
      <protection hidden="1"/>
    </xf>
    <xf numFmtId="0" fontId="10" fillId="3" borderId="8" xfId="4" applyFont="1" applyFill="1" applyBorder="1" applyAlignment="1" applyProtection="1">
      <alignment horizontal="center" vertical="center" wrapText="1"/>
      <protection hidden="1"/>
    </xf>
    <xf numFmtId="0" fontId="9" fillId="6" borderId="18" xfId="0" applyFont="1" applyFill="1" applyBorder="1" applyAlignment="1" applyProtection="1">
      <alignment horizontal="center" vertical="center" wrapText="1"/>
      <protection hidden="1"/>
    </xf>
    <xf numFmtId="176" fontId="11" fillId="0" borderId="34" xfId="4" applyNumberFormat="1" applyFont="1" applyFill="1" applyBorder="1" applyAlignment="1" applyProtection="1">
      <alignment horizontal="center" vertical="center"/>
      <protection hidden="1"/>
    </xf>
    <xf numFmtId="176" fontId="11" fillId="0" borderId="11" xfId="4" applyNumberFormat="1" applyFont="1" applyFill="1" applyBorder="1" applyAlignment="1" applyProtection="1">
      <alignment horizontal="center" vertical="center"/>
      <protection hidden="1"/>
    </xf>
    <xf numFmtId="0" fontId="0" fillId="6" borderId="14" xfId="0" applyFill="1" applyBorder="1" applyAlignment="1" applyProtection="1">
      <alignment horizontal="center" vertical="center"/>
      <protection hidden="1"/>
    </xf>
    <xf numFmtId="0" fontId="10" fillId="3" borderId="12" xfId="0" applyFont="1" applyFill="1" applyBorder="1" applyAlignment="1" applyProtection="1">
      <alignment horizontal="center" vertical="center"/>
      <protection hidden="1"/>
    </xf>
    <xf numFmtId="0" fontId="10" fillId="3" borderId="49" xfId="0" applyFont="1" applyFill="1" applyBorder="1" applyAlignment="1" applyProtection="1">
      <alignment horizontal="center" vertical="center" wrapText="1"/>
      <protection hidden="1"/>
    </xf>
    <xf numFmtId="0" fontId="10" fillId="3" borderId="49" xfId="0" applyFont="1" applyFill="1" applyBorder="1" applyAlignment="1" applyProtection="1">
      <alignment horizontal="center" vertical="center"/>
      <protection hidden="1"/>
    </xf>
    <xf numFmtId="0" fontId="11" fillId="4" borderId="7" xfId="0" applyFont="1" applyFill="1" applyBorder="1" applyAlignment="1" applyProtection="1">
      <alignment horizontal="center" vertical="center"/>
      <protection hidden="1"/>
    </xf>
    <xf numFmtId="176" fontId="11" fillId="0" borderId="8" xfId="4" applyNumberFormat="1" applyFont="1" applyFill="1" applyBorder="1" applyAlignment="1" applyProtection="1">
      <alignment horizontal="center" vertical="center"/>
      <protection hidden="1"/>
    </xf>
    <xf numFmtId="0" fontId="11" fillId="4" borderId="3" xfId="0" applyFont="1" applyFill="1" applyBorder="1" applyAlignment="1" applyProtection="1">
      <alignment horizontal="center" vertical="center"/>
      <protection hidden="1"/>
    </xf>
    <xf numFmtId="176" fontId="11" fillId="0" borderId="31" xfId="4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alignment vertical="center"/>
      <protection hidden="1"/>
    </xf>
    <xf numFmtId="0" fontId="5" fillId="0" borderId="0" xfId="0" applyFont="1" applyFill="1" applyBorder="1" applyAlignment="1" applyProtection="1">
      <alignment horizontal="left" vertical="center"/>
      <protection hidden="1"/>
    </xf>
    <xf numFmtId="0" fontId="9" fillId="0" borderId="0" xfId="0" applyFont="1" applyFill="1" applyProtection="1">
      <alignment vertical="center"/>
      <protection hidden="1"/>
    </xf>
    <xf numFmtId="0" fontId="10" fillId="0" borderId="0" xfId="4" applyFont="1" applyFill="1" applyBorder="1" applyAlignment="1" applyProtection="1">
      <alignment horizontal="center" vertical="center" wrapText="1"/>
      <protection hidden="1"/>
    </xf>
    <xf numFmtId="0" fontId="9" fillId="6" borderId="47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0" fillId="6" borderId="15" xfId="0" applyFill="1" applyBorder="1" applyAlignment="1" applyProtection="1">
      <alignment horizontal="center" vertical="center"/>
      <protection hidden="1"/>
    </xf>
    <xf numFmtId="0" fontId="12" fillId="4" borderId="2" xfId="0" applyFont="1" applyFill="1" applyBorder="1" applyAlignment="1" applyProtection="1">
      <alignment horizontal="center" vertical="center"/>
      <protection hidden="1"/>
    </xf>
    <xf numFmtId="0" fontId="12" fillId="0" borderId="2" xfId="0" applyFont="1" applyFill="1" applyBorder="1" applyAlignment="1" applyProtection="1">
      <alignment horizontal="center" vertical="center"/>
      <protection hidden="1"/>
    </xf>
    <xf numFmtId="0" fontId="12" fillId="4" borderId="10" xfId="0" applyFont="1" applyFill="1" applyBorder="1" applyAlignment="1" applyProtection="1">
      <alignment horizontal="center" vertical="center"/>
      <protection hidden="1"/>
    </xf>
    <xf numFmtId="0" fontId="12" fillId="0" borderId="10" xfId="0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/>
      <protection hidden="1"/>
    </xf>
    <xf numFmtId="178" fontId="21" fillId="0" borderId="0" xfId="0" applyNumberFormat="1" applyFont="1" applyProtection="1">
      <alignment vertical="center"/>
      <protection hidden="1"/>
    </xf>
    <xf numFmtId="0" fontId="0" fillId="0" borderId="0" xfId="0" applyFont="1" applyFill="1" applyAlignment="1" applyProtection="1">
      <alignment horizontal="center" vertical="center"/>
      <protection hidden="1"/>
    </xf>
    <xf numFmtId="176" fontId="21" fillId="0" borderId="0" xfId="0" applyNumberFormat="1" applyFont="1" applyProtection="1">
      <alignment vertical="center"/>
      <protection hidden="1"/>
    </xf>
    <xf numFmtId="0" fontId="10" fillId="3" borderId="41" xfId="0" applyFont="1" applyFill="1" applyBorder="1" applyAlignment="1" applyProtection="1">
      <alignment horizontal="center" vertical="center" wrapText="1"/>
      <protection hidden="1"/>
    </xf>
    <xf numFmtId="0" fontId="12" fillId="4" borderId="3" xfId="0" applyFont="1" applyFill="1" applyBorder="1" applyAlignment="1" applyProtection="1">
      <alignment horizontal="center" vertical="center"/>
      <protection hidden="1"/>
    </xf>
    <xf numFmtId="0" fontId="11" fillId="4" borderId="32" xfId="0" applyFont="1" applyFill="1" applyBorder="1" applyAlignment="1" applyProtection="1">
      <alignment horizontal="center" vertical="center"/>
      <protection hidden="1"/>
    </xf>
    <xf numFmtId="0" fontId="11" fillId="4" borderId="36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/>
      <protection hidden="1"/>
    </xf>
    <xf numFmtId="176" fontId="11" fillId="0" borderId="60" xfId="4" applyNumberFormat="1" applyFont="1" applyFill="1" applyBorder="1" applyAlignment="1" applyProtection="1">
      <alignment horizontal="center" vertical="center"/>
      <protection hidden="1"/>
    </xf>
    <xf numFmtId="0" fontId="12" fillId="4" borderId="7" xfId="0" applyFont="1" applyFill="1" applyBorder="1" applyAlignment="1" applyProtection="1">
      <alignment horizontal="center" vertical="center"/>
      <protection hidden="1"/>
    </xf>
    <xf numFmtId="0" fontId="11" fillId="4" borderId="39" xfId="0" applyFont="1" applyFill="1" applyBorder="1" applyAlignment="1" applyProtection="1">
      <alignment horizontal="center" vertical="center"/>
      <protection hidden="1"/>
    </xf>
    <xf numFmtId="177" fontId="11" fillId="4" borderId="2" xfId="0" applyNumberFormat="1" applyFont="1" applyFill="1" applyBorder="1" applyAlignment="1" applyProtection="1">
      <alignment horizontal="center" vertical="center"/>
      <protection locked="0"/>
    </xf>
    <xf numFmtId="176" fontId="11" fillId="0" borderId="2" xfId="0" applyNumberFormat="1" applyFont="1" applyFill="1" applyBorder="1" applyAlignment="1" applyProtection="1">
      <alignment horizontal="center" vertical="center"/>
      <protection locked="0"/>
    </xf>
    <xf numFmtId="177" fontId="11" fillId="0" borderId="2" xfId="0" applyNumberFormat="1" applyFont="1" applyFill="1" applyBorder="1" applyAlignment="1" applyProtection="1">
      <alignment horizontal="center" vertical="center"/>
      <protection locked="0"/>
    </xf>
    <xf numFmtId="177" fontId="11" fillId="0" borderId="10" xfId="0" applyNumberFormat="1" applyFont="1" applyFill="1" applyBorder="1" applyAlignment="1" applyProtection="1">
      <alignment horizontal="center" vertical="center"/>
      <protection locked="0"/>
    </xf>
    <xf numFmtId="176" fontId="11" fillId="0" borderId="10" xfId="0" applyNumberFormat="1" applyFont="1" applyFill="1" applyBorder="1" applyAlignment="1" applyProtection="1">
      <alignment horizontal="center" vertical="center"/>
      <protection locked="0"/>
    </xf>
    <xf numFmtId="2" fontId="11" fillId="4" borderId="2" xfId="0" applyNumberFormat="1" applyFont="1" applyFill="1" applyBorder="1" applyAlignment="1" applyProtection="1">
      <alignment horizontal="center" vertical="center"/>
      <protection locked="0"/>
    </xf>
    <xf numFmtId="2" fontId="11" fillId="0" borderId="2" xfId="0" applyNumberFormat="1" applyFont="1" applyFill="1" applyBorder="1" applyAlignment="1" applyProtection="1">
      <alignment horizontal="center" vertical="center"/>
      <protection locked="0"/>
    </xf>
    <xf numFmtId="177" fontId="12" fillId="0" borderId="2" xfId="4" applyNumberFormat="1" applyFont="1" applyFill="1" applyBorder="1" applyAlignment="1" applyProtection="1">
      <alignment horizontal="center" vertical="center"/>
      <protection locked="0"/>
    </xf>
    <xf numFmtId="176" fontId="12" fillId="0" borderId="2" xfId="4" applyNumberFormat="1" applyFont="1" applyFill="1" applyBorder="1" applyAlignment="1" applyProtection="1">
      <alignment horizontal="center" vertical="center"/>
      <protection locked="0"/>
    </xf>
    <xf numFmtId="176" fontId="12" fillId="0" borderId="10" xfId="4" applyNumberFormat="1" applyFont="1" applyFill="1" applyBorder="1" applyAlignment="1" applyProtection="1">
      <alignment horizontal="center" vertical="center"/>
      <protection locked="0"/>
    </xf>
    <xf numFmtId="176" fontId="11" fillId="0" borderId="2" xfId="4" applyNumberFormat="1" applyFont="1" applyFill="1" applyBorder="1" applyAlignment="1" applyProtection="1">
      <alignment horizontal="center" vertical="center"/>
      <protection locked="0"/>
    </xf>
    <xf numFmtId="176" fontId="12" fillId="0" borderId="2" xfId="0" applyNumberFormat="1" applyFont="1" applyFill="1" applyBorder="1" applyAlignment="1" applyProtection="1">
      <alignment horizontal="center" vertical="center"/>
      <protection locked="0"/>
    </xf>
    <xf numFmtId="2" fontId="12" fillId="0" borderId="2" xfId="0" applyNumberFormat="1" applyFont="1" applyFill="1" applyBorder="1" applyAlignment="1" applyProtection="1">
      <alignment horizontal="center" vertical="center"/>
      <protection locked="0"/>
    </xf>
    <xf numFmtId="2" fontId="12" fillId="0" borderId="10" xfId="0" applyNumberFormat="1" applyFont="1" applyFill="1" applyBorder="1" applyAlignment="1" applyProtection="1">
      <alignment horizontal="center" vertical="center"/>
      <protection locked="0"/>
    </xf>
    <xf numFmtId="176" fontId="12" fillId="0" borderId="10" xfId="0" applyNumberFormat="1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6" borderId="14" xfId="0" applyFont="1" applyFill="1" applyBorder="1" applyAlignment="1" applyProtection="1">
      <alignment horizontal="center" vertical="center"/>
      <protection locked="0"/>
    </xf>
    <xf numFmtId="0" fontId="0" fillId="6" borderId="14" xfId="0" applyFill="1" applyBorder="1" applyAlignment="1" applyProtection="1">
      <alignment horizontal="center" vertical="center"/>
      <protection locked="0"/>
    </xf>
    <xf numFmtId="177" fontId="12" fillId="0" borderId="2" xfId="0" applyNumberFormat="1" applyFont="1" applyFill="1" applyBorder="1" applyAlignment="1" applyProtection="1">
      <alignment horizontal="center" vertical="center"/>
      <protection locked="0"/>
    </xf>
    <xf numFmtId="2" fontId="11" fillId="0" borderId="10" xfId="0" applyNumberFormat="1" applyFont="1" applyFill="1" applyBorder="1" applyAlignment="1" applyProtection="1">
      <alignment horizontal="center" vertical="center"/>
      <protection locked="0"/>
    </xf>
    <xf numFmtId="177" fontId="12" fillId="0" borderId="10" xfId="0" applyNumberFormat="1" applyFont="1" applyFill="1" applyBorder="1" applyAlignment="1" applyProtection="1">
      <alignment horizontal="center" vertical="center"/>
      <protection locked="0"/>
    </xf>
    <xf numFmtId="177" fontId="12" fillId="4" borderId="2" xfId="0" applyNumberFormat="1" applyFont="1" applyFill="1" applyBorder="1" applyAlignment="1" applyProtection="1">
      <alignment horizontal="center" vertical="center"/>
      <protection locked="0"/>
    </xf>
    <xf numFmtId="176" fontId="11" fillId="0" borderId="7" xfId="0" applyNumberFormat="1" applyFont="1" applyFill="1" applyBorder="1" applyAlignment="1" applyProtection="1">
      <alignment horizontal="center" vertical="center"/>
      <protection locked="0"/>
    </xf>
    <xf numFmtId="178" fontId="11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178" fontId="11" fillId="0" borderId="2" xfId="0" applyNumberFormat="1" applyFont="1" applyFill="1" applyBorder="1" applyAlignment="1" applyProtection="1">
      <alignment horizontal="center" vertical="center"/>
      <protection locked="0"/>
    </xf>
    <xf numFmtId="178" fontId="12" fillId="0" borderId="2" xfId="0" applyNumberFormat="1" applyFont="1" applyFill="1" applyBorder="1" applyAlignment="1" applyProtection="1">
      <alignment horizontal="center" vertical="center"/>
      <protection locked="0"/>
    </xf>
    <xf numFmtId="178" fontId="12" fillId="0" borderId="10" xfId="0" applyNumberFormat="1" applyFont="1" applyFill="1" applyBorder="1" applyAlignment="1" applyProtection="1">
      <alignment horizontal="center" vertical="center"/>
      <protection locked="0"/>
    </xf>
    <xf numFmtId="176" fontId="11" fillId="0" borderId="3" xfId="0" applyNumberFormat="1" applyFont="1" applyFill="1" applyBorder="1" applyAlignment="1" applyProtection="1">
      <alignment horizontal="center" vertical="center"/>
      <protection locked="0"/>
    </xf>
    <xf numFmtId="178" fontId="11" fillId="0" borderId="3" xfId="0" applyNumberFormat="1" applyFont="1" applyFill="1" applyBorder="1" applyAlignment="1" applyProtection="1">
      <alignment horizontal="center" vertical="center"/>
      <protection locked="0"/>
    </xf>
    <xf numFmtId="0" fontId="0" fillId="6" borderId="15" xfId="0" applyFill="1" applyBorder="1" applyAlignment="1" applyProtection="1">
      <alignment horizontal="center" vertical="center"/>
      <protection locked="0"/>
    </xf>
    <xf numFmtId="0" fontId="12" fillId="0" borderId="2" xfId="0" applyFont="1" applyFill="1" applyBorder="1" applyAlignment="1" applyProtection="1">
      <alignment horizontal="center" vertical="center"/>
      <protection locked="0"/>
    </xf>
    <xf numFmtId="178" fontId="11" fillId="0" borderId="10" xfId="0" applyNumberFormat="1" applyFont="1" applyFill="1" applyBorder="1" applyAlignment="1" applyProtection="1">
      <alignment horizontal="center" vertical="center"/>
      <protection locked="0"/>
    </xf>
    <xf numFmtId="176" fontId="12" fillId="0" borderId="1" xfId="0" applyNumberFormat="1" applyFont="1" applyFill="1" applyBorder="1" applyAlignment="1" applyProtection="1">
      <alignment horizontal="center" vertical="center"/>
      <protection locked="0"/>
    </xf>
    <xf numFmtId="178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hidden="1"/>
    </xf>
    <xf numFmtId="0" fontId="11" fillId="4" borderId="10" xfId="0" applyFont="1" applyFill="1" applyBorder="1" applyAlignment="1" applyProtection="1">
      <alignment horizontal="center" vertical="center"/>
      <protection hidden="1"/>
    </xf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>
      <alignment vertical="center"/>
    </xf>
    <xf numFmtId="0" fontId="22" fillId="8" borderId="6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0" fillId="0" borderId="0" xfId="0">
      <alignment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2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1" fillId="0" borderId="10" xfId="0" applyNumberFormat="1" applyFont="1" applyFill="1" applyBorder="1" applyAlignment="1">
      <alignment horizontal="center" vertical="center"/>
    </xf>
    <xf numFmtId="2" fontId="11" fillId="0" borderId="10" xfId="0" applyNumberFormat="1" applyFont="1" applyFill="1" applyBorder="1" applyAlignment="1" applyProtection="1">
      <alignment horizontal="center" vertical="center" wrapText="1"/>
      <protection locked="0"/>
    </xf>
    <xf numFmtId="176" fontId="11" fillId="4" borderId="10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176" fontId="9" fillId="0" borderId="2" xfId="0" applyNumberFormat="1" applyFont="1" applyBorder="1" applyAlignment="1">
      <alignment horizontal="center" vertical="center"/>
    </xf>
    <xf numFmtId="0" fontId="10" fillId="3" borderId="2" xfId="0" applyFont="1" applyFill="1" applyBorder="1" applyAlignment="1" applyProtection="1">
      <alignment horizontal="center" vertical="center" wrapText="1"/>
      <protection hidden="1"/>
    </xf>
    <xf numFmtId="176" fontId="11" fillId="0" borderId="2" xfId="4" applyNumberFormat="1" applyFont="1" applyFill="1" applyBorder="1" applyAlignment="1" applyProtection="1">
      <alignment horizontal="center" vertical="center"/>
      <protection hidden="1"/>
    </xf>
    <xf numFmtId="0" fontId="10" fillId="3" borderId="2" xfId="4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horizontal="center" vertical="center"/>
    </xf>
    <xf numFmtId="176" fontId="9" fillId="0" borderId="0" xfId="0" applyNumberFormat="1" applyFont="1" applyAlignment="1" applyProtection="1">
      <alignment horizontal="center" vertical="center"/>
      <protection hidden="1"/>
    </xf>
    <xf numFmtId="0" fontId="11" fillId="4" borderId="2" xfId="0" applyFont="1" applyFill="1" applyBorder="1" applyAlignment="1">
      <alignment horizontal="center" vertical="center"/>
    </xf>
    <xf numFmtId="0" fontId="11" fillId="4" borderId="46" xfId="0" applyFont="1" applyFill="1" applyBorder="1" applyAlignment="1" applyProtection="1">
      <alignment horizontal="center" vertical="center" wrapText="1"/>
      <protection hidden="1"/>
    </xf>
    <xf numFmtId="0" fontId="11" fillId="4" borderId="40" xfId="0" applyFont="1" applyFill="1" applyBorder="1" applyAlignment="1" applyProtection="1">
      <alignment horizontal="center" vertical="center"/>
      <protection hidden="1"/>
    </xf>
    <xf numFmtId="0" fontId="11" fillId="4" borderId="27" xfId="0" applyFont="1" applyFill="1" applyBorder="1" applyAlignment="1" applyProtection="1">
      <alignment horizontal="center" vertical="center"/>
      <protection hidden="1"/>
    </xf>
    <xf numFmtId="0" fontId="11" fillId="4" borderId="46" xfId="0" applyFont="1" applyFill="1" applyBorder="1" applyAlignment="1" applyProtection="1">
      <alignment horizontal="center" vertical="center"/>
      <protection hidden="1"/>
    </xf>
    <xf numFmtId="0" fontId="11" fillId="4" borderId="43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left" vertical="center"/>
      <protection hidden="1"/>
    </xf>
    <xf numFmtId="0" fontId="5" fillId="2" borderId="49" xfId="0" applyFont="1" applyFill="1" applyBorder="1" applyAlignment="1" applyProtection="1">
      <alignment horizontal="left" vertical="center"/>
      <protection hidden="1"/>
    </xf>
    <xf numFmtId="0" fontId="5" fillId="2" borderId="41" xfId="0" applyFont="1" applyFill="1" applyBorder="1" applyAlignment="1" applyProtection="1">
      <alignment horizontal="left" vertical="center"/>
      <protection hidden="1"/>
    </xf>
    <xf numFmtId="0" fontId="5" fillId="2" borderId="6" xfId="0" applyFont="1" applyFill="1" applyBorder="1" applyAlignment="1" applyProtection="1">
      <alignment horizontal="left" vertical="center"/>
      <protection hidden="1"/>
    </xf>
    <xf numFmtId="0" fontId="5" fillId="2" borderId="7" xfId="0" applyFont="1" applyFill="1" applyBorder="1" applyAlignment="1" applyProtection="1">
      <alignment horizontal="left" vertical="center"/>
      <protection hidden="1"/>
    </xf>
    <xf numFmtId="0" fontId="5" fillId="2" borderId="8" xfId="0" applyFont="1" applyFill="1" applyBorder="1" applyAlignment="1" applyProtection="1">
      <alignment horizontal="left" vertical="center"/>
      <protection hidden="1"/>
    </xf>
    <xf numFmtId="0" fontId="13" fillId="3" borderId="15" xfId="0" applyFont="1" applyFill="1" applyBorder="1" applyAlignment="1" applyProtection="1">
      <alignment horizontal="left" vertical="center" wrapText="1"/>
      <protection hidden="1"/>
    </xf>
    <xf numFmtId="0" fontId="13" fillId="3" borderId="16" xfId="0" applyFont="1" applyFill="1" applyBorder="1" applyAlignment="1" applyProtection="1">
      <alignment horizontal="left" vertical="center" wrapText="1"/>
      <protection hidden="1"/>
    </xf>
    <xf numFmtId="0" fontId="13" fillId="3" borderId="17" xfId="0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Alignment="1" applyProtection="1">
      <alignment horizontal="left" vertical="center" wrapText="1"/>
      <protection hidden="1"/>
    </xf>
    <xf numFmtId="0" fontId="0" fillId="0" borderId="17" xfId="0" applyBorder="1" applyAlignment="1" applyProtection="1">
      <alignment horizontal="left" vertical="center" wrapText="1"/>
      <protection hidden="1"/>
    </xf>
    <xf numFmtId="0" fontId="5" fillId="2" borderId="47" xfId="0" applyFont="1" applyFill="1" applyBorder="1" applyAlignment="1" applyProtection="1">
      <alignment horizontal="left" vertical="center"/>
      <protection hidden="1"/>
    </xf>
    <xf numFmtId="0" fontId="5" fillId="2" borderId="5" xfId="0" applyFont="1" applyFill="1" applyBorder="1" applyAlignment="1" applyProtection="1">
      <alignment horizontal="left" vertical="center"/>
      <protection hidden="1"/>
    </xf>
    <xf numFmtId="0" fontId="5" fillId="2" borderId="48" xfId="0" applyFont="1" applyFill="1" applyBorder="1" applyAlignment="1" applyProtection="1">
      <alignment horizontal="left" vertical="center"/>
      <protection hidden="1"/>
    </xf>
    <xf numFmtId="0" fontId="11" fillId="0" borderId="44" xfId="4" applyFont="1" applyFill="1" applyBorder="1" applyAlignment="1" applyProtection="1">
      <alignment horizontal="center" vertical="center" wrapText="1"/>
      <protection hidden="1"/>
    </xf>
    <xf numFmtId="0" fontId="11" fillId="0" borderId="46" xfId="4" applyFont="1" applyBorder="1" applyAlignment="1" applyProtection="1">
      <alignment horizontal="center" vertical="center" wrapText="1"/>
      <protection hidden="1"/>
    </xf>
    <xf numFmtId="0" fontId="9" fillId="0" borderId="40" xfId="4" applyFont="1" applyBorder="1" applyAlignment="1" applyProtection="1">
      <alignment vertical="center" wrapText="1"/>
      <protection hidden="1"/>
    </xf>
    <xf numFmtId="0" fontId="9" fillId="0" borderId="43" xfId="4" applyFont="1" applyBorder="1" applyAlignment="1" applyProtection="1">
      <alignment vertical="center" wrapText="1"/>
      <protection hidden="1"/>
    </xf>
    <xf numFmtId="0" fontId="11" fillId="0" borderId="46" xfId="0" applyFont="1" applyFill="1" applyBorder="1" applyAlignment="1" applyProtection="1">
      <alignment horizontal="center" vertical="center" wrapText="1"/>
      <protection hidden="1"/>
    </xf>
    <xf numFmtId="0" fontId="11" fillId="0" borderId="40" xfId="0" applyFont="1" applyFill="1" applyBorder="1" applyAlignment="1" applyProtection="1">
      <alignment horizontal="center" vertical="center" wrapText="1"/>
      <protection hidden="1"/>
    </xf>
    <xf numFmtId="0" fontId="9" fillId="0" borderId="40" xfId="0" applyFont="1" applyFill="1" applyBorder="1" applyAlignment="1" applyProtection="1">
      <alignment vertical="center" wrapText="1"/>
      <protection hidden="1"/>
    </xf>
    <xf numFmtId="0" fontId="9" fillId="0" borderId="43" xfId="0" applyFont="1" applyFill="1" applyBorder="1" applyAlignment="1" applyProtection="1">
      <alignment vertical="center" wrapText="1"/>
      <protection hidden="1"/>
    </xf>
    <xf numFmtId="0" fontId="11" fillId="0" borderId="44" xfId="4" applyFont="1" applyFill="1" applyBorder="1" applyAlignment="1" applyProtection="1">
      <alignment horizontal="center" vertical="center"/>
      <protection hidden="1"/>
    </xf>
    <xf numFmtId="0" fontId="11" fillId="0" borderId="46" xfId="4" applyFont="1" applyFill="1" applyBorder="1" applyAlignment="1" applyProtection="1">
      <alignment horizontal="center" vertical="center" wrapText="1"/>
      <protection hidden="1"/>
    </xf>
    <xf numFmtId="0" fontId="9" fillId="0" borderId="40" xfId="4" applyFont="1" applyFill="1" applyBorder="1" applyAlignment="1" applyProtection="1">
      <alignment vertical="center" wrapText="1"/>
      <protection hidden="1"/>
    </xf>
    <xf numFmtId="0" fontId="9" fillId="0" borderId="43" xfId="4" applyFont="1" applyFill="1" applyBorder="1" applyAlignment="1" applyProtection="1">
      <alignment vertical="center" wrapText="1"/>
      <protection hidden="1"/>
    </xf>
    <xf numFmtId="0" fontId="13" fillId="3" borderId="15" xfId="4" applyFont="1" applyFill="1" applyBorder="1" applyAlignment="1" applyProtection="1">
      <alignment horizontal="left" vertical="center" wrapText="1"/>
      <protection hidden="1"/>
    </xf>
    <xf numFmtId="0" fontId="13" fillId="3" borderId="16" xfId="4" applyFont="1" applyFill="1" applyBorder="1" applyAlignment="1" applyProtection="1">
      <alignment horizontal="left" vertical="center" wrapText="1"/>
      <protection hidden="1"/>
    </xf>
    <xf numFmtId="0" fontId="13" fillId="3" borderId="17" xfId="4" applyFont="1" applyFill="1" applyBorder="1" applyAlignment="1" applyProtection="1">
      <alignment horizontal="left" vertical="center" wrapText="1"/>
      <protection hidden="1"/>
    </xf>
    <xf numFmtId="0" fontId="11" fillId="0" borderId="43" xfId="0" applyFont="1" applyFill="1" applyBorder="1" applyAlignment="1" applyProtection="1">
      <alignment horizontal="center" vertical="center" wrapText="1"/>
      <protection hidden="1"/>
    </xf>
    <xf numFmtId="0" fontId="11" fillId="0" borderId="43" xfId="4" applyFont="1" applyFill="1" applyBorder="1" applyAlignment="1" applyProtection="1">
      <alignment horizontal="center" vertical="center" wrapText="1"/>
      <protection hidden="1"/>
    </xf>
    <xf numFmtId="0" fontId="9" fillId="0" borderId="43" xfId="4" applyFont="1" applyBorder="1" applyAlignment="1" applyProtection="1">
      <alignment horizontal="center" vertical="center" wrapText="1"/>
      <protection hidden="1"/>
    </xf>
    <xf numFmtId="0" fontId="5" fillId="2" borderId="43" xfId="4" applyFont="1" applyFill="1" applyBorder="1" applyAlignment="1" applyProtection="1">
      <alignment horizontal="left" vertical="center"/>
      <protection hidden="1"/>
    </xf>
    <xf numFmtId="0" fontId="5" fillId="2" borderId="3" xfId="4" applyFont="1" applyFill="1" applyBorder="1" applyAlignment="1" applyProtection="1">
      <alignment horizontal="left" vertical="center"/>
      <protection hidden="1"/>
    </xf>
    <xf numFmtId="0" fontId="5" fillId="2" borderId="31" xfId="4" applyFont="1" applyFill="1" applyBorder="1" applyAlignment="1" applyProtection="1">
      <alignment horizontal="left" vertical="center"/>
      <protection hidden="1"/>
    </xf>
    <xf numFmtId="0" fontId="11" fillId="4" borderId="46" xfId="4" applyFont="1" applyFill="1" applyBorder="1" applyAlignment="1" applyProtection="1">
      <alignment horizontal="center" vertical="center" wrapText="1"/>
      <protection hidden="1"/>
    </xf>
    <xf numFmtId="0" fontId="11" fillId="0" borderId="46" xfId="4" applyFont="1" applyFill="1" applyBorder="1" applyAlignment="1" applyProtection="1">
      <alignment horizontal="center" vertical="center"/>
      <protection hidden="1"/>
    </xf>
    <xf numFmtId="0" fontId="11" fillId="0" borderId="40" xfId="4" applyFont="1" applyFill="1" applyBorder="1" applyAlignment="1" applyProtection="1">
      <alignment horizontal="center" vertical="center"/>
      <protection hidden="1"/>
    </xf>
    <xf numFmtId="0" fontId="11" fillId="0" borderId="43" xfId="4" applyFont="1" applyFill="1" applyBorder="1" applyAlignment="1" applyProtection="1">
      <alignment horizontal="center" vertical="center"/>
      <protection hidden="1"/>
    </xf>
    <xf numFmtId="0" fontId="11" fillId="0" borderId="40" xfId="4" applyFont="1" applyBorder="1" applyAlignment="1" applyProtection="1">
      <alignment horizontal="center" vertical="center" wrapText="1"/>
      <protection hidden="1"/>
    </xf>
    <xf numFmtId="0" fontId="11" fillId="0" borderId="43" xfId="4" applyFont="1" applyBorder="1" applyAlignment="1" applyProtection="1">
      <alignment horizontal="center" vertical="center" wrapText="1"/>
      <protection hidden="1"/>
    </xf>
    <xf numFmtId="0" fontId="11" fillId="0" borderId="46" xfId="0" applyFont="1" applyFill="1" applyBorder="1" applyAlignment="1" applyProtection="1">
      <alignment horizontal="center" vertical="center"/>
      <protection hidden="1"/>
    </xf>
    <xf numFmtId="0" fontId="11" fillId="0" borderId="40" xfId="0" applyFont="1" applyFill="1" applyBorder="1" applyAlignment="1" applyProtection="1">
      <alignment horizontal="center" vertical="center"/>
      <protection hidden="1"/>
    </xf>
    <xf numFmtId="0" fontId="11" fillId="0" borderId="43" xfId="0" applyFont="1" applyFill="1" applyBorder="1" applyAlignment="1" applyProtection="1">
      <alignment horizontal="center" vertical="center"/>
      <protection hidden="1"/>
    </xf>
    <xf numFmtId="0" fontId="5" fillId="2" borderId="43" xfId="0" applyFont="1" applyFill="1" applyBorder="1" applyAlignment="1" applyProtection="1">
      <alignment horizontal="left" vertical="center"/>
      <protection hidden="1"/>
    </xf>
    <xf numFmtId="0" fontId="5" fillId="2" borderId="3" xfId="0" applyFont="1" applyFill="1" applyBorder="1" applyAlignment="1" applyProtection="1">
      <alignment horizontal="left" vertical="center"/>
      <protection hidden="1"/>
    </xf>
    <xf numFmtId="0" fontId="5" fillId="2" borderId="31" xfId="0" applyFont="1" applyFill="1" applyBorder="1" applyAlignment="1" applyProtection="1">
      <alignment horizontal="left" vertical="center"/>
      <protection hidden="1"/>
    </xf>
    <xf numFmtId="0" fontId="11" fillId="4" borderId="2" xfId="0" applyFont="1" applyFill="1" applyBorder="1" applyAlignment="1" applyProtection="1">
      <alignment horizontal="center" vertical="center"/>
      <protection hidden="1"/>
    </xf>
    <xf numFmtId="0" fontId="11" fillId="4" borderId="10" xfId="0" applyFont="1" applyFill="1" applyBorder="1" applyAlignment="1" applyProtection="1">
      <alignment horizontal="center" vertical="center"/>
      <protection hidden="1"/>
    </xf>
    <xf numFmtId="0" fontId="11" fillId="4" borderId="44" xfId="0" applyFont="1" applyFill="1" applyBorder="1" applyAlignment="1" applyProtection="1">
      <alignment horizontal="center" vertical="center" wrapText="1"/>
      <protection hidden="1"/>
    </xf>
    <xf numFmtId="0" fontId="11" fillId="4" borderId="9" xfId="0" applyFont="1" applyFill="1" applyBorder="1" applyAlignment="1" applyProtection="1">
      <alignment horizontal="center" vertical="center" wrapText="1"/>
      <protection hidden="1"/>
    </xf>
    <xf numFmtId="0" fontId="5" fillId="2" borderId="61" xfId="0" applyFont="1" applyFill="1" applyBorder="1" applyAlignment="1" applyProtection="1">
      <alignment horizontal="left" vertical="center"/>
      <protection hidden="1"/>
    </xf>
    <xf numFmtId="0" fontId="5" fillId="2" borderId="62" xfId="0" applyFont="1" applyFill="1" applyBorder="1" applyAlignment="1" applyProtection="1">
      <alignment horizontal="left" vertical="center"/>
      <protection hidden="1"/>
    </xf>
    <xf numFmtId="0" fontId="5" fillId="2" borderId="59" xfId="0" applyFont="1" applyFill="1" applyBorder="1" applyAlignment="1" applyProtection="1">
      <alignment horizontal="left" vertical="center"/>
      <protection hidden="1"/>
    </xf>
    <xf numFmtId="0" fontId="11" fillId="4" borderId="6" xfId="0" applyFont="1" applyFill="1" applyBorder="1" applyAlignment="1" applyProtection="1">
      <alignment horizontal="center" vertical="center" wrapText="1"/>
      <protection hidden="1"/>
    </xf>
    <xf numFmtId="0" fontId="11" fillId="4" borderId="7" xfId="0" applyFont="1" applyFill="1" applyBorder="1" applyAlignment="1" applyProtection="1">
      <alignment horizontal="center" vertical="center"/>
      <protection hidden="1"/>
    </xf>
    <xf numFmtId="0" fontId="11" fillId="4" borderId="43" xfId="0" applyFont="1" applyFill="1" applyBorder="1" applyAlignment="1" applyProtection="1">
      <alignment horizontal="center" vertical="center" wrapText="1"/>
      <protection hidden="1"/>
    </xf>
    <xf numFmtId="0" fontId="11" fillId="4" borderId="3" xfId="0" applyFont="1" applyFill="1" applyBorder="1" applyAlignment="1" applyProtection="1">
      <alignment horizontal="center" vertical="center"/>
      <protection hidden="1"/>
    </xf>
    <xf numFmtId="0" fontId="5" fillId="2" borderId="15" xfId="0" applyFont="1" applyFill="1" applyBorder="1" applyAlignment="1" applyProtection="1">
      <alignment horizontal="left" vertical="center"/>
      <protection hidden="1"/>
    </xf>
    <xf numFmtId="0" fontId="5" fillId="2" borderId="16" xfId="0" applyFont="1" applyFill="1" applyBorder="1" applyAlignment="1" applyProtection="1">
      <alignment horizontal="left" vertical="center"/>
      <protection hidden="1"/>
    </xf>
    <xf numFmtId="0" fontId="5" fillId="2" borderId="17" xfId="0" applyFont="1" applyFill="1" applyBorder="1" applyAlignment="1" applyProtection="1">
      <alignment horizontal="left" vertical="center"/>
      <protection hidden="1"/>
    </xf>
    <xf numFmtId="0" fontId="11" fillId="4" borderId="2" xfId="0" applyFont="1" applyFill="1" applyBorder="1" applyAlignment="1" applyProtection="1">
      <alignment horizontal="center" vertical="center" wrapText="1"/>
      <protection hidden="1"/>
    </xf>
    <xf numFmtId="0" fontId="11" fillId="4" borderId="1" xfId="0" applyFont="1" applyFill="1" applyBorder="1" applyAlignment="1" applyProtection="1">
      <alignment horizontal="center" vertical="center"/>
      <protection hidden="1"/>
    </xf>
    <xf numFmtId="0" fontId="11" fillId="4" borderId="4" xfId="0" applyFont="1" applyFill="1" applyBorder="1" applyAlignment="1" applyProtection="1">
      <alignment horizontal="center" vertical="center"/>
      <protection hidden="1"/>
    </xf>
    <xf numFmtId="0" fontId="11" fillId="4" borderId="25" xfId="0" applyFont="1" applyFill="1" applyBorder="1" applyAlignment="1" applyProtection="1">
      <alignment horizontal="center" vertical="center"/>
      <protection hidden="1"/>
    </xf>
    <xf numFmtId="0" fontId="11" fillId="4" borderId="40" xfId="0" applyFont="1" applyFill="1" applyBorder="1" applyAlignment="1" applyProtection="1">
      <alignment horizontal="center" vertical="center" wrapText="1"/>
      <protection hidden="1"/>
    </xf>
    <xf numFmtId="0" fontId="11" fillId="4" borderId="27" xfId="0" applyFont="1" applyFill="1" applyBorder="1" applyAlignment="1" applyProtection="1">
      <alignment horizontal="center" vertical="center" wrapText="1"/>
      <protection hidden="1"/>
    </xf>
    <xf numFmtId="0" fontId="5" fillId="2" borderId="63" xfId="0" applyFont="1" applyFill="1" applyBorder="1" applyAlignment="1" applyProtection="1">
      <alignment horizontal="left" vertical="center"/>
      <protection hidden="1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5" fillId="2" borderId="64" xfId="0" applyFont="1" applyFill="1" applyBorder="1" applyAlignment="1" applyProtection="1">
      <alignment horizontal="left" vertical="center"/>
      <protection hidden="1"/>
    </xf>
    <xf numFmtId="14" fontId="16" fillId="0" borderId="18" xfId="7" applyNumberFormat="1" applyBorder="1" applyAlignment="1">
      <alignment horizontal="center" vertical="center" wrapText="1"/>
    </xf>
    <xf numFmtId="14" fontId="16" fillId="0" borderId="23" xfId="7" applyNumberFormat="1" applyBorder="1" applyAlignment="1">
      <alignment horizontal="center" vertical="center" wrapText="1"/>
    </xf>
    <xf numFmtId="0" fontId="16" fillId="0" borderId="18" xfId="7" applyBorder="1" applyAlignment="1">
      <alignment horizontal="center" vertical="center" wrapText="1"/>
    </xf>
    <xf numFmtId="0" fontId="16" fillId="0" borderId="23" xfId="7" applyBorder="1" applyAlignment="1">
      <alignment horizontal="center" vertical="center" wrapText="1"/>
    </xf>
    <xf numFmtId="0" fontId="16" fillId="0" borderId="22" xfId="7" applyBorder="1" applyAlignment="1">
      <alignment horizontal="center" vertical="center"/>
    </xf>
    <xf numFmtId="0" fontId="16" fillId="0" borderId="20" xfId="7" applyBorder="1" applyAlignment="1">
      <alignment horizontal="center" vertical="center"/>
    </xf>
    <xf numFmtId="0" fontId="16" fillId="0" borderId="21" xfId="7" applyBorder="1" applyAlignment="1">
      <alignment horizontal="center" vertical="center"/>
    </xf>
    <xf numFmtId="0" fontId="16" fillId="0" borderId="15" xfId="7" applyBorder="1" applyAlignment="1">
      <alignment horizontal="center" vertical="center"/>
    </xf>
    <xf numFmtId="0" fontId="16" fillId="0" borderId="16" xfId="7" applyBorder="1" applyAlignment="1">
      <alignment horizontal="center" vertical="center"/>
    </xf>
    <xf numFmtId="0" fontId="16" fillId="0" borderId="17" xfId="7" applyBorder="1" applyAlignment="1">
      <alignment horizontal="center" vertical="center"/>
    </xf>
    <xf numFmtId="0" fontId="17" fillId="6" borderId="15" xfId="7" applyFont="1" applyFill="1" applyBorder="1" applyAlignment="1">
      <alignment horizontal="center"/>
    </xf>
    <xf numFmtId="0" fontId="17" fillId="6" borderId="16" xfId="7" applyFont="1" applyFill="1" applyBorder="1" applyAlignment="1">
      <alignment horizontal="center"/>
    </xf>
    <xf numFmtId="0" fontId="17" fillId="6" borderId="17" xfId="7" applyFont="1" applyFill="1" applyBorder="1" applyAlignment="1">
      <alignment horizontal="center"/>
    </xf>
    <xf numFmtId="0" fontId="16" fillId="0" borderId="19" xfId="7" applyBorder="1" applyAlignment="1">
      <alignment horizontal="center" vertical="center"/>
    </xf>
    <xf numFmtId="176" fontId="15" fillId="0" borderId="49" xfId="7" applyNumberFormat="1" applyFont="1" applyBorder="1" applyAlignment="1">
      <alignment horizontal="center" vertical="center"/>
    </xf>
    <xf numFmtId="176" fontId="15" fillId="0" borderId="3" xfId="7" applyNumberFormat="1" applyFont="1" applyBorder="1" applyAlignment="1">
      <alignment horizontal="center" vertical="center"/>
    </xf>
    <xf numFmtId="176" fontId="15" fillId="0" borderId="41" xfId="7" applyNumberFormat="1" applyFont="1" applyBorder="1" applyAlignment="1">
      <alignment horizontal="center" vertical="center"/>
    </xf>
    <xf numFmtId="176" fontId="15" fillId="0" borderId="31" xfId="7" applyNumberFormat="1" applyFont="1" applyBorder="1" applyAlignment="1">
      <alignment horizontal="center" vertical="center"/>
    </xf>
    <xf numFmtId="0" fontId="16" fillId="0" borderId="45" xfId="7" applyBorder="1" applyAlignment="1">
      <alignment horizontal="center" vertical="center"/>
    </xf>
    <xf numFmtId="0" fontId="16" fillId="0" borderId="28" xfId="7" applyBorder="1" applyAlignment="1">
      <alignment horizontal="center" vertical="center"/>
    </xf>
    <xf numFmtId="176" fontId="15" fillId="0" borderId="44" xfId="7" applyNumberFormat="1" applyFont="1" applyBorder="1" applyAlignment="1">
      <alignment horizontal="center" vertical="center"/>
    </xf>
    <xf numFmtId="176" fontId="15" fillId="0" borderId="2" xfId="7" applyNumberFormat="1" applyFont="1" applyBorder="1" applyAlignment="1">
      <alignment horizontal="center" vertical="center"/>
    </xf>
    <xf numFmtId="176" fontId="18" fillId="0" borderId="36" xfId="7" applyNumberFormat="1" applyFont="1" applyFill="1" applyBorder="1" applyAlignment="1">
      <alignment horizontal="center" vertical="center"/>
    </xf>
    <xf numFmtId="176" fontId="15" fillId="0" borderId="34" xfId="7" applyNumberFormat="1" applyFont="1" applyBorder="1" applyAlignment="1">
      <alignment horizontal="center" vertical="center"/>
    </xf>
    <xf numFmtId="0" fontId="16" fillId="0" borderId="42" xfId="7" applyBorder="1" applyAlignment="1">
      <alignment horizontal="center" vertical="center"/>
    </xf>
    <xf numFmtId="176" fontId="15" fillId="0" borderId="6" xfId="7" applyNumberFormat="1" applyFont="1" applyBorder="1" applyAlignment="1">
      <alignment horizontal="center" vertical="center"/>
    </xf>
    <xf numFmtId="176" fontId="15" fillId="0" borderId="7" xfId="7" applyNumberFormat="1" applyFont="1" applyBorder="1" applyAlignment="1">
      <alignment horizontal="center" vertical="center"/>
    </xf>
    <xf numFmtId="176" fontId="18" fillId="0" borderId="53" xfId="7" applyNumberFormat="1" applyFont="1" applyFill="1" applyBorder="1" applyAlignment="1">
      <alignment horizontal="center" vertical="center"/>
    </xf>
    <xf numFmtId="176" fontId="15" fillId="0" borderId="12" xfId="7" applyNumberFormat="1" applyFont="1" applyBorder="1" applyAlignment="1">
      <alignment horizontal="center" vertical="center"/>
    </xf>
    <xf numFmtId="176" fontId="15" fillId="0" borderId="43" xfId="7" applyNumberFormat="1" applyFont="1" applyBorder="1" applyAlignment="1">
      <alignment horizontal="center" vertical="center"/>
    </xf>
    <xf numFmtId="176" fontId="15" fillId="2" borderId="41" xfId="7" applyNumberFormat="1" applyFont="1" applyFill="1" applyBorder="1" applyAlignment="1">
      <alignment horizontal="center" vertical="center"/>
    </xf>
    <xf numFmtId="176" fontId="15" fillId="2" borderId="58" xfId="7" applyNumberFormat="1" applyFont="1" applyFill="1" applyBorder="1" applyAlignment="1">
      <alignment horizontal="center" vertical="center"/>
    </xf>
    <xf numFmtId="176" fontId="15" fillId="2" borderId="26" xfId="7" applyNumberFormat="1" applyFont="1" applyFill="1" applyBorder="1" applyAlignment="1">
      <alignment horizontal="center" vertical="center"/>
    </xf>
    <xf numFmtId="176" fontId="15" fillId="0" borderId="18" xfId="7" applyNumberFormat="1" applyFont="1" applyBorder="1" applyAlignment="1">
      <alignment horizontal="center" vertical="center"/>
    </xf>
    <xf numFmtId="176" fontId="15" fillId="0" borderId="42" xfId="7" applyNumberFormat="1" applyFont="1" applyBorder="1" applyAlignment="1">
      <alignment horizontal="center" vertical="center"/>
    </xf>
    <xf numFmtId="176" fontId="15" fillId="0" borderId="23" xfId="7" applyNumberFormat="1" applyFont="1" applyBorder="1" applyAlignment="1">
      <alignment horizontal="center" vertical="center"/>
    </xf>
    <xf numFmtId="0" fontId="15" fillId="0" borderId="44" xfId="7" applyFont="1" applyFill="1" applyBorder="1" applyAlignment="1">
      <alignment horizontal="center" vertical="center"/>
    </xf>
    <xf numFmtId="0" fontId="15" fillId="0" borderId="2" xfId="7" applyFont="1" applyFill="1" applyBorder="1" applyAlignment="1">
      <alignment horizontal="center" vertical="center"/>
    </xf>
    <xf numFmtId="176" fontId="15" fillId="0" borderId="10" xfId="7" applyNumberFormat="1" applyFont="1" applyBorder="1" applyAlignment="1">
      <alignment horizontal="center" vertical="center"/>
    </xf>
    <xf numFmtId="176" fontId="15" fillId="0" borderId="11" xfId="7" applyNumberFormat="1" applyFont="1" applyBorder="1" applyAlignment="1">
      <alignment horizontal="center" vertical="center"/>
    </xf>
    <xf numFmtId="176" fontId="16" fillId="0" borderId="16" xfId="7" applyNumberFormat="1" applyBorder="1" applyAlignment="1">
      <alignment horizontal="center" vertical="center"/>
    </xf>
    <xf numFmtId="0" fontId="16" fillId="0" borderId="23" xfId="7" applyBorder="1" applyAlignment="1">
      <alignment horizontal="center" vertical="center"/>
    </xf>
    <xf numFmtId="176" fontId="15" fillId="0" borderId="9" xfId="7" applyNumberFormat="1" applyFont="1" applyBorder="1" applyAlignment="1">
      <alignment horizontal="center" vertical="center"/>
    </xf>
    <xf numFmtId="176" fontId="18" fillId="0" borderId="39" xfId="7" applyNumberFormat="1" applyFont="1" applyFill="1" applyBorder="1" applyAlignment="1">
      <alignment horizontal="center" vertical="center"/>
    </xf>
    <xf numFmtId="0" fontId="15" fillId="0" borderId="9" xfId="7" applyFont="1" applyFill="1" applyBorder="1" applyAlignment="1">
      <alignment horizontal="center" vertical="center"/>
    </xf>
    <xf numFmtId="0" fontId="15" fillId="0" borderId="10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center" vertical="center"/>
    </xf>
    <xf numFmtId="0" fontId="15" fillId="0" borderId="11" xfId="7" applyFont="1" applyFill="1" applyBorder="1" applyAlignment="1">
      <alignment horizontal="center" vertical="center"/>
    </xf>
    <xf numFmtId="0" fontId="16" fillId="0" borderId="47" xfId="7" applyBorder="1" applyAlignment="1">
      <alignment horizontal="center" vertical="center"/>
    </xf>
    <xf numFmtId="0" fontId="16" fillId="0" borderId="5" xfId="7" applyBorder="1" applyAlignment="1">
      <alignment horizontal="center" vertical="center"/>
    </xf>
    <xf numFmtId="0" fontId="16" fillId="0" borderId="48" xfId="7" applyBorder="1" applyAlignment="1">
      <alignment horizontal="center" vertical="center"/>
    </xf>
    <xf numFmtId="0" fontId="15" fillId="0" borderId="7" xfId="7" applyFont="1" applyFill="1" applyBorder="1" applyAlignment="1">
      <alignment horizontal="center" vertical="center"/>
    </xf>
    <xf numFmtId="0" fontId="15" fillId="0" borderId="8" xfId="7" applyFont="1" applyFill="1" applyBorder="1" applyAlignment="1">
      <alignment horizontal="center" vertical="center"/>
    </xf>
    <xf numFmtId="0" fontId="15" fillId="0" borderId="35" xfId="7" applyFont="1" applyFill="1" applyBorder="1" applyAlignment="1">
      <alignment horizontal="center" vertical="center"/>
    </xf>
    <xf numFmtId="0" fontId="15" fillId="0" borderId="38" xfId="7" applyFont="1" applyFill="1" applyBorder="1" applyAlignment="1">
      <alignment horizontal="center" vertical="center"/>
    </xf>
    <xf numFmtId="176" fontId="15" fillId="2" borderId="49" xfId="7" applyNumberFormat="1" applyFont="1" applyFill="1" applyBorder="1" applyAlignment="1">
      <alignment horizontal="center" vertical="center"/>
    </xf>
    <xf numFmtId="176" fontId="15" fillId="2" borderId="4" xfId="7" applyNumberFormat="1" applyFont="1" applyFill="1" applyBorder="1" applyAlignment="1">
      <alignment horizontal="center" vertical="center"/>
    </xf>
    <xf numFmtId="176" fontId="15" fillId="2" borderId="25" xfId="7" applyNumberFormat="1" applyFont="1" applyFill="1" applyBorder="1" applyAlignment="1">
      <alignment horizontal="center" vertical="center"/>
    </xf>
    <xf numFmtId="176" fontId="15" fillId="0" borderId="4" xfId="7" applyNumberFormat="1" applyFont="1" applyBorder="1" applyAlignment="1">
      <alignment horizontal="center" vertical="center"/>
    </xf>
    <xf numFmtId="176" fontId="15" fillId="0" borderId="25" xfId="7" applyNumberFormat="1" applyFont="1" applyBorder="1" applyAlignment="1">
      <alignment horizontal="center" vertical="center"/>
    </xf>
    <xf numFmtId="0" fontId="15" fillId="0" borderId="54" xfId="7" applyFont="1" applyFill="1" applyBorder="1" applyAlignment="1">
      <alignment horizontal="center" vertical="center"/>
    </xf>
    <xf numFmtId="0" fontId="15" fillId="0" borderId="6" xfId="7" applyFont="1" applyBorder="1" applyAlignment="1">
      <alignment horizontal="center" vertical="center"/>
    </xf>
    <xf numFmtId="0" fontId="15" fillId="0" borderId="44" xfId="7" applyFont="1" applyBorder="1" applyAlignment="1">
      <alignment horizontal="center" vertical="center"/>
    </xf>
    <xf numFmtId="0" fontId="15" fillId="0" borderId="8" xfId="7" applyFont="1" applyBorder="1" applyAlignment="1">
      <alignment horizontal="center" vertical="center"/>
    </xf>
    <xf numFmtId="0" fontId="15" fillId="0" borderId="34" xfId="7" applyFont="1" applyBorder="1" applyAlignment="1">
      <alignment horizontal="center" vertical="center"/>
    </xf>
    <xf numFmtId="0" fontId="15" fillId="2" borderId="54" xfId="7" applyFont="1" applyFill="1" applyBorder="1" applyAlignment="1">
      <alignment horizontal="center" vertical="center"/>
    </xf>
    <xf numFmtId="0" fontId="15" fillId="2" borderId="35" xfId="7" applyFont="1" applyFill="1" applyBorder="1" applyAlignment="1">
      <alignment horizontal="center" vertical="center"/>
    </xf>
    <xf numFmtId="0" fontId="15" fillId="2" borderId="7" xfId="7" applyFont="1" applyFill="1" applyBorder="1" applyAlignment="1">
      <alignment horizontal="center" vertical="center"/>
    </xf>
    <xf numFmtId="0" fontId="15" fillId="2" borderId="2" xfId="7" applyFont="1" applyFill="1" applyBorder="1" applyAlignment="1">
      <alignment horizontal="center" vertical="center"/>
    </xf>
    <xf numFmtId="0" fontId="15" fillId="2" borderId="8" xfId="7" applyFont="1" applyFill="1" applyBorder="1" applyAlignment="1">
      <alignment horizontal="center" vertical="center"/>
    </xf>
    <xf numFmtId="0" fontId="15" fillId="2" borderId="34" xfId="7" applyFont="1" applyFill="1" applyBorder="1" applyAlignment="1">
      <alignment horizontal="center" vertical="center"/>
    </xf>
    <xf numFmtId="0" fontId="15" fillId="0" borderId="6" xfId="7" applyFont="1" applyFill="1" applyBorder="1" applyAlignment="1">
      <alignment horizontal="center" vertical="center"/>
    </xf>
    <xf numFmtId="0" fontId="15" fillId="0" borderId="9" xfId="7" applyFont="1" applyBorder="1" applyAlignment="1">
      <alignment horizontal="center" vertical="center"/>
    </xf>
    <xf numFmtId="0" fontId="15" fillId="0" borderId="11" xfId="7" applyFont="1" applyBorder="1" applyAlignment="1">
      <alignment horizontal="center" vertical="center"/>
    </xf>
    <xf numFmtId="0" fontId="15" fillId="2" borderId="38" xfId="7" applyFont="1" applyFill="1" applyBorder="1" applyAlignment="1">
      <alignment horizontal="center" vertical="center"/>
    </xf>
    <xf numFmtId="0" fontId="15" fillId="2" borderId="10" xfId="7" applyFont="1" applyFill="1" applyBorder="1" applyAlignment="1">
      <alignment horizontal="center" vertical="center"/>
    </xf>
    <xf numFmtId="0" fontId="15" fillId="2" borderId="11" xfId="7" applyFont="1" applyFill="1" applyBorder="1" applyAlignment="1">
      <alignment horizontal="center" vertical="center"/>
    </xf>
    <xf numFmtId="0" fontId="15" fillId="0" borderId="33" xfId="7" applyFont="1" applyBorder="1" applyAlignment="1">
      <alignment horizontal="center" vertical="center"/>
    </xf>
    <xf numFmtId="0" fontId="15" fillId="0" borderId="37" xfId="7" applyFont="1" applyBorder="1" applyAlignment="1">
      <alignment horizontal="center" vertical="center"/>
    </xf>
    <xf numFmtId="0" fontId="15" fillId="0" borderId="29" xfId="7" applyFont="1" applyBorder="1" applyAlignment="1">
      <alignment horizontal="center" vertical="center"/>
    </xf>
    <xf numFmtId="176" fontId="15" fillId="0" borderId="40" xfId="7" applyNumberFormat="1" applyFont="1" applyBorder="1" applyAlignment="1">
      <alignment horizontal="center" vertical="center"/>
    </xf>
    <xf numFmtId="176" fontId="15" fillId="0" borderId="27" xfId="7" applyNumberFormat="1" applyFont="1" applyBorder="1" applyAlignment="1">
      <alignment horizontal="center" vertical="center"/>
    </xf>
    <xf numFmtId="176" fontId="15" fillId="0" borderId="58" xfId="7" applyNumberFormat="1" applyFont="1" applyBorder="1" applyAlignment="1">
      <alignment horizontal="center" vertical="center"/>
    </xf>
    <xf numFmtId="176" fontId="15" fillId="0" borderId="26" xfId="7" applyNumberFormat="1" applyFont="1" applyBorder="1" applyAlignment="1">
      <alignment horizontal="center" vertical="center"/>
    </xf>
    <xf numFmtId="176" fontId="15" fillId="2" borderId="12" xfId="7" applyNumberFormat="1" applyFont="1" applyFill="1" applyBorder="1" applyAlignment="1">
      <alignment horizontal="center" vertical="center"/>
    </xf>
    <xf numFmtId="176" fontId="15" fillId="2" borderId="40" xfId="7" applyNumberFormat="1" applyFont="1" applyFill="1" applyBorder="1" applyAlignment="1">
      <alignment horizontal="center" vertical="center"/>
    </xf>
    <xf numFmtId="176" fontId="15" fillId="2" borderId="27" xfId="7" applyNumberFormat="1" applyFont="1" applyFill="1" applyBorder="1" applyAlignment="1">
      <alignment horizontal="center" vertical="center"/>
    </xf>
    <xf numFmtId="0" fontId="15" fillId="0" borderId="3" xfId="7" applyFont="1" applyBorder="1" applyAlignment="1">
      <alignment horizontal="center" vertical="center"/>
    </xf>
    <xf numFmtId="0" fontId="15" fillId="0" borderId="2" xfId="7" applyFont="1" applyBorder="1" applyAlignment="1">
      <alignment horizontal="center" vertical="center"/>
    </xf>
    <xf numFmtId="0" fontId="15" fillId="0" borderId="43" xfId="7" applyFont="1" applyFill="1" applyBorder="1" applyAlignment="1">
      <alignment horizontal="center" vertical="center"/>
    </xf>
    <xf numFmtId="0" fontId="15" fillId="0" borderId="3" xfId="7" applyFont="1" applyFill="1" applyBorder="1" applyAlignment="1">
      <alignment horizontal="center" vertical="center"/>
    </xf>
    <xf numFmtId="0" fontId="15" fillId="0" borderId="31" xfId="7" applyFont="1" applyFill="1" applyBorder="1" applyAlignment="1">
      <alignment horizontal="center" vertical="center"/>
    </xf>
    <xf numFmtId="0" fontId="15" fillId="0" borderId="30" xfId="7" applyFont="1" applyFill="1" applyBorder="1" applyAlignment="1">
      <alignment horizontal="center" vertical="center"/>
    </xf>
    <xf numFmtId="0" fontId="15" fillId="0" borderId="30" xfId="7" applyFont="1" applyBorder="1" applyAlignment="1">
      <alignment horizontal="center" vertical="center"/>
    </xf>
    <xf numFmtId="0" fontId="15" fillId="0" borderId="35" xfId="7" applyFont="1" applyBorder="1" applyAlignment="1">
      <alignment horizontal="center" vertical="center"/>
    </xf>
    <xf numFmtId="0" fontId="15" fillId="0" borderId="43" xfId="7" applyFont="1" applyBorder="1" applyAlignment="1">
      <alignment horizontal="center" vertical="center"/>
    </xf>
    <xf numFmtId="0" fontId="15" fillId="0" borderId="31" xfId="7" applyFont="1" applyBorder="1" applyAlignment="1">
      <alignment horizontal="center" vertical="center"/>
    </xf>
    <xf numFmtId="176" fontId="15" fillId="2" borderId="31" xfId="7" applyNumberFormat="1" applyFont="1" applyFill="1" applyBorder="1" applyAlignment="1">
      <alignment horizontal="center" vertical="center"/>
    </xf>
    <xf numFmtId="0" fontId="15" fillId="2" borderId="31" xfId="7" applyFont="1" applyFill="1" applyBorder="1" applyAlignment="1">
      <alignment horizontal="center" vertical="center"/>
    </xf>
    <xf numFmtId="176" fontId="15" fillId="2" borderId="42" xfId="7" applyNumberFormat="1" applyFont="1" applyFill="1" applyBorder="1" applyAlignment="1">
      <alignment horizontal="center" vertical="center"/>
    </xf>
    <xf numFmtId="176" fontId="15" fillId="2" borderId="28" xfId="7" applyNumberFormat="1" applyFont="1" applyFill="1" applyBorder="1" applyAlignment="1">
      <alignment horizontal="center" vertical="center"/>
    </xf>
    <xf numFmtId="176" fontId="15" fillId="2" borderId="43" xfId="7" applyNumberFormat="1" applyFont="1" applyFill="1" applyBorder="1" applyAlignment="1">
      <alignment horizontal="center" vertical="center"/>
    </xf>
    <xf numFmtId="176" fontId="15" fillId="2" borderId="3" xfId="7" applyNumberFormat="1" applyFont="1" applyFill="1" applyBorder="1" applyAlignment="1">
      <alignment horizontal="center" vertical="center"/>
    </xf>
    <xf numFmtId="0" fontId="15" fillId="0" borderId="38" xfId="7" applyFont="1" applyBorder="1" applyAlignment="1">
      <alignment horizontal="center" vertical="center"/>
    </xf>
    <xf numFmtId="0" fontId="15" fillId="0" borderId="10" xfId="7" applyFont="1" applyBorder="1" applyAlignment="1">
      <alignment horizontal="center" vertical="center"/>
    </xf>
    <xf numFmtId="0" fontId="17" fillId="6" borderId="47" xfId="7" applyFont="1" applyFill="1" applyBorder="1" applyAlignment="1">
      <alignment horizontal="center"/>
    </xf>
    <xf numFmtId="0" fontId="17" fillId="6" borderId="48" xfId="7" applyFont="1" applyFill="1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11" fillId="0" borderId="10" xfId="0" applyNumberFormat="1" applyFont="1" applyFill="1" applyBorder="1" applyAlignment="1">
      <alignment horizontal="center" vertical="center" wrapText="1"/>
    </xf>
    <xf numFmtId="176" fontId="11" fillId="0" borderId="10" xfId="0" applyNumberFormat="1" applyFont="1" applyBorder="1" applyAlignment="1">
      <alignment horizontal="center" vertical="center" wrapText="1"/>
    </xf>
    <xf numFmtId="176" fontId="11" fillId="0" borderId="11" xfId="0" applyNumberFormat="1" applyFont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176" fontId="11" fillId="0" borderId="34" xfId="0" applyNumberFormat="1" applyFont="1" applyBorder="1" applyAlignment="1">
      <alignment horizontal="center" vertical="center" wrapText="1"/>
    </xf>
    <xf numFmtId="176" fontId="15" fillId="0" borderId="2" xfId="9" applyNumberFormat="1" applyFont="1" applyFill="1" applyBorder="1" applyAlignment="1">
      <alignment horizontal="center" vertical="center" wrapText="1"/>
    </xf>
    <xf numFmtId="0" fontId="23" fillId="9" borderId="47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 vertical="center"/>
    </xf>
    <xf numFmtId="0" fontId="23" fillId="9" borderId="48" xfId="0" applyFont="1" applyFill="1" applyBorder="1" applyAlignment="1">
      <alignment horizontal="center" vertical="center"/>
    </xf>
    <xf numFmtId="176" fontId="11" fillId="0" borderId="34" xfId="0" applyNumberFormat="1" applyFont="1" applyFill="1" applyBorder="1" applyAlignment="1">
      <alignment horizontal="center" vertical="center" wrapText="1"/>
    </xf>
    <xf numFmtId="176" fontId="11" fillId="0" borderId="11" xfId="0" applyNumberFormat="1" applyFont="1" applyFill="1" applyBorder="1" applyAlignment="1">
      <alignment horizontal="center" vertical="center" wrapText="1"/>
    </xf>
    <xf numFmtId="176" fontId="12" fillId="0" borderId="2" xfId="0" applyNumberFormat="1" applyFont="1" applyFill="1" applyBorder="1" applyAlignment="1">
      <alignment horizontal="center" vertical="center" wrapText="1"/>
    </xf>
  </cellXfs>
  <cellStyles count="12">
    <cellStyle name="Normal 2 2 10 2" xfId="8" xr:uid="{00000000-0005-0000-0000-000000000000}"/>
    <cellStyle name="보통 2" xfId="9" xr:uid="{00000000-0005-0000-0000-000001000000}"/>
    <cellStyle name="표준" xfId="0" builtinId="0"/>
    <cellStyle name="표준 2" xfId="1" xr:uid="{00000000-0005-0000-0000-000003000000}"/>
    <cellStyle name="표준 2 10" xfId="6" xr:uid="{00000000-0005-0000-0000-000004000000}"/>
    <cellStyle name="표준 2 2" xfId="4" xr:uid="{00000000-0005-0000-0000-000005000000}"/>
    <cellStyle name="표준 21" xfId="5" xr:uid="{00000000-0005-0000-0000-000006000000}"/>
    <cellStyle name="표준 3" xfId="2" xr:uid="{00000000-0005-0000-0000-000007000000}"/>
    <cellStyle name="표준 3 2" xfId="3" xr:uid="{00000000-0005-0000-0000-000008000000}"/>
    <cellStyle name="표준 3 2 2" xfId="11" xr:uid="{00000000-0005-0000-0000-000009000000}"/>
    <cellStyle name="표준 3 3" xfId="10" xr:uid="{00000000-0005-0000-0000-00000A000000}"/>
    <cellStyle name="표준 4" xfId="7" xr:uid="{00000000-0005-0000-0000-00000B000000}"/>
  </cellStyles>
  <dxfs count="2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view="pageBreakPreview" topLeftCell="A19" zoomScale="70" zoomScaleNormal="115" zoomScaleSheetLayoutView="70" workbookViewId="0">
      <selection activeCell="K39" sqref="K39:K50"/>
    </sheetView>
  </sheetViews>
  <sheetFormatPr defaultColWidth="8.8984375" defaultRowHeight="13.8" x14ac:dyDescent="0.25"/>
  <cols>
    <col min="1" max="1" width="8.8984375" style="1"/>
    <col min="2" max="6" width="8.796875" style="1" customWidth="1"/>
    <col min="7" max="10" width="10.09765625" style="1" bestFit="1" customWidth="1"/>
    <col min="11" max="11" width="11.19921875" style="1" bestFit="1" customWidth="1"/>
    <col min="12" max="12" width="10.09765625" style="1" bestFit="1" customWidth="1"/>
    <col min="13" max="21" width="8.796875" style="1" customWidth="1"/>
    <col min="22" max="22" width="9.59765625" style="1" customWidth="1"/>
    <col min="23" max="25" width="8.796875" style="1" customWidth="1"/>
    <col min="26" max="26" width="7.3984375" style="1" bestFit="1" customWidth="1"/>
    <col min="27" max="16384" width="8.8984375" style="1"/>
  </cols>
  <sheetData>
    <row r="1" spans="1:15" ht="9.9" customHeight="1" thickBot="1" x14ac:dyDescent="0.3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5" ht="24.9" customHeight="1" thickBot="1" x14ac:dyDescent="0.3">
      <c r="A2" s="118"/>
      <c r="B2" s="289" t="s">
        <v>98</v>
      </c>
      <c r="C2" s="290"/>
      <c r="D2" s="290"/>
      <c r="E2" s="290"/>
      <c r="F2" s="290"/>
      <c r="G2" s="290"/>
      <c r="H2" s="290"/>
      <c r="I2" s="290"/>
      <c r="J2" s="291"/>
      <c r="K2" s="118"/>
      <c r="L2" s="118"/>
      <c r="M2" s="118"/>
      <c r="N2" s="118"/>
      <c r="O2" s="118"/>
    </row>
    <row r="3" spans="1:15" ht="24.9" customHeight="1" x14ac:dyDescent="0.25">
      <c r="A3" s="118"/>
      <c r="B3" s="286" t="s">
        <v>101</v>
      </c>
      <c r="C3" s="287"/>
      <c r="D3" s="287"/>
      <c r="E3" s="287"/>
      <c r="F3" s="287"/>
      <c r="G3" s="287"/>
      <c r="H3" s="287"/>
      <c r="I3" s="287"/>
      <c r="J3" s="288"/>
      <c r="K3" s="118"/>
      <c r="L3" s="118"/>
      <c r="M3" s="118"/>
      <c r="N3" s="118"/>
      <c r="O3" s="118"/>
    </row>
    <row r="4" spans="1:15" ht="24.9" customHeight="1" x14ac:dyDescent="0.25">
      <c r="A4" s="118"/>
      <c r="B4" s="119" t="s">
        <v>0</v>
      </c>
      <c r="C4" s="120" t="s">
        <v>1</v>
      </c>
      <c r="D4" s="120" t="s">
        <v>2</v>
      </c>
      <c r="E4" s="120" t="s">
        <v>3</v>
      </c>
      <c r="F4" s="120" t="s">
        <v>91</v>
      </c>
      <c r="G4" s="121" t="s">
        <v>174</v>
      </c>
      <c r="H4" s="121" t="s">
        <v>175</v>
      </c>
      <c r="I4" s="121" t="s">
        <v>176</v>
      </c>
      <c r="J4" s="122" t="s">
        <v>4</v>
      </c>
      <c r="K4" s="118"/>
      <c r="L4" s="118"/>
      <c r="M4" s="118"/>
      <c r="N4" s="118"/>
      <c r="O4" s="118"/>
    </row>
    <row r="5" spans="1:15" ht="24.9" customHeight="1" x14ac:dyDescent="0.25">
      <c r="A5" s="118"/>
      <c r="B5" s="281" t="s">
        <v>14</v>
      </c>
      <c r="C5" s="123">
        <v>2412</v>
      </c>
      <c r="D5" s="123">
        <v>1</v>
      </c>
      <c r="E5" s="123">
        <v>1</v>
      </c>
      <c r="F5" s="209">
        <v>18</v>
      </c>
      <c r="G5" s="255">
        <v>19.16</v>
      </c>
      <c r="H5" s="210">
        <v>20</v>
      </c>
      <c r="I5" s="259">
        <v>-6.46</v>
      </c>
      <c r="J5" s="124">
        <f>G22+I5</f>
        <v>12.75</v>
      </c>
      <c r="K5" s="118"/>
      <c r="L5" s="118"/>
      <c r="M5" s="118"/>
      <c r="N5" s="118"/>
      <c r="O5" s="118"/>
    </row>
    <row r="6" spans="1:15" ht="24.9" customHeight="1" x14ac:dyDescent="0.25">
      <c r="A6" s="118"/>
      <c r="B6" s="279"/>
      <c r="C6" s="123">
        <v>2442</v>
      </c>
      <c r="D6" s="123">
        <v>7</v>
      </c>
      <c r="E6" s="123">
        <v>1</v>
      </c>
      <c r="F6" s="209">
        <v>18</v>
      </c>
      <c r="G6" s="255">
        <v>19.41</v>
      </c>
      <c r="H6" s="210">
        <v>20</v>
      </c>
      <c r="I6" s="259">
        <v>-6.46</v>
      </c>
      <c r="J6" s="124">
        <f>G23+I6</f>
        <v>12.369999999999997</v>
      </c>
      <c r="K6" s="118"/>
      <c r="L6" s="118"/>
      <c r="M6" s="118"/>
      <c r="N6" s="118"/>
      <c r="O6" s="118"/>
    </row>
    <row r="7" spans="1:15" ht="24.9" customHeight="1" x14ac:dyDescent="0.25">
      <c r="A7" s="118"/>
      <c r="B7" s="282"/>
      <c r="C7" s="123">
        <v>2472</v>
      </c>
      <c r="D7" s="123">
        <v>13</v>
      </c>
      <c r="E7" s="123">
        <v>1</v>
      </c>
      <c r="F7" s="209">
        <v>18</v>
      </c>
      <c r="G7" s="255">
        <v>18.68</v>
      </c>
      <c r="H7" s="210">
        <v>20</v>
      </c>
      <c r="I7" s="259">
        <v>-6.46</v>
      </c>
      <c r="J7" s="124">
        <f>G24+I7</f>
        <v>13.009999999999998</v>
      </c>
      <c r="K7" s="118"/>
      <c r="L7" s="118"/>
      <c r="M7" s="118"/>
      <c r="N7" s="118"/>
      <c r="O7" s="118"/>
    </row>
    <row r="8" spans="1:15" ht="24.9" customHeight="1" x14ac:dyDescent="0.25">
      <c r="A8" s="118"/>
      <c r="B8" s="281" t="s">
        <v>8</v>
      </c>
      <c r="C8" s="123">
        <v>2412</v>
      </c>
      <c r="D8" s="123">
        <v>1</v>
      </c>
      <c r="E8" s="123">
        <v>6</v>
      </c>
      <c r="F8" s="209">
        <v>16</v>
      </c>
      <c r="G8" s="255">
        <v>16.27</v>
      </c>
      <c r="H8" s="210">
        <v>20</v>
      </c>
      <c r="I8" s="259">
        <v>-6.46</v>
      </c>
      <c r="J8" s="124">
        <f t="shared" ref="J8:J16" si="0">G8+I8</f>
        <v>9.8099999999999987</v>
      </c>
      <c r="K8" s="118"/>
      <c r="L8" s="118"/>
      <c r="M8" s="118"/>
      <c r="N8" s="118"/>
      <c r="O8" s="118"/>
    </row>
    <row r="9" spans="1:15" ht="24.9" customHeight="1" x14ac:dyDescent="0.25">
      <c r="A9" s="118"/>
      <c r="B9" s="279"/>
      <c r="C9" s="123">
        <v>2442</v>
      </c>
      <c r="D9" s="123">
        <v>7</v>
      </c>
      <c r="E9" s="123">
        <v>6</v>
      </c>
      <c r="F9" s="209">
        <v>16</v>
      </c>
      <c r="G9" s="255">
        <v>15.74</v>
      </c>
      <c r="H9" s="210">
        <v>20</v>
      </c>
      <c r="I9" s="259">
        <v>-6.46</v>
      </c>
      <c r="J9" s="124">
        <f t="shared" si="0"/>
        <v>9.2800000000000011</v>
      </c>
      <c r="K9" s="118"/>
      <c r="L9" s="118"/>
      <c r="M9" s="118"/>
      <c r="N9" s="118"/>
      <c r="O9" s="118"/>
    </row>
    <row r="10" spans="1:15" ht="24.9" customHeight="1" x14ac:dyDescent="0.25">
      <c r="A10" s="118"/>
      <c r="B10" s="282"/>
      <c r="C10" s="123">
        <v>2472</v>
      </c>
      <c r="D10" s="123">
        <v>13</v>
      </c>
      <c r="E10" s="123">
        <v>6</v>
      </c>
      <c r="F10" s="211">
        <v>16</v>
      </c>
      <c r="G10" s="255">
        <v>16.14</v>
      </c>
      <c r="H10" s="210">
        <v>20</v>
      </c>
      <c r="I10" s="259">
        <v>-6.46</v>
      </c>
      <c r="J10" s="124">
        <f t="shared" si="0"/>
        <v>9.68</v>
      </c>
      <c r="K10" s="118"/>
      <c r="L10" s="118"/>
      <c r="M10" s="118"/>
      <c r="N10" s="118"/>
      <c r="O10" s="118"/>
    </row>
    <row r="11" spans="1:15" ht="24.9" customHeight="1" x14ac:dyDescent="0.25">
      <c r="A11" s="118"/>
      <c r="B11" s="278" t="s">
        <v>15</v>
      </c>
      <c r="C11" s="123">
        <v>2412</v>
      </c>
      <c r="D11" s="123">
        <v>1</v>
      </c>
      <c r="E11" s="123" t="s">
        <v>9</v>
      </c>
      <c r="F11" s="211">
        <v>16</v>
      </c>
      <c r="G11" s="255">
        <v>16.36</v>
      </c>
      <c r="H11" s="210">
        <v>20</v>
      </c>
      <c r="I11" s="259">
        <v>-6.46</v>
      </c>
      <c r="J11" s="124">
        <f t="shared" si="0"/>
        <v>9.8999999999999986</v>
      </c>
      <c r="K11" s="118"/>
      <c r="L11" s="118"/>
      <c r="M11" s="118"/>
      <c r="N11" s="118"/>
      <c r="O11" s="118"/>
    </row>
    <row r="12" spans="1:15" ht="24.9" customHeight="1" x14ac:dyDescent="0.25">
      <c r="A12" s="118"/>
      <c r="B12" s="279"/>
      <c r="C12" s="123">
        <v>2442</v>
      </c>
      <c r="D12" s="123">
        <v>7</v>
      </c>
      <c r="E12" s="123" t="s">
        <v>9</v>
      </c>
      <c r="F12" s="211">
        <v>16</v>
      </c>
      <c r="G12" s="255">
        <v>15.83</v>
      </c>
      <c r="H12" s="210">
        <v>20</v>
      </c>
      <c r="I12" s="259">
        <v>-6.46</v>
      </c>
      <c r="J12" s="124">
        <f t="shared" si="0"/>
        <v>9.370000000000001</v>
      </c>
      <c r="K12" s="118"/>
      <c r="L12" s="118"/>
      <c r="M12" s="118"/>
      <c r="N12" s="118"/>
      <c r="O12" s="118"/>
    </row>
    <row r="13" spans="1:15" ht="24.9" customHeight="1" x14ac:dyDescent="0.25">
      <c r="A13" s="118"/>
      <c r="B13" s="282"/>
      <c r="C13" s="123">
        <v>2472</v>
      </c>
      <c r="D13" s="123">
        <v>13</v>
      </c>
      <c r="E13" s="123" t="s">
        <v>9</v>
      </c>
      <c r="F13" s="211">
        <v>16</v>
      </c>
      <c r="G13" s="255">
        <v>16.440000000000001</v>
      </c>
      <c r="H13" s="210">
        <v>20</v>
      </c>
      <c r="I13" s="259">
        <v>-6.46</v>
      </c>
      <c r="J13" s="124">
        <f t="shared" si="0"/>
        <v>9.98</v>
      </c>
      <c r="K13" s="118"/>
      <c r="L13" s="118"/>
      <c r="M13" s="118"/>
      <c r="N13" s="118"/>
      <c r="O13" s="118"/>
    </row>
    <row r="14" spans="1:15" ht="24.9" customHeight="1" x14ac:dyDescent="0.25">
      <c r="A14" s="118"/>
      <c r="B14" s="278" t="s">
        <v>16</v>
      </c>
      <c r="C14" s="123">
        <v>2422</v>
      </c>
      <c r="D14" s="123">
        <v>3</v>
      </c>
      <c r="E14" s="123" t="s">
        <v>9</v>
      </c>
      <c r="F14" s="211">
        <v>16</v>
      </c>
      <c r="G14" s="256">
        <v>19.34</v>
      </c>
      <c r="H14" s="210">
        <v>20</v>
      </c>
      <c r="I14" s="259">
        <v>-6.46</v>
      </c>
      <c r="J14" s="124">
        <f t="shared" si="0"/>
        <v>12.879999999999999</v>
      </c>
      <c r="K14" s="118"/>
      <c r="L14" s="118"/>
      <c r="M14" s="118"/>
      <c r="N14" s="118"/>
      <c r="O14" s="118"/>
    </row>
    <row r="15" spans="1:15" ht="24.9" customHeight="1" x14ac:dyDescent="0.25">
      <c r="A15" s="118"/>
      <c r="B15" s="279"/>
      <c r="C15" s="123">
        <v>2442</v>
      </c>
      <c r="D15" s="123">
        <v>7</v>
      </c>
      <c r="E15" s="123" t="s">
        <v>9</v>
      </c>
      <c r="F15" s="211">
        <v>16</v>
      </c>
      <c r="G15" s="256">
        <v>19.21</v>
      </c>
      <c r="H15" s="210">
        <v>20</v>
      </c>
      <c r="I15" s="259">
        <v>-6.46</v>
      </c>
      <c r="J15" s="124">
        <f t="shared" si="0"/>
        <v>12.75</v>
      </c>
      <c r="K15" s="118"/>
      <c r="L15" s="118"/>
      <c r="M15" s="118"/>
      <c r="N15" s="118"/>
      <c r="O15" s="118"/>
    </row>
    <row r="16" spans="1:15" ht="24.9" customHeight="1" thickBot="1" x14ac:dyDescent="0.3">
      <c r="A16" s="118"/>
      <c r="B16" s="280"/>
      <c r="C16" s="125">
        <v>2462</v>
      </c>
      <c r="D16" s="125">
        <v>11</v>
      </c>
      <c r="E16" s="125" t="s">
        <v>9</v>
      </c>
      <c r="F16" s="212">
        <v>16</v>
      </c>
      <c r="G16" s="256">
        <v>18.989999999999998</v>
      </c>
      <c r="H16" s="210">
        <v>20</v>
      </c>
      <c r="I16" s="259">
        <v>-6.46</v>
      </c>
      <c r="J16" s="126">
        <f t="shared" si="0"/>
        <v>12.529999999999998</v>
      </c>
      <c r="K16" s="118"/>
      <c r="L16" s="118"/>
      <c r="M16" s="118"/>
      <c r="N16" s="118"/>
      <c r="O16" s="118"/>
    </row>
    <row r="17" spans="1:15" ht="9.9" customHeight="1" x14ac:dyDescent="0.25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</row>
    <row r="18" spans="1:15" ht="9.9" customHeight="1" thickBot="1" x14ac:dyDescent="0.3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</row>
    <row r="19" spans="1:15" ht="24.9" customHeight="1" thickBot="1" x14ac:dyDescent="0.3">
      <c r="A19" s="118"/>
      <c r="B19" s="289" t="s">
        <v>99</v>
      </c>
      <c r="C19" s="290"/>
      <c r="D19" s="290"/>
      <c r="E19" s="292"/>
      <c r="F19" s="292"/>
      <c r="G19" s="292"/>
      <c r="H19" s="292"/>
      <c r="I19" s="292"/>
      <c r="J19" s="293"/>
      <c r="K19" s="118"/>
      <c r="L19" s="118"/>
      <c r="M19" s="118"/>
      <c r="N19" s="118"/>
      <c r="O19" s="118"/>
    </row>
    <row r="20" spans="1:15" ht="24.9" customHeight="1" x14ac:dyDescent="0.25">
      <c r="A20" s="118"/>
      <c r="B20" s="294" t="s">
        <v>101</v>
      </c>
      <c r="C20" s="295"/>
      <c r="D20" s="295"/>
      <c r="E20" s="295"/>
      <c r="F20" s="295"/>
      <c r="G20" s="295"/>
      <c r="H20" s="295"/>
      <c r="I20" s="295"/>
      <c r="J20" s="296"/>
      <c r="K20" s="118"/>
      <c r="L20" s="118"/>
      <c r="M20" s="118"/>
      <c r="N20" s="118"/>
      <c r="O20" s="118"/>
    </row>
    <row r="21" spans="1:15" ht="24.9" customHeight="1" x14ac:dyDescent="0.25">
      <c r="A21" s="118"/>
      <c r="B21" s="119" t="s">
        <v>0</v>
      </c>
      <c r="C21" s="120" t="s">
        <v>1</v>
      </c>
      <c r="D21" s="120" t="s">
        <v>2</v>
      </c>
      <c r="E21" s="120" t="s">
        <v>3</v>
      </c>
      <c r="F21" s="120" t="s">
        <v>91</v>
      </c>
      <c r="G21" s="121" t="s">
        <v>174</v>
      </c>
      <c r="H21" s="121" t="s">
        <v>175</v>
      </c>
      <c r="I21" s="121" t="s">
        <v>176</v>
      </c>
      <c r="J21" s="122" t="s">
        <v>4</v>
      </c>
      <c r="K21" s="118"/>
      <c r="L21" s="118"/>
      <c r="M21" s="118"/>
      <c r="N21" s="118"/>
      <c r="O21" s="118"/>
    </row>
    <row r="22" spans="1:15" ht="24.9" customHeight="1" x14ac:dyDescent="0.25">
      <c r="A22" s="118"/>
      <c r="B22" s="281" t="s">
        <v>14</v>
      </c>
      <c r="C22" s="123">
        <v>2412</v>
      </c>
      <c r="D22" s="123">
        <v>1</v>
      </c>
      <c r="E22" s="123">
        <v>1</v>
      </c>
      <c r="F22" s="209">
        <v>18</v>
      </c>
      <c r="G22" s="257">
        <v>19.21</v>
      </c>
      <c r="H22" s="210">
        <v>20</v>
      </c>
      <c r="I22" s="260">
        <v>-6</v>
      </c>
      <c r="J22" s="124">
        <f t="shared" ref="J22:J33" si="1">G22+I22</f>
        <v>13.21</v>
      </c>
      <c r="K22" s="118"/>
      <c r="L22" s="118"/>
      <c r="M22" s="118"/>
      <c r="N22" s="118"/>
      <c r="O22" s="118"/>
    </row>
    <row r="23" spans="1:15" ht="24.9" customHeight="1" x14ac:dyDescent="0.25">
      <c r="A23" s="118"/>
      <c r="B23" s="279"/>
      <c r="C23" s="123">
        <v>2442</v>
      </c>
      <c r="D23" s="123">
        <v>7</v>
      </c>
      <c r="E23" s="123">
        <v>1</v>
      </c>
      <c r="F23" s="209">
        <v>18</v>
      </c>
      <c r="G23" s="257">
        <v>18.829999999999998</v>
      </c>
      <c r="H23" s="210">
        <v>20</v>
      </c>
      <c r="I23" s="260">
        <v>-6</v>
      </c>
      <c r="J23" s="124">
        <f t="shared" si="1"/>
        <v>12.829999999999998</v>
      </c>
      <c r="K23" s="118"/>
      <c r="L23" s="118"/>
      <c r="M23" s="118"/>
      <c r="N23" s="118"/>
      <c r="O23" s="118"/>
    </row>
    <row r="24" spans="1:15" ht="24.9" customHeight="1" x14ac:dyDescent="0.25">
      <c r="A24" s="118"/>
      <c r="B24" s="282"/>
      <c r="C24" s="123">
        <v>2472</v>
      </c>
      <c r="D24" s="123">
        <v>13</v>
      </c>
      <c r="E24" s="123">
        <v>1</v>
      </c>
      <c r="F24" s="209">
        <v>18</v>
      </c>
      <c r="G24" s="257">
        <v>19.47</v>
      </c>
      <c r="H24" s="210">
        <v>20</v>
      </c>
      <c r="I24" s="260">
        <v>-6</v>
      </c>
      <c r="J24" s="124">
        <f t="shared" si="1"/>
        <v>13.469999999999999</v>
      </c>
      <c r="K24" s="118"/>
      <c r="L24" s="118"/>
      <c r="M24" s="118"/>
      <c r="N24" s="118"/>
      <c r="O24" s="118"/>
    </row>
    <row r="25" spans="1:15" ht="24.9" customHeight="1" x14ac:dyDescent="0.25">
      <c r="A25" s="118"/>
      <c r="B25" s="281" t="s">
        <v>8</v>
      </c>
      <c r="C25" s="123">
        <v>2412</v>
      </c>
      <c r="D25" s="123">
        <v>1</v>
      </c>
      <c r="E25" s="123">
        <v>6</v>
      </c>
      <c r="F25" s="209">
        <v>16</v>
      </c>
      <c r="G25" s="257">
        <v>16.04</v>
      </c>
      <c r="H25" s="210">
        <v>20</v>
      </c>
      <c r="I25" s="261">
        <v>-6</v>
      </c>
      <c r="J25" s="124">
        <f t="shared" si="1"/>
        <v>10.039999999999999</v>
      </c>
      <c r="K25" s="118"/>
      <c r="L25" s="127"/>
      <c r="M25" s="118"/>
      <c r="N25" s="118"/>
      <c r="O25" s="118"/>
    </row>
    <row r="26" spans="1:15" ht="24.9" customHeight="1" x14ac:dyDescent="0.25">
      <c r="A26" s="118"/>
      <c r="B26" s="279"/>
      <c r="C26" s="123">
        <v>2442</v>
      </c>
      <c r="D26" s="123">
        <v>7</v>
      </c>
      <c r="E26" s="123">
        <v>6</v>
      </c>
      <c r="F26" s="209">
        <v>16</v>
      </c>
      <c r="G26" s="257">
        <v>15.48</v>
      </c>
      <c r="H26" s="210">
        <v>20</v>
      </c>
      <c r="I26" s="261">
        <v>-6</v>
      </c>
      <c r="J26" s="124">
        <f t="shared" si="1"/>
        <v>9.48</v>
      </c>
      <c r="K26" s="118"/>
      <c r="L26" s="127"/>
      <c r="M26" s="118"/>
      <c r="N26" s="118"/>
      <c r="O26" s="118"/>
    </row>
    <row r="27" spans="1:15" ht="24.9" customHeight="1" x14ac:dyDescent="0.25">
      <c r="A27" s="118"/>
      <c r="B27" s="282"/>
      <c r="C27" s="123">
        <v>2472</v>
      </c>
      <c r="D27" s="123">
        <v>13</v>
      </c>
      <c r="E27" s="123">
        <v>6</v>
      </c>
      <c r="F27" s="211">
        <v>16</v>
      </c>
      <c r="G27" s="257">
        <v>15.81</v>
      </c>
      <c r="H27" s="210">
        <v>20</v>
      </c>
      <c r="I27" s="261">
        <v>-6</v>
      </c>
      <c r="J27" s="124">
        <f t="shared" si="1"/>
        <v>9.81</v>
      </c>
      <c r="K27" s="118"/>
      <c r="L27" s="127"/>
      <c r="M27" s="118"/>
      <c r="N27" s="118"/>
      <c r="O27" s="118"/>
    </row>
    <row r="28" spans="1:15" ht="24.9" customHeight="1" x14ac:dyDescent="0.25">
      <c r="A28" s="118"/>
      <c r="B28" s="278" t="s">
        <v>15</v>
      </c>
      <c r="C28" s="123">
        <v>2412</v>
      </c>
      <c r="D28" s="123">
        <v>1</v>
      </c>
      <c r="E28" s="123" t="s">
        <v>9</v>
      </c>
      <c r="F28" s="211">
        <v>16</v>
      </c>
      <c r="G28" s="257">
        <v>15.86</v>
      </c>
      <c r="H28" s="210">
        <v>20</v>
      </c>
      <c r="I28" s="261">
        <v>-6</v>
      </c>
      <c r="J28" s="124">
        <f t="shared" si="1"/>
        <v>9.86</v>
      </c>
      <c r="K28" s="118"/>
      <c r="L28" s="127"/>
      <c r="M28" s="118"/>
      <c r="N28" s="118"/>
      <c r="O28" s="118"/>
    </row>
    <row r="29" spans="1:15" ht="24.9" customHeight="1" x14ac:dyDescent="0.25">
      <c r="A29" s="118"/>
      <c r="B29" s="279"/>
      <c r="C29" s="123">
        <v>2442</v>
      </c>
      <c r="D29" s="123">
        <v>7</v>
      </c>
      <c r="E29" s="123" t="s">
        <v>9</v>
      </c>
      <c r="F29" s="211">
        <v>16</v>
      </c>
      <c r="G29" s="257">
        <v>15.18</v>
      </c>
      <c r="H29" s="210">
        <v>20</v>
      </c>
      <c r="I29" s="261">
        <v>-6</v>
      </c>
      <c r="J29" s="124">
        <f t="shared" si="1"/>
        <v>9.18</v>
      </c>
      <c r="K29" s="118"/>
      <c r="L29" s="127"/>
      <c r="M29" s="118"/>
      <c r="N29" s="118"/>
      <c r="O29" s="118"/>
    </row>
    <row r="30" spans="1:15" ht="24.9" customHeight="1" x14ac:dyDescent="0.25">
      <c r="A30" s="118"/>
      <c r="B30" s="282"/>
      <c r="C30" s="123">
        <v>2472</v>
      </c>
      <c r="D30" s="123">
        <v>13</v>
      </c>
      <c r="E30" s="123" t="s">
        <v>9</v>
      </c>
      <c r="F30" s="211">
        <v>16</v>
      </c>
      <c r="G30" s="257">
        <v>15.52</v>
      </c>
      <c r="H30" s="210">
        <v>20</v>
      </c>
      <c r="I30" s="261">
        <v>-6</v>
      </c>
      <c r="J30" s="124">
        <f t="shared" si="1"/>
        <v>9.52</v>
      </c>
      <c r="K30" s="118"/>
      <c r="L30" s="127"/>
      <c r="M30" s="118"/>
      <c r="N30" s="118"/>
      <c r="O30" s="118"/>
    </row>
    <row r="31" spans="1:15" ht="24.9" customHeight="1" x14ac:dyDescent="0.25">
      <c r="A31" s="118"/>
      <c r="B31" s="278" t="s">
        <v>16</v>
      </c>
      <c r="C31" s="123">
        <v>2422</v>
      </c>
      <c r="D31" s="123">
        <v>3</v>
      </c>
      <c r="E31" s="123" t="s">
        <v>9</v>
      </c>
      <c r="F31" s="211">
        <v>16</v>
      </c>
      <c r="G31" s="258">
        <v>15.48</v>
      </c>
      <c r="H31" s="210">
        <v>20</v>
      </c>
      <c r="I31" s="261">
        <v>-6</v>
      </c>
      <c r="J31" s="124">
        <f t="shared" si="1"/>
        <v>9.48</v>
      </c>
      <c r="K31" s="118"/>
      <c r="L31" s="127"/>
      <c r="M31" s="118"/>
      <c r="N31" s="118"/>
      <c r="O31" s="118"/>
    </row>
    <row r="32" spans="1:15" ht="24.9" customHeight="1" x14ac:dyDescent="0.25">
      <c r="A32" s="118"/>
      <c r="B32" s="279"/>
      <c r="C32" s="123">
        <v>2442</v>
      </c>
      <c r="D32" s="123">
        <v>7</v>
      </c>
      <c r="E32" s="123" t="s">
        <v>9</v>
      </c>
      <c r="F32" s="211">
        <v>16</v>
      </c>
      <c r="G32" s="258">
        <v>15.81</v>
      </c>
      <c r="H32" s="210">
        <v>20</v>
      </c>
      <c r="I32" s="261">
        <v>-6</v>
      </c>
      <c r="J32" s="124">
        <f t="shared" si="1"/>
        <v>9.81</v>
      </c>
      <c r="K32" s="118"/>
      <c r="L32" s="127"/>
      <c r="M32" s="118"/>
      <c r="N32" s="118"/>
      <c r="O32" s="118"/>
    </row>
    <row r="33" spans="1:15" ht="24.9" customHeight="1" thickBot="1" x14ac:dyDescent="0.3">
      <c r="A33" s="118"/>
      <c r="B33" s="280"/>
      <c r="C33" s="125">
        <v>2462</v>
      </c>
      <c r="D33" s="125">
        <v>11</v>
      </c>
      <c r="E33" s="125" t="s">
        <v>9</v>
      </c>
      <c r="F33" s="212">
        <v>16</v>
      </c>
      <c r="G33" s="258">
        <v>15.86</v>
      </c>
      <c r="H33" s="210">
        <v>20</v>
      </c>
      <c r="I33" s="261">
        <v>-6</v>
      </c>
      <c r="J33" s="126">
        <f t="shared" si="1"/>
        <v>9.86</v>
      </c>
      <c r="K33" s="118"/>
      <c r="L33" s="127"/>
      <c r="M33" s="118"/>
      <c r="N33" s="118"/>
      <c r="O33" s="118"/>
    </row>
    <row r="34" spans="1:15" ht="9.9" customHeight="1" x14ac:dyDescent="0.25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</row>
    <row r="35" spans="1:15" ht="9.9" customHeight="1" thickBot="1" x14ac:dyDescent="0.3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</row>
    <row r="36" spans="1:15" ht="24.9" customHeight="1" thickBot="1" x14ac:dyDescent="0.3">
      <c r="A36" s="118"/>
      <c r="B36" s="289" t="s">
        <v>97</v>
      </c>
      <c r="C36" s="290"/>
      <c r="D36" s="290"/>
      <c r="E36" s="290"/>
      <c r="F36" s="290"/>
      <c r="G36" s="290"/>
      <c r="H36" s="292"/>
      <c r="I36" s="292"/>
      <c r="J36" s="292"/>
      <c r="K36" s="292"/>
      <c r="L36" s="292"/>
      <c r="M36" s="292"/>
      <c r="N36" s="293"/>
      <c r="O36" s="118"/>
    </row>
    <row r="37" spans="1:15" ht="24.9" customHeight="1" thickBot="1" x14ac:dyDescent="0.3">
      <c r="A37" s="118"/>
      <c r="B37" s="283" t="s">
        <v>101</v>
      </c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5"/>
      <c r="O37" s="118"/>
    </row>
    <row r="38" spans="1:15" ht="40.200000000000003" x14ac:dyDescent="0.25">
      <c r="A38" s="118"/>
      <c r="B38" s="169" t="s">
        <v>0</v>
      </c>
      <c r="C38" s="180" t="s">
        <v>1</v>
      </c>
      <c r="D38" s="180" t="s">
        <v>2</v>
      </c>
      <c r="E38" s="171" t="s">
        <v>3</v>
      </c>
      <c r="F38" s="179" t="s">
        <v>95</v>
      </c>
      <c r="G38" s="179" t="s">
        <v>96</v>
      </c>
      <c r="H38" s="179" t="s">
        <v>177</v>
      </c>
      <c r="I38" s="179" t="s">
        <v>178</v>
      </c>
      <c r="J38" s="179" t="s">
        <v>175</v>
      </c>
      <c r="K38" s="179" t="s">
        <v>179</v>
      </c>
      <c r="L38" s="179" t="s">
        <v>175</v>
      </c>
      <c r="M38" s="179" t="s">
        <v>176</v>
      </c>
      <c r="N38" s="201" t="s">
        <v>4</v>
      </c>
      <c r="O38" s="118"/>
    </row>
    <row r="39" spans="1:15" ht="24.9" customHeight="1" x14ac:dyDescent="0.25">
      <c r="A39" s="118"/>
      <c r="B39" s="281" t="s">
        <v>14</v>
      </c>
      <c r="C39" s="247">
        <v>2412</v>
      </c>
      <c r="D39" s="247">
        <v>1</v>
      </c>
      <c r="E39" s="130">
        <v>1</v>
      </c>
      <c r="F39" s="209">
        <v>18</v>
      </c>
      <c r="G39" s="209">
        <v>18</v>
      </c>
      <c r="H39" s="262">
        <v>19.16</v>
      </c>
      <c r="I39" s="262">
        <v>19.21</v>
      </c>
      <c r="J39" s="210">
        <v>19</v>
      </c>
      <c r="K39" s="263">
        <f>10*LOG10((10^(H39/10))+(10^(I39/10)))</f>
        <v>22.195371912026577</v>
      </c>
      <c r="L39" s="210">
        <v>23</v>
      </c>
      <c r="M39" s="261">
        <v>-6.46</v>
      </c>
      <c r="N39" s="131">
        <f t="shared" ref="N39:N44" si="2">K39+M39</f>
        <v>15.735371912026576</v>
      </c>
      <c r="O39" s="118"/>
    </row>
    <row r="40" spans="1:15" ht="24.9" customHeight="1" x14ac:dyDescent="0.25">
      <c r="A40" s="118"/>
      <c r="B40" s="279"/>
      <c r="C40" s="247">
        <v>2442</v>
      </c>
      <c r="D40" s="247">
        <v>7</v>
      </c>
      <c r="E40" s="130">
        <v>1</v>
      </c>
      <c r="F40" s="209">
        <v>18</v>
      </c>
      <c r="G40" s="209">
        <v>18</v>
      </c>
      <c r="H40" s="262">
        <v>19.41</v>
      </c>
      <c r="I40" s="262">
        <v>18.829999999999998</v>
      </c>
      <c r="J40" s="210">
        <v>19</v>
      </c>
      <c r="K40" s="263">
        <f t="shared" ref="K40:K50" si="3">10*LOG10((10^(H40/10))+(10^(I40/10)))</f>
        <v>22.13997514005241</v>
      </c>
      <c r="L40" s="210">
        <v>23</v>
      </c>
      <c r="M40" s="261">
        <v>-6.46</v>
      </c>
      <c r="N40" s="131">
        <f t="shared" si="2"/>
        <v>15.679975140052409</v>
      </c>
      <c r="O40" s="118"/>
    </row>
    <row r="41" spans="1:15" ht="24.9" customHeight="1" x14ac:dyDescent="0.25">
      <c r="A41" s="118"/>
      <c r="B41" s="282"/>
      <c r="C41" s="247">
        <v>2472</v>
      </c>
      <c r="D41" s="247">
        <v>13</v>
      </c>
      <c r="E41" s="130">
        <v>1</v>
      </c>
      <c r="F41" s="209">
        <v>18</v>
      </c>
      <c r="G41" s="209">
        <v>18</v>
      </c>
      <c r="H41" s="262">
        <v>18.68</v>
      </c>
      <c r="I41" s="262">
        <v>19.47</v>
      </c>
      <c r="J41" s="210">
        <v>19</v>
      </c>
      <c r="K41" s="263">
        <f t="shared" si="3"/>
        <v>22.103238287186887</v>
      </c>
      <c r="L41" s="210">
        <v>23</v>
      </c>
      <c r="M41" s="261">
        <v>-6.46</v>
      </c>
      <c r="N41" s="131">
        <f t="shared" si="2"/>
        <v>15.643238287186886</v>
      </c>
      <c r="O41" s="118"/>
    </row>
    <row r="42" spans="1:15" ht="24.9" customHeight="1" x14ac:dyDescent="0.25">
      <c r="A42" s="118"/>
      <c r="B42" s="281" t="s">
        <v>8</v>
      </c>
      <c r="C42" s="247">
        <v>2412</v>
      </c>
      <c r="D42" s="247">
        <v>1</v>
      </c>
      <c r="E42" s="247">
        <v>9</v>
      </c>
      <c r="F42" s="209">
        <v>16</v>
      </c>
      <c r="G42" s="209">
        <v>16</v>
      </c>
      <c r="H42" s="262">
        <v>16.27</v>
      </c>
      <c r="I42" s="262">
        <v>16.04</v>
      </c>
      <c r="J42" s="210">
        <v>19</v>
      </c>
      <c r="K42" s="263">
        <f t="shared" si="3"/>
        <v>19.166822363132539</v>
      </c>
      <c r="L42" s="210">
        <v>23</v>
      </c>
      <c r="M42" s="261">
        <v>-6.46</v>
      </c>
      <c r="N42" s="131">
        <f t="shared" si="2"/>
        <v>12.706822363132538</v>
      </c>
      <c r="O42" s="118"/>
    </row>
    <row r="43" spans="1:15" ht="24.9" customHeight="1" x14ac:dyDescent="0.25">
      <c r="A43" s="118"/>
      <c r="B43" s="279"/>
      <c r="C43" s="247">
        <v>2442</v>
      </c>
      <c r="D43" s="247">
        <v>7</v>
      </c>
      <c r="E43" s="247">
        <v>9</v>
      </c>
      <c r="F43" s="209">
        <v>16</v>
      </c>
      <c r="G43" s="209">
        <v>16</v>
      </c>
      <c r="H43" s="262">
        <v>15.74</v>
      </c>
      <c r="I43" s="262">
        <v>15.48</v>
      </c>
      <c r="J43" s="210">
        <v>19</v>
      </c>
      <c r="K43" s="263">
        <f t="shared" si="3"/>
        <v>18.622245350550525</v>
      </c>
      <c r="L43" s="210">
        <v>23</v>
      </c>
      <c r="M43" s="261">
        <v>-6.46</v>
      </c>
      <c r="N43" s="131">
        <f t="shared" si="2"/>
        <v>12.162245350550524</v>
      </c>
      <c r="O43" s="118"/>
    </row>
    <row r="44" spans="1:15" ht="24.9" customHeight="1" x14ac:dyDescent="0.25">
      <c r="A44" s="118"/>
      <c r="B44" s="282"/>
      <c r="C44" s="247">
        <v>2472</v>
      </c>
      <c r="D44" s="247">
        <v>13</v>
      </c>
      <c r="E44" s="247">
        <v>9</v>
      </c>
      <c r="F44" s="211">
        <v>16</v>
      </c>
      <c r="G44" s="211">
        <v>16</v>
      </c>
      <c r="H44" s="262">
        <v>16.14</v>
      </c>
      <c r="I44" s="262">
        <v>15.81</v>
      </c>
      <c r="J44" s="210">
        <v>19</v>
      </c>
      <c r="K44" s="263">
        <f t="shared" si="3"/>
        <v>18.98843359683525</v>
      </c>
      <c r="L44" s="210">
        <v>23</v>
      </c>
      <c r="M44" s="261">
        <v>-6.46</v>
      </c>
      <c r="N44" s="131">
        <f t="shared" si="2"/>
        <v>12.528433596835249</v>
      </c>
      <c r="O44" s="118"/>
    </row>
    <row r="45" spans="1:15" ht="24.9" customHeight="1" x14ac:dyDescent="0.25">
      <c r="A45" s="118"/>
      <c r="B45" s="278" t="s">
        <v>15</v>
      </c>
      <c r="C45" s="247">
        <v>2412</v>
      </c>
      <c r="D45" s="247">
        <v>1</v>
      </c>
      <c r="E45" s="247" t="s">
        <v>22</v>
      </c>
      <c r="F45" s="211">
        <v>16</v>
      </c>
      <c r="G45" s="211">
        <v>16</v>
      </c>
      <c r="H45" s="262">
        <v>16.36</v>
      </c>
      <c r="I45" s="262">
        <v>15.86</v>
      </c>
      <c r="J45" s="210">
        <v>19</v>
      </c>
      <c r="K45" s="263">
        <f t="shared" si="3"/>
        <v>19.127491564581874</v>
      </c>
      <c r="L45" s="210">
        <v>23</v>
      </c>
      <c r="M45" s="261">
        <v>-6.46</v>
      </c>
      <c r="N45" s="131">
        <f>K45+M45</f>
        <v>12.667491564581873</v>
      </c>
      <c r="O45" s="118"/>
    </row>
    <row r="46" spans="1:15" ht="24.9" customHeight="1" x14ac:dyDescent="0.25">
      <c r="A46" s="118"/>
      <c r="B46" s="279"/>
      <c r="C46" s="247">
        <v>2442</v>
      </c>
      <c r="D46" s="247">
        <v>7</v>
      </c>
      <c r="E46" s="247" t="s">
        <v>22</v>
      </c>
      <c r="F46" s="211">
        <v>16</v>
      </c>
      <c r="G46" s="211">
        <v>16</v>
      </c>
      <c r="H46" s="262">
        <v>15.83</v>
      </c>
      <c r="I46" s="262">
        <v>15.18</v>
      </c>
      <c r="J46" s="210">
        <v>19</v>
      </c>
      <c r="K46" s="263">
        <f t="shared" si="3"/>
        <v>18.527449150994364</v>
      </c>
      <c r="L46" s="210">
        <v>23</v>
      </c>
      <c r="M46" s="261">
        <v>-6.46</v>
      </c>
      <c r="N46" s="131">
        <f t="shared" ref="N46:N50" si="4">K46+M46</f>
        <v>12.067449150994364</v>
      </c>
      <c r="O46" s="118"/>
    </row>
    <row r="47" spans="1:15" ht="24.9" customHeight="1" x14ac:dyDescent="0.25">
      <c r="A47" s="118"/>
      <c r="B47" s="282"/>
      <c r="C47" s="247">
        <v>2472</v>
      </c>
      <c r="D47" s="247">
        <v>13</v>
      </c>
      <c r="E47" s="247" t="s">
        <v>22</v>
      </c>
      <c r="F47" s="211">
        <v>16</v>
      </c>
      <c r="G47" s="211">
        <v>16</v>
      </c>
      <c r="H47" s="262">
        <v>16.440000000000001</v>
      </c>
      <c r="I47" s="262">
        <v>15.52</v>
      </c>
      <c r="J47" s="210">
        <v>19</v>
      </c>
      <c r="K47" s="263">
        <f t="shared" si="3"/>
        <v>19.014615891815879</v>
      </c>
      <c r="L47" s="210">
        <v>23</v>
      </c>
      <c r="M47" s="261">
        <v>-6.46</v>
      </c>
      <c r="N47" s="131">
        <f t="shared" si="4"/>
        <v>12.554615891815878</v>
      </c>
      <c r="O47" s="118"/>
    </row>
    <row r="48" spans="1:15" ht="24.9" customHeight="1" x14ac:dyDescent="0.25">
      <c r="A48" s="118"/>
      <c r="B48" s="278" t="s">
        <v>16</v>
      </c>
      <c r="C48" s="247">
        <v>2422</v>
      </c>
      <c r="D48" s="247">
        <v>3</v>
      </c>
      <c r="E48" s="247" t="s">
        <v>22</v>
      </c>
      <c r="F48" s="211">
        <v>16</v>
      </c>
      <c r="G48" s="211">
        <v>16</v>
      </c>
      <c r="H48" s="262">
        <v>19.34</v>
      </c>
      <c r="I48" s="262">
        <v>15.48</v>
      </c>
      <c r="J48" s="210">
        <v>19</v>
      </c>
      <c r="K48" s="263">
        <f t="shared" si="3"/>
        <v>20.835730942646009</v>
      </c>
      <c r="L48" s="210">
        <v>23</v>
      </c>
      <c r="M48" s="261">
        <v>-6.46</v>
      </c>
      <c r="N48" s="131">
        <f t="shared" si="4"/>
        <v>14.375730942646008</v>
      </c>
      <c r="O48" s="118"/>
    </row>
    <row r="49" spans="1:15" ht="24.9" customHeight="1" x14ac:dyDescent="0.25">
      <c r="A49" s="118"/>
      <c r="B49" s="279"/>
      <c r="C49" s="247">
        <v>2442</v>
      </c>
      <c r="D49" s="247">
        <v>7</v>
      </c>
      <c r="E49" s="247" t="s">
        <v>22</v>
      </c>
      <c r="F49" s="211">
        <v>16</v>
      </c>
      <c r="G49" s="211">
        <v>16</v>
      </c>
      <c r="H49" s="262">
        <v>19.21</v>
      </c>
      <c r="I49" s="262">
        <v>15.81</v>
      </c>
      <c r="J49" s="210">
        <v>19</v>
      </c>
      <c r="K49" s="263">
        <f t="shared" si="3"/>
        <v>20.844858380459165</v>
      </c>
      <c r="L49" s="210">
        <v>23</v>
      </c>
      <c r="M49" s="261">
        <v>-6.46</v>
      </c>
      <c r="N49" s="131">
        <f t="shared" si="4"/>
        <v>14.384858380459164</v>
      </c>
      <c r="O49" s="118"/>
    </row>
    <row r="50" spans="1:15" ht="24.9" customHeight="1" thickBot="1" x14ac:dyDescent="0.3">
      <c r="A50" s="118"/>
      <c r="B50" s="280"/>
      <c r="C50" s="248">
        <v>2462</v>
      </c>
      <c r="D50" s="248">
        <v>11</v>
      </c>
      <c r="E50" s="248" t="s">
        <v>22</v>
      </c>
      <c r="F50" s="212">
        <v>16</v>
      </c>
      <c r="G50" s="212">
        <v>16</v>
      </c>
      <c r="H50" s="264">
        <v>18.989999999999998</v>
      </c>
      <c r="I50" s="264">
        <v>15.86</v>
      </c>
      <c r="J50" s="213">
        <v>19</v>
      </c>
      <c r="K50" s="265">
        <f t="shared" si="3"/>
        <v>20.71137801994329</v>
      </c>
      <c r="L50" s="213">
        <v>23</v>
      </c>
      <c r="M50" s="266">
        <v>-6.46</v>
      </c>
      <c r="N50" s="132">
        <f t="shared" si="4"/>
        <v>14.251378019943289</v>
      </c>
      <c r="O50" s="118"/>
    </row>
    <row r="51" spans="1:15" ht="9.9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</row>
  </sheetData>
  <mergeCells count="18">
    <mergeCell ref="B3:J3"/>
    <mergeCell ref="B2:J2"/>
    <mergeCell ref="B19:J19"/>
    <mergeCell ref="B36:N36"/>
    <mergeCell ref="B8:B10"/>
    <mergeCell ref="B11:B13"/>
    <mergeCell ref="B5:B7"/>
    <mergeCell ref="B14:B16"/>
    <mergeCell ref="B20:J20"/>
    <mergeCell ref="B31:B33"/>
    <mergeCell ref="B48:B50"/>
    <mergeCell ref="B22:B24"/>
    <mergeCell ref="B25:B27"/>
    <mergeCell ref="B28:B30"/>
    <mergeCell ref="B45:B47"/>
    <mergeCell ref="B39:B41"/>
    <mergeCell ref="B42:B44"/>
    <mergeCell ref="B37:N37"/>
  </mergeCells>
  <phoneticPr fontId="6" type="noConversion"/>
  <conditionalFormatting sqref="G5:G16">
    <cfRule type="top10" dxfId="22" priority="5" rank="1"/>
  </conditionalFormatting>
  <conditionalFormatting sqref="G22:G33">
    <cfRule type="top10" dxfId="21" priority="4" rank="1"/>
  </conditionalFormatting>
  <conditionalFormatting sqref="H39:H50">
    <cfRule type="top10" dxfId="20" priority="2" rank="1"/>
  </conditionalFormatting>
  <conditionalFormatting sqref="I39:I50">
    <cfRule type="top10" dxfId="19" priority="1" rank="1"/>
  </conditionalFormatting>
  <pageMargins left="0.15748031496062992" right="0.15748031496062992" top="0" bottom="0" header="0.31496062992125984" footer="0.31496062992125984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73"/>
  <sheetViews>
    <sheetView view="pageBreakPreview" topLeftCell="A22" zoomScale="55" zoomScaleNormal="115" zoomScaleSheetLayoutView="55" workbookViewId="0">
      <selection activeCell="L51" sqref="L51"/>
    </sheetView>
  </sheetViews>
  <sheetFormatPr defaultColWidth="8.8984375" defaultRowHeight="13.8" x14ac:dyDescent="0.25"/>
  <cols>
    <col min="1" max="1" width="8.3984375" style="5" customWidth="1"/>
    <col min="2" max="6" width="8.796875" style="3" customWidth="1"/>
    <col min="7" max="12" width="10.09765625" style="3" bestFit="1" customWidth="1"/>
    <col min="13" max="13" width="8.69921875" style="3" bestFit="1" customWidth="1"/>
    <col min="14" max="21" width="8.796875" style="3" customWidth="1"/>
    <col min="22" max="27" width="10.09765625" style="3" bestFit="1" customWidth="1"/>
    <col min="28" max="29" width="8.796875" style="3" customWidth="1"/>
    <col min="30" max="32" width="8.796875" style="2" customWidth="1"/>
    <col min="33" max="34" width="9.19921875" style="2" customWidth="1"/>
    <col min="35" max="36" width="8.8984375" style="3"/>
    <col min="37" max="42" width="10.09765625" style="3" bestFit="1" customWidth="1"/>
    <col min="43" max="16384" width="8.8984375" style="3"/>
  </cols>
  <sheetData>
    <row r="1" spans="1:59" ht="9.9" customHeight="1" thickBot="1" x14ac:dyDescent="0.3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5"/>
      <c r="AM1" s="135"/>
      <c r="AN1" s="135"/>
      <c r="AO1" s="135"/>
      <c r="AP1" s="135"/>
      <c r="AQ1" s="134"/>
      <c r="AR1" s="134"/>
      <c r="AS1" s="134"/>
      <c r="BF1" s="3">
        <f>COUNTBLANK(AL54:AL64)</f>
        <v>0</v>
      </c>
      <c r="BG1" s="3">
        <f>COUNTBLANK(AM54:AM64)</f>
        <v>0</v>
      </c>
    </row>
    <row r="2" spans="1:59" ht="24.9" customHeight="1" thickBot="1" x14ac:dyDescent="0.3">
      <c r="A2" s="136"/>
      <c r="B2" s="289" t="s">
        <v>100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1"/>
      <c r="AO2" s="135"/>
      <c r="AP2" s="135"/>
      <c r="AQ2" s="134"/>
      <c r="AR2" s="134"/>
      <c r="AS2" s="134"/>
    </row>
    <row r="3" spans="1:59" ht="24.9" customHeight="1" x14ac:dyDescent="0.25">
      <c r="A3" s="133"/>
      <c r="B3" s="315" t="s">
        <v>102</v>
      </c>
      <c r="C3" s="316"/>
      <c r="D3" s="316"/>
      <c r="E3" s="316"/>
      <c r="F3" s="316"/>
      <c r="G3" s="316"/>
      <c r="H3" s="316"/>
      <c r="I3" s="316"/>
      <c r="J3" s="317"/>
      <c r="K3" s="137"/>
      <c r="L3" s="137"/>
      <c r="M3" s="137"/>
      <c r="N3" s="137"/>
      <c r="O3" s="137"/>
      <c r="P3" s="137"/>
      <c r="Q3" s="315" t="s">
        <v>104</v>
      </c>
      <c r="R3" s="316"/>
      <c r="S3" s="316"/>
      <c r="T3" s="316"/>
      <c r="U3" s="316"/>
      <c r="V3" s="316"/>
      <c r="W3" s="316"/>
      <c r="X3" s="316"/>
      <c r="Y3" s="317"/>
      <c r="Z3" s="134"/>
      <c r="AA3" s="134"/>
      <c r="AB3" s="134"/>
      <c r="AC3" s="134"/>
      <c r="AD3" s="134"/>
      <c r="AE3" s="138"/>
      <c r="AF3" s="327" t="s">
        <v>108</v>
      </c>
      <c r="AG3" s="328"/>
      <c r="AH3" s="328"/>
      <c r="AI3" s="328"/>
      <c r="AJ3" s="328"/>
      <c r="AK3" s="328"/>
      <c r="AL3" s="328"/>
      <c r="AM3" s="328"/>
      <c r="AN3" s="329"/>
      <c r="AO3" s="135"/>
      <c r="AP3" s="135"/>
      <c r="AQ3" s="134"/>
      <c r="AR3" s="134"/>
      <c r="AS3" s="134"/>
    </row>
    <row r="4" spans="1:59" ht="24.9" customHeight="1" x14ac:dyDescent="0.25">
      <c r="A4" s="133"/>
      <c r="B4" s="119" t="s">
        <v>0</v>
      </c>
      <c r="C4" s="120" t="s">
        <v>1</v>
      </c>
      <c r="D4" s="120" t="s">
        <v>2</v>
      </c>
      <c r="E4" s="120" t="s">
        <v>3</v>
      </c>
      <c r="F4" s="120" t="s">
        <v>91</v>
      </c>
      <c r="G4" s="121" t="s">
        <v>174</v>
      </c>
      <c r="H4" s="121" t="s">
        <v>175</v>
      </c>
      <c r="I4" s="121" t="s">
        <v>176</v>
      </c>
      <c r="J4" s="122" t="s">
        <v>4</v>
      </c>
      <c r="K4" s="133"/>
      <c r="L4" s="133"/>
      <c r="M4" s="133"/>
      <c r="N4" s="133"/>
      <c r="O4" s="133"/>
      <c r="P4" s="133"/>
      <c r="Q4" s="119" t="s">
        <v>0</v>
      </c>
      <c r="R4" s="120" t="s">
        <v>1</v>
      </c>
      <c r="S4" s="120" t="s">
        <v>2</v>
      </c>
      <c r="T4" s="120" t="s">
        <v>3</v>
      </c>
      <c r="U4" s="120" t="s">
        <v>91</v>
      </c>
      <c r="V4" s="121" t="s">
        <v>174</v>
      </c>
      <c r="W4" s="121" t="s">
        <v>175</v>
      </c>
      <c r="X4" s="121" t="s">
        <v>176</v>
      </c>
      <c r="Y4" s="122" t="s">
        <v>4</v>
      </c>
      <c r="Z4" s="134"/>
      <c r="AA4" s="134"/>
      <c r="AB4" s="134"/>
      <c r="AC4" s="134"/>
      <c r="AD4" s="134"/>
      <c r="AE4" s="133"/>
      <c r="AF4" s="119" t="s">
        <v>0</v>
      </c>
      <c r="AG4" s="120" t="s">
        <v>1</v>
      </c>
      <c r="AH4" s="120" t="s">
        <v>2</v>
      </c>
      <c r="AI4" s="120" t="s">
        <v>3</v>
      </c>
      <c r="AJ4" s="120" t="s">
        <v>91</v>
      </c>
      <c r="AK4" s="121" t="s">
        <v>174</v>
      </c>
      <c r="AL4" s="121" t="s">
        <v>175</v>
      </c>
      <c r="AM4" s="121" t="s">
        <v>176</v>
      </c>
      <c r="AN4" s="122" t="s">
        <v>4</v>
      </c>
      <c r="AO4" s="139"/>
      <c r="AP4" s="134"/>
      <c r="AQ4" s="134"/>
      <c r="AR4" s="134"/>
      <c r="AS4" s="134"/>
    </row>
    <row r="5" spans="1:59" ht="24.9" customHeight="1" x14ac:dyDescent="0.25">
      <c r="A5" s="133"/>
      <c r="B5" s="305" t="s">
        <v>5</v>
      </c>
      <c r="C5" s="140">
        <v>5180</v>
      </c>
      <c r="D5" s="140">
        <v>36</v>
      </c>
      <c r="E5" s="140">
        <v>6</v>
      </c>
      <c r="F5" s="216">
        <v>16</v>
      </c>
      <c r="G5" s="217">
        <v>16.07</v>
      </c>
      <c r="H5" s="217">
        <v>17</v>
      </c>
      <c r="I5" s="217">
        <v>-0.8</v>
      </c>
      <c r="J5" s="141">
        <f t="shared" ref="J5:J22" si="0">I5+G5</f>
        <v>15.27</v>
      </c>
      <c r="K5" s="133"/>
      <c r="L5" s="133"/>
      <c r="M5" s="133"/>
      <c r="N5" s="133"/>
      <c r="O5" s="133"/>
      <c r="P5" s="134"/>
      <c r="Q5" s="319" t="s">
        <v>5</v>
      </c>
      <c r="R5" s="142">
        <v>5500</v>
      </c>
      <c r="S5" s="142">
        <v>100</v>
      </c>
      <c r="T5" s="140">
        <v>6</v>
      </c>
      <c r="U5" s="216">
        <v>16</v>
      </c>
      <c r="V5" s="217">
        <v>15.27</v>
      </c>
      <c r="W5" s="217">
        <v>17</v>
      </c>
      <c r="X5" s="219">
        <v>-4.2</v>
      </c>
      <c r="Y5" s="141">
        <f t="shared" ref="Y5:Y22" si="1">X5+V5</f>
        <v>11.07</v>
      </c>
      <c r="Z5" s="134"/>
      <c r="AA5" s="134"/>
      <c r="AB5" s="134"/>
      <c r="AC5" s="134"/>
      <c r="AD5" s="134"/>
      <c r="AE5" s="134"/>
      <c r="AF5" s="324" t="s">
        <v>5</v>
      </c>
      <c r="AG5" s="130">
        <v>5745</v>
      </c>
      <c r="AH5" s="130">
        <v>149</v>
      </c>
      <c r="AI5" s="140">
        <v>6</v>
      </c>
      <c r="AJ5" s="216">
        <v>16</v>
      </c>
      <c r="AK5" s="217">
        <v>9.31</v>
      </c>
      <c r="AL5" s="217">
        <v>17</v>
      </c>
      <c r="AM5" s="210">
        <v>-3.2</v>
      </c>
      <c r="AN5" s="141">
        <f t="shared" ref="AN5:AN18" si="2">AM5+AK5</f>
        <v>6.11</v>
      </c>
      <c r="AO5" s="139"/>
      <c r="AP5" s="134"/>
      <c r="AQ5" s="134"/>
      <c r="AR5" s="134"/>
      <c r="AS5" s="143"/>
      <c r="AT5" s="6"/>
    </row>
    <row r="6" spans="1:59" ht="24.9" customHeight="1" x14ac:dyDescent="0.25">
      <c r="A6" s="133"/>
      <c r="B6" s="305"/>
      <c r="C6" s="140">
        <v>5260</v>
      </c>
      <c r="D6" s="140">
        <v>52</v>
      </c>
      <c r="E6" s="140">
        <v>6</v>
      </c>
      <c r="F6" s="216">
        <v>16</v>
      </c>
      <c r="G6" s="217">
        <v>16.07</v>
      </c>
      <c r="H6" s="217">
        <v>17</v>
      </c>
      <c r="I6" s="217">
        <v>-0.8</v>
      </c>
      <c r="J6" s="141">
        <f t="shared" si="0"/>
        <v>15.27</v>
      </c>
      <c r="K6" s="133"/>
      <c r="L6" s="133"/>
      <c r="M6" s="133"/>
      <c r="N6" s="133"/>
      <c r="O6" s="133"/>
      <c r="P6" s="134"/>
      <c r="Q6" s="320"/>
      <c r="R6" s="142">
        <v>5600</v>
      </c>
      <c r="S6" s="142">
        <v>120</v>
      </c>
      <c r="T6" s="140">
        <v>6</v>
      </c>
      <c r="U6" s="216">
        <v>16</v>
      </c>
      <c r="V6" s="217">
        <v>15.27</v>
      </c>
      <c r="W6" s="217">
        <v>17</v>
      </c>
      <c r="X6" s="219">
        <v>-4.2</v>
      </c>
      <c r="Y6" s="141">
        <f t="shared" si="1"/>
        <v>11.07</v>
      </c>
      <c r="Z6" s="134"/>
      <c r="AA6" s="134"/>
      <c r="AB6" s="134"/>
      <c r="AC6" s="134"/>
      <c r="AD6" s="134"/>
      <c r="AE6" s="134"/>
      <c r="AF6" s="325"/>
      <c r="AG6" s="130">
        <v>5785</v>
      </c>
      <c r="AH6" s="130">
        <v>157</v>
      </c>
      <c r="AI6" s="140">
        <v>6</v>
      </c>
      <c r="AJ6" s="216">
        <v>16</v>
      </c>
      <c r="AK6" s="217">
        <v>9.1999999999999993</v>
      </c>
      <c r="AL6" s="217">
        <v>17</v>
      </c>
      <c r="AM6" s="210">
        <v>-3.2</v>
      </c>
      <c r="AN6" s="141">
        <f t="shared" si="2"/>
        <v>5.9999999999999991</v>
      </c>
      <c r="AO6" s="139"/>
      <c r="AP6" s="134"/>
      <c r="AQ6" s="134"/>
      <c r="AR6" s="134"/>
      <c r="AS6" s="143"/>
      <c r="AT6" s="6"/>
      <c r="BB6" s="4"/>
    </row>
    <row r="7" spans="1:59" ht="24.9" customHeight="1" x14ac:dyDescent="0.25">
      <c r="A7" s="133"/>
      <c r="B7" s="305"/>
      <c r="C7" s="140">
        <v>5320</v>
      </c>
      <c r="D7" s="140">
        <v>64</v>
      </c>
      <c r="E7" s="140">
        <v>6</v>
      </c>
      <c r="F7" s="216">
        <v>16</v>
      </c>
      <c r="G7" s="217">
        <v>16.190000000000001</v>
      </c>
      <c r="H7" s="217">
        <v>17</v>
      </c>
      <c r="I7" s="217">
        <v>-0.8</v>
      </c>
      <c r="J7" s="141">
        <f t="shared" si="0"/>
        <v>15.39</v>
      </c>
      <c r="K7" s="133"/>
      <c r="L7" s="133"/>
      <c r="M7" s="133"/>
      <c r="N7" s="133"/>
      <c r="O7" s="133"/>
      <c r="P7" s="134"/>
      <c r="Q7" s="321"/>
      <c r="R7" s="142">
        <v>5700</v>
      </c>
      <c r="S7" s="142">
        <v>140</v>
      </c>
      <c r="T7" s="140">
        <v>6</v>
      </c>
      <c r="U7" s="216">
        <v>16</v>
      </c>
      <c r="V7" s="217">
        <v>15.13</v>
      </c>
      <c r="W7" s="217">
        <v>17</v>
      </c>
      <c r="X7" s="219">
        <v>-4.2</v>
      </c>
      <c r="Y7" s="141">
        <f t="shared" si="1"/>
        <v>10.93</v>
      </c>
      <c r="Z7" s="134"/>
      <c r="AA7" s="134"/>
      <c r="AB7" s="134"/>
      <c r="AC7" s="134"/>
      <c r="AD7" s="134"/>
      <c r="AE7" s="134"/>
      <c r="AF7" s="326"/>
      <c r="AG7" s="130">
        <v>5825</v>
      </c>
      <c r="AH7" s="130">
        <v>165</v>
      </c>
      <c r="AI7" s="140">
        <v>6</v>
      </c>
      <c r="AJ7" s="216">
        <v>16</v>
      </c>
      <c r="AK7" s="217">
        <v>9.6300000000000008</v>
      </c>
      <c r="AL7" s="217">
        <v>17</v>
      </c>
      <c r="AM7" s="210">
        <v>-3.2</v>
      </c>
      <c r="AN7" s="141">
        <f t="shared" si="2"/>
        <v>6.4300000000000006</v>
      </c>
      <c r="AO7" s="139"/>
      <c r="AP7" s="134"/>
      <c r="AQ7" s="134"/>
      <c r="AR7" s="134"/>
      <c r="AS7" s="143"/>
      <c r="AT7" s="6"/>
      <c r="BB7" s="4"/>
    </row>
    <row r="8" spans="1:59" ht="24.9" customHeight="1" x14ac:dyDescent="0.25">
      <c r="A8" s="133"/>
      <c r="B8" s="318" t="s">
        <v>7</v>
      </c>
      <c r="C8" s="144">
        <v>5180</v>
      </c>
      <c r="D8" s="144">
        <v>36</v>
      </c>
      <c r="E8" s="145" t="s">
        <v>19</v>
      </c>
      <c r="F8" s="216">
        <v>16</v>
      </c>
      <c r="G8" s="217">
        <v>15.54</v>
      </c>
      <c r="H8" s="217">
        <v>17</v>
      </c>
      <c r="I8" s="217">
        <v>-0.8</v>
      </c>
      <c r="J8" s="141">
        <f t="shared" si="0"/>
        <v>14.739999999999998</v>
      </c>
      <c r="K8" s="134"/>
      <c r="L8" s="134"/>
      <c r="M8" s="134"/>
      <c r="N8" s="134"/>
      <c r="O8" s="134"/>
      <c r="P8" s="134"/>
      <c r="Q8" s="318" t="s">
        <v>7</v>
      </c>
      <c r="R8" s="145">
        <v>5500</v>
      </c>
      <c r="S8" s="145">
        <v>100</v>
      </c>
      <c r="T8" s="145" t="s">
        <v>19</v>
      </c>
      <c r="U8" s="216">
        <v>16</v>
      </c>
      <c r="V8" s="217">
        <v>15.43</v>
      </c>
      <c r="W8" s="217">
        <v>17</v>
      </c>
      <c r="X8" s="219">
        <v>-4.2</v>
      </c>
      <c r="Y8" s="141">
        <f t="shared" si="1"/>
        <v>11.23</v>
      </c>
      <c r="Z8" s="134"/>
      <c r="AA8" s="134"/>
      <c r="AB8" s="134"/>
      <c r="AC8" s="134"/>
      <c r="AD8" s="134"/>
      <c r="AE8" s="134"/>
      <c r="AF8" s="301" t="s">
        <v>7</v>
      </c>
      <c r="AG8" s="130">
        <v>5745</v>
      </c>
      <c r="AH8" s="130">
        <v>149</v>
      </c>
      <c r="AI8" s="145" t="s">
        <v>19</v>
      </c>
      <c r="AJ8" s="216">
        <v>16</v>
      </c>
      <c r="AK8" s="217">
        <v>9.52</v>
      </c>
      <c r="AL8" s="217">
        <v>17</v>
      </c>
      <c r="AM8" s="210">
        <v>-3.2</v>
      </c>
      <c r="AN8" s="141">
        <f t="shared" si="2"/>
        <v>6.3199999999999994</v>
      </c>
      <c r="AO8" s="139"/>
      <c r="AP8" s="134"/>
      <c r="AQ8" s="134"/>
      <c r="AR8" s="134"/>
      <c r="AS8" s="143"/>
      <c r="AT8" s="6"/>
    </row>
    <row r="9" spans="1:59" ht="24.9" customHeight="1" x14ac:dyDescent="0.25">
      <c r="A9" s="133"/>
      <c r="B9" s="299"/>
      <c r="C9" s="144">
        <v>5260</v>
      </c>
      <c r="D9" s="144">
        <v>52</v>
      </c>
      <c r="E9" s="145" t="s">
        <v>19</v>
      </c>
      <c r="F9" s="216">
        <v>16</v>
      </c>
      <c r="G9" s="217">
        <v>16.32</v>
      </c>
      <c r="H9" s="217">
        <v>17</v>
      </c>
      <c r="I9" s="217">
        <v>-0.8</v>
      </c>
      <c r="J9" s="141">
        <f t="shared" si="0"/>
        <v>15.52</v>
      </c>
      <c r="K9" s="134"/>
      <c r="L9" s="134"/>
      <c r="M9" s="134"/>
      <c r="N9" s="134"/>
      <c r="O9" s="134"/>
      <c r="P9" s="134"/>
      <c r="Q9" s="299"/>
      <c r="R9" s="145">
        <v>5600</v>
      </c>
      <c r="S9" s="145">
        <v>120</v>
      </c>
      <c r="T9" s="145" t="s">
        <v>19</v>
      </c>
      <c r="U9" s="216">
        <v>16</v>
      </c>
      <c r="V9" s="217">
        <v>15.41</v>
      </c>
      <c r="W9" s="217">
        <v>17</v>
      </c>
      <c r="X9" s="219">
        <v>-4.2</v>
      </c>
      <c r="Y9" s="141">
        <f t="shared" si="1"/>
        <v>11.21</v>
      </c>
      <c r="Z9" s="134"/>
      <c r="AA9" s="134"/>
      <c r="AB9" s="134"/>
      <c r="AC9" s="134"/>
      <c r="AD9" s="134"/>
      <c r="AE9" s="134"/>
      <c r="AF9" s="303"/>
      <c r="AG9" s="130">
        <v>5785</v>
      </c>
      <c r="AH9" s="130">
        <v>157</v>
      </c>
      <c r="AI9" s="145" t="s">
        <v>19</v>
      </c>
      <c r="AJ9" s="216">
        <v>16</v>
      </c>
      <c r="AK9" s="217">
        <v>9.42</v>
      </c>
      <c r="AL9" s="217">
        <v>17</v>
      </c>
      <c r="AM9" s="210">
        <v>-3.2</v>
      </c>
      <c r="AN9" s="141">
        <f t="shared" si="2"/>
        <v>6.22</v>
      </c>
      <c r="AO9" s="139"/>
      <c r="AP9" s="134"/>
      <c r="AQ9" s="134"/>
      <c r="AR9" s="134"/>
      <c r="AS9" s="143"/>
      <c r="AT9" s="6"/>
    </row>
    <row r="10" spans="1:59" ht="24.9" customHeight="1" x14ac:dyDescent="0.25">
      <c r="A10" s="133"/>
      <c r="B10" s="300"/>
      <c r="C10" s="144">
        <v>5320</v>
      </c>
      <c r="D10" s="144">
        <v>64</v>
      </c>
      <c r="E10" s="145" t="s">
        <v>19</v>
      </c>
      <c r="F10" s="216">
        <v>16</v>
      </c>
      <c r="G10" s="217">
        <v>16.27</v>
      </c>
      <c r="H10" s="217">
        <v>17</v>
      </c>
      <c r="I10" s="217">
        <v>-0.8</v>
      </c>
      <c r="J10" s="141">
        <f t="shared" si="0"/>
        <v>15.469999999999999</v>
      </c>
      <c r="K10" s="134"/>
      <c r="L10" s="134"/>
      <c r="M10" s="134"/>
      <c r="N10" s="134"/>
      <c r="O10" s="134"/>
      <c r="P10" s="134"/>
      <c r="Q10" s="300"/>
      <c r="R10" s="145">
        <v>5700</v>
      </c>
      <c r="S10" s="145">
        <v>140</v>
      </c>
      <c r="T10" s="145" t="s">
        <v>19</v>
      </c>
      <c r="U10" s="216">
        <v>16</v>
      </c>
      <c r="V10" s="217">
        <v>15.33</v>
      </c>
      <c r="W10" s="217">
        <v>17</v>
      </c>
      <c r="X10" s="219">
        <v>-4.2</v>
      </c>
      <c r="Y10" s="141">
        <f t="shared" si="1"/>
        <v>11.129999999999999</v>
      </c>
      <c r="Z10" s="134"/>
      <c r="AA10" s="134"/>
      <c r="AB10" s="134"/>
      <c r="AC10" s="134"/>
      <c r="AD10" s="134"/>
      <c r="AE10" s="134"/>
      <c r="AF10" s="304"/>
      <c r="AG10" s="130">
        <v>5825</v>
      </c>
      <c r="AH10" s="130">
        <v>165</v>
      </c>
      <c r="AI10" s="145" t="s">
        <v>19</v>
      </c>
      <c r="AJ10" s="216">
        <v>16</v>
      </c>
      <c r="AK10" s="217">
        <v>9.7899999999999991</v>
      </c>
      <c r="AL10" s="217">
        <v>17</v>
      </c>
      <c r="AM10" s="210">
        <v>-3.2</v>
      </c>
      <c r="AN10" s="141">
        <f t="shared" si="2"/>
        <v>6.589999999999999</v>
      </c>
      <c r="AO10" s="139"/>
      <c r="AP10" s="134"/>
      <c r="AQ10" s="134"/>
      <c r="AR10" s="134"/>
      <c r="AS10" s="143"/>
      <c r="AT10" s="6"/>
    </row>
    <row r="11" spans="1:59" ht="24.9" customHeight="1" x14ac:dyDescent="0.25">
      <c r="A11" s="133"/>
      <c r="B11" s="318" t="s">
        <v>10</v>
      </c>
      <c r="C11" s="144">
        <v>5190</v>
      </c>
      <c r="D11" s="144">
        <v>38</v>
      </c>
      <c r="E11" s="145" t="s">
        <v>19</v>
      </c>
      <c r="F11" s="216">
        <v>16</v>
      </c>
      <c r="G11" s="217">
        <v>15.61</v>
      </c>
      <c r="H11" s="217">
        <v>17</v>
      </c>
      <c r="I11" s="217">
        <v>-0.8</v>
      </c>
      <c r="J11" s="141">
        <f t="shared" si="0"/>
        <v>14.809999999999999</v>
      </c>
      <c r="K11" s="134"/>
      <c r="L11" s="134"/>
      <c r="M11" s="134"/>
      <c r="N11" s="134"/>
      <c r="O11" s="134"/>
      <c r="P11" s="134"/>
      <c r="Q11" s="318" t="s">
        <v>10</v>
      </c>
      <c r="R11" s="145">
        <v>5510</v>
      </c>
      <c r="S11" s="145">
        <v>102</v>
      </c>
      <c r="T11" s="145" t="s">
        <v>19</v>
      </c>
      <c r="U11" s="216">
        <v>16</v>
      </c>
      <c r="V11" s="217">
        <v>15.58</v>
      </c>
      <c r="W11" s="217">
        <v>17</v>
      </c>
      <c r="X11" s="219">
        <v>-4.2</v>
      </c>
      <c r="Y11" s="141">
        <f t="shared" si="1"/>
        <v>11.379999999999999</v>
      </c>
      <c r="Z11" s="134"/>
      <c r="AA11" s="134"/>
      <c r="AB11" s="134"/>
      <c r="AC11" s="134"/>
      <c r="AD11" s="134"/>
      <c r="AE11" s="134"/>
      <c r="AF11" s="301" t="s">
        <v>10</v>
      </c>
      <c r="AG11" s="130">
        <v>5755</v>
      </c>
      <c r="AH11" s="130">
        <v>151</v>
      </c>
      <c r="AI11" s="145" t="s">
        <v>19</v>
      </c>
      <c r="AJ11" s="216">
        <v>16</v>
      </c>
      <c r="AK11" s="217">
        <v>9.27</v>
      </c>
      <c r="AL11" s="217">
        <v>17</v>
      </c>
      <c r="AM11" s="210">
        <v>-3.2</v>
      </c>
      <c r="AN11" s="141">
        <f t="shared" si="2"/>
        <v>6.0699999999999994</v>
      </c>
      <c r="AO11" s="139"/>
      <c r="AP11" s="134"/>
      <c r="AQ11" s="134"/>
      <c r="AR11" s="134"/>
      <c r="AS11" s="143"/>
      <c r="AT11" s="6"/>
    </row>
    <row r="12" spans="1:59" ht="24.9" customHeight="1" x14ac:dyDescent="0.25">
      <c r="A12" s="133"/>
      <c r="B12" s="299"/>
      <c r="C12" s="144">
        <v>5270</v>
      </c>
      <c r="D12" s="144">
        <v>54</v>
      </c>
      <c r="E12" s="145" t="s">
        <v>19</v>
      </c>
      <c r="F12" s="216">
        <v>16</v>
      </c>
      <c r="G12" s="217">
        <v>14.3</v>
      </c>
      <c r="H12" s="217">
        <v>17</v>
      </c>
      <c r="I12" s="217">
        <v>-0.8</v>
      </c>
      <c r="J12" s="141">
        <f t="shared" si="0"/>
        <v>13.5</v>
      </c>
      <c r="K12" s="134"/>
      <c r="L12" s="134"/>
      <c r="M12" s="134"/>
      <c r="N12" s="134"/>
      <c r="O12" s="134"/>
      <c r="P12" s="134"/>
      <c r="Q12" s="299"/>
      <c r="R12" s="145">
        <v>5590</v>
      </c>
      <c r="S12" s="145">
        <v>118</v>
      </c>
      <c r="T12" s="145" t="s">
        <v>19</v>
      </c>
      <c r="U12" s="216">
        <v>16</v>
      </c>
      <c r="V12" s="217">
        <v>14.39</v>
      </c>
      <c r="W12" s="217">
        <v>17</v>
      </c>
      <c r="X12" s="219">
        <v>-4.2</v>
      </c>
      <c r="Y12" s="141">
        <f t="shared" si="1"/>
        <v>10.190000000000001</v>
      </c>
      <c r="Z12" s="134"/>
      <c r="AA12" s="134"/>
      <c r="AB12" s="134"/>
      <c r="AC12" s="134"/>
      <c r="AD12" s="134"/>
      <c r="AE12" s="134"/>
      <c r="AF12" s="302"/>
      <c r="AG12" s="130">
        <v>5795</v>
      </c>
      <c r="AH12" s="130">
        <v>159</v>
      </c>
      <c r="AI12" s="145" t="s">
        <v>19</v>
      </c>
      <c r="AJ12" s="216">
        <v>16</v>
      </c>
      <c r="AK12" s="217">
        <v>9.25</v>
      </c>
      <c r="AL12" s="217">
        <v>17</v>
      </c>
      <c r="AM12" s="210">
        <v>-3.2</v>
      </c>
      <c r="AN12" s="141">
        <f t="shared" si="2"/>
        <v>6.05</v>
      </c>
      <c r="AO12" s="139"/>
      <c r="AP12" s="134"/>
      <c r="AQ12" s="134"/>
      <c r="AR12" s="134"/>
      <c r="AS12" s="143"/>
      <c r="AT12" s="6"/>
    </row>
    <row r="13" spans="1:59" ht="24.9" customHeight="1" x14ac:dyDescent="0.25">
      <c r="A13" s="133"/>
      <c r="B13" s="300"/>
      <c r="C13" s="144">
        <v>5310</v>
      </c>
      <c r="D13" s="144">
        <v>62</v>
      </c>
      <c r="E13" s="145" t="s">
        <v>19</v>
      </c>
      <c r="F13" s="216">
        <v>16</v>
      </c>
      <c r="G13" s="217">
        <v>14.87</v>
      </c>
      <c r="H13" s="217">
        <v>17</v>
      </c>
      <c r="I13" s="217">
        <v>-0.8</v>
      </c>
      <c r="J13" s="141">
        <f t="shared" si="0"/>
        <v>14.069999999999999</v>
      </c>
      <c r="K13" s="134"/>
      <c r="L13" s="134"/>
      <c r="M13" s="134"/>
      <c r="N13" s="134"/>
      <c r="O13" s="134"/>
      <c r="P13" s="134"/>
      <c r="Q13" s="300"/>
      <c r="R13" s="145">
        <v>5670</v>
      </c>
      <c r="S13" s="145">
        <v>134</v>
      </c>
      <c r="T13" s="145" t="s">
        <v>19</v>
      </c>
      <c r="U13" s="216">
        <v>16</v>
      </c>
      <c r="V13" s="217">
        <v>14.8</v>
      </c>
      <c r="W13" s="217">
        <v>17</v>
      </c>
      <c r="X13" s="219">
        <v>-4.2</v>
      </c>
      <c r="Y13" s="141">
        <f t="shared" si="1"/>
        <v>10.600000000000001</v>
      </c>
      <c r="Z13" s="134"/>
      <c r="AA13" s="134"/>
      <c r="AB13" s="134"/>
      <c r="AC13" s="134"/>
      <c r="AD13" s="134"/>
      <c r="AE13" s="134"/>
      <c r="AF13" s="301" t="s">
        <v>11</v>
      </c>
      <c r="AG13" s="130">
        <v>5745</v>
      </c>
      <c r="AH13" s="130">
        <v>149</v>
      </c>
      <c r="AI13" s="145" t="s">
        <v>19</v>
      </c>
      <c r="AJ13" s="216">
        <v>16</v>
      </c>
      <c r="AK13" s="217">
        <v>9.6</v>
      </c>
      <c r="AL13" s="217">
        <v>17</v>
      </c>
      <c r="AM13" s="210">
        <v>-3.2</v>
      </c>
      <c r="AN13" s="141">
        <f t="shared" si="2"/>
        <v>6.3999999999999995</v>
      </c>
      <c r="AO13" s="139"/>
      <c r="AP13" s="134"/>
      <c r="AQ13" s="134"/>
      <c r="AR13" s="134"/>
      <c r="AS13" s="143"/>
      <c r="AT13" s="6"/>
    </row>
    <row r="14" spans="1:59" ht="24.9" customHeight="1" x14ac:dyDescent="0.25">
      <c r="A14" s="133"/>
      <c r="B14" s="298" t="s">
        <v>11</v>
      </c>
      <c r="C14" s="144">
        <v>5180</v>
      </c>
      <c r="D14" s="144">
        <v>36</v>
      </c>
      <c r="E14" s="145" t="s">
        <v>19</v>
      </c>
      <c r="F14" s="216">
        <v>16</v>
      </c>
      <c r="G14" s="217">
        <v>13.92</v>
      </c>
      <c r="H14" s="217">
        <v>17</v>
      </c>
      <c r="I14" s="217">
        <v>-0.8</v>
      </c>
      <c r="J14" s="141">
        <f t="shared" si="0"/>
        <v>13.12</v>
      </c>
      <c r="K14" s="134"/>
      <c r="L14" s="134"/>
      <c r="M14" s="134"/>
      <c r="N14" s="134"/>
      <c r="O14" s="134"/>
      <c r="P14" s="134"/>
      <c r="Q14" s="298" t="s">
        <v>11</v>
      </c>
      <c r="R14" s="145">
        <v>5500</v>
      </c>
      <c r="S14" s="145">
        <v>100</v>
      </c>
      <c r="T14" s="145" t="s">
        <v>19</v>
      </c>
      <c r="U14" s="216">
        <v>16</v>
      </c>
      <c r="V14" s="217">
        <v>15.32</v>
      </c>
      <c r="W14" s="217">
        <v>17</v>
      </c>
      <c r="X14" s="219">
        <v>-4.2</v>
      </c>
      <c r="Y14" s="141">
        <f t="shared" si="1"/>
        <v>11.120000000000001</v>
      </c>
      <c r="Z14" s="134"/>
      <c r="AA14" s="134"/>
      <c r="AB14" s="134"/>
      <c r="AC14" s="134"/>
      <c r="AD14" s="134"/>
      <c r="AE14" s="134"/>
      <c r="AF14" s="303"/>
      <c r="AG14" s="130">
        <v>5785</v>
      </c>
      <c r="AH14" s="130">
        <v>157</v>
      </c>
      <c r="AI14" s="145" t="s">
        <v>19</v>
      </c>
      <c r="AJ14" s="216">
        <v>16</v>
      </c>
      <c r="AK14" s="217">
        <v>9.58</v>
      </c>
      <c r="AL14" s="217">
        <v>17</v>
      </c>
      <c r="AM14" s="210">
        <v>-3.2</v>
      </c>
      <c r="AN14" s="141">
        <f t="shared" si="2"/>
        <v>6.38</v>
      </c>
      <c r="AO14" s="139"/>
      <c r="AP14" s="134"/>
      <c r="AQ14" s="134"/>
      <c r="AR14" s="134"/>
      <c r="AS14" s="143"/>
      <c r="AT14" s="6"/>
    </row>
    <row r="15" spans="1:59" ht="24.9" customHeight="1" x14ac:dyDescent="0.25">
      <c r="A15" s="133"/>
      <c r="B15" s="322"/>
      <c r="C15" s="144">
        <v>5260</v>
      </c>
      <c r="D15" s="144">
        <v>52</v>
      </c>
      <c r="E15" s="145" t="s">
        <v>19</v>
      </c>
      <c r="F15" s="216">
        <v>16</v>
      </c>
      <c r="G15" s="217">
        <v>16.25</v>
      </c>
      <c r="H15" s="217">
        <v>17</v>
      </c>
      <c r="I15" s="217">
        <v>-0.8</v>
      </c>
      <c r="J15" s="141">
        <f t="shared" si="0"/>
        <v>15.45</v>
      </c>
      <c r="K15" s="134"/>
      <c r="L15" s="134"/>
      <c r="M15" s="134"/>
      <c r="N15" s="134"/>
      <c r="O15" s="134"/>
      <c r="P15" s="134"/>
      <c r="Q15" s="322"/>
      <c r="R15" s="145">
        <v>5600</v>
      </c>
      <c r="S15" s="145">
        <v>120</v>
      </c>
      <c r="T15" s="145" t="s">
        <v>19</v>
      </c>
      <c r="U15" s="216">
        <v>16</v>
      </c>
      <c r="V15" s="217">
        <v>15.4</v>
      </c>
      <c r="W15" s="217">
        <v>17</v>
      </c>
      <c r="X15" s="219">
        <v>-4.2</v>
      </c>
      <c r="Y15" s="141">
        <f t="shared" si="1"/>
        <v>11.2</v>
      </c>
      <c r="Z15" s="134"/>
      <c r="AA15" s="134"/>
      <c r="AB15" s="134"/>
      <c r="AC15" s="134"/>
      <c r="AD15" s="134"/>
      <c r="AE15" s="134"/>
      <c r="AF15" s="304"/>
      <c r="AG15" s="130">
        <v>5825</v>
      </c>
      <c r="AH15" s="130">
        <v>165</v>
      </c>
      <c r="AI15" s="145" t="s">
        <v>19</v>
      </c>
      <c r="AJ15" s="216">
        <v>16</v>
      </c>
      <c r="AK15" s="217">
        <v>9.76</v>
      </c>
      <c r="AL15" s="217">
        <v>17</v>
      </c>
      <c r="AM15" s="210">
        <v>-3.2</v>
      </c>
      <c r="AN15" s="141">
        <f t="shared" si="2"/>
        <v>6.56</v>
      </c>
      <c r="AO15" s="139"/>
      <c r="AP15" s="134"/>
      <c r="AQ15" s="134"/>
      <c r="AR15" s="134"/>
      <c r="AS15" s="143"/>
      <c r="AT15" s="6"/>
    </row>
    <row r="16" spans="1:59" ht="24.9" customHeight="1" x14ac:dyDescent="0.25">
      <c r="A16" s="133"/>
      <c r="B16" s="323"/>
      <c r="C16" s="144">
        <v>5320</v>
      </c>
      <c r="D16" s="144">
        <v>64</v>
      </c>
      <c r="E16" s="145" t="s">
        <v>19</v>
      </c>
      <c r="F16" s="216">
        <v>16</v>
      </c>
      <c r="G16" s="217">
        <v>16.27</v>
      </c>
      <c r="H16" s="217">
        <v>17</v>
      </c>
      <c r="I16" s="217">
        <v>-0.8</v>
      </c>
      <c r="J16" s="141">
        <f t="shared" si="0"/>
        <v>15.469999999999999</v>
      </c>
      <c r="K16" s="134"/>
      <c r="L16" s="134"/>
      <c r="M16" s="134"/>
      <c r="N16" s="134"/>
      <c r="O16" s="134"/>
      <c r="P16" s="134"/>
      <c r="Q16" s="323"/>
      <c r="R16" s="145">
        <v>5700</v>
      </c>
      <c r="S16" s="145">
        <v>140</v>
      </c>
      <c r="T16" s="145" t="s">
        <v>19</v>
      </c>
      <c r="U16" s="216">
        <v>16</v>
      </c>
      <c r="V16" s="217">
        <v>15.32</v>
      </c>
      <c r="W16" s="217">
        <v>17</v>
      </c>
      <c r="X16" s="219">
        <v>-4.2</v>
      </c>
      <c r="Y16" s="141">
        <f t="shared" si="1"/>
        <v>11.120000000000001</v>
      </c>
      <c r="Z16" s="134"/>
      <c r="AA16" s="134"/>
      <c r="AB16" s="134"/>
      <c r="AC16" s="134"/>
      <c r="AD16" s="134"/>
      <c r="AE16" s="134"/>
      <c r="AF16" s="301" t="s">
        <v>12</v>
      </c>
      <c r="AG16" s="130">
        <v>5755</v>
      </c>
      <c r="AH16" s="130">
        <v>151</v>
      </c>
      <c r="AI16" s="145" t="s">
        <v>19</v>
      </c>
      <c r="AJ16" s="216">
        <v>16</v>
      </c>
      <c r="AK16" s="217">
        <v>9.56</v>
      </c>
      <c r="AL16" s="217">
        <v>17</v>
      </c>
      <c r="AM16" s="210">
        <v>-3.2</v>
      </c>
      <c r="AN16" s="141">
        <f t="shared" si="2"/>
        <v>6.36</v>
      </c>
      <c r="AO16" s="139"/>
      <c r="AP16" s="134"/>
      <c r="AQ16" s="134"/>
      <c r="AR16" s="134"/>
      <c r="AS16" s="143"/>
      <c r="AT16" s="6"/>
    </row>
    <row r="17" spans="1:46" ht="24.9" customHeight="1" x14ac:dyDescent="0.25">
      <c r="A17" s="133"/>
      <c r="B17" s="298" t="s">
        <v>12</v>
      </c>
      <c r="C17" s="144">
        <v>5190</v>
      </c>
      <c r="D17" s="144">
        <v>38</v>
      </c>
      <c r="E17" s="145" t="s">
        <v>19</v>
      </c>
      <c r="F17" s="216">
        <v>16</v>
      </c>
      <c r="G17" s="217">
        <v>15.51</v>
      </c>
      <c r="H17" s="217">
        <v>17</v>
      </c>
      <c r="I17" s="217">
        <v>-0.8</v>
      </c>
      <c r="J17" s="141">
        <f t="shared" si="0"/>
        <v>14.709999999999999</v>
      </c>
      <c r="K17" s="134"/>
      <c r="L17" s="134"/>
      <c r="M17" s="134"/>
      <c r="N17" s="134"/>
      <c r="O17" s="134"/>
      <c r="P17" s="134"/>
      <c r="Q17" s="298" t="s">
        <v>12</v>
      </c>
      <c r="R17" s="145">
        <v>5510</v>
      </c>
      <c r="S17" s="145">
        <v>102</v>
      </c>
      <c r="T17" s="145" t="s">
        <v>19</v>
      </c>
      <c r="U17" s="216">
        <v>16</v>
      </c>
      <c r="V17" s="217">
        <v>15.55</v>
      </c>
      <c r="W17" s="217">
        <v>17</v>
      </c>
      <c r="X17" s="219">
        <v>-4.2</v>
      </c>
      <c r="Y17" s="141">
        <f t="shared" si="1"/>
        <v>11.350000000000001</v>
      </c>
      <c r="Z17" s="134"/>
      <c r="AA17" s="134"/>
      <c r="AB17" s="134"/>
      <c r="AC17" s="134"/>
      <c r="AD17" s="134"/>
      <c r="AE17" s="134"/>
      <c r="AF17" s="302"/>
      <c r="AG17" s="130">
        <v>5795</v>
      </c>
      <c r="AH17" s="130">
        <v>159</v>
      </c>
      <c r="AI17" s="145" t="s">
        <v>19</v>
      </c>
      <c r="AJ17" s="216">
        <v>16</v>
      </c>
      <c r="AK17" s="217">
        <v>9.31</v>
      </c>
      <c r="AL17" s="217">
        <v>17</v>
      </c>
      <c r="AM17" s="210">
        <v>-3.2</v>
      </c>
      <c r="AN17" s="141">
        <f t="shared" si="2"/>
        <v>6.11</v>
      </c>
      <c r="AO17" s="139"/>
      <c r="AP17" s="134"/>
      <c r="AQ17" s="134"/>
      <c r="AR17" s="134"/>
      <c r="AS17" s="143"/>
      <c r="AT17" s="6"/>
    </row>
    <row r="18" spans="1:46" ht="24.9" customHeight="1" thickBot="1" x14ac:dyDescent="0.3">
      <c r="A18" s="133"/>
      <c r="B18" s="322"/>
      <c r="C18" s="144">
        <v>5270</v>
      </c>
      <c r="D18" s="144">
        <v>54</v>
      </c>
      <c r="E18" s="145" t="s">
        <v>19</v>
      </c>
      <c r="F18" s="216">
        <v>16</v>
      </c>
      <c r="G18" s="217">
        <v>14.41</v>
      </c>
      <c r="H18" s="217">
        <v>17</v>
      </c>
      <c r="I18" s="217">
        <v>-0.8</v>
      </c>
      <c r="J18" s="141">
        <f t="shared" si="0"/>
        <v>13.61</v>
      </c>
      <c r="K18" s="134"/>
      <c r="L18" s="134"/>
      <c r="M18" s="134"/>
      <c r="N18" s="134"/>
      <c r="O18" s="134"/>
      <c r="P18" s="134"/>
      <c r="Q18" s="322"/>
      <c r="R18" s="145">
        <v>5590</v>
      </c>
      <c r="S18" s="145">
        <v>118</v>
      </c>
      <c r="T18" s="145" t="s">
        <v>19</v>
      </c>
      <c r="U18" s="216">
        <v>16</v>
      </c>
      <c r="V18" s="217">
        <v>14.28</v>
      </c>
      <c r="W18" s="217">
        <v>17</v>
      </c>
      <c r="X18" s="219">
        <v>-4.2</v>
      </c>
      <c r="Y18" s="141">
        <f t="shared" si="1"/>
        <v>10.079999999999998</v>
      </c>
      <c r="Z18" s="134"/>
      <c r="AA18" s="134"/>
      <c r="AB18" s="134"/>
      <c r="AC18" s="134"/>
      <c r="AD18" s="134"/>
      <c r="AE18" s="134"/>
      <c r="AF18" s="146" t="s">
        <v>13</v>
      </c>
      <c r="AG18" s="147">
        <v>5775</v>
      </c>
      <c r="AH18" s="147">
        <v>155</v>
      </c>
      <c r="AI18" s="148" t="s">
        <v>19</v>
      </c>
      <c r="AJ18" s="216">
        <v>16</v>
      </c>
      <c r="AK18" s="218">
        <v>9.31</v>
      </c>
      <c r="AL18" s="217">
        <v>17</v>
      </c>
      <c r="AM18" s="210">
        <v>-3.2</v>
      </c>
      <c r="AN18" s="149">
        <f t="shared" si="2"/>
        <v>6.11</v>
      </c>
      <c r="AO18" s="139"/>
      <c r="AP18" s="134"/>
      <c r="AQ18" s="134"/>
      <c r="AR18" s="134"/>
      <c r="AS18" s="143"/>
      <c r="AT18" s="6"/>
    </row>
    <row r="19" spans="1:46" ht="24.9" customHeight="1" x14ac:dyDescent="0.25">
      <c r="A19" s="133"/>
      <c r="B19" s="323"/>
      <c r="C19" s="144">
        <v>5310</v>
      </c>
      <c r="D19" s="144">
        <v>62</v>
      </c>
      <c r="E19" s="145" t="s">
        <v>19</v>
      </c>
      <c r="F19" s="216">
        <v>16</v>
      </c>
      <c r="G19" s="217">
        <v>14.59</v>
      </c>
      <c r="H19" s="217">
        <v>17</v>
      </c>
      <c r="I19" s="217">
        <v>-0.8</v>
      </c>
      <c r="J19" s="141">
        <f t="shared" si="0"/>
        <v>13.79</v>
      </c>
      <c r="K19" s="134"/>
      <c r="L19" s="134"/>
      <c r="M19" s="134"/>
      <c r="N19" s="134"/>
      <c r="O19" s="134"/>
      <c r="P19" s="134"/>
      <c r="Q19" s="323"/>
      <c r="R19" s="145">
        <v>5670</v>
      </c>
      <c r="S19" s="145">
        <v>134</v>
      </c>
      <c r="T19" s="145" t="s">
        <v>19</v>
      </c>
      <c r="U19" s="216">
        <v>16</v>
      </c>
      <c r="V19" s="217">
        <v>14.61</v>
      </c>
      <c r="W19" s="217">
        <v>17</v>
      </c>
      <c r="X19" s="219">
        <v>-4.2</v>
      </c>
      <c r="Y19" s="141">
        <f t="shared" si="1"/>
        <v>10.41</v>
      </c>
      <c r="Z19" s="134"/>
      <c r="AA19" s="134"/>
      <c r="AB19" s="134"/>
      <c r="AC19" s="134"/>
      <c r="AD19" s="134"/>
      <c r="AE19" s="134"/>
      <c r="AF19" s="118"/>
      <c r="AG19" s="118"/>
      <c r="AH19" s="135"/>
      <c r="AI19" s="135"/>
      <c r="AJ19" s="118"/>
      <c r="AK19" s="118"/>
      <c r="AL19" s="118"/>
      <c r="AM19" s="134"/>
      <c r="AN19" s="134"/>
      <c r="AO19" s="134"/>
      <c r="AP19" s="134"/>
      <c r="AQ19" s="134"/>
      <c r="AR19" s="134"/>
      <c r="AS19" s="134"/>
    </row>
    <row r="20" spans="1:46" ht="24.9" customHeight="1" x14ac:dyDescent="0.25">
      <c r="A20" s="133"/>
      <c r="B20" s="298" t="s">
        <v>13</v>
      </c>
      <c r="C20" s="144">
        <v>5210</v>
      </c>
      <c r="D20" s="144">
        <v>42</v>
      </c>
      <c r="E20" s="145" t="s">
        <v>19</v>
      </c>
      <c r="F20" s="216">
        <v>16</v>
      </c>
      <c r="G20" s="217">
        <v>13.9</v>
      </c>
      <c r="H20" s="217">
        <v>17</v>
      </c>
      <c r="I20" s="217">
        <v>-0.8</v>
      </c>
      <c r="J20" s="141">
        <f t="shared" si="0"/>
        <v>13.1</v>
      </c>
      <c r="K20" s="134"/>
      <c r="L20" s="134"/>
      <c r="M20" s="134"/>
      <c r="N20" s="134"/>
      <c r="O20" s="134"/>
      <c r="P20" s="134"/>
      <c r="Q20" s="298" t="s">
        <v>13</v>
      </c>
      <c r="R20" s="145">
        <v>5530</v>
      </c>
      <c r="S20" s="145">
        <v>106</v>
      </c>
      <c r="T20" s="145" t="s">
        <v>19</v>
      </c>
      <c r="U20" s="216">
        <v>16</v>
      </c>
      <c r="V20" s="217">
        <v>15.13</v>
      </c>
      <c r="W20" s="217">
        <v>17</v>
      </c>
      <c r="X20" s="219">
        <v>-4.2</v>
      </c>
      <c r="Y20" s="141">
        <f t="shared" si="1"/>
        <v>10.93</v>
      </c>
      <c r="Z20" s="134"/>
      <c r="AA20" s="134"/>
      <c r="AB20" s="134"/>
      <c r="AC20" s="134"/>
      <c r="AD20" s="134"/>
      <c r="AE20" s="134"/>
      <c r="AF20" s="118"/>
      <c r="AG20" s="135"/>
      <c r="AH20" s="135"/>
      <c r="AI20" s="135"/>
      <c r="AJ20" s="135"/>
      <c r="AK20" s="135"/>
      <c r="AL20" s="118"/>
      <c r="AM20" s="118"/>
      <c r="AN20" s="118"/>
      <c r="AO20" s="118"/>
      <c r="AP20" s="118"/>
      <c r="AQ20" s="134"/>
      <c r="AR20" s="134"/>
      <c r="AS20" s="134"/>
    </row>
    <row r="21" spans="1:46" ht="24.9" customHeight="1" x14ac:dyDescent="0.25">
      <c r="A21" s="133"/>
      <c r="B21" s="314"/>
      <c r="C21" s="144">
        <v>5290</v>
      </c>
      <c r="D21" s="144">
        <v>58</v>
      </c>
      <c r="E21" s="145" t="s">
        <v>19</v>
      </c>
      <c r="F21" s="216">
        <v>16</v>
      </c>
      <c r="G21" s="217">
        <v>13.49</v>
      </c>
      <c r="H21" s="217">
        <v>17</v>
      </c>
      <c r="I21" s="217">
        <v>-0.8</v>
      </c>
      <c r="J21" s="141">
        <f t="shared" si="0"/>
        <v>12.69</v>
      </c>
      <c r="K21" s="134"/>
      <c r="L21" s="134"/>
      <c r="M21" s="134"/>
      <c r="N21" s="134"/>
      <c r="O21" s="134"/>
      <c r="P21" s="134"/>
      <c r="Q21" s="314"/>
      <c r="R21" s="145">
        <v>5610</v>
      </c>
      <c r="S21" s="145">
        <v>122</v>
      </c>
      <c r="T21" s="145" t="s">
        <v>19</v>
      </c>
      <c r="U21" s="216">
        <v>16</v>
      </c>
      <c r="V21" s="217">
        <v>13.43</v>
      </c>
      <c r="W21" s="217">
        <v>17</v>
      </c>
      <c r="X21" s="219">
        <v>-4.2</v>
      </c>
      <c r="Y21" s="141">
        <f t="shared" si="1"/>
        <v>9.23</v>
      </c>
      <c r="Z21" s="134"/>
      <c r="AA21" s="134"/>
      <c r="AB21" s="134"/>
      <c r="AC21" s="134"/>
      <c r="AD21" s="134"/>
      <c r="AE21" s="134"/>
      <c r="AF21" s="118"/>
      <c r="AG21" s="135"/>
      <c r="AH21" s="135"/>
      <c r="AI21" s="135"/>
      <c r="AJ21" s="135"/>
      <c r="AK21" s="135"/>
      <c r="AL21" s="118"/>
      <c r="AM21" s="118"/>
      <c r="AN21" s="118"/>
      <c r="AO21" s="118"/>
      <c r="AP21" s="118"/>
      <c r="AQ21" s="134"/>
      <c r="AR21" s="134"/>
      <c r="AS21" s="134"/>
    </row>
    <row r="22" spans="1:46" ht="24.9" customHeight="1" thickBot="1" x14ac:dyDescent="0.3">
      <c r="A22" s="133"/>
      <c r="B22" s="150" t="s">
        <v>21</v>
      </c>
      <c r="C22" s="151">
        <v>5250</v>
      </c>
      <c r="D22" s="151">
        <v>50</v>
      </c>
      <c r="E22" s="148" t="s">
        <v>19</v>
      </c>
      <c r="F22" s="216">
        <v>16</v>
      </c>
      <c r="G22" s="218">
        <v>13.59</v>
      </c>
      <c r="H22" s="217">
        <v>17</v>
      </c>
      <c r="I22" s="217">
        <v>-0.8</v>
      </c>
      <c r="J22" s="149">
        <f t="shared" si="0"/>
        <v>12.79</v>
      </c>
      <c r="K22" s="134"/>
      <c r="L22" s="134"/>
      <c r="M22" s="134"/>
      <c r="N22" s="134"/>
      <c r="O22" s="134"/>
      <c r="P22" s="134"/>
      <c r="Q22" s="150" t="s">
        <v>26</v>
      </c>
      <c r="R22" s="151">
        <v>5570</v>
      </c>
      <c r="S22" s="151">
        <v>114</v>
      </c>
      <c r="T22" s="148" t="s">
        <v>19</v>
      </c>
      <c r="U22" s="216">
        <v>16</v>
      </c>
      <c r="V22" s="218">
        <v>13.36</v>
      </c>
      <c r="W22" s="217">
        <v>17</v>
      </c>
      <c r="X22" s="219">
        <v>-4.2</v>
      </c>
      <c r="Y22" s="149">
        <f t="shared" si="1"/>
        <v>9.16</v>
      </c>
      <c r="Z22" s="134"/>
      <c r="AA22" s="134"/>
      <c r="AB22" s="134"/>
      <c r="AC22" s="134"/>
      <c r="AD22" s="134"/>
      <c r="AE22" s="134"/>
      <c r="AF22" s="118"/>
      <c r="AG22" s="135"/>
      <c r="AH22" s="135"/>
      <c r="AI22" s="135"/>
      <c r="AJ22" s="135"/>
      <c r="AK22" s="135"/>
      <c r="AL22" s="118"/>
      <c r="AM22" s="118"/>
      <c r="AN22" s="118"/>
      <c r="AO22" s="118"/>
      <c r="AP22" s="118"/>
      <c r="AQ22" s="134"/>
      <c r="AR22" s="134"/>
      <c r="AS22" s="134"/>
    </row>
    <row r="23" spans="1:46" ht="9.9" customHeight="1" x14ac:dyDescent="0.25">
      <c r="A23" s="133"/>
      <c r="B23" s="152"/>
      <c r="C23" s="153"/>
      <c r="D23" s="153"/>
      <c r="E23" s="154"/>
      <c r="F23" s="155"/>
      <c r="G23" s="156"/>
      <c r="H23" s="156"/>
      <c r="I23" s="156"/>
      <c r="J23" s="157"/>
      <c r="K23" s="133"/>
      <c r="L23" s="133"/>
      <c r="M23" s="133"/>
      <c r="N23" s="133"/>
      <c r="O23" s="133"/>
      <c r="P23" s="133"/>
      <c r="Q23" s="152"/>
      <c r="R23" s="153"/>
      <c r="S23" s="153"/>
      <c r="T23" s="154"/>
      <c r="U23" s="155"/>
      <c r="V23" s="156"/>
      <c r="W23" s="156"/>
      <c r="X23" s="157"/>
      <c r="Y23" s="157"/>
      <c r="Z23" s="133"/>
      <c r="AA23" s="133"/>
      <c r="AB23" s="133"/>
      <c r="AC23" s="133"/>
      <c r="AD23" s="133"/>
      <c r="AE23" s="133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4"/>
      <c r="AR23" s="134"/>
      <c r="AS23" s="134"/>
    </row>
    <row r="24" spans="1:46" ht="9.9" customHeight="1" thickBot="1" x14ac:dyDescent="0.3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5"/>
      <c r="AM24" s="135"/>
      <c r="AN24" s="135"/>
      <c r="AO24" s="135"/>
      <c r="AP24" s="135"/>
      <c r="AQ24" s="134"/>
      <c r="AR24" s="134"/>
      <c r="AS24" s="134"/>
    </row>
    <row r="25" spans="1:46" ht="24.9" customHeight="1" thickBot="1" x14ac:dyDescent="0.3">
      <c r="A25" s="136"/>
      <c r="B25" s="289" t="s">
        <v>99</v>
      </c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1"/>
      <c r="AO25" s="135"/>
      <c r="AP25" s="135"/>
      <c r="AQ25" s="134"/>
      <c r="AR25" s="134"/>
      <c r="AS25" s="134"/>
    </row>
    <row r="26" spans="1:46" ht="24.9" customHeight="1" x14ac:dyDescent="0.25">
      <c r="A26" s="133"/>
      <c r="B26" s="315" t="s">
        <v>102</v>
      </c>
      <c r="C26" s="316"/>
      <c r="D26" s="316"/>
      <c r="E26" s="316"/>
      <c r="F26" s="316"/>
      <c r="G26" s="316"/>
      <c r="H26" s="316"/>
      <c r="I26" s="316"/>
      <c r="J26" s="317"/>
      <c r="K26" s="137"/>
      <c r="L26" s="137"/>
      <c r="M26" s="137"/>
      <c r="N26" s="137"/>
      <c r="O26" s="137"/>
      <c r="P26" s="137"/>
      <c r="Q26" s="315" t="s">
        <v>104</v>
      </c>
      <c r="R26" s="316"/>
      <c r="S26" s="316"/>
      <c r="T26" s="316"/>
      <c r="U26" s="316"/>
      <c r="V26" s="316"/>
      <c r="W26" s="316"/>
      <c r="X26" s="316"/>
      <c r="Y26" s="317"/>
      <c r="Z26" s="133"/>
      <c r="AA26" s="133"/>
      <c r="AB26" s="133"/>
      <c r="AC26" s="133"/>
      <c r="AD26" s="133"/>
      <c r="AE26" s="137"/>
      <c r="AF26" s="327" t="s">
        <v>107</v>
      </c>
      <c r="AG26" s="328"/>
      <c r="AH26" s="328"/>
      <c r="AI26" s="328"/>
      <c r="AJ26" s="328"/>
      <c r="AK26" s="328"/>
      <c r="AL26" s="328"/>
      <c r="AM26" s="328"/>
      <c r="AN26" s="329"/>
      <c r="AO26" s="135"/>
      <c r="AP26" s="135"/>
      <c r="AQ26" s="134"/>
      <c r="AR26" s="134"/>
      <c r="AS26" s="134"/>
    </row>
    <row r="27" spans="1:46" ht="24.9" customHeight="1" x14ac:dyDescent="0.25">
      <c r="A27" s="133"/>
      <c r="B27" s="119" t="s">
        <v>0</v>
      </c>
      <c r="C27" s="120" t="s">
        <v>1</v>
      </c>
      <c r="D27" s="120" t="s">
        <v>2</v>
      </c>
      <c r="E27" s="120" t="s">
        <v>3</v>
      </c>
      <c r="F27" s="120" t="s">
        <v>91</v>
      </c>
      <c r="G27" s="121" t="s">
        <v>174</v>
      </c>
      <c r="H27" s="121" t="s">
        <v>175</v>
      </c>
      <c r="I27" s="121" t="s">
        <v>176</v>
      </c>
      <c r="J27" s="122" t="s">
        <v>4</v>
      </c>
      <c r="K27" s="133"/>
      <c r="L27" s="133"/>
      <c r="M27" s="133"/>
      <c r="N27" s="133"/>
      <c r="O27" s="133"/>
      <c r="P27" s="133"/>
      <c r="Q27" s="119" t="s">
        <v>0</v>
      </c>
      <c r="R27" s="120" t="s">
        <v>1</v>
      </c>
      <c r="S27" s="120" t="s">
        <v>2</v>
      </c>
      <c r="T27" s="120" t="s">
        <v>3</v>
      </c>
      <c r="U27" s="120" t="s">
        <v>91</v>
      </c>
      <c r="V27" s="121" t="s">
        <v>174</v>
      </c>
      <c r="W27" s="121" t="s">
        <v>175</v>
      </c>
      <c r="X27" s="121" t="s">
        <v>176</v>
      </c>
      <c r="Y27" s="122" t="s">
        <v>4</v>
      </c>
      <c r="Z27" s="133"/>
      <c r="AA27" s="133"/>
      <c r="AB27" s="133"/>
      <c r="AC27" s="133"/>
      <c r="AD27" s="133"/>
      <c r="AE27" s="133"/>
      <c r="AF27" s="119" t="s">
        <v>0</v>
      </c>
      <c r="AG27" s="120" t="s">
        <v>1</v>
      </c>
      <c r="AH27" s="120" t="s">
        <v>2</v>
      </c>
      <c r="AI27" s="120" t="s">
        <v>3</v>
      </c>
      <c r="AJ27" s="120" t="s">
        <v>91</v>
      </c>
      <c r="AK27" s="121" t="s">
        <v>174</v>
      </c>
      <c r="AL27" s="121" t="s">
        <v>175</v>
      </c>
      <c r="AM27" s="121" t="s">
        <v>176</v>
      </c>
      <c r="AN27" s="122" t="s">
        <v>4</v>
      </c>
      <c r="AO27" s="118"/>
      <c r="AP27" s="139"/>
      <c r="AQ27" s="134"/>
      <c r="AR27" s="134"/>
      <c r="AS27" s="134"/>
    </row>
    <row r="28" spans="1:46" ht="24.9" customHeight="1" x14ac:dyDescent="0.25">
      <c r="A28" s="133"/>
      <c r="B28" s="305" t="s">
        <v>5</v>
      </c>
      <c r="C28" s="140">
        <v>5180</v>
      </c>
      <c r="D28" s="140">
        <v>36</v>
      </c>
      <c r="E28" s="140">
        <v>6</v>
      </c>
      <c r="F28" s="216">
        <v>16</v>
      </c>
      <c r="G28" s="217">
        <v>16.350000000000001</v>
      </c>
      <c r="H28" s="217">
        <v>17</v>
      </c>
      <c r="I28" s="217">
        <v>-1.2</v>
      </c>
      <c r="J28" s="141">
        <f t="shared" ref="J28:J45" si="3">G28+I28</f>
        <v>15.150000000000002</v>
      </c>
      <c r="K28" s="158"/>
      <c r="L28" s="158"/>
      <c r="M28" s="158"/>
      <c r="N28" s="158"/>
      <c r="O28" s="158"/>
      <c r="P28" s="158"/>
      <c r="Q28" s="305" t="s">
        <v>5</v>
      </c>
      <c r="R28" s="142">
        <v>5500</v>
      </c>
      <c r="S28" s="142">
        <v>100</v>
      </c>
      <c r="T28" s="140">
        <v>6</v>
      </c>
      <c r="U28" s="216">
        <v>16</v>
      </c>
      <c r="V28" s="217">
        <v>15.85</v>
      </c>
      <c r="W28" s="217">
        <v>17</v>
      </c>
      <c r="X28" s="217">
        <v>-1</v>
      </c>
      <c r="Y28" s="141">
        <f t="shared" ref="Y28:Y45" si="4">V28+X28</f>
        <v>14.85</v>
      </c>
      <c r="Z28" s="159"/>
      <c r="AA28" s="159"/>
      <c r="AB28" s="159"/>
      <c r="AC28" s="159"/>
      <c r="AD28" s="159"/>
      <c r="AE28" s="158"/>
      <c r="AF28" s="324" t="s">
        <v>5</v>
      </c>
      <c r="AG28" s="130">
        <v>5745</v>
      </c>
      <c r="AH28" s="130">
        <v>149</v>
      </c>
      <c r="AI28" s="140">
        <v>6</v>
      </c>
      <c r="AJ28" s="216">
        <v>16</v>
      </c>
      <c r="AK28" s="217">
        <v>8.84</v>
      </c>
      <c r="AL28" s="217">
        <v>17</v>
      </c>
      <c r="AM28" s="210">
        <v>-2.4</v>
      </c>
      <c r="AN28" s="141">
        <f>AK28+AM28</f>
        <v>6.4399999999999995</v>
      </c>
      <c r="AO28" s="118"/>
      <c r="AP28" s="134"/>
      <c r="AQ28" s="134"/>
      <c r="AR28" s="134"/>
      <c r="AS28" s="160"/>
      <c r="AT28" s="7"/>
    </row>
    <row r="29" spans="1:46" ht="24.9" customHeight="1" x14ac:dyDescent="0.25">
      <c r="A29" s="133"/>
      <c r="B29" s="305"/>
      <c r="C29" s="140">
        <v>5260</v>
      </c>
      <c r="D29" s="140">
        <v>52</v>
      </c>
      <c r="E29" s="140">
        <v>6</v>
      </c>
      <c r="F29" s="216">
        <v>16</v>
      </c>
      <c r="G29" s="217">
        <v>16.350000000000001</v>
      </c>
      <c r="H29" s="217">
        <v>17</v>
      </c>
      <c r="I29" s="217">
        <v>-1.2</v>
      </c>
      <c r="J29" s="141">
        <f t="shared" si="3"/>
        <v>15.150000000000002</v>
      </c>
      <c r="K29" s="158"/>
      <c r="L29" s="158"/>
      <c r="M29" s="158"/>
      <c r="N29" s="158"/>
      <c r="O29" s="158"/>
      <c r="P29" s="158"/>
      <c r="Q29" s="305"/>
      <c r="R29" s="142">
        <v>5600</v>
      </c>
      <c r="S29" s="142">
        <v>120</v>
      </c>
      <c r="T29" s="140">
        <v>6</v>
      </c>
      <c r="U29" s="216">
        <v>16</v>
      </c>
      <c r="V29" s="217">
        <v>15.85</v>
      </c>
      <c r="W29" s="217">
        <v>17</v>
      </c>
      <c r="X29" s="217">
        <v>-1</v>
      </c>
      <c r="Y29" s="141">
        <f t="shared" si="4"/>
        <v>14.85</v>
      </c>
      <c r="Z29" s="159"/>
      <c r="AA29" s="159"/>
      <c r="AB29" s="159"/>
      <c r="AC29" s="159"/>
      <c r="AD29" s="159"/>
      <c r="AE29" s="158"/>
      <c r="AF29" s="325"/>
      <c r="AG29" s="130">
        <v>5785</v>
      </c>
      <c r="AH29" s="130">
        <v>157</v>
      </c>
      <c r="AI29" s="140">
        <v>6</v>
      </c>
      <c r="AJ29" s="216">
        <v>16</v>
      </c>
      <c r="AK29" s="217">
        <v>8.42</v>
      </c>
      <c r="AL29" s="217">
        <v>17</v>
      </c>
      <c r="AM29" s="210">
        <v>-2.4</v>
      </c>
      <c r="AN29" s="141">
        <f t="shared" ref="AN29:AN41" si="5">AK29+AM29</f>
        <v>6.02</v>
      </c>
      <c r="AO29" s="118"/>
      <c r="AP29" s="139"/>
      <c r="AQ29" s="134"/>
      <c r="AR29" s="134"/>
      <c r="AS29" s="160"/>
      <c r="AT29" s="7"/>
    </row>
    <row r="30" spans="1:46" ht="24.9" customHeight="1" x14ac:dyDescent="0.25">
      <c r="A30" s="133"/>
      <c r="B30" s="305"/>
      <c r="C30" s="140">
        <v>5320</v>
      </c>
      <c r="D30" s="140">
        <v>64</v>
      </c>
      <c r="E30" s="140">
        <v>6</v>
      </c>
      <c r="F30" s="216">
        <v>16</v>
      </c>
      <c r="G30" s="217">
        <v>15.93</v>
      </c>
      <c r="H30" s="217">
        <v>17</v>
      </c>
      <c r="I30" s="217">
        <v>-1.2</v>
      </c>
      <c r="J30" s="141">
        <f t="shared" si="3"/>
        <v>14.73</v>
      </c>
      <c r="K30" s="158"/>
      <c r="L30" s="158"/>
      <c r="M30" s="158"/>
      <c r="N30" s="158"/>
      <c r="O30" s="158"/>
      <c r="P30" s="158"/>
      <c r="Q30" s="305"/>
      <c r="R30" s="142">
        <v>5700</v>
      </c>
      <c r="S30" s="142">
        <v>140</v>
      </c>
      <c r="T30" s="140">
        <v>6</v>
      </c>
      <c r="U30" s="216">
        <v>16</v>
      </c>
      <c r="V30" s="217">
        <v>15.98</v>
      </c>
      <c r="W30" s="217">
        <v>17</v>
      </c>
      <c r="X30" s="217">
        <v>-1</v>
      </c>
      <c r="Y30" s="141">
        <f t="shared" si="4"/>
        <v>14.98</v>
      </c>
      <c r="Z30" s="159"/>
      <c r="AA30" s="159"/>
      <c r="AB30" s="159"/>
      <c r="AC30" s="159"/>
      <c r="AD30" s="159"/>
      <c r="AE30" s="158"/>
      <c r="AF30" s="326"/>
      <c r="AG30" s="130">
        <v>5825</v>
      </c>
      <c r="AH30" s="130">
        <f>AH7</f>
        <v>165</v>
      </c>
      <c r="AI30" s="140">
        <v>6</v>
      </c>
      <c r="AJ30" s="216">
        <v>16</v>
      </c>
      <c r="AK30" s="217">
        <v>8.23</v>
      </c>
      <c r="AL30" s="217">
        <v>17</v>
      </c>
      <c r="AM30" s="210">
        <v>-2.4</v>
      </c>
      <c r="AN30" s="141">
        <f t="shared" si="5"/>
        <v>5.83</v>
      </c>
      <c r="AO30" s="118"/>
      <c r="AP30" s="139"/>
      <c r="AQ30" s="134"/>
      <c r="AR30" s="134"/>
      <c r="AS30" s="160"/>
      <c r="AT30" s="7"/>
    </row>
    <row r="31" spans="1:46" ht="24.9" customHeight="1" x14ac:dyDescent="0.25">
      <c r="A31" s="133"/>
      <c r="B31" s="318" t="s">
        <v>7</v>
      </c>
      <c r="C31" s="144">
        <v>5180</v>
      </c>
      <c r="D31" s="144">
        <v>36</v>
      </c>
      <c r="E31" s="145" t="s">
        <v>19</v>
      </c>
      <c r="F31" s="216">
        <v>16</v>
      </c>
      <c r="G31" s="217">
        <v>15.99</v>
      </c>
      <c r="H31" s="217">
        <v>17</v>
      </c>
      <c r="I31" s="217">
        <v>-1.2</v>
      </c>
      <c r="J31" s="141">
        <f t="shared" si="3"/>
        <v>14.790000000000001</v>
      </c>
      <c r="K31" s="158"/>
      <c r="L31" s="158"/>
      <c r="M31" s="158"/>
      <c r="N31" s="158"/>
      <c r="O31" s="158"/>
      <c r="P31" s="158"/>
      <c r="Q31" s="318" t="s">
        <v>7</v>
      </c>
      <c r="R31" s="145">
        <v>5500</v>
      </c>
      <c r="S31" s="145">
        <v>100</v>
      </c>
      <c r="T31" s="145" t="s">
        <v>19</v>
      </c>
      <c r="U31" s="216">
        <v>16</v>
      </c>
      <c r="V31" s="217">
        <v>15.13</v>
      </c>
      <c r="W31" s="217">
        <v>17</v>
      </c>
      <c r="X31" s="217">
        <v>-1</v>
      </c>
      <c r="Y31" s="141">
        <f t="shared" si="4"/>
        <v>14.13</v>
      </c>
      <c r="Z31" s="159"/>
      <c r="AA31" s="159"/>
      <c r="AB31" s="159"/>
      <c r="AC31" s="159"/>
      <c r="AD31" s="159"/>
      <c r="AE31" s="158"/>
      <c r="AF31" s="301" t="s">
        <v>7</v>
      </c>
      <c r="AG31" s="130">
        <v>5745</v>
      </c>
      <c r="AH31" s="130">
        <v>149</v>
      </c>
      <c r="AI31" s="145" t="s">
        <v>19</v>
      </c>
      <c r="AJ31" s="216">
        <v>16</v>
      </c>
      <c r="AK31" s="217">
        <v>8.83</v>
      </c>
      <c r="AL31" s="217">
        <v>17</v>
      </c>
      <c r="AM31" s="210">
        <v>-2.4</v>
      </c>
      <c r="AN31" s="141">
        <f t="shared" si="5"/>
        <v>6.43</v>
      </c>
      <c r="AO31" s="118"/>
      <c r="AP31" s="139"/>
      <c r="AQ31" s="134"/>
      <c r="AR31" s="134"/>
      <c r="AS31" s="160"/>
      <c r="AT31" s="7"/>
    </row>
    <row r="32" spans="1:46" ht="24.9" customHeight="1" x14ac:dyDescent="0.25">
      <c r="A32" s="133"/>
      <c r="B32" s="299"/>
      <c r="C32" s="144">
        <v>5260</v>
      </c>
      <c r="D32" s="144">
        <v>52</v>
      </c>
      <c r="E32" s="145" t="s">
        <v>19</v>
      </c>
      <c r="F32" s="216">
        <v>16</v>
      </c>
      <c r="G32" s="217">
        <v>16.440000000000001</v>
      </c>
      <c r="H32" s="217">
        <v>17</v>
      </c>
      <c r="I32" s="217">
        <v>-1.2</v>
      </c>
      <c r="J32" s="141">
        <f t="shared" si="3"/>
        <v>15.240000000000002</v>
      </c>
      <c r="K32" s="158"/>
      <c r="L32" s="158"/>
      <c r="M32" s="158"/>
      <c r="N32" s="158"/>
      <c r="O32" s="158"/>
      <c r="P32" s="158"/>
      <c r="Q32" s="299"/>
      <c r="R32" s="145">
        <v>5600</v>
      </c>
      <c r="S32" s="145">
        <v>120</v>
      </c>
      <c r="T32" s="145" t="s">
        <v>19</v>
      </c>
      <c r="U32" s="216">
        <v>16</v>
      </c>
      <c r="V32" s="217">
        <v>16.09</v>
      </c>
      <c r="W32" s="217">
        <v>17</v>
      </c>
      <c r="X32" s="217">
        <v>-1</v>
      </c>
      <c r="Y32" s="141">
        <f t="shared" si="4"/>
        <v>15.09</v>
      </c>
      <c r="Z32" s="160"/>
      <c r="AA32" s="160"/>
      <c r="AB32" s="160"/>
      <c r="AC32" s="160"/>
      <c r="AD32" s="160"/>
      <c r="AE32" s="161"/>
      <c r="AF32" s="303"/>
      <c r="AG32" s="130">
        <v>5785</v>
      </c>
      <c r="AH32" s="130">
        <v>157</v>
      </c>
      <c r="AI32" s="145" t="s">
        <v>19</v>
      </c>
      <c r="AJ32" s="216">
        <v>16</v>
      </c>
      <c r="AK32" s="217">
        <v>8.5299999999999994</v>
      </c>
      <c r="AL32" s="217">
        <v>17</v>
      </c>
      <c r="AM32" s="210">
        <v>-2.4</v>
      </c>
      <c r="AN32" s="141">
        <f t="shared" si="5"/>
        <v>6.129999999999999</v>
      </c>
      <c r="AO32" s="118"/>
      <c r="AP32" s="139"/>
      <c r="AQ32" s="134"/>
      <c r="AR32" s="134"/>
      <c r="AS32" s="160"/>
      <c r="AT32" s="7"/>
    </row>
    <row r="33" spans="1:46" ht="24.9" customHeight="1" x14ac:dyDescent="0.25">
      <c r="A33" s="133"/>
      <c r="B33" s="300"/>
      <c r="C33" s="144">
        <v>5320</v>
      </c>
      <c r="D33" s="144">
        <v>64</v>
      </c>
      <c r="E33" s="145" t="s">
        <v>19</v>
      </c>
      <c r="F33" s="216">
        <v>16</v>
      </c>
      <c r="G33" s="217">
        <v>15.91</v>
      </c>
      <c r="H33" s="217">
        <v>17</v>
      </c>
      <c r="I33" s="217">
        <v>-1.2</v>
      </c>
      <c r="J33" s="141">
        <f t="shared" si="3"/>
        <v>14.71</v>
      </c>
      <c r="K33" s="158"/>
      <c r="L33" s="158"/>
      <c r="M33" s="158"/>
      <c r="N33" s="158"/>
      <c r="O33" s="158"/>
      <c r="P33" s="158"/>
      <c r="Q33" s="300"/>
      <c r="R33" s="145">
        <v>5700</v>
      </c>
      <c r="S33" s="145">
        <v>140</v>
      </c>
      <c r="T33" s="145" t="s">
        <v>19</v>
      </c>
      <c r="U33" s="216">
        <v>16</v>
      </c>
      <c r="V33" s="217">
        <v>16.079999999999998</v>
      </c>
      <c r="W33" s="217">
        <v>17</v>
      </c>
      <c r="X33" s="217">
        <v>-1</v>
      </c>
      <c r="Y33" s="141">
        <f t="shared" si="4"/>
        <v>15.079999999999998</v>
      </c>
      <c r="Z33" s="160"/>
      <c r="AA33" s="160"/>
      <c r="AB33" s="160"/>
      <c r="AC33" s="160"/>
      <c r="AD33" s="160"/>
      <c r="AE33" s="161"/>
      <c r="AF33" s="304"/>
      <c r="AG33" s="130">
        <v>5825</v>
      </c>
      <c r="AH33" s="130">
        <f>AH30</f>
        <v>165</v>
      </c>
      <c r="AI33" s="145" t="s">
        <v>19</v>
      </c>
      <c r="AJ33" s="216">
        <v>16</v>
      </c>
      <c r="AK33" s="217">
        <v>7.92</v>
      </c>
      <c r="AL33" s="217">
        <v>17</v>
      </c>
      <c r="AM33" s="210">
        <v>-2.4</v>
      </c>
      <c r="AN33" s="141">
        <f t="shared" si="5"/>
        <v>5.52</v>
      </c>
      <c r="AO33" s="118"/>
      <c r="AP33" s="139"/>
      <c r="AQ33" s="134"/>
      <c r="AR33" s="134"/>
      <c r="AS33" s="160"/>
      <c r="AT33" s="7"/>
    </row>
    <row r="34" spans="1:46" ht="24.9" customHeight="1" x14ac:dyDescent="0.25">
      <c r="A34" s="133"/>
      <c r="B34" s="318" t="s">
        <v>10</v>
      </c>
      <c r="C34" s="144">
        <v>5190</v>
      </c>
      <c r="D34" s="144">
        <v>38</v>
      </c>
      <c r="E34" s="145" t="s">
        <v>19</v>
      </c>
      <c r="F34" s="216">
        <v>16</v>
      </c>
      <c r="G34" s="217">
        <v>16.149999999999999</v>
      </c>
      <c r="H34" s="217">
        <v>17</v>
      </c>
      <c r="I34" s="217">
        <v>-1.2</v>
      </c>
      <c r="J34" s="141">
        <f t="shared" si="3"/>
        <v>14.95</v>
      </c>
      <c r="K34" s="158"/>
      <c r="L34" s="158"/>
      <c r="M34" s="158"/>
      <c r="N34" s="158"/>
      <c r="O34" s="158"/>
      <c r="P34" s="158"/>
      <c r="Q34" s="318" t="s">
        <v>10</v>
      </c>
      <c r="R34" s="145">
        <v>5510</v>
      </c>
      <c r="S34" s="145">
        <v>102</v>
      </c>
      <c r="T34" s="145" t="s">
        <v>19</v>
      </c>
      <c r="U34" s="216">
        <v>16</v>
      </c>
      <c r="V34" s="217">
        <v>15.57</v>
      </c>
      <c r="W34" s="217">
        <v>17</v>
      </c>
      <c r="X34" s="217">
        <v>-1</v>
      </c>
      <c r="Y34" s="141">
        <f t="shared" si="4"/>
        <v>14.57</v>
      </c>
      <c r="Z34" s="160"/>
      <c r="AA34" s="160"/>
      <c r="AB34" s="160"/>
      <c r="AC34" s="160"/>
      <c r="AD34" s="160"/>
      <c r="AE34" s="161"/>
      <c r="AF34" s="301" t="s">
        <v>10</v>
      </c>
      <c r="AG34" s="130">
        <v>5755</v>
      </c>
      <c r="AH34" s="130">
        <v>151</v>
      </c>
      <c r="AI34" s="145" t="s">
        <v>19</v>
      </c>
      <c r="AJ34" s="216">
        <v>16</v>
      </c>
      <c r="AK34" s="217">
        <v>8.8000000000000007</v>
      </c>
      <c r="AL34" s="217">
        <v>17</v>
      </c>
      <c r="AM34" s="210">
        <v>-2.4</v>
      </c>
      <c r="AN34" s="141">
        <f t="shared" si="5"/>
        <v>6.4</v>
      </c>
      <c r="AO34" s="118"/>
      <c r="AP34" s="139"/>
      <c r="AQ34" s="134"/>
      <c r="AR34" s="134"/>
      <c r="AS34" s="160"/>
      <c r="AT34" s="7"/>
    </row>
    <row r="35" spans="1:46" ht="24.9" customHeight="1" x14ac:dyDescent="0.25">
      <c r="A35" s="133"/>
      <c r="B35" s="299"/>
      <c r="C35" s="144">
        <v>5270</v>
      </c>
      <c r="D35" s="144">
        <v>54</v>
      </c>
      <c r="E35" s="145" t="s">
        <v>19</v>
      </c>
      <c r="F35" s="216">
        <v>16</v>
      </c>
      <c r="G35" s="217">
        <v>14.47</v>
      </c>
      <c r="H35" s="217">
        <v>17</v>
      </c>
      <c r="I35" s="217">
        <v>-1.2</v>
      </c>
      <c r="J35" s="141">
        <f t="shared" si="3"/>
        <v>13.270000000000001</v>
      </c>
      <c r="K35" s="158"/>
      <c r="L35" s="158"/>
      <c r="M35" s="158"/>
      <c r="N35" s="158"/>
      <c r="O35" s="158"/>
      <c r="P35" s="158"/>
      <c r="Q35" s="299"/>
      <c r="R35" s="145">
        <v>5590</v>
      </c>
      <c r="S35" s="145">
        <v>118</v>
      </c>
      <c r="T35" s="145" t="s">
        <v>19</v>
      </c>
      <c r="U35" s="216">
        <v>16</v>
      </c>
      <c r="V35" s="217">
        <v>14.94</v>
      </c>
      <c r="W35" s="217">
        <v>17</v>
      </c>
      <c r="X35" s="217">
        <v>-1</v>
      </c>
      <c r="Y35" s="141">
        <f t="shared" si="4"/>
        <v>13.94</v>
      </c>
      <c r="Z35" s="160"/>
      <c r="AA35" s="160"/>
      <c r="AB35" s="160"/>
      <c r="AC35" s="160"/>
      <c r="AD35" s="160"/>
      <c r="AE35" s="161"/>
      <c r="AF35" s="302"/>
      <c r="AG35" s="130">
        <v>5795</v>
      </c>
      <c r="AH35" s="130">
        <v>159</v>
      </c>
      <c r="AI35" s="145" t="s">
        <v>19</v>
      </c>
      <c r="AJ35" s="216">
        <v>16</v>
      </c>
      <c r="AK35" s="217">
        <v>8.33</v>
      </c>
      <c r="AL35" s="217">
        <v>17</v>
      </c>
      <c r="AM35" s="210">
        <v>-2.4</v>
      </c>
      <c r="AN35" s="141">
        <f t="shared" si="5"/>
        <v>5.93</v>
      </c>
      <c r="AO35" s="118"/>
      <c r="AP35" s="139"/>
      <c r="AQ35" s="134"/>
      <c r="AR35" s="134"/>
      <c r="AS35" s="160"/>
      <c r="AT35" s="7"/>
    </row>
    <row r="36" spans="1:46" ht="24.9" customHeight="1" x14ac:dyDescent="0.25">
      <c r="A36" s="133"/>
      <c r="B36" s="300"/>
      <c r="C36" s="144">
        <v>5310</v>
      </c>
      <c r="D36" s="144">
        <v>62</v>
      </c>
      <c r="E36" s="145" t="s">
        <v>19</v>
      </c>
      <c r="F36" s="216">
        <v>16</v>
      </c>
      <c r="G36" s="217">
        <v>14.32</v>
      </c>
      <c r="H36" s="217">
        <v>17</v>
      </c>
      <c r="I36" s="217">
        <v>-1.2</v>
      </c>
      <c r="J36" s="141">
        <f t="shared" si="3"/>
        <v>13.120000000000001</v>
      </c>
      <c r="K36" s="158"/>
      <c r="L36" s="158"/>
      <c r="M36" s="158"/>
      <c r="N36" s="158"/>
      <c r="O36" s="158"/>
      <c r="P36" s="158"/>
      <c r="Q36" s="300"/>
      <c r="R36" s="145">
        <v>5670</v>
      </c>
      <c r="S36" s="145">
        <v>134</v>
      </c>
      <c r="T36" s="145" t="s">
        <v>19</v>
      </c>
      <c r="U36" s="216">
        <v>16</v>
      </c>
      <c r="V36" s="217">
        <v>14.88</v>
      </c>
      <c r="W36" s="217">
        <v>17</v>
      </c>
      <c r="X36" s="217">
        <v>-1</v>
      </c>
      <c r="Y36" s="141">
        <f t="shared" si="4"/>
        <v>13.88</v>
      </c>
      <c r="Z36" s="160"/>
      <c r="AA36" s="160"/>
      <c r="AB36" s="160"/>
      <c r="AC36" s="160"/>
      <c r="AD36" s="160"/>
      <c r="AE36" s="161"/>
      <c r="AF36" s="301" t="s">
        <v>11</v>
      </c>
      <c r="AG36" s="130">
        <v>5745</v>
      </c>
      <c r="AH36" s="130">
        <v>149</v>
      </c>
      <c r="AI36" s="145" t="s">
        <v>19</v>
      </c>
      <c r="AJ36" s="216">
        <v>16</v>
      </c>
      <c r="AK36" s="217">
        <v>8.82</v>
      </c>
      <c r="AL36" s="217">
        <v>17</v>
      </c>
      <c r="AM36" s="210">
        <v>-2.4</v>
      </c>
      <c r="AN36" s="141">
        <f t="shared" si="5"/>
        <v>6.42</v>
      </c>
      <c r="AO36" s="118"/>
      <c r="AP36" s="139"/>
      <c r="AQ36" s="134"/>
      <c r="AR36" s="134"/>
      <c r="AS36" s="160"/>
      <c r="AT36" s="7"/>
    </row>
    <row r="37" spans="1:46" ht="24.9" customHeight="1" x14ac:dyDescent="0.25">
      <c r="A37" s="133"/>
      <c r="B37" s="298" t="s">
        <v>11</v>
      </c>
      <c r="C37" s="144">
        <v>5180</v>
      </c>
      <c r="D37" s="144">
        <v>36</v>
      </c>
      <c r="E37" s="145" t="s">
        <v>19</v>
      </c>
      <c r="F37" s="216">
        <v>16</v>
      </c>
      <c r="G37" s="217">
        <v>14.37</v>
      </c>
      <c r="H37" s="217">
        <v>17</v>
      </c>
      <c r="I37" s="217">
        <v>-1.2</v>
      </c>
      <c r="J37" s="141">
        <f t="shared" si="3"/>
        <v>13.17</v>
      </c>
      <c r="K37" s="158"/>
      <c r="L37" s="158"/>
      <c r="M37" s="158"/>
      <c r="N37" s="158"/>
      <c r="O37" s="158"/>
      <c r="P37" s="158"/>
      <c r="Q37" s="298" t="s">
        <v>11</v>
      </c>
      <c r="R37" s="145">
        <v>5500</v>
      </c>
      <c r="S37" s="145">
        <v>100</v>
      </c>
      <c r="T37" s="145" t="s">
        <v>19</v>
      </c>
      <c r="U37" s="216">
        <v>16</v>
      </c>
      <c r="V37" s="217">
        <v>14.79</v>
      </c>
      <c r="W37" s="217">
        <v>17</v>
      </c>
      <c r="X37" s="217">
        <v>-1</v>
      </c>
      <c r="Y37" s="141">
        <f t="shared" si="4"/>
        <v>13.79</v>
      </c>
      <c r="Z37" s="160"/>
      <c r="AA37" s="160"/>
      <c r="AB37" s="160"/>
      <c r="AC37" s="160"/>
      <c r="AD37" s="160"/>
      <c r="AE37" s="161"/>
      <c r="AF37" s="303"/>
      <c r="AG37" s="130">
        <v>5785</v>
      </c>
      <c r="AH37" s="130">
        <v>157</v>
      </c>
      <c r="AI37" s="145" t="s">
        <v>19</v>
      </c>
      <c r="AJ37" s="216">
        <v>16</v>
      </c>
      <c r="AK37" s="217">
        <v>8.56</v>
      </c>
      <c r="AL37" s="217">
        <v>17</v>
      </c>
      <c r="AM37" s="210">
        <v>-2.4</v>
      </c>
      <c r="AN37" s="141">
        <f t="shared" si="5"/>
        <v>6.16</v>
      </c>
      <c r="AO37" s="118"/>
      <c r="AP37" s="139"/>
      <c r="AQ37" s="134"/>
      <c r="AR37" s="134"/>
      <c r="AS37" s="160"/>
      <c r="AT37" s="7"/>
    </row>
    <row r="38" spans="1:46" ht="24.9" customHeight="1" x14ac:dyDescent="0.25">
      <c r="A38" s="133"/>
      <c r="B38" s="299"/>
      <c r="C38" s="144">
        <v>5260</v>
      </c>
      <c r="D38" s="144">
        <v>52</v>
      </c>
      <c r="E38" s="145" t="s">
        <v>19</v>
      </c>
      <c r="F38" s="216">
        <v>16</v>
      </c>
      <c r="G38" s="217">
        <v>16.37</v>
      </c>
      <c r="H38" s="217">
        <v>17</v>
      </c>
      <c r="I38" s="217">
        <v>-1.2</v>
      </c>
      <c r="J38" s="141">
        <f t="shared" si="3"/>
        <v>15.170000000000002</v>
      </c>
      <c r="K38" s="158"/>
      <c r="L38" s="158"/>
      <c r="M38" s="158"/>
      <c r="N38" s="158"/>
      <c r="O38" s="158"/>
      <c r="P38" s="158"/>
      <c r="Q38" s="299"/>
      <c r="R38" s="145">
        <v>5600</v>
      </c>
      <c r="S38" s="145">
        <v>120</v>
      </c>
      <c r="T38" s="145" t="s">
        <v>19</v>
      </c>
      <c r="U38" s="216">
        <v>16</v>
      </c>
      <c r="V38" s="217">
        <v>16</v>
      </c>
      <c r="W38" s="217">
        <v>17</v>
      </c>
      <c r="X38" s="217">
        <v>-1</v>
      </c>
      <c r="Y38" s="141">
        <f t="shared" si="4"/>
        <v>15</v>
      </c>
      <c r="Z38" s="160"/>
      <c r="AA38" s="160"/>
      <c r="AB38" s="160"/>
      <c r="AC38" s="160"/>
      <c r="AD38" s="160"/>
      <c r="AE38" s="161"/>
      <c r="AF38" s="304"/>
      <c r="AG38" s="130">
        <v>5825</v>
      </c>
      <c r="AH38" s="130">
        <f>AH33</f>
        <v>165</v>
      </c>
      <c r="AI38" s="145" t="s">
        <v>19</v>
      </c>
      <c r="AJ38" s="216">
        <v>16</v>
      </c>
      <c r="AK38" s="217">
        <v>8.1199999999999992</v>
      </c>
      <c r="AL38" s="217">
        <v>17</v>
      </c>
      <c r="AM38" s="210">
        <v>-2.4</v>
      </c>
      <c r="AN38" s="141">
        <f t="shared" si="5"/>
        <v>5.7199999999999989</v>
      </c>
      <c r="AO38" s="118"/>
      <c r="AP38" s="139"/>
      <c r="AQ38" s="134"/>
      <c r="AR38" s="134"/>
      <c r="AS38" s="160"/>
      <c r="AT38" s="7"/>
    </row>
    <row r="39" spans="1:46" ht="24.9" customHeight="1" x14ac:dyDescent="0.25">
      <c r="A39" s="133"/>
      <c r="B39" s="300"/>
      <c r="C39" s="144">
        <v>5320</v>
      </c>
      <c r="D39" s="144">
        <v>64</v>
      </c>
      <c r="E39" s="145" t="s">
        <v>19</v>
      </c>
      <c r="F39" s="216">
        <v>16</v>
      </c>
      <c r="G39" s="217">
        <v>16.04</v>
      </c>
      <c r="H39" s="217">
        <v>17</v>
      </c>
      <c r="I39" s="217">
        <v>-1.2</v>
      </c>
      <c r="J39" s="141">
        <f t="shared" si="3"/>
        <v>14.84</v>
      </c>
      <c r="K39" s="158"/>
      <c r="L39" s="158"/>
      <c r="M39" s="158"/>
      <c r="N39" s="158"/>
      <c r="O39" s="158"/>
      <c r="P39" s="158"/>
      <c r="Q39" s="300"/>
      <c r="R39" s="145">
        <v>5700</v>
      </c>
      <c r="S39" s="145">
        <v>140</v>
      </c>
      <c r="T39" s="145" t="s">
        <v>19</v>
      </c>
      <c r="U39" s="216">
        <v>16</v>
      </c>
      <c r="V39" s="217">
        <v>16.079999999999998</v>
      </c>
      <c r="W39" s="217">
        <v>17</v>
      </c>
      <c r="X39" s="217">
        <v>-1</v>
      </c>
      <c r="Y39" s="141">
        <f t="shared" si="4"/>
        <v>15.079999999999998</v>
      </c>
      <c r="Z39" s="160"/>
      <c r="AA39" s="160"/>
      <c r="AB39" s="160"/>
      <c r="AC39" s="160"/>
      <c r="AD39" s="160"/>
      <c r="AE39" s="161"/>
      <c r="AF39" s="301" t="s">
        <v>12</v>
      </c>
      <c r="AG39" s="130">
        <v>5755</v>
      </c>
      <c r="AH39" s="130">
        <v>151</v>
      </c>
      <c r="AI39" s="145" t="s">
        <v>19</v>
      </c>
      <c r="AJ39" s="216">
        <v>16</v>
      </c>
      <c r="AK39" s="217">
        <v>8.83</v>
      </c>
      <c r="AL39" s="217">
        <v>17</v>
      </c>
      <c r="AM39" s="210">
        <v>-2.4</v>
      </c>
      <c r="AN39" s="141">
        <f t="shared" si="5"/>
        <v>6.43</v>
      </c>
      <c r="AO39" s="118"/>
      <c r="AP39" s="139"/>
      <c r="AQ39" s="134"/>
      <c r="AR39" s="134"/>
      <c r="AS39" s="160"/>
      <c r="AT39" s="7"/>
    </row>
    <row r="40" spans="1:46" ht="24.9" customHeight="1" x14ac:dyDescent="0.25">
      <c r="A40" s="133"/>
      <c r="B40" s="298" t="s">
        <v>12</v>
      </c>
      <c r="C40" s="144">
        <v>5190</v>
      </c>
      <c r="D40" s="144">
        <v>38</v>
      </c>
      <c r="E40" s="145" t="s">
        <v>19</v>
      </c>
      <c r="F40" s="216">
        <v>16</v>
      </c>
      <c r="G40" s="217">
        <v>16.03</v>
      </c>
      <c r="H40" s="217">
        <v>17</v>
      </c>
      <c r="I40" s="217">
        <v>-1.2</v>
      </c>
      <c r="J40" s="141">
        <f t="shared" si="3"/>
        <v>14.830000000000002</v>
      </c>
      <c r="K40" s="158"/>
      <c r="L40" s="158"/>
      <c r="M40" s="158"/>
      <c r="N40" s="158"/>
      <c r="O40" s="158"/>
      <c r="P40" s="158"/>
      <c r="Q40" s="298" t="s">
        <v>12</v>
      </c>
      <c r="R40" s="145">
        <v>5510</v>
      </c>
      <c r="S40" s="145">
        <v>102</v>
      </c>
      <c r="T40" s="145" t="s">
        <v>19</v>
      </c>
      <c r="U40" s="216">
        <v>16</v>
      </c>
      <c r="V40" s="217">
        <v>15.33</v>
      </c>
      <c r="W40" s="217">
        <v>17</v>
      </c>
      <c r="X40" s="217">
        <v>-1</v>
      </c>
      <c r="Y40" s="141">
        <f t="shared" si="4"/>
        <v>14.33</v>
      </c>
      <c r="Z40" s="160"/>
      <c r="AA40" s="160"/>
      <c r="AB40" s="160"/>
      <c r="AC40" s="160"/>
      <c r="AD40" s="160"/>
      <c r="AE40" s="161"/>
      <c r="AF40" s="302"/>
      <c r="AG40" s="130">
        <v>5795</v>
      </c>
      <c r="AH40" s="130">
        <v>159</v>
      </c>
      <c r="AI40" s="145" t="s">
        <v>19</v>
      </c>
      <c r="AJ40" s="216">
        <v>16</v>
      </c>
      <c r="AK40" s="217">
        <v>8.26</v>
      </c>
      <c r="AL40" s="217">
        <v>17</v>
      </c>
      <c r="AM40" s="210">
        <v>-2.4</v>
      </c>
      <c r="AN40" s="141">
        <f t="shared" si="5"/>
        <v>5.8599999999999994</v>
      </c>
      <c r="AO40" s="118"/>
      <c r="AP40" s="139"/>
      <c r="AQ40" s="134"/>
      <c r="AR40" s="134"/>
      <c r="AS40" s="160"/>
      <c r="AT40" s="7"/>
    </row>
    <row r="41" spans="1:46" ht="24.9" customHeight="1" thickBot="1" x14ac:dyDescent="0.3">
      <c r="A41" s="133"/>
      <c r="B41" s="299"/>
      <c r="C41" s="144">
        <v>5270</v>
      </c>
      <c r="D41" s="144">
        <v>54</v>
      </c>
      <c r="E41" s="145" t="s">
        <v>19</v>
      </c>
      <c r="F41" s="216">
        <v>16</v>
      </c>
      <c r="G41" s="217">
        <v>13.93</v>
      </c>
      <c r="H41" s="217">
        <v>17</v>
      </c>
      <c r="I41" s="217">
        <v>-1.2</v>
      </c>
      <c r="J41" s="141">
        <f t="shared" si="3"/>
        <v>12.73</v>
      </c>
      <c r="K41" s="158"/>
      <c r="L41" s="158"/>
      <c r="M41" s="158"/>
      <c r="N41" s="158"/>
      <c r="O41" s="158"/>
      <c r="P41" s="158"/>
      <c r="Q41" s="299"/>
      <c r="R41" s="145">
        <v>5590</v>
      </c>
      <c r="S41" s="145">
        <v>118</v>
      </c>
      <c r="T41" s="145" t="s">
        <v>19</v>
      </c>
      <c r="U41" s="216">
        <v>16</v>
      </c>
      <c r="V41" s="217">
        <v>15.42</v>
      </c>
      <c r="W41" s="217">
        <v>17</v>
      </c>
      <c r="X41" s="217">
        <v>-1</v>
      </c>
      <c r="Y41" s="141">
        <f t="shared" si="4"/>
        <v>14.42</v>
      </c>
      <c r="Z41" s="160"/>
      <c r="AA41" s="160"/>
      <c r="AB41" s="160"/>
      <c r="AC41" s="160"/>
      <c r="AD41" s="160"/>
      <c r="AE41" s="161"/>
      <c r="AF41" s="146" t="s">
        <v>13</v>
      </c>
      <c r="AG41" s="147">
        <v>5775</v>
      </c>
      <c r="AH41" s="147">
        <v>155</v>
      </c>
      <c r="AI41" s="148" t="s">
        <v>19</v>
      </c>
      <c r="AJ41" s="216">
        <v>16</v>
      </c>
      <c r="AK41" s="218">
        <v>8.61</v>
      </c>
      <c r="AL41" s="217">
        <v>17</v>
      </c>
      <c r="AM41" s="210">
        <v>-2.4</v>
      </c>
      <c r="AN41" s="149">
        <f t="shared" si="5"/>
        <v>6.2099999999999991</v>
      </c>
      <c r="AO41" s="118"/>
      <c r="AP41" s="139"/>
      <c r="AQ41" s="134"/>
      <c r="AR41" s="134"/>
      <c r="AS41" s="160"/>
      <c r="AT41" s="7"/>
    </row>
    <row r="42" spans="1:46" ht="24.9" customHeight="1" x14ac:dyDescent="0.25">
      <c r="A42" s="133"/>
      <c r="B42" s="300"/>
      <c r="C42" s="144">
        <v>5310</v>
      </c>
      <c r="D42" s="144">
        <v>62</v>
      </c>
      <c r="E42" s="145" t="s">
        <v>19</v>
      </c>
      <c r="F42" s="216">
        <v>16</v>
      </c>
      <c r="G42" s="217">
        <v>14.32</v>
      </c>
      <c r="H42" s="217">
        <v>17</v>
      </c>
      <c r="I42" s="217">
        <v>-1.2</v>
      </c>
      <c r="J42" s="141">
        <f t="shared" si="3"/>
        <v>13.120000000000001</v>
      </c>
      <c r="K42" s="158"/>
      <c r="L42" s="158"/>
      <c r="M42" s="158"/>
      <c r="N42" s="158"/>
      <c r="O42" s="158"/>
      <c r="P42" s="158"/>
      <c r="Q42" s="300"/>
      <c r="R42" s="145">
        <v>5670</v>
      </c>
      <c r="S42" s="145">
        <v>134</v>
      </c>
      <c r="T42" s="145" t="s">
        <v>19</v>
      </c>
      <c r="U42" s="216">
        <v>16</v>
      </c>
      <c r="V42" s="217">
        <v>15.55</v>
      </c>
      <c r="W42" s="217">
        <v>17</v>
      </c>
      <c r="X42" s="217">
        <v>-1</v>
      </c>
      <c r="Y42" s="141">
        <f t="shared" si="4"/>
        <v>14.55</v>
      </c>
      <c r="Z42" s="160"/>
      <c r="AA42" s="160"/>
      <c r="AB42" s="160"/>
      <c r="AC42" s="160"/>
      <c r="AD42" s="160"/>
      <c r="AE42" s="161"/>
      <c r="AF42" s="134"/>
      <c r="AG42" s="118"/>
      <c r="AH42" s="135"/>
      <c r="AI42" s="135"/>
      <c r="AJ42" s="135"/>
      <c r="AK42" s="135"/>
      <c r="AL42" s="135"/>
      <c r="AM42" s="118"/>
      <c r="AN42" s="118"/>
      <c r="AO42" s="118"/>
      <c r="AP42" s="118"/>
      <c r="AQ42" s="134"/>
      <c r="AR42" s="134"/>
      <c r="AS42" s="134"/>
    </row>
    <row r="43" spans="1:46" ht="24.9" customHeight="1" x14ac:dyDescent="0.25">
      <c r="A43" s="133"/>
      <c r="B43" s="298" t="s">
        <v>13</v>
      </c>
      <c r="C43" s="144">
        <v>5210</v>
      </c>
      <c r="D43" s="144">
        <v>42</v>
      </c>
      <c r="E43" s="145" t="s">
        <v>19</v>
      </c>
      <c r="F43" s="216">
        <v>16</v>
      </c>
      <c r="G43" s="217">
        <v>14.61</v>
      </c>
      <c r="H43" s="217">
        <v>17</v>
      </c>
      <c r="I43" s="217">
        <v>-1.2</v>
      </c>
      <c r="J43" s="141">
        <f t="shared" si="3"/>
        <v>13.41</v>
      </c>
      <c r="K43" s="158"/>
      <c r="L43" s="158"/>
      <c r="M43" s="158"/>
      <c r="N43" s="158"/>
      <c r="O43" s="158"/>
      <c r="P43" s="158"/>
      <c r="Q43" s="298" t="s">
        <v>13</v>
      </c>
      <c r="R43" s="145">
        <v>5530</v>
      </c>
      <c r="S43" s="145">
        <v>106</v>
      </c>
      <c r="T43" s="145" t="s">
        <v>19</v>
      </c>
      <c r="U43" s="216">
        <v>16</v>
      </c>
      <c r="V43" s="217">
        <v>15.38</v>
      </c>
      <c r="W43" s="217">
        <v>17</v>
      </c>
      <c r="X43" s="217">
        <v>-1</v>
      </c>
      <c r="Y43" s="141">
        <f t="shared" si="4"/>
        <v>14.38</v>
      </c>
      <c r="Z43" s="160"/>
      <c r="AA43" s="160"/>
      <c r="AB43" s="160"/>
      <c r="AC43" s="160"/>
      <c r="AD43" s="160"/>
      <c r="AE43" s="161"/>
      <c r="AF43" s="134"/>
      <c r="AG43" s="118"/>
      <c r="AH43" s="135"/>
      <c r="AI43" s="135"/>
      <c r="AJ43" s="135"/>
      <c r="AK43" s="135"/>
      <c r="AL43" s="135"/>
      <c r="AM43" s="118"/>
      <c r="AN43" s="118"/>
      <c r="AO43" s="118"/>
      <c r="AP43" s="118"/>
      <c r="AQ43" s="134"/>
      <c r="AR43" s="134"/>
      <c r="AS43" s="134"/>
    </row>
    <row r="44" spans="1:46" ht="24.9" customHeight="1" x14ac:dyDescent="0.25">
      <c r="A44" s="133"/>
      <c r="B44" s="314"/>
      <c r="C44" s="144">
        <v>5290</v>
      </c>
      <c r="D44" s="144">
        <v>58</v>
      </c>
      <c r="E44" s="145" t="s">
        <v>19</v>
      </c>
      <c r="F44" s="216">
        <v>16</v>
      </c>
      <c r="G44" s="217">
        <v>12.86</v>
      </c>
      <c r="H44" s="217">
        <v>17</v>
      </c>
      <c r="I44" s="217">
        <v>-1.2</v>
      </c>
      <c r="J44" s="141">
        <f t="shared" si="3"/>
        <v>11.66</v>
      </c>
      <c r="K44" s="158"/>
      <c r="L44" s="158"/>
      <c r="M44" s="158"/>
      <c r="N44" s="158"/>
      <c r="O44" s="158"/>
      <c r="P44" s="158"/>
      <c r="Q44" s="314"/>
      <c r="R44" s="145">
        <v>5610</v>
      </c>
      <c r="S44" s="145">
        <v>122</v>
      </c>
      <c r="T44" s="145" t="s">
        <v>19</v>
      </c>
      <c r="U44" s="216">
        <v>16</v>
      </c>
      <c r="V44" s="217">
        <v>14</v>
      </c>
      <c r="W44" s="217">
        <v>17</v>
      </c>
      <c r="X44" s="217">
        <v>-1</v>
      </c>
      <c r="Y44" s="141">
        <f t="shared" si="4"/>
        <v>13</v>
      </c>
      <c r="Z44" s="160"/>
      <c r="AA44" s="160"/>
      <c r="AB44" s="160"/>
      <c r="AC44" s="160"/>
      <c r="AD44" s="160"/>
      <c r="AE44" s="161"/>
      <c r="AF44" s="134"/>
      <c r="AG44" s="118"/>
      <c r="AH44" s="135"/>
      <c r="AI44" s="135"/>
      <c r="AJ44" s="135"/>
      <c r="AK44" s="135"/>
      <c r="AL44" s="135"/>
      <c r="AM44" s="135"/>
      <c r="AN44" s="135"/>
      <c r="AO44" s="135"/>
      <c r="AP44" s="118"/>
      <c r="AQ44" s="134"/>
      <c r="AR44" s="134"/>
      <c r="AS44" s="134"/>
    </row>
    <row r="45" spans="1:46" ht="24.9" customHeight="1" thickBot="1" x14ac:dyDescent="0.3">
      <c r="A45" s="133"/>
      <c r="B45" s="150" t="s">
        <v>21</v>
      </c>
      <c r="C45" s="151">
        <v>5250</v>
      </c>
      <c r="D45" s="151">
        <v>50</v>
      </c>
      <c r="E45" s="148" t="s">
        <v>19</v>
      </c>
      <c r="F45" s="216">
        <v>16</v>
      </c>
      <c r="G45" s="217">
        <v>13.53</v>
      </c>
      <c r="H45" s="217">
        <v>17</v>
      </c>
      <c r="I45" s="217">
        <v>-1.2</v>
      </c>
      <c r="J45" s="149">
        <f t="shared" si="3"/>
        <v>12.33</v>
      </c>
      <c r="K45" s="158"/>
      <c r="L45" s="158"/>
      <c r="M45" s="158"/>
      <c r="N45" s="158"/>
      <c r="O45" s="158"/>
      <c r="P45" s="158"/>
      <c r="Q45" s="162" t="s">
        <v>20</v>
      </c>
      <c r="R45" s="151">
        <v>5570</v>
      </c>
      <c r="S45" s="151">
        <v>114</v>
      </c>
      <c r="T45" s="148" t="s">
        <v>19</v>
      </c>
      <c r="U45" s="216">
        <v>16</v>
      </c>
      <c r="V45" s="218">
        <v>14</v>
      </c>
      <c r="W45" s="217">
        <v>17</v>
      </c>
      <c r="X45" s="217">
        <v>-1</v>
      </c>
      <c r="Y45" s="149">
        <f t="shared" si="4"/>
        <v>13</v>
      </c>
      <c r="Z45" s="160"/>
      <c r="AA45" s="160"/>
      <c r="AB45" s="160"/>
      <c r="AC45" s="160"/>
      <c r="AD45" s="160"/>
      <c r="AE45" s="161"/>
      <c r="AF45" s="118"/>
      <c r="AG45" s="135"/>
      <c r="AH45" s="135"/>
      <c r="AI45" s="135"/>
      <c r="AJ45" s="135"/>
      <c r="AK45" s="135"/>
      <c r="AL45" s="118"/>
      <c r="AM45" s="118"/>
      <c r="AN45" s="118"/>
      <c r="AO45" s="118"/>
      <c r="AP45" s="118"/>
      <c r="AQ45" s="134"/>
      <c r="AR45" s="134"/>
      <c r="AS45" s="134"/>
    </row>
    <row r="46" spans="1:46" ht="9.9" customHeight="1" x14ac:dyDescent="0.25">
      <c r="A46" s="133"/>
      <c r="B46" s="152"/>
      <c r="C46" s="153"/>
      <c r="D46" s="153"/>
      <c r="E46" s="154"/>
      <c r="F46" s="155"/>
      <c r="G46" s="156"/>
      <c r="H46" s="156"/>
      <c r="I46" s="156"/>
      <c r="J46" s="157"/>
      <c r="K46" s="158"/>
      <c r="L46" s="158"/>
      <c r="M46" s="163"/>
      <c r="N46" s="153"/>
      <c r="O46" s="153"/>
      <c r="P46" s="154"/>
      <c r="Q46" s="155"/>
      <c r="R46" s="156"/>
      <c r="S46" s="156"/>
      <c r="T46" s="157"/>
      <c r="U46" s="157"/>
      <c r="V46" s="159"/>
      <c r="W46" s="158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4"/>
      <c r="AN46" s="134"/>
      <c r="AO46" s="134"/>
      <c r="AP46" s="134"/>
      <c r="AQ46" s="134"/>
      <c r="AR46" s="134"/>
      <c r="AS46" s="134"/>
    </row>
    <row r="47" spans="1:46" ht="9.9" customHeight="1" thickBot="1" x14ac:dyDescent="0.3">
      <c r="A47" s="133"/>
      <c r="B47" s="133"/>
      <c r="C47" s="163"/>
      <c r="D47" s="163"/>
      <c r="E47" s="153"/>
      <c r="F47" s="153"/>
      <c r="G47" s="154"/>
      <c r="H47" s="154"/>
      <c r="I47" s="163"/>
      <c r="J47" s="163"/>
      <c r="K47" s="163"/>
      <c r="L47" s="163"/>
      <c r="M47" s="133"/>
      <c r="N47" s="133"/>
      <c r="O47" s="133"/>
      <c r="P47" s="163"/>
      <c r="Q47" s="163"/>
      <c r="R47" s="153"/>
      <c r="S47" s="153"/>
      <c r="T47" s="154"/>
      <c r="U47" s="154"/>
      <c r="V47" s="163"/>
      <c r="W47" s="163"/>
      <c r="X47" s="163"/>
      <c r="Y47" s="163"/>
      <c r="Z47" s="133"/>
      <c r="AA47" s="133"/>
      <c r="AB47" s="133"/>
      <c r="AC47" s="133"/>
      <c r="AD47" s="135"/>
      <c r="AE47" s="135"/>
      <c r="AF47" s="135"/>
      <c r="AG47" s="135"/>
      <c r="AH47" s="135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</row>
    <row r="48" spans="1:46" ht="24.9" customHeight="1" thickBot="1" x14ac:dyDescent="0.3">
      <c r="A48" s="136"/>
      <c r="B48" s="309" t="s">
        <v>97</v>
      </c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  <c r="AB48" s="310"/>
      <c r="AC48" s="310"/>
      <c r="AD48" s="310"/>
      <c r="AE48" s="310"/>
      <c r="AF48" s="310"/>
      <c r="AG48" s="310"/>
      <c r="AH48" s="310"/>
      <c r="AI48" s="310"/>
      <c r="AJ48" s="310"/>
      <c r="AK48" s="310"/>
      <c r="AL48" s="310"/>
      <c r="AM48" s="310"/>
      <c r="AN48" s="310"/>
      <c r="AO48" s="310"/>
      <c r="AP48" s="310"/>
      <c r="AQ48" s="310"/>
      <c r="AR48" s="311"/>
      <c r="AS48" s="134"/>
    </row>
    <row r="49" spans="1:45" ht="24.9" customHeight="1" x14ac:dyDescent="0.25">
      <c r="A49" s="133"/>
      <c r="B49" s="315" t="s">
        <v>103</v>
      </c>
      <c r="C49" s="316"/>
      <c r="D49" s="316"/>
      <c r="E49" s="316"/>
      <c r="F49" s="316"/>
      <c r="G49" s="316"/>
      <c r="H49" s="316"/>
      <c r="I49" s="316"/>
      <c r="J49" s="316"/>
      <c r="K49" s="316"/>
      <c r="L49" s="316"/>
      <c r="M49" s="316"/>
      <c r="N49" s="317"/>
      <c r="O49" s="134"/>
      <c r="P49" s="134"/>
      <c r="Q49" s="315" t="s">
        <v>105</v>
      </c>
      <c r="R49" s="316"/>
      <c r="S49" s="316"/>
      <c r="T49" s="316"/>
      <c r="U49" s="316"/>
      <c r="V49" s="316"/>
      <c r="W49" s="316"/>
      <c r="X49" s="316"/>
      <c r="Y49" s="316"/>
      <c r="Z49" s="316"/>
      <c r="AA49" s="316"/>
      <c r="AB49" s="316"/>
      <c r="AC49" s="317"/>
      <c r="AD49" s="135"/>
      <c r="AE49" s="135"/>
      <c r="AF49" s="315" t="s">
        <v>106</v>
      </c>
      <c r="AG49" s="316"/>
      <c r="AH49" s="316"/>
      <c r="AI49" s="316"/>
      <c r="AJ49" s="316"/>
      <c r="AK49" s="316"/>
      <c r="AL49" s="316"/>
      <c r="AM49" s="316"/>
      <c r="AN49" s="316"/>
      <c r="AO49" s="316"/>
      <c r="AP49" s="316"/>
      <c r="AQ49" s="316"/>
      <c r="AR49" s="317"/>
      <c r="AS49" s="134"/>
    </row>
    <row r="50" spans="1:45" ht="40.200000000000003" x14ac:dyDescent="0.25">
      <c r="A50" s="133"/>
      <c r="B50" s="128" t="s">
        <v>0</v>
      </c>
      <c r="C50" s="120" t="s">
        <v>1</v>
      </c>
      <c r="D50" s="120" t="s">
        <v>2</v>
      </c>
      <c r="E50" s="129" t="s">
        <v>3</v>
      </c>
      <c r="F50" s="121" t="s">
        <v>95</v>
      </c>
      <c r="G50" s="121" t="s">
        <v>96</v>
      </c>
      <c r="H50" s="121" t="s">
        <v>177</v>
      </c>
      <c r="I50" s="121" t="s">
        <v>178</v>
      </c>
      <c r="J50" s="121" t="s">
        <v>175</v>
      </c>
      <c r="K50" s="121" t="s">
        <v>179</v>
      </c>
      <c r="L50" s="121" t="s">
        <v>175</v>
      </c>
      <c r="M50" s="121" t="s">
        <v>176</v>
      </c>
      <c r="N50" s="122" t="s">
        <v>4</v>
      </c>
      <c r="O50" s="134"/>
      <c r="P50" s="134"/>
      <c r="Q50" s="128" t="s">
        <v>0</v>
      </c>
      <c r="R50" s="120" t="s">
        <v>1</v>
      </c>
      <c r="S50" s="120" t="s">
        <v>2</v>
      </c>
      <c r="T50" s="129" t="s">
        <v>3</v>
      </c>
      <c r="U50" s="121" t="s">
        <v>95</v>
      </c>
      <c r="V50" s="121" t="s">
        <v>96</v>
      </c>
      <c r="W50" s="121" t="s">
        <v>177</v>
      </c>
      <c r="X50" s="121" t="s">
        <v>178</v>
      </c>
      <c r="Y50" s="121" t="s">
        <v>175</v>
      </c>
      <c r="Z50" s="121" t="s">
        <v>179</v>
      </c>
      <c r="AA50" s="121" t="s">
        <v>175</v>
      </c>
      <c r="AB50" s="121" t="s">
        <v>176</v>
      </c>
      <c r="AC50" s="122" t="s">
        <v>4</v>
      </c>
      <c r="AD50" s="135"/>
      <c r="AE50" s="135"/>
      <c r="AF50" s="128" t="s">
        <v>0</v>
      </c>
      <c r="AG50" s="120" t="s">
        <v>1</v>
      </c>
      <c r="AH50" s="120" t="s">
        <v>2</v>
      </c>
      <c r="AI50" s="129" t="s">
        <v>3</v>
      </c>
      <c r="AJ50" s="121" t="s">
        <v>95</v>
      </c>
      <c r="AK50" s="121" t="s">
        <v>96</v>
      </c>
      <c r="AL50" s="121" t="s">
        <v>177</v>
      </c>
      <c r="AM50" s="121" t="s">
        <v>178</v>
      </c>
      <c r="AN50" s="121" t="s">
        <v>175</v>
      </c>
      <c r="AO50" s="121" t="s">
        <v>179</v>
      </c>
      <c r="AP50" s="121" t="s">
        <v>175</v>
      </c>
      <c r="AQ50" s="121" t="s">
        <v>176</v>
      </c>
      <c r="AR50" s="122" t="s">
        <v>4</v>
      </c>
      <c r="AS50" s="134"/>
    </row>
    <row r="51" spans="1:45" ht="24.9" customHeight="1" x14ac:dyDescent="0.25">
      <c r="A51" s="133"/>
      <c r="B51" s="305" t="s">
        <v>5</v>
      </c>
      <c r="C51" s="140">
        <v>5180</v>
      </c>
      <c r="D51" s="140">
        <v>36</v>
      </c>
      <c r="E51" s="140">
        <v>6</v>
      </c>
      <c r="F51" s="216">
        <v>16</v>
      </c>
      <c r="G51" s="216">
        <v>16</v>
      </c>
      <c r="H51" s="217">
        <v>16.07</v>
      </c>
      <c r="I51" s="217">
        <v>16.350000000000001</v>
      </c>
      <c r="J51" s="217">
        <v>17</v>
      </c>
      <c r="K51" s="263">
        <f>10*LOG10((10^(H51/10))+(10^(I51/10)))</f>
        <v>19.222556099318151</v>
      </c>
      <c r="L51" s="263">
        <f>10*LOG10((10^(J51/10))*2)</f>
        <v>20.010299956639813</v>
      </c>
      <c r="M51" s="217">
        <v>-1.2</v>
      </c>
      <c r="N51" s="141">
        <f t="shared" ref="N51:N53" si="6">K51+M51</f>
        <v>18.022556099318152</v>
      </c>
      <c r="O51" s="134"/>
      <c r="P51" s="134"/>
      <c r="Q51" s="305" t="s">
        <v>5</v>
      </c>
      <c r="R51" s="140">
        <v>5180</v>
      </c>
      <c r="S51" s="140">
        <v>36</v>
      </c>
      <c r="T51" s="140">
        <v>6</v>
      </c>
      <c r="U51" s="216">
        <v>16</v>
      </c>
      <c r="V51" s="216">
        <v>16</v>
      </c>
      <c r="W51" s="217">
        <v>15.27</v>
      </c>
      <c r="X51" s="217">
        <v>15.85</v>
      </c>
      <c r="Y51" s="217">
        <v>17</v>
      </c>
      <c r="Z51" s="263">
        <f>10*LOG10((10^(W51/10))+(10^(X51/10)))</f>
        <v>18.579975140052408</v>
      </c>
      <c r="AA51" s="263">
        <f>10*LOG10((10^(Y51/10))*2)</f>
        <v>20.010299956639813</v>
      </c>
      <c r="AB51" s="217">
        <v>-1</v>
      </c>
      <c r="AC51" s="141">
        <f t="shared" ref="AC51:AC53" si="7">Z51+AB51</f>
        <v>17.579975140052408</v>
      </c>
      <c r="AD51" s="135"/>
      <c r="AE51" s="135"/>
      <c r="AF51" s="305" t="s">
        <v>5</v>
      </c>
      <c r="AG51" s="140">
        <v>5180</v>
      </c>
      <c r="AH51" s="140">
        <v>36</v>
      </c>
      <c r="AI51" s="140">
        <v>6</v>
      </c>
      <c r="AJ51" s="216">
        <v>16</v>
      </c>
      <c r="AK51" s="216">
        <v>16</v>
      </c>
      <c r="AL51" s="217">
        <v>9.31</v>
      </c>
      <c r="AM51" s="217">
        <v>8.84</v>
      </c>
      <c r="AN51" s="217">
        <v>17</v>
      </c>
      <c r="AO51" s="263">
        <f>10*LOG10((10^(AL51/10))+(10^(AM51/10)))</f>
        <v>12.091654869466222</v>
      </c>
      <c r="AP51" s="263">
        <f>10*LOG10((10^(AN51/10))*2)</f>
        <v>20.010299956639813</v>
      </c>
      <c r="AQ51" s="210">
        <v>-3.2</v>
      </c>
      <c r="AR51" s="141">
        <f>AO51+AQ51</f>
        <v>8.8916548694662225</v>
      </c>
      <c r="AS51" s="134"/>
    </row>
    <row r="52" spans="1:45" ht="24.9" customHeight="1" x14ac:dyDescent="0.25">
      <c r="A52" s="133"/>
      <c r="B52" s="305"/>
      <c r="C52" s="140">
        <v>5260</v>
      </c>
      <c r="D52" s="140">
        <v>52</v>
      </c>
      <c r="E52" s="140">
        <v>6</v>
      </c>
      <c r="F52" s="216">
        <v>16</v>
      </c>
      <c r="G52" s="216">
        <v>16</v>
      </c>
      <c r="H52" s="217">
        <v>16.07</v>
      </c>
      <c r="I52" s="217">
        <v>16.350000000000001</v>
      </c>
      <c r="J52" s="217">
        <v>17</v>
      </c>
      <c r="K52" s="263">
        <f t="shared" ref="K52:K55" si="8">10*LOG10((10^(H52/10))+(10^(I52/10)))</f>
        <v>19.222556099318151</v>
      </c>
      <c r="L52" s="263">
        <f t="shared" ref="L52:L68" si="9">10*LOG10((10^(J52/10))*2)</f>
        <v>20.010299956639813</v>
      </c>
      <c r="M52" s="217">
        <v>-1.2</v>
      </c>
      <c r="N52" s="141">
        <f t="shared" si="6"/>
        <v>18.022556099318152</v>
      </c>
      <c r="O52" s="134"/>
      <c r="P52" s="134"/>
      <c r="Q52" s="305"/>
      <c r="R52" s="140">
        <v>5260</v>
      </c>
      <c r="S52" s="140">
        <v>52</v>
      </c>
      <c r="T52" s="140">
        <v>6</v>
      </c>
      <c r="U52" s="216">
        <v>16</v>
      </c>
      <c r="V52" s="216">
        <v>16</v>
      </c>
      <c r="W52" s="217">
        <v>15.27</v>
      </c>
      <c r="X52" s="217">
        <v>15.85</v>
      </c>
      <c r="Y52" s="217">
        <v>17</v>
      </c>
      <c r="Z52" s="263">
        <f t="shared" ref="Z52:Z55" si="10">10*LOG10((10^(W52/10))+(10^(X52/10)))</f>
        <v>18.579975140052408</v>
      </c>
      <c r="AA52" s="263">
        <f t="shared" ref="AA52:AA68" si="11">10*LOG10((10^(Y52/10))*2)</f>
        <v>20.010299956639813</v>
      </c>
      <c r="AB52" s="217">
        <v>-1</v>
      </c>
      <c r="AC52" s="141">
        <f t="shared" si="7"/>
        <v>17.579975140052408</v>
      </c>
      <c r="AD52" s="135"/>
      <c r="AE52" s="135"/>
      <c r="AF52" s="305"/>
      <c r="AG52" s="140">
        <v>5260</v>
      </c>
      <c r="AH52" s="140">
        <v>52</v>
      </c>
      <c r="AI52" s="140">
        <v>6</v>
      </c>
      <c r="AJ52" s="216">
        <v>16</v>
      </c>
      <c r="AK52" s="216">
        <v>16</v>
      </c>
      <c r="AL52" s="217">
        <v>9.1999999999999993</v>
      </c>
      <c r="AM52" s="217">
        <v>8.42</v>
      </c>
      <c r="AN52" s="217">
        <v>17</v>
      </c>
      <c r="AO52" s="263">
        <f t="shared" ref="AO52:AO55" si="12">10*LOG10((10^(AL52/10))+(10^(AM52/10)))</f>
        <v>11.837787631216077</v>
      </c>
      <c r="AP52" s="263">
        <f t="shared" ref="AP52:AP64" si="13">10*LOG10((10^(AN52/10))*2)</f>
        <v>20.010299956639813</v>
      </c>
      <c r="AQ52" s="210">
        <v>-3.2</v>
      </c>
      <c r="AR52" s="141">
        <f t="shared" ref="AR52:AR53" si="14">AO52+AQ52</f>
        <v>8.637787631216078</v>
      </c>
      <c r="AS52" s="134"/>
    </row>
    <row r="53" spans="1:45" ht="24.9" customHeight="1" x14ac:dyDescent="0.25">
      <c r="A53" s="133"/>
      <c r="B53" s="305"/>
      <c r="C53" s="140">
        <v>5320</v>
      </c>
      <c r="D53" s="140">
        <v>64</v>
      </c>
      <c r="E53" s="140">
        <v>6</v>
      </c>
      <c r="F53" s="216">
        <v>16</v>
      </c>
      <c r="G53" s="216">
        <v>16</v>
      </c>
      <c r="H53" s="217">
        <v>16.190000000000001</v>
      </c>
      <c r="I53" s="217">
        <v>15.93</v>
      </c>
      <c r="J53" s="217">
        <v>17</v>
      </c>
      <c r="K53" s="263">
        <f t="shared" si="8"/>
        <v>19.072245350550524</v>
      </c>
      <c r="L53" s="263">
        <f t="shared" si="9"/>
        <v>20.010299956639813</v>
      </c>
      <c r="M53" s="217">
        <v>-1.2</v>
      </c>
      <c r="N53" s="141">
        <f t="shared" si="6"/>
        <v>17.872245350550525</v>
      </c>
      <c r="O53" s="134"/>
      <c r="P53" s="134"/>
      <c r="Q53" s="305"/>
      <c r="R53" s="140">
        <v>5320</v>
      </c>
      <c r="S53" s="140">
        <v>64</v>
      </c>
      <c r="T53" s="140">
        <v>6</v>
      </c>
      <c r="U53" s="216">
        <v>16</v>
      </c>
      <c r="V53" s="216">
        <v>16</v>
      </c>
      <c r="W53" s="217">
        <v>15.13</v>
      </c>
      <c r="X53" s="217">
        <v>15.98</v>
      </c>
      <c r="Y53" s="217">
        <v>17</v>
      </c>
      <c r="Z53" s="263">
        <f t="shared" si="10"/>
        <v>18.586062071684999</v>
      </c>
      <c r="AA53" s="263">
        <f t="shared" si="11"/>
        <v>20.010299956639813</v>
      </c>
      <c r="AB53" s="217">
        <v>-1</v>
      </c>
      <c r="AC53" s="141">
        <f t="shared" si="7"/>
        <v>17.586062071684999</v>
      </c>
      <c r="AD53" s="135"/>
      <c r="AE53" s="135"/>
      <c r="AF53" s="305"/>
      <c r="AG53" s="140">
        <v>5320</v>
      </c>
      <c r="AH53" s="140">
        <v>64</v>
      </c>
      <c r="AI53" s="140">
        <v>6</v>
      </c>
      <c r="AJ53" s="216">
        <v>16</v>
      </c>
      <c r="AK53" s="216">
        <v>16</v>
      </c>
      <c r="AL53" s="217">
        <v>9.6300000000000008</v>
      </c>
      <c r="AM53" s="217">
        <v>8.23</v>
      </c>
      <c r="AN53" s="217">
        <v>17</v>
      </c>
      <c r="AO53" s="263">
        <f t="shared" si="12"/>
        <v>11.996470707228507</v>
      </c>
      <c r="AP53" s="263">
        <f t="shared" si="13"/>
        <v>20.010299956639813</v>
      </c>
      <c r="AQ53" s="210">
        <v>-3.2</v>
      </c>
      <c r="AR53" s="141">
        <f t="shared" si="14"/>
        <v>8.796470707228508</v>
      </c>
      <c r="AS53" s="134"/>
    </row>
    <row r="54" spans="1:45" ht="24.9" customHeight="1" x14ac:dyDescent="0.25">
      <c r="A54" s="133"/>
      <c r="B54" s="318" t="s">
        <v>7</v>
      </c>
      <c r="C54" s="144">
        <v>5180</v>
      </c>
      <c r="D54" s="144">
        <v>36</v>
      </c>
      <c r="E54" s="145" t="s">
        <v>18</v>
      </c>
      <c r="F54" s="216">
        <v>16</v>
      </c>
      <c r="G54" s="216">
        <v>16</v>
      </c>
      <c r="H54" s="217">
        <v>15.54</v>
      </c>
      <c r="I54" s="217">
        <v>15.99</v>
      </c>
      <c r="J54" s="217">
        <v>17</v>
      </c>
      <c r="K54" s="263">
        <f t="shared" si="8"/>
        <v>18.781125769691801</v>
      </c>
      <c r="L54" s="263">
        <f t="shared" si="9"/>
        <v>20.010299956639813</v>
      </c>
      <c r="M54" s="217">
        <v>-1.2</v>
      </c>
      <c r="N54" s="141">
        <f>K54+M54</f>
        <v>17.581125769691802</v>
      </c>
      <c r="O54" s="143"/>
      <c r="P54" s="161"/>
      <c r="Q54" s="318" t="s">
        <v>7</v>
      </c>
      <c r="R54" s="145">
        <v>5500</v>
      </c>
      <c r="S54" s="145">
        <v>100</v>
      </c>
      <c r="T54" s="145" t="s">
        <v>18</v>
      </c>
      <c r="U54" s="216">
        <v>16</v>
      </c>
      <c r="V54" s="216">
        <v>16</v>
      </c>
      <c r="W54" s="217">
        <v>15.43</v>
      </c>
      <c r="X54" s="217">
        <v>15.13</v>
      </c>
      <c r="Y54" s="217">
        <v>17</v>
      </c>
      <c r="Z54" s="263">
        <f t="shared" si="10"/>
        <v>18.292889850005192</v>
      </c>
      <c r="AA54" s="263">
        <f t="shared" si="11"/>
        <v>20.010299956639813</v>
      </c>
      <c r="AB54" s="217">
        <v>-1</v>
      </c>
      <c r="AC54" s="141">
        <f>Z54+AB54</f>
        <v>17.292889850005192</v>
      </c>
      <c r="AD54" s="135"/>
      <c r="AE54" s="135"/>
      <c r="AF54" s="301" t="s">
        <v>7</v>
      </c>
      <c r="AG54" s="130">
        <v>5745</v>
      </c>
      <c r="AH54" s="130">
        <v>149</v>
      </c>
      <c r="AI54" s="145" t="s">
        <v>18</v>
      </c>
      <c r="AJ54" s="216">
        <v>16</v>
      </c>
      <c r="AK54" s="216">
        <v>16</v>
      </c>
      <c r="AL54" s="217">
        <v>9.52</v>
      </c>
      <c r="AM54" s="217">
        <v>8.83</v>
      </c>
      <c r="AN54" s="217">
        <v>17</v>
      </c>
      <c r="AO54" s="263">
        <f t="shared" si="12"/>
        <v>12.198988827786387</v>
      </c>
      <c r="AP54" s="263">
        <f t="shared" si="13"/>
        <v>20.010299956639813</v>
      </c>
      <c r="AQ54" s="210">
        <v>-3.2</v>
      </c>
      <c r="AR54" s="141">
        <f>AO54+AQ54</f>
        <v>8.9989888277863876</v>
      </c>
      <c r="AS54" s="134"/>
    </row>
    <row r="55" spans="1:45" ht="24.9" customHeight="1" x14ac:dyDescent="0.25">
      <c r="A55" s="133"/>
      <c r="B55" s="299"/>
      <c r="C55" s="144">
        <v>5260</v>
      </c>
      <c r="D55" s="144">
        <v>52</v>
      </c>
      <c r="E55" s="145" t="s">
        <v>18</v>
      </c>
      <c r="F55" s="216">
        <v>16</v>
      </c>
      <c r="G55" s="216">
        <v>16</v>
      </c>
      <c r="H55" s="217">
        <v>16.32</v>
      </c>
      <c r="I55" s="217">
        <v>16.440000000000001</v>
      </c>
      <c r="J55" s="217">
        <v>17</v>
      </c>
      <c r="K55" s="263">
        <f t="shared" si="8"/>
        <v>19.390714408772507</v>
      </c>
      <c r="L55" s="263">
        <f t="shared" si="9"/>
        <v>20.010299956639813</v>
      </c>
      <c r="M55" s="217">
        <v>-1.2</v>
      </c>
      <c r="N55" s="141">
        <f t="shared" ref="N55:N68" si="15">K55+M55</f>
        <v>18.190714408772507</v>
      </c>
      <c r="O55" s="134"/>
      <c r="P55" s="134"/>
      <c r="Q55" s="299"/>
      <c r="R55" s="145">
        <v>5600</v>
      </c>
      <c r="S55" s="145">
        <v>120</v>
      </c>
      <c r="T55" s="145" t="s">
        <v>18</v>
      </c>
      <c r="U55" s="216">
        <v>16</v>
      </c>
      <c r="V55" s="216">
        <v>16</v>
      </c>
      <c r="W55" s="217">
        <v>15.41</v>
      </c>
      <c r="X55" s="217">
        <v>16.09</v>
      </c>
      <c r="Y55" s="217">
        <v>17</v>
      </c>
      <c r="Z55" s="263">
        <f t="shared" si="10"/>
        <v>18.773595325584566</v>
      </c>
      <c r="AA55" s="263">
        <f t="shared" si="11"/>
        <v>20.010299956639813</v>
      </c>
      <c r="AB55" s="217">
        <v>-1</v>
      </c>
      <c r="AC55" s="141">
        <f t="shared" ref="AC55:AC68" si="16">Z55+AB55</f>
        <v>17.773595325584566</v>
      </c>
      <c r="AD55" s="135"/>
      <c r="AE55" s="135"/>
      <c r="AF55" s="302"/>
      <c r="AG55" s="130">
        <v>5785</v>
      </c>
      <c r="AH55" s="130">
        <v>157</v>
      </c>
      <c r="AI55" s="145" t="s">
        <v>18</v>
      </c>
      <c r="AJ55" s="216">
        <v>16</v>
      </c>
      <c r="AK55" s="216">
        <v>16</v>
      </c>
      <c r="AL55" s="217">
        <v>9.42</v>
      </c>
      <c r="AM55" s="217">
        <v>8.5299999999999994</v>
      </c>
      <c r="AN55" s="217">
        <v>17</v>
      </c>
      <c r="AO55" s="263">
        <f t="shared" si="12"/>
        <v>12.008058644787987</v>
      </c>
      <c r="AP55" s="263">
        <f t="shared" si="13"/>
        <v>20.010299956639813</v>
      </c>
      <c r="AQ55" s="210">
        <v>-3.2</v>
      </c>
      <c r="AR55" s="141">
        <f t="shared" ref="AR55:AR64" si="17">AO55+AQ55</f>
        <v>8.8080586447879874</v>
      </c>
      <c r="AS55" s="134"/>
    </row>
    <row r="56" spans="1:45" ht="24.9" customHeight="1" x14ac:dyDescent="0.25">
      <c r="A56" s="133"/>
      <c r="B56" s="300"/>
      <c r="C56" s="144">
        <v>5320</v>
      </c>
      <c r="D56" s="144">
        <v>64</v>
      </c>
      <c r="E56" s="145" t="s">
        <v>17</v>
      </c>
      <c r="F56" s="216">
        <v>16</v>
      </c>
      <c r="G56" s="216">
        <v>16</v>
      </c>
      <c r="H56" s="217">
        <v>16.27</v>
      </c>
      <c r="I56" s="217">
        <v>15.91</v>
      </c>
      <c r="J56" s="217">
        <v>17</v>
      </c>
      <c r="K56" s="263">
        <f>10*LOG10((10^(H56/10))+(10^(I56/10)))</f>
        <v>19.104029077017326</v>
      </c>
      <c r="L56" s="263">
        <f t="shared" si="9"/>
        <v>20.010299956639813</v>
      </c>
      <c r="M56" s="217">
        <v>-1.2</v>
      </c>
      <c r="N56" s="141">
        <f t="shared" si="15"/>
        <v>17.904029077017327</v>
      </c>
      <c r="O56" s="134"/>
      <c r="P56" s="134"/>
      <c r="Q56" s="300"/>
      <c r="R56" s="145">
        <v>5700</v>
      </c>
      <c r="S56" s="145">
        <v>140</v>
      </c>
      <c r="T56" s="145" t="s">
        <v>17</v>
      </c>
      <c r="U56" s="216">
        <v>16</v>
      </c>
      <c r="V56" s="216">
        <v>16</v>
      </c>
      <c r="W56" s="217">
        <v>15.33</v>
      </c>
      <c r="X56" s="217">
        <v>16.079999999999998</v>
      </c>
      <c r="Y56" s="217">
        <v>17</v>
      </c>
      <c r="Z56" s="263">
        <f>10*LOG10((10^(W56/10))+(10^(X56/10)))</f>
        <v>18.731469929702037</v>
      </c>
      <c r="AA56" s="263">
        <f t="shared" si="11"/>
        <v>20.010299956639813</v>
      </c>
      <c r="AB56" s="217">
        <v>-1</v>
      </c>
      <c r="AC56" s="141">
        <f t="shared" si="16"/>
        <v>17.731469929702037</v>
      </c>
      <c r="AD56" s="135"/>
      <c r="AE56" s="135"/>
      <c r="AF56" s="312"/>
      <c r="AG56" s="130">
        <v>5825</v>
      </c>
      <c r="AH56" s="130">
        <v>165</v>
      </c>
      <c r="AI56" s="145" t="s">
        <v>17</v>
      </c>
      <c r="AJ56" s="216">
        <v>16</v>
      </c>
      <c r="AK56" s="216">
        <v>16</v>
      </c>
      <c r="AL56" s="217">
        <v>9.7899999999999991</v>
      </c>
      <c r="AM56" s="217">
        <v>7.92</v>
      </c>
      <c r="AN56" s="217">
        <v>17</v>
      </c>
      <c r="AO56" s="263">
        <f>10*LOG10((10^(AL56/10))+(10^(AM56/10)))</f>
        <v>11.965180785090245</v>
      </c>
      <c r="AP56" s="263">
        <f t="shared" si="13"/>
        <v>20.010299956639813</v>
      </c>
      <c r="AQ56" s="210">
        <v>-3.2</v>
      </c>
      <c r="AR56" s="141">
        <f t="shared" si="17"/>
        <v>8.7651807850902443</v>
      </c>
      <c r="AS56" s="134"/>
    </row>
    <row r="57" spans="1:45" ht="24.9" customHeight="1" x14ac:dyDescent="0.25">
      <c r="A57" s="133"/>
      <c r="B57" s="318" t="s">
        <v>10</v>
      </c>
      <c r="C57" s="144">
        <v>5190</v>
      </c>
      <c r="D57" s="144">
        <v>38</v>
      </c>
      <c r="E57" s="145" t="s">
        <v>17</v>
      </c>
      <c r="F57" s="216">
        <v>16</v>
      </c>
      <c r="G57" s="216">
        <v>16</v>
      </c>
      <c r="H57" s="217">
        <v>15.61</v>
      </c>
      <c r="I57" s="217">
        <v>16.149999999999999</v>
      </c>
      <c r="J57" s="217">
        <v>17</v>
      </c>
      <c r="K57" s="263">
        <f>10*LOG10((10^(H57/10))+(10^(I57/10)))</f>
        <v>18.898687478311594</v>
      </c>
      <c r="L57" s="263">
        <f t="shared" si="9"/>
        <v>20.010299956639813</v>
      </c>
      <c r="M57" s="217">
        <v>-1.2</v>
      </c>
      <c r="N57" s="141">
        <f t="shared" si="15"/>
        <v>17.698687478311594</v>
      </c>
      <c r="O57" s="134"/>
      <c r="P57" s="134"/>
      <c r="Q57" s="318" t="s">
        <v>10</v>
      </c>
      <c r="R57" s="145">
        <v>5510</v>
      </c>
      <c r="S57" s="145">
        <v>102</v>
      </c>
      <c r="T57" s="145" t="s">
        <v>17</v>
      </c>
      <c r="U57" s="216">
        <v>16</v>
      </c>
      <c r="V57" s="216">
        <v>16</v>
      </c>
      <c r="W57" s="217">
        <v>15.58</v>
      </c>
      <c r="X57" s="217">
        <v>15.57</v>
      </c>
      <c r="Y57" s="217">
        <v>17</v>
      </c>
      <c r="Z57" s="263">
        <f>10*LOG10((10^(W57/10))+(10^(X57/10)))</f>
        <v>18.585302834870546</v>
      </c>
      <c r="AA57" s="263">
        <f t="shared" si="11"/>
        <v>20.010299956639813</v>
      </c>
      <c r="AB57" s="217">
        <v>-1</v>
      </c>
      <c r="AC57" s="141">
        <f t="shared" si="16"/>
        <v>17.585302834870546</v>
      </c>
      <c r="AD57" s="135"/>
      <c r="AE57" s="135"/>
      <c r="AF57" s="301" t="s">
        <v>10</v>
      </c>
      <c r="AG57" s="130">
        <v>5755</v>
      </c>
      <c r="AH57" s="130">
        <v>151</v>
      </c>
      <c r="AI57" s="145" t="s">
        <v>17</v>
      </c>
      <c r="AJ57" s="216">
        <v>16</v>
      </c>
      <c r="AK57" s="216">
        <v>16</v>
      </c>
      <c r="AL57" s="217">
        <v>9.27</v>
      </c>
      <c r="AM57" s="217">
        <v>8.8000000000000007</v>
      </c>
      <c r="AN57" s="217">
        <v>17</v>
      </c>
      <c r="AO57" s="263">
        <f>10*LOG10((10^(AL57/10))+(10^(AM57/10)))</f>
        <v>12.051654869466223</v>
      </c>
      <c r="AP57" s="263">
        <f t="shared" si="13"/>
        <v>20.010299956639813</v>
      </c>
      <c r="AQ57" s="210">
        <v>-3.2</v>
      </c>
      <c r="AR57" s="141">
        <f t="shared" si="17"/>
        <v>8.8516548694662234</v>
      </c>
      <c r="AS57" s="134"/>
    </row>
    <row r="58" spans="1:45" ht="24.9" customHeight="1" x14ac:dyDescent="0.25">
      <c r="A58" s="133"/>
      <c r="B58" s="299"/>
      <c r="C58" s="144">
        <v>5270</v>
      </c>
      <c r="D58" s="144">
        <v>54</v>
      </c>
      <c r="E58" s="145" t="s">
        <v>17</v>
      </c>
      <c r="F58" s="216">
        <v>16</v>
      </c>
      <c r="G58" s="216">
        <v>16</v>
      </c>
      <c r="H58" s="217">
        <v>14.3</v>
      </c>
      <c r="I58" s="217">
        <v>14.47</v>
      </c>
      <c r="J58" s="217">
        <v>17</v>
      </c>
      <c r="K58" s="263">
        <f t="shared" ref="K58:K68" si="18">10*LOG10((10^(H58/10))+(10^(I58/10)))</f>
        <v>17.396131712404333</v>
      </c>
      <c r="L58" s="263">
        <f t="shared" si="9"/>
        <v>20.010299956639813</v>
      </c>
      <c r="M58" s="217">
        <v>-1.2</v>
      </c>
      <c r="N58" s="141">
        <f t="shared" si="15"/>
        <v>16.196131712404334</v>
      </c>
      <c r="O58" s="134"/>
      <c r="P58" s="134"/>
      <c r="Q58" s="299"/>
      <c r="R58" s="145">
        <v>5590</v>
      </c>
      <c r="S58" s="145">
        <v>118</v>
      </c>
      <c r="T58" s="145" t="s">
        <v>17</v>
      </c>
      <c r="U58" s="216">
        <v>16</v>
      </c>
      <c r="V58" s="216">
        <v>16</v>
      </c>
      <c r="W58" s="217">
        <v>14.39</v>
      </c>
      <c r="X58" s="217">
        <v>14.94</v>
      </c>
      <c r="Y58" s="217">
        <v>17</v>
      </c>
      <c r="Z58" s="263">
        <f t="shared" ref="Z58:Z68" si="19">10*LOG10((10^(W58/10))+(10^(X58/10)))</f>
        <v>17.684000794429664</v>
      </c>
      <c r="AA58" s="263">
        <f t="shared" si="11"/>
        <v>20.010299956639813</v>
      </c>
      <c r="AB58" s="217">
        <v>-1</v>
      </c>
      <c r="AC58" s="141">
        <f t="shared" si="16"/>
        <v>16.684000794429664</v>
      </c>
      <c r="AD58" s="135"/>
      <c r="AE58" s="135"/>
      <c r="AF58" s="312"/>
      <c r="AG58" s="130">
        <v>5795</v>
      </c>
      <c r="AH58" s="130">
        <v>159</v>
      </c>
      <c r="AI58" s="145" t="s">
        <v>17</v>
      </c>
      <c r="AJ58" s="216">
        <v>16</v>
      </c>
      <c r="AK58" s="216">
        <v>16</v>
      </c>
      <c r="AL58" s="217">
        <v>9.25</v>
      </c>
      <c r="AM58" s="217">
        <v>8.33</v>
      </c>
      <c r="AN58" s="217">
        <v>17</v>
      </c>
      <c r="AO58" s="263">
        <f t="shared" ref="AO58:AO64" si="20">10*LOG10((10^(AL58/10))+(10^(AM58/10)))</f>
        <v>11.824615891815879</v>
      </c>
      <c r="AP58" s="263">
        <f t="shared" si="13"/>
        <v>20.010299956639813</v>
      </c>
      <c r="AQ58" s="210">
        <v>-3.2</v>
      </c>
      <c r="AR58" s="141">
        <f t="shared" si="17"/>
        <v>8.6246158918158784</v>
      </c>
      <c r="AS58" s="134"/>
    </row>
    <row r="59" spans="1:45" ht="24.9" customHeight="1" x14ac:dyDescent="0.25">
      <c r="A59" s="133"/>
      <c r="B59" s="300"/>
      <c r="C59" s="144">
        <v>5310</v>
      </c>
      <c r="D59" s="144">
        <v>62</v>
      </c>
      <c r="E59" s="145" t="s">
        <v>17</v>
      </c>
      <c r="F59" s="216">
        <v>16</v>
      </c>
      <c r="G59" s="216">
        <v>16</v>
      </c>
      <c r="H59" s="217">
        <v>14.87</v>
      </c>
      <c r="I59" s="217">
        <v>14.32</v>
      </c>
      <c r="J59" s="217">
        <v>17</v>
      </c>
      <c r="K59" s="263">
        <f t="shared" si="18"/>
        <v>17.614000794429664</v>
      </c>
      <c r="L59" s="263">
        <f t="shared" si="9"/>
        <v>20.010299956639813</v>
      </c>
      <c r="M59" s="217">
        <v>-1.2</v>
      </c>
      <c r="N59" s="141">
        <f t="shared" si="15"/>
        <v>16.414000794429665</v>
      </c>
      <c r="O59" s="134"/>
      <c r="P59" s="134"/>
      <c r="Q59" s="300"/>
      <c r="R59" s="145">
        <v>5670</v>
      </c>
      <c r="S59" s="145">
        <v>134</v>
      </c>
      <c r="T59" s="145" t="s">
        <v>17</v>
      </c>
      <c r="U59" s="216">
        <v>16</v>
      </c>
      <c r="V59" s="216">
        <v>16</v>
      </c>
      <c r="W59" s="217">
        <v>14.8</v>
      </c>
      <c r="X59" s="217">
        <v>14.88</v>
      </c>
      <c r="Y59" s="217">
        <v>17</v>
      </c>
      <c r="Z59" s="263">
        <f t="shared" si="19"/>
        <v>17.850484160842925</v>
      </c>
      <c r="AA59" s="263">
        <f t="shared" si="11"/>
        <v>20.010299956639813</v>
      </c>
      <c r="AB59" s="217">
        <v>-1</v>
      </c>
      <c r="AC59" s="141">
        <f t="shared" si="16"/>
        <v>16.850484160842925</v>
      </c>
      <c r="AD59" s="135"/>
      <c r="AE59" s="135"/>
      <c r="AF59" s="301" t="s">
        <v>11</v>
      </c>
      <c r="AG59" s="130">
        <v>5745</v>
      </c>
      <c r="AH59" s="130">
        <v>149</v>
      </c>
      <c r="AI59" s="145" t="s">
        <v>6</v>
      </c>
      <c r="AJ59" s="216">
        <v>16</v>
      </c>
      <c r="AK59" s="216">
        <v>16</v>
      </c>
      <c r="AL59" s="217">
        <v>9.6</v>
      </c>
      <c r="AM59" s="217">
        <v>8.82</v>
      </c>
      <c r="AN59" s="217">
        <v>17</v>
      </c>
      <c r="AO59" s="263">
        <f t="shared" si="20"/>
        <v>12.237787631216078</v>
      </c>
      <c r="AP59" s="263">
        <f t="shared" si="13"/>
        <v>20.010299956639813</v>
      </c>
      <c r="AQ59" s="210">
        <v>-3.2</v>
      </c>
      <c r="AR59" s="141">
        <f t="shared" si="17"/>
        <v>9.0377876312160765</v>
      </c>
      <c r="AS59" s="134"/>
    </row>
    <row r="60" spans="1:45" ht="24.9" customHeight="1" x14ac:dyDescent="0.25">
      <c r="A60" s="133"/>
      <c r="B60" s="306" t="s">
        <v>11</v>
      </c>
      <c r="C60" s="140">
        <v>5180</v>
      </c>
      <c r="D60" s="140">
        <v>36</v>
      </c>
      <c r="E60" s="142" t="s">
        <v>6</v>
      </c>
      <c r="F60" s="216">
        <v>16</v>
      </c>
      <c r="G60" s="216">
        <v>16</v>
      </c>
      <c r="H60" s="217">
        <v>13.92</v>
      </c>
      <c r="I60" s="217">
        <v>14.37</v>
      </c>
      <c r="J60" s="217">
        <v>17</v>
      </c>
      <c r="K60" s="263">
        <f t="shared" si="18"/>
        <v>17.161125769691804</v>
      </c>
      <c r="L60" s="263">
        <f t="shared" si="9"/>
        <v>20.010299956639813</v>
      </c>
      <c r="M60" s="217">
        <v>-1.2</v>
      </c>
      <c r="N60" s="141">
        <f t="shared" si="15"/>
        <v>15.961125769691805</v>
      </c>
      <c r="O60" s="134"/>
      <c r="P60" s="134"/>
      <c r="Q60" s="306" t="s">
        <v>11</v>
      </c>
      <c r="R60" s="142">
        <v>5500</v>
      </c>
      <c r="S60" s="142">
        <v>100</v>
      </c>
      <c r="T60" s="142" t="s">
        <v>6</v>
      </c>
      <c r="U60" s="216">
        <v>16</v>
      </c>
      <c r="V60" s="216">
        <v>16</v>
      </c>
      <c r="W60" s="217">
        <v>15.32</v>
      </c>
      <c r="X60" s="217">
        <v>14.79</v>
      </c>
      <c r="Y60" s="217">
        <v>17</v>
      </c>
      <c r="Z60" s="263">
        <f t="shared" si="19"/>
        <v>18.073379896463003</v>
      </c>
      <c r="AA60" s="263">
        <f t="shared" si="11"/>
        <v>20.010299956639813</v>
      </c>
      <c r="AB60" s="217">
        <v>-1</v>
      </c>
      <c r="AC60" s="141">
        <f t="shared" si="16"/>
        <v>17.073379896463003</v>
      </c>
      <c r="AD60" s="135"/>
      <c r="AE60" s="135"/>
      <c r="AF60" s="302"/>
      <c r="AG60" s="130">
        <v>5785</v>
      </c>
      <c r="AH60" s="130">
        <v>157</v>
      </c>
      <c r="AI60" s="142" t="s">
        <v>6</v>
      </c>
      <c r="AJ60" s="216">
        <v>16</v>
      </c>
      <c r="AK60" s="216">
        <v>16</v>
      </c>
      <c r="AL60" s="217">
        <v>9.58</v>
      </c>
      <c r="AM60" s="217">
        <v>8.56</v>
      </c>
      <c r="AN60" s="217">
        <v>17</v>
      </c>
      <c r="AO60" s="263">
        <f t="shared" si="20"/>
        <v>12.110176502768127</v>
      </c>
      <c r="AP60" s="263">
        <f t="shared" si="13"/>
        <v>20.010299956639813</v>
      </c>
      <c r="AQ60" s="210">
        <v>-3.2</v>
      </c>
      <c r="AR60" s="141">
        <f t="shared" si="17"/>
        <v>8.9101765027681274</v>
      </c>
      <c r="AS60" s="134"/>
    </row>
    <row r="61" spans="1:45" ht="24.9" customHeight="1" x14ac:dyDescent="0.25">
      <c r="A61" s="133"/>
      <c r="B61" s="307"/>
      <c r="C61" s="140">
        <v>5260</v>
      </c>
      <c r="D61" s="140">
        <v>52</v>
      </c>
      <c r="E61" s="142" t="s">
        <v>6</v>
      </c>
      <c r="F61" s="216">
        <v>16</v>
      </c>
      <c r="G61" s="216">
        <v>16</v>
      </c>
      <c r="H61" s="217">
        <v>16.25</v>
      </c>
      <c r="I61" s="217">
        <v>16.37</v>
      </c>
      <c r="J61" s="217">
        <v>17</v>
      </c>
      <c r="K61" s="263">
        <f t="shared" si="18"/>
        <v>19.320714408772506</v>
      </c>
      <c r="L61" s="263">
        <f t="shared" si="9"/>
        <v>20.010299956639813</v>
      </c>
      <c r="M61" s="217">
        <v>-1.2</v>
      </c>
      <c r="N61" s="141">
        <f t="shared" si="15"/>
        <v>18.120714408772507</v>
      </c>
      <c r="O61" s="134"/>
      <c r="P61" s="134"/>
      <c r="Q61" s="307"/>
      <c r="R61" s="142">
        <v>5600</v>
      </c>
      <c r="S61" s="142">
        <v>120</v>
      </c>
      <c r="T61" s="142" t="s">
        <v>6</v>
      </c>
      <c r="U61" s="216">
        <v>16</v>
      </c>
      <c r="V61" s="216">
        <v>16</v>
      </c>
      <c r="W61" s="217">
        <v>15.4</v>
      </c>
      <c r="X61" s="217">
        <v>16</v>
      </c>
      <c r="Y61" s="217">
        <v>17</v>
      </c>
      <c r="Z61" s="263">
        <f t="shared" si="19"/>
        <v>18.720653359580428</v>
      </c>
      <c r="AA61" s="263">
        <f t="shared" si="11"/>
        <v>20.010299956639813</v>
      </c>
      <c r="AB61" s="217">
        <v>-1</v>
      </c>
      <c r="AC61" s="141">
        <f t="shared" si="16"/>
        <v>17.720653359580428</v>
      </c>
      <c r="AD61" s="135"/>
      <c r="AE61" s="135"/>
      <c r="AF61" s="312"/>
      <c r="AG61" s="130">
        <v>5825</v>
      </c>
      <c r="AH61" s="130">
        <v>165</v>
      </c>
      <c r="AI61" s="142" t="s">
        <v>6</v>
      </c>
      <c r="AJ61" s="216">
        <v>16</v>
      </c>
      <c r="AK61" s="216">
        <v>16</v>
      </c>
      <c r="AL61" s="217">
        <v>9.76</v>
      </c>
      <c r="AM61" s="217">
        <v>8.1199999999999992</v>
      </c>
      <c r="AN61" s="217">
        <v>17</v>
      </c>
      <c r="AO61" s="263">
        <f t="shared" si="20"/>
        <v>12.027257232144517</v>
      </c>
      <c r="AP61" s="263">
        <f t="shared" si="13"/>
        <v>20.010299956639813</v>
      </c>
      <c r="AQ61" s="210">
        <v>-3.2</v>
      </c>
      <c r="AR61" s="141">
        <f t="shared" si="17"/>
        <v>8.8272572321445182</v>
      </c>
      <c r="AS61" s="134"/>
    </row>
    <row r="62" spans="1:45" ht="24.9" customHeight="1" x14ac:dyDescent="0.25">
      <c r="A62" s="133"/>
      <c r="B62" s="308"/>
      <c r="C62" s="140">
        <v>5320</v>
      </c>
      <c r="D62" s="140">
        <v>64</v>
      </c>
      <c r="E62" s="142" t="s">
        <v>6</v>
      </c>
      <c r="F62" s="216">
        <v>16</v>
      </c>
      <c r="G62" s="216">
        <v>16</v>
      </c>
      <c r="H62" s="217">
        <v>16.27</v>
      </c>
      <c r="I62" s="217">
        <v>16.04</v>
      </c>
      <c r="J62" s="217">
        <v>17</v>
      </c>
      <c r="K62" s="263">
        <f t="shared" si="18"/>
        <v>19.166822363132539</v>
      </c>
      <c r="L62" s="263">
        <f t="shared" si="9"/>
        <v>20.010299956639813</v>
      </c>
      <c r="M62" s="217">
        <v>-1.2</v>
      </c>
      <c r="N62" s="141">
        <f t="shared" si="15"/>
        <v>17.96682236313254</v>
      </c>
      <c r="O62" s="134"/>
      <c r="P62" s="134"/>
      <c r="Q62" s="308"/>
      <c r="R62" s="142">
        <v>5700</v>
      </c>
      <c r="S62" s="142">
        <v>140</v>
      </c>
      <c r="T62" s="142" t="s">
        <v>6</v>
      </c>
      <c r="U62" s="216">
        <v>16</v>
      </c>
      <c r="V62" s="216">
        <v>16</v>
      </c>
      <c r="W62" s="217">
        <v>15.32</v>
      </c>
      <c r="X62" s="217">
        <v>16.079999999999998</v>
      </c>
      <c r="Y62" s="217">
        <v>17</v>
      </c>
      <c r="Z62" s="263">
        <f t="shared" si="19"/>
        <v>18.726903451310861</v>
      </c>
      <c r="AA62" s="263">
        <f t="shared" si="11"/>
        <v>20.010299956639813</v>
      </c>
      <c r="AB62" s="217">
        <v>-1</v>
      </c>
      <c r="AC62" s="141">
        <f t="shared" si="16"/>
        <v>17.726903451310861</v>
      </c>
      <c r="AD62" s="135"/>
      <c r="AE62" s="135"/>
      <c r="AF62" s="301" t="s">
        <v>12</v>
      </c>
      <c r="AG62" s="130">
        <v>5755</v>
      </c>
      <c r="AH62" s="130">
        <v>151</v>
      </c>
      <c r="AI62" s="142" t="s">
        <v>6</v>
      </c>
      <c r="AJ62" s="216">
        <v>16</v>
      </c>
      <c r="AK62" s="216">
        <v>16</v>
      </c>
      <c r="AL62" s="217">
        <v>9.56</v>
      </c>
      <c r="AM62" s="217">
        <v>8.83</v>
      </c>
      <c r="AN62" s="217">
        <v>17</v>
      </c>
      <c r="AO62" s="263">
        <f t="shared" si="20"/>
        <v>12.220620028874979</v>
      </c>
      <c r="AP62" s="263">
        <f t="shared" si="13"/>
        <v>20.010299956639813</v>
      </c>
      <c r="AQ62" s="210">
        <v>-3.2</v>
      </c>
      <c r="AR62" s="141">
        <f t="shared" si="17"/>
        <v>9.0206200288749798</v>
      </c>
      <c r="AS62" s="134"/>
    </row>
    <row r="63" spans="1:45" ht="24.9" customHeight="1" x14ac:dyDescent="0.25">
      <c r="A63" s="133"/>
      <c r="B63" s="306" t="s">
        <v>12</v>
      </c>
      <c r="C63" s="140">
        <v>5190</v>
      </c>
      <c r="D63" s="140">
        <v>38</v>
      </c>
      <c r="E63" s="142" t="s">
        <v>6</v>
      </c>
      <c r="F63" s="216">
        <v>16</v>
      </c>
      <c r="G63" s="216">
        <v>16</v>
      </c>
      <c r="H63" s="217">
        <v>15.51</v>
      </c>
      <c r="I63" s="217">
        <v>16.03</v>
      </c>
      <c r="J63" s="217">
        <v>17</v>
      </c>
      <c r="K63" s="263">
        <f t="shared" si="18"/>
        <v>18.788078049696189</v>
      </c>
      <c r="L63" s="263">
        <f t="shared" si="9"/>
        <v>20.010299956639813</v>
      </c>
      <c r="M63" s="217">
        <v>-1.2</v>
      </c>
      <c r="N63" s="141">
        <f t="shared" si="15"/>
        <v>17.58807804969619</v>
      </c>
      <c r="O63" s="134"/>
      <c r="P63" s="134"/>
      <c r="Q63" s="306" t="s">
        <v>12</v>
      </c>
      <c r="R63" s="142">
        <v>5510</v>
      </c>
      <c r="S63" s="142">
        <v>102</v>
      </c>
      <c r="T63" s="142" t="s">
        <v>6</v>
      </c>
      <c r="U63" s="216">
        <v>16</v>
      </c>
      <c r="V63" s="216">
        <v>16</v>
      </c>
      <c r="W63" s="217">
        <v>15.55</v>
      </c>
      <c r="X63" s="217">
        <v>15.33</v>
      </c>
      <c r="Y63" s="217">
        <v>17</v>
      </c>
      <c r="Z63" s="263">
        <f t="shared" si="19"/>
        <v>18.451692871697905</v>
      </c>
      <c r="AA63" s="263">
        <f t="shared" si="11"/>
        <v>20.010299956639813</v>
      </c>
      <c r="AB63" s="217">
        <v>-1</v>
      </c>
      <c r="AC63" s="141">
        <f t="shared" si="16"/>
        <v>17.451692871697905</v>
      </c>
      <c r="AD63" s="135"/>
      <c r="AE63" s="135"/>
      <c r="AF63" s="312"/>
      <c r="AG63" s="130">
        <v>5795</v>
      </c>
      <c r="AH63" s="130">
        <v>159</v>
      </c>
      <c r="AI63" s="142" t="s">
        <v>6</v>
      </c>
      <c r="AJ63" s="216">
        <v>16</v>
      </c>
      <c r="AK63" s="216">
        <v>16</v>
      </c>
      <c r="AL63" s="217">
        <v>9.31</v>
      </c>
      <c r="AM63" s="217">
        <v>8.26</v>
      </c>
      <c r="AN63" s="217">
        <v>17</v>
      </c>
      <c r="AO63" s="263">
        <f t="shared" si="20"/>
        <v>11.826955470907766</v>
      </c>
      <c r="AP63" s="263">
        <f t="shared" si="13"/>
        <v>20.010299956639813</v>
      </c>
      <c r="AQ63" s="210">
        <v>-3.2</v>
      </c>
      <c r="AR63" s="141">
        <f t="shared" si="17"/>
        <v>8.6269554709077667</v>
      </c>
      <c r="AS63" s="134"/>
    </row>
    <row r="64" spans="1:45" ht="24.9" customHeight="1" thickBot="1" x14ac:dyDescent="0.3">
      <c r="A64" s="133"/>
      <c r="B64" s="307"/>
      <c r="C64" s="140">
        <v>5270</v>
      </c>
      <c r="D64" s="140">
        <v>54</v>
      </c>
      <c r="E64" s="142" t="s">
        <v>6</v>
      </c>
      <c r="F64" s="216">
        <v>16</v>
      </c>
      <c r="G64" s="216">
        <v>16</v>
      </c>
      <c r="H64" s="217">
        <v>14.41</v>
      </c>
      <c r="I64" s="217">
        <v>13.93</v>
      </c>
      <c r="J64" s="217">
        <v>17</v>
      </c>
      <c r="K64" s="263">
        <f t="shared" si="18"/>
        <v>17.186928029166207</v>
      </c>
      <c r="L64" s="263">
        <f t="shared" si="9"/>
        <v>20.010299956639813</v>
      </c>
      <c r="M64" s="217">
        <v>-1.2</v>
      </c>
      <c r="N64" s="141">
        <f t="shared" si="15"/>
        <v>15.986928029166208</v>
      </c>
      <c r="O64" s="134"/>
      <c r="P64" s="134"/>
      <c r="Q64" s="307"/>
      <c r="R64" s="142">
        <v>5590</v>
      </c>
      <c r="S64" s="142">
        <v>118</v>
      </c>
      <c r="T64" s="142" t="s">
        <v>6</v>
      </c>
      <c r="U64" s="216">
        <v>16</v>
      </c>
      <c r="V64" s="216">
        <v>16</v>
      </c>
      <c r="W64" s="217">
        <v>14.28</v>
      </c>
      <c r="X64" s="217">
        <v>15.42</v>
      </c>
      <c r="Y64" s="217">
        <v>17</v>
      </c>
      <c r="Z64" s="263">
        <f t="shared" si="19"/>
        <v>17.897598551868406</v>
      </c>
      <c r="AA64" s="263">
        <f t="shared" si="11"/>
        <v>20.010299956639813</v>
      </c>
      <c r="AB64" s="217">
        <v>-1</v>
      </c>
      <c r="AC64" s="141">
        <f t="shared" si="16"/>
        <v>16.897598551868406</v>
      </c>
      <c r="AD64" s="135"/>
      <c r="AE64" s="135"/>
      <c r="AF64" s="146" t="s">
        <v>13</v>
      </c>
      <c r="AG64" s="147">
        <v>5775</v>
      </c>
      <c r="AH64" s="147">
        <v>155</v>
      </c>
      <c r="AI64" s="164" t="s">
        <v>6</v>
      </c>
      <c r="AJ64" s="216">
        <v>16</v>
      </c>
      <c r="AK64" s="216">
        <v>16</v>
      </c>
      <c r="AL64" s="218">
        <v>9.31</v>
      </c>
      <c r="AM64" s="218">
        <v>8.61</v>
      </c>
      <c r="AN64" s="217">
        <v>17</v>
      </c>
      <c r="AO64" s="263">
        <f t="shared" si="20"/>
        <v>11.984388050275342</v>
      </c>
      <c r="AP64" s="263">
        <f t="shared" si="13"/>
        <v>20.010299956639813</v>
      </c>
      <c r="AQ64" s="210">
        <v>-3.2</v>
      </c>
      <c r="AR64" s="149">
        <f t="shared" si="17"/>
        <v>8.7843880502753429</v>
      </c>
      <c r="AS64" s="134"/>
    </row>
    <row r="65" spans="1:45" ht="24.9" customHeight="1" x14ac:dyDescent="0.25">
      <c r="A65" s="133"/>
      <c r="B65" s="308"/>
      <c r="C65" s="140">
        <v>5310</v>
      </c>
      <c r="D65" s="140">
        <v>62</v>
      </c>
      <c r="E65" s="142" t="s">
        <v>6</v>
      </c>
      <c r="F65" s="216">
        <v>16</v>
      </c>
      <c r="G65" s="216">
        <v>16</v>
      </c>
      <c r="H65" s="217">
        <v>14.59</v>
      </c>
      <c r="I65" s="217">
        <v>14.32</v>
      </c>
      <c r="J65" s="217">
        <v>17</v>
      </c>
      <c r="K65" s="263">
        <f t="shared" si="18"/>
        <v>17.467397849482968</v>
      </c>
      <c r="L65" s="263">
        <f t="shared" si="9"/>
        <v>20.010299956639813</v>
      </c>
      <c r="M65" s="217">
        <v>-1.2</v>
      </c>
      <c r="N65" s="141">
        <f t="shared" si="15"/>
        <v>16.267397849482968</v>
      </c>
      <c r="O65" s="134"/>
      <c r="P65" s="134"/>
      <c r="Q65" s="308"/>
      <c r="R65" s="142">
        <v>5670</v>
      </c>
      <c r="S65" s="142">
        <v>134</v>
      </c>
      <c r="T65" s="142" t="s">
        <v>6</v>
      </c>
      <c r="U65" s="216">
        <v>16</v>
      </c>
      <c r="V65" s="216">
        <v>16</v>
      </c>
      <c r="W65" s="217">
        <v>14.61</v>
      </c>
      <c r="X65" s="217">
        <v>15.55</v>
      </c>
      <c r="Y65" s="217">
        <v>17</v>
      </c>
      <c r="Z65" s="263">
        <f t="shared" si="19"/>
        <v>18.115682520573763</v>
      </c>
      <c r="AA65" s="263">
        <f t="shared" si="11"/>
        <v>20.010299956639813</v>
      </c>
      <c r="AB65" s="217">
        <v>-1</v>
      </c>
      <c r="AC65" s="141">
        <f t="shared" si="16"/>
        <v>17.115682520573763</v>
      </c>
      <c r="AD65" s="135"/>
      <c r="AE65" s="135"/>
      <c r="AF65" s="133"/>
      <c r="AG65" s="133"/>
      <c r="AH65" s="165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</row>
    <row r="66" spans="1:45" ht="24.9" customHeight="1" x14ac:dyDescent="0.25">
      <c r="A66" s="133"/>
      <c r="B66" s="306" t="s">
        <v>13</v>
      </c>
      <c r="C66" s="140">
        <v>5210</v>
      </c>
      <c r="D66" s="140">
        <v>42</v>
      </c>
      <c r="E66" s="142" t="s">
        <v>6</v>
      </c>
      <c r="F66" s="216">
        <v>16</v>
      </c>
      <c r="G66" s="216">
        <v>16</v>
      </c>
      <c r="H66" s="217">
        <v>13.9</v>
      </c>
      <c r="I66" s="217">
        <v>14.61</v>
      </c>
      <c r="J66" s="217">
        <v>17</v>
      </c>
      <c r="K66" s="263">
        <f t="shared" si="18"/>
        <v>17.279792991999862</v>
      </c>
      <c r="L66" s="263">
        <f t="shared" si="9"/>
        <v>20.010299956639813</v>
      </c>
      <c r="M66" s="217">
        <v>-1.2</v>
      </c>
      <c r="N66" s="141">
        <f t="shared" si="15"/>
        <v>16.079792991999863</v>
      </c>
      <c r="O66" s="134"/>
      <c r="P66" s="134"/>
      <c r="Q66" s="297" t="s">
        <v>13</v>
      </c>
      <c r="R66" s="142">
        <v>5530</v>
      </c>
      <c r="S66" s="142">
        <v>106</v>
      </c>
      <c r="T66" s="142" t="s">
        <v>6</v>
      </c>
      <c r="U66" s="216">
        <v>16</v>
      </c>
      <c r="V66" s="216">
        <v>16</v>
      </c>
      <c r="W66" s="217">
        <v>15.13</v>
      </c>
      <c r="X66" s="217">
        <v>15.38</v>
      </c>
      <c r="Y66" s="217">
        <v>17</v>
      </c>
      <c r="Z66" s="263">
        <f t="shared" si="19"/>
        <v>18.267098602924719</v>
      </c>
      <c r="AA66" s="263">
        <f t="shared" si="11"/>
        <v>20.010299956639813</v>
      </c>
      <c r="AB66" s="217">
        <v>-1</v>
      </c>
      <c r="AC66" s="141">
        <f t="shared" si="16"/>
        <v>17.267098602924719</v>
      </c>
      <c r="AD66" s="135"/>
      <c r="AE66" s="135"/>
      <c r="AF66" s="135"/>
      <c r="AG66" s="135"/>
      <c r="AH66" s="165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</row>
    <row r="67" spans="1:45" ht="24.9" customHeight="1" x14ac:dyDescent="0.25">
      <c r="A67" s="133"/>
      <c r="B67" s="313"/>
      <c r="C67" s="140">
        <v>5290</v>
      </c>
      <c r="D67" s="140">
        <v>58</v>
      </c>
      <c r="E67" s="142" t="s">
        <v>6</v>
      </c>
      <c r="F67" s="216">
        <v>16</v>
      </c>
      <c r="G67" s="216">
        <v>16</v>
      </c>
      <c r="H67" s="217">
        <v>13.49</v>
      </c>
      <c r="I67" s="217">
        <v>12.86</v>
      </c>
      <c r="J67" s="217">
        <v>17</v>
      </c>
      <c r="K67" s="263">
        <f t="shared" si="18"/>
        <v>16.196713654645329</v>
      </c>
      <c r="L67" s="263">
        <f t="shared" si="9"/>
        <v>20.010299956639813</v>
      </c>
      <c r="M67" s="217">
        <v>-1.2</v>
      </c>
      <c r="N67" s="141">
        <f t="shared" si="15"/>
        <v>14.99671365464533</v>
      </c>
      <c r="O67" s="134"/>
      <c r="P67" s="134"/>
      <c r="Q67" s="297"/>
      <c r="R67" s="142">
        <v>5610</v>
      </c>
      <c r="S67" s="142">
        <v>122</v>
      </c>
      <c r="T67" s="142" t="s">
        <v>6</v>
      </c>
      <c r="U67" s="216">
        <v>16</v>
      </c>
      <c r="V67" s="216">
        <v>16</v>
      </c>
      <c r="W67" s="217">
        <v>13.43</v>
      </c>
      <c r="X67" s="217">
        <v>14</v>
      </c>
      <c r="Y67" s="217">
        <v>17</v>
      </c>
      <c r="Z67" s="263">
        <f t="shared" si="19"/>
        <v>16.734644626149912</v>
      </c>
      <c r="AA67" s="263">
        <f t="shared" si="11"/>
        <v>20.010299956639813</v>
      </c>
      <c r="AB67" s="217">
        <v>-1</v>
      </c>
      <c r="AC67" s="141">
        <f t="shared" si="16"/>
        <v>15.734644626149912</v>
      </c>
      <c r="AD67" s="135"/>
      <c r="AE67" s="135"/>
      <c r="AF67" s="118"/>
      <c r="AG67" s="118"/>
      <c r="AH67" s="139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</row>
    <row r="68" spans="1:45" ht="24.9" customHeight="1" thickBot="1" x14ac:dyDescent="0.3">
      <c r="A68" s="133"/>
      <c r="B68" s="150" t="s">
        <v>23</v>
      </c>
      <c r="C68" s="166">
        <v>5250</v>
      </c>
      <c r="D68" s="166">
        <v>50</v>
      </c>
      <c r="E68" s="166" t="s">
        <v>25</v>
      </c>
      <c r="F68" s="216">
        <v>16</v>
      </c>
      <c r="G68" s="216">
        <v>16</v>
      </c>
      <c r="H68" s="218">
        <v>13.59</v>
      </c>
      <c r="I68" s="217">
        <v>13.53</v>
      </c>
      <c r="J68" s="217">
        <v>17</v>
      </c>
      <c r="K68" s="265">
        <f t="shared" si="18"/>
        <v>16.570403572144961</v>
      </c>
      <c r="L68" s="263">
        <f t="shared" si="9"/>
        <v>20.010299956639813</v>
      </c>
      <c r="M68" s="217">
        <v>-1.2</v>
      </c>
      <c r="N68" s="149">
        <f t="shared" si="15"/>
        <v>15.370403572144962</v>
      </c>
      <c r="O68" s="134"/>
      <c r="P68" s="134"/>
      <c r="Q68" s="167" t="s">
        <v>23</v>
      </c>
      <c r="R68" s="164">
        <v>5570</v>
      </c>
      <c r="S68" s="164">
        <v>114</v>
      </c>
      <c r="T68" s="164" t="s">
        <v>24</v>
      </c>
      <c r="U68" s="216">
        <v>16</v>
      </c>
      <c r="V68" s="216">
        <v>16</v>
      </c>
      <c r="W68" s="218">
        <v>13.36</v>
      </c>
      <c r="X68" s="218">
        <v>14</v>
      </c>
      <c r="Y68" s="217">
        <v>17</v>
      </c>
      <c r="Z68" s="265">
        <f t="shared" si="19"/>
        <v>16.702078540159047</v>
      </c>
      <c r="AA68" s="263">
        <f t="shared" si="11"/>
        <v>20.010299956639813</v>
      </c>
      <c r="AB68" s="217">
        <v>-1</v>
      </c>
      <c r="AC68" s="149">
        <f t="shared" si="16"/>
        <v>15.702078540159047</v>
      </c>
      <c r="AD68" s="135"/>
      <c r="AE68" s="135"/>
      <c r="AF68" s="135"/>
      <c r="AG68" s="135"/>
      <c r="AH68" s="135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</row>
    <row r="69" spans="1:45" ht="9.9" customHeight="1" x14ac:dyDescent="0.25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5"/>
      <c r="AE69" s="135"/>
      <c r="AF69" s="135"/>
      <c r="AG69" s="135"/>
      <c r="AH69" s="135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</row>
    <row r="70" spans="1:45" ht="15" customHeight="1" x14ac:dyDescent="0.25"/>
    <row r="71" spans="1:45" ht="15" customHeight="1" x14ac:dyDescent="0.25"/>
    <row r="72" spans="1:45" ht="15" customHeight="1" x14ac:dyDescent="0.25"/>
    <row r="73" spans="1:45" ht="15" customHeight="1" x14ac:dyDescent="0.25"/>
  </sheetData>
  <mergeCells count="63">
    <mergeCell ref="B60:B62"/>
    <mergeCell ref="B2:AN2"/>
    <mergeCell ref="B25:AN25"/>
    <mergeCell ref="B31:B33"/>
    <mergeCell ref="B49:N49"/>
    <mergeCell ref="Q49:AC49"/>
    <mergeCell ref="AF49:AR49"/>
    <mergeCell ref="B3:J3"/>
    <mergeCell ref="AF3:AN3"/>
    <mergeCell ref="AF5:AF7"/>
    <mergeCell ref="Q8:Q10"/>
    <mergeCell ref="AF26:AN26"/>
    <mergeCell ref="Q26:Y26"/>
    <mergeCell ref="B14:B16"/>
    <mergeCell ref="AF34:AF35"/>
    <mergeCell ref="AF11:AF12"/>
    <mergeCell ref="B57:B59"/>
    <mergeCell ref="B20:B21"/>
    <mergeCell ref="Q54:Q56"/>
    <mergeCell ref="B54:B56"/>
    <mergeCell ref="B40:B42"/>
    <mergeCell ref="Q57:Q59"/>
    <mergeCell ref="Q31:Q33"/>
    <mergeCell ref="B26:J26"/>
    <mergeCell ref="B34:B36"/>
    <mergeCell ref="Q34:Q36"/>
    <mergeCell ref="B28:B30"/>
    <mergeCell ref="Q28:Q30"/>
    <mergeCell ref="AF16:AF17"/>
    <mergeCell ref="Q14:Q16"/>
    <mergeCell ref="Q17:Q19"/>
    <mergeCell ref="AF28:AF30"/>
    <mergeCell ref="AF13:AF15"/>
    <mergeCell ref="B17:B19"/>
    <mergeCell ref="Q20:Q21"/>
    <mergeCell ref="Q40:Q42"/>
    <mergeCell ref="AF59:AF61"/>
    <mergeCell ref="AF8:AF10"/>
    <mergeCell ref="AF54:AF56"/>
    <mergeCell ref="AF57:AF58"/>
    <mergeCell ref="Q11:Q13"/>
    <mergeCell ref="AF31:AF33"/>
    <mergeCell ref="Q3:Y3"/>
    <mergeCell ref="B5:B7"/>
    <mergeCell ref="B8:B10"/>
    <mergeCell ref="B11:B13"/>
    <mergeCell ref="Q5:Q7"/>
    <mergeCell ref="Q66:Q67"/>
    <mergeCell ref="B37:B39"/>
    <mergeCell ref="Q37:Q39"/>
    <mergeCell ref="AF39:AF40"/>
    <mergeCell ref="AF36:AF38"/>
    <mergeCell ref="B51:B53"/>
    <mergeCell ref="Q51:Q53"/>
    <mergeCell ref="AF51:AF53"/>
    <mergeCell ref="Q60:Q62"/>
    <mergeCell ref="B48:AR48"/>
    <mergeCell ref="AF62:AF63"/>
    <mergeCell ref="B66:B67"/>
    <mergeCell ref="B63:B65"/>
    <mergeCell ref="Q63:Q65"/>
    <mergeCell ref="B43:B44"/>
    <mergeCell ref="Q43:Q44"/>
  </mergeCells>
  <phoneticPr fontId="6" type="noConversion"/>
  <conditionalFormatting sqref="G23">
    <cfRule type="top10" dxfId="18" priority="28" rank="1"/>
  </conditionalFormatting>
  <conditionalFormatting sqref="G46">
    <cfRule type="top10" dxfId="17" priority="13" rank="1"/>
  </conditionalFormatting>
  <conditionalFormatting sqref="R46">
    <cfRule type="top10" dxfId="16" priority="12" rank="1"/>
  </conditionalFormatting>
  <conditionalFormatting sqref="V23">
    <cfRule type="top10" dxfId="15" priority="6" rank="1"/>
  </conditionalFormatting>
  <pageMargins left="0.15748031496062992" right="0.15748031496062992" top="0" bottom="0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view="pageBreakPreview" zoomScale="70" zoomScaleNormal="115" zoomScaleSheetLayoutView="70" workbookViewId="0">
      <pane ySplit="4" topLeftCell="A5" activePane="bottomLeft" state="frozen"/>
      <selection pane="bottomLeft" activeCell="K36" sqref="K36:K37"/>
    </sheetView>
  </sheetViews>
  <sheetFormatPr defaultColWidth="8.796875" defaultRowHeight="13.8" x14ac:dyDescent="0.25"/>
  <cols>
    <col min="1" max="1" width="8.796875" style="115"/>
    <col min="2" max="8" width="8.796875" style="115" customWidth="1"/>
    <col min="9" max="9" width="10.09765625" style="115" bestFit="1" customWidth="1"/>
    <col min="10" max="10" width="10.3984375" style="115" bestFit="1" customWidth="1"/>
    <col min="11" max="12" width="8.796875" style="115" customWidth="1"/>
    <col min="13" max="16384" width="8.796875" style="115"/>
  </cols>
  <sheetData>
    <row r="1" spans="1:14" ht="9.9" customHeight="1" thickBot="1" x14ac:dyDescent="0.3">
      <c r="A1" s="168"/>
      <c r="B1" s="118"/>
      <c r="C1" s="118"/>
      <c r="D1" s="118"/>
      <c r="E1" s="168"/>
      <c r="F1" s="168"/>
      <c r="G1" s="168"/>
      <c r="H1" s="168"/>
      <c r="I1" s="168"/>
      <c r="J1" s="168"/>
      <c r="K1" s="168"/>
      <c r="L1" s="168"/>
      <c r="M1" s="168"/>
    </row>
    <row r="2" spans="1:14" ht="24.9" customHeight="1" thickBot="1" x14ac:dyDescent="0.3">
      <c r="A2" s="168"/>
      <c r="B2" s="289" t="s">
        <v>98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168"/>
    </row>
    <row r="3" spans="1:14" ht="24.9" customHeight="1" thickBot="1" x14ac:dyDescent="0.3">
      <c r="A3" s="168"/>
      <c r="B3" s="334" t="s">
        <v>137</v>
      </c>
      <c r="C3" s="335"/>
      <c r="D3" s="335"/>
      <c r="E3" s="335"/>
      <c r="F3" s="335"/>
      <c r="G3" s="335"/>
      <c r="H3" s="335"/>
      <c r="I3" s="335"/>
      <c r="J3" s="335"/>
      <c r="K3" s="335"/>
      <c r="L3" s="336"/>
      <c r="M3" s="168"/>
    </row>
    <row r="4" spans="1:14" ht="27.6" thickBot="1" x14ac:dyDescent="0.3">
      <c r="A4" s="168"/>
      <c r="B4" s="169" t="s">
        <v>0</v>
      </c>
      <c r="C4" s="170" t="s">
        <v>140</v>
      </c>
      <c r="D4" s="171" t="s">
        <v>141</v>
      </c>
      <c r="E4" s="171" t="s">
        <v>142</v>
      </c>
      <c r="F4" s="170" t="s">
        <v>143</v>
      </c>
      <c r="G4" s="171" t="s">
        <v>144</v>
      </c>
      <c r="H4" s="120" t="s">
        <v>91</v>
      </c>
      <c r="I4" s="121" t="s">
        <v>174</v>
      </c>
      <c r="J4" s="121" t="s">
        <v>175</v>
      </c>
      <c r="K4" s="172" t="s">
        <v>173</v>
      </c>
      <c r="L4" s="173" t="s">
        <v>116</v>
      </c>
      <c r="M4" s="168"/>
    </row>
    <row r="5" spans="1:14" ht="28.2" thickBot="1" x14ac:dyDescent="0.3">
      <c r="A5" s="174" t="s">
        <v>139</v>
      </c>
      <c r="B5" s="332" t="s">
        <v>138</v>
      </c>
      <c r="C5" s="330">
        <v>2412</v>
      </c>
      <c r="D5" s="330">
        <v>1</v>
      </c>
      <c r="E5" s="123" t="s">
        <v>118</v>
      </c>
      <c r="F5" s="224"/>
      <c r="G5" s="123">
        <f t="shared" ref="G5:G19" si="0">$A$6</f>
        <v>0</v>
      </c>
      <c r="H5" s="210">
        <v>9.5</v>
      </c>
      <c r="I5" s="210">
        <v>9.41</v>
      </c>
      <c r="J5" s="210">
        <v>10</v>
      </c>
      <c r="K5" s="210">
        <v>-0.23</v>
      </c>
      <c r="L5" s="175">
        <f>K5+J5</f>
        <v>9.77</v>
      </c>
      <c r="M5" s="168"/>
    </row>
    <row r="6" spans="1:14" ht="24.9" customHeight="1" thickBot="1" x14ac:dyDescent="0.3">
      <c r="A6" s="226"/>
      <c r="B6" s="332"/>
      <c r="C6" s="330"/>
      <c r="D6" s="330"/>
      <c r="E6" s="123" t="s">
        <v>121</v>
      </c>
      <c r="F6" s="224"/>
      <c r="G6" s="123">
        <f t="shared" si="0"/>
        <v>0</v>
      </c>
      <c r="H6" s="210">
        <v>11.5</v>
      </c>
      <c r="I6" s="210">
        <v>11.25</v>
      </c>
      <c r="J6" s="210">
        <v>12</v>
      </c>
      <c r="K6" s="210">
        <v>-0.23</v>
      </c>
      <c r="L6" s="175">
        <f t="shared" ref="L6:L19" si="1">K6+J6</f>
        <v>11.77</v>
      </c>
      <c r="M6" s="168"/>
      <c r="N6" s="267"/>
    </row>
    <row r="7" spans="1:14" ht="24.9" customHeight="1" x14ac:dyDescent="0.25">
      <c r="A7" s="168"/>
      <c r="B7" s="332"/>
      <c r="C7" s="330"/>
      <c r="D7" s="330"/>
      <c r="E7" s="123" t="s">
        <v>123</v>
      </c>
      <c r="F7" s="224"/>
      <c r="G7" s="123">
        <f t="shared" si="0"/>
        <v>0</v>
      </c>
      <c r="H7" s="210">
        <v>14.5</v>
      </c>
      <c r="I7" s="210">
        <v>14.1</v>
      </c>
      <c r="J7" s="210">
        <v>15</v>
      </c>
      <c r="K7" s="210">
        <v>-0.23</v>
      </c>
      <c r="L7" s="175">
        <f t="shared" si="1"/>
        <v>14.77</v>
      </c>
      <c r="M7" s="168"/>
      <c r="N7" s="267"/>
    </row>
    <row r="8" spans="1:14" ht="24.9" customHeight="1" x14ac:dyDescent="0.25">
      <c r="A8" s="168"/>
      <c r="B8" s="332"/>
      <c r="C8" s="330"/>
      <c r="D8" s="330"/>
      <c r="E8" s="123" t="s">
        <v>124</v>
      </c>
      <c r="F8" s="224"/>
      <c r="G8" s="123">
        <f t="shared" si="0"/>
        <v>0</v>
      </c>
      <c r="H8" s="210">
        <v>15.5</v>
      </c>
      <c r="I8" s="210">
        <v>15.46</v>
      </c>
      <c r="J8" s="210">
        <v>16</v>
      </c>
      <c r="K8" s="210">
        <v>-0.23</v>
      </c>
      <c r="L8" s="175">
        <f t="shared" si="1"/>
        <v>15.77</v>
      </c>
      <c r="M8" s="168"/>
      <c r="N8" s="267"/>
    </row>
    <row r="9" spans="1:14" ht="24.9" customHeight="1" x14ac:dyDescent="0.25">
      <c r="A9" s="168"/>
      <c r="B9" s="332"/>
      <c r="C9" s="330"/>
      <c r="D9" s="330"/>
      <c r="E9" s="123" t="s">
        <v>125</v>
      </c>
      <c r="F9" s="123" t="s">
        <v>126</v>
      </c>
      <c r="G9" s="123">
        <f t="shared" si="0"/>
        <v>0</v>
      </c>
      <c r="H9" s="210">
        <v>15.5</v>
      </c>
      <c r="I9" s="210">
        <v>15.51</v>
      </c>
      <c r="J9" s="210">
        <v>16</v>
      </c>
      <c r="K9" s="210">
        <v>-0.23</v>
      </c>
      <c r="L9" s="175">
        <f t="shared" si="1"/>
        <v>15.77</v>
      </c>
      <c r="M9" s="168"/>
      <c r="N9" s="267"/>
    </row>
    <row r="10" spans="1:14" ht="24.9" customHeight="1" x14ac:dyDescent="0.25">
      <c r="A10" s="168"/>
      <c r="B10" s="332"/>
      <c r="C10" s="330">
        <v>2442</v>
      </c>
      <c r="D10" s="330">
        <v>7</v>
      </c>
      <c r="E10" s="123" t="s">
        <v>118</v>
      </c>
      <c r="F10" s="123">
        <f>F5</f>
        <v>0</v>
      </c>
      <c r="G10" s="123">
        <f t="shared" si="0"/>
        <v>0</v>
      </c>
      <c r="H10" s="210">
        <v>9.5</v>
      </c>
      <c r="I10" s="210">
        <v>9.01</v>
      </c>
      <c r="J10" s="210">
        <v>10</v>
      </c>
      <c r="K10" s="210">
        <v>-0.23</v>
      </c>
      <c r="L10" s="175">
        <f t="shared" si="1"/>
        <v>9.77</v>
      </c>
      <c r="M10" s="168"/>
      <c r="N10" s="267"/>
    </row>
    <row r="11" spans="1:14" ht="24.9" customHeight="1" x14ac:dyDescent="0.25">
      <c r="A11" s="168"/>
      <c r="B11" s="332"/>
      <c r="C11" s="330"/>
      <c r="D11" s="330"/>
      <c r="E11" s="123" t="s">
        <v>121</v>
      </c>
      <c r="F11" s="123">
        <f t="shared" ref="F11:F19" si="2">F6</f>
        <v>0</v>
      </c>
      <c r="G11" s="123">
        <f t="shared" si="0"/>
        <v>0</v>
      </c>
      <c r="H11" s="210">
        <v>11.5</v>
      </c>
      <c r="I11" s="210">
        <v>11.04</v>
      </c>
      <c r="J11" s="210">
        <v>12</v>
      </c>
      <c r="K11" s="210">
        <v>-0.23</v>
      </c>
      <c r="L11" s="175">
        <f t="shared" si="1"/>
        <v>11.77</v>
      </c>
      <c r="M11" s="168"/>
      <c r="N11" s="267"/>
    </row>
    <row r="12" spans="1:14" ht="24.9" customHeight="1" x14ac:dyDescent="0.25">
      <c r="A12" s="168"/>
      <c r="B12" s="332"/>
      <c r="C12" s="330"/>
      <c r="D12" s="330"/>
      <c r="E12" s="123" t="s">
        <v>123</v>
      </c>
      <c r="F12" s="123">
        <f t="shared" si="2"/>
        <v>0</v>
      </c>
      <c r="G12" s="123">
        <f t="shared" si="0"/>
        <v>0</v>
      </c>
      <c r="H12" s="210">
        <v>14.5</v>
      </c>
      <c r="I12" s="210">
        <v>14.02</v>
      </c>
      <c r="J12" s="210">
        <v>15</v>
      </c>
      <c r="K12" s="210">
        <v>-0.23</v>
      </c>
      <c r="L12" s="175">
        <f t="shared" si="1"/>
        <v>14.77</v>
      </c>
      <c r="M12" s="168"/>
      <c r="N12" s="267"/>
    </row>
    <row r="13" spans="1:14" ht="24.9" customHeight="1" x14ac:dyDescent="0.25">
      <c r="A13" s="168"/>
      <c r="B13" s="332"/>
      <c r="C13" s="330"/>
      <c r="D13" s="330"/>
      <c r="E13" s="123" t="s">
        <v>124</v>
      </c>
      <c r="F13" s="123">
        <f t="shared" si="2"/>
        <v>0</v>
      </c>
      <c r="G13" s="123">
        <f t="shared" si="0"/>
        <v>0</v>
      </c>
      <c r="H13" s="210">
        <v>15.5</v>
      </c>
      <c r="I13" s="210">
        <v>15.06</v>
      </c>
      <c r="J13" s="210">
        <v>16</v>
      </c>
      <c r="K13" s="210">
        <v>-0.23</v>
      </c>
      <c r="L13" s="175">
        <f t="shared" si="1"/>
        <v>15.77</v>
      </c>
      <c r="M13" s="168"/>
      <c r="N13" s="267"/>
    </row>
    <row r="14" spans="1:14" ht="24.9" customHeight="1" x14ac:dyDescent="0.25">
      <c r="A14" s="168"/>
      <c r="B14" s="332"/>
      <c r="C14" s="330"/>
      <c r="D14" s="330"/>
      <c r="E14" s="123" t="s">
        <v>125</v>
      </c>
      <c r="F14" s="123" t="str">
        <f t="shared" si="2"/>
        <v>X</v>
      </c>
      <c r="G14" s="123">
        <f t="shared" si="0"/>
        <v>0</v>
      </c>
      <c r="H14" s="210">
        <v>15.5</v>
      </c>
      <c r="I14" s="210">
        <v>15.08</v>
      </c>
      <c r="J14" s="210">
        <v>16</v>
      </c>
      <c r="K14" s="210">
        <v>-0.23</v>
      </c>
      <c r="L14" s="175">
        <f t="shared" si="1"/>
        <v>15.77</v>
      </c>
      <c r="M14" s="168"/>
      <c r="N14" s="267"/>
    </row>
    <row r="15" spans="1:14" ht="24.9" customHeight="1" x14ac:dyDescent="0.25">
      <c r="A15" s="168"/>
      <c r="B15" s="332"/>
      <c r="C15" s="330">
        <v>2472</v>
      </c>
      <c r="D15" s="330">
        <v>13</v>
      </c>
      <c r="E15" s="123" t="s">
        <v>118</v>
      </c>
      <c r="F15" s="123">
        <f t="shared" si="2"/>
        <v>0</v>
      </c>
      <c r="G15" s="123">
        <f t="shared" si="0"/>
        <v>0</v>
      </c>
      <c r="H15" s="210">
        <v>9.5</v>
      </c>
      <c r="I15" s="210">
        <v>9.66</v>
      </c>
      <c r="J15" s="210">
        <v>10</v>
      </c>
      <c r="K15" s="210">
        <v>-0.23</v>
      </c>
      <c r="L15" s="175">
        <f t="shared" si="1"/>
        <v>9.77</v>
      </c>
      <c r="M15" s="168"/>
      <c r="N15" s="267"/>
    </row>
    <row r="16" spans="1:14" ht="24.9" customHeight="1" x14ac:dyDescent="0.25">
      <c r="A16" s="168"/>
      <c r="B16" s="332"/>
      <c r="C16" s="330"/>
      <c r="D16" s="330"/>
      <c r="E16" s="123" t="s">
        <v>121</v>
      </c>
      <c r="F16" s="123">
        <f t="shared" si="2"/>
        <v>0</v>
      </c>
      <c r="G16" s="123">
        <f t="shared" si="0"/>
        <v>0</v>
      </c>
      <c r="H16" s="210">
        <v>11.5</v>
      </c>
      <c r="I16" s="210">
        <v>11.34</v>
      </c>
      <c r="J16" s="210">
        <v>12</v>
      </c>
      <c r="K16" s="210">
        <v>-0.23</v>
      </c>
      <c r="L16" s="175">
        <f t="shared" si="1"/>
        <v>11.77</v>
      </c>
      <c r="M16" s="168"/>
      <c r="N16" s="267"/>
    </row>
    <row r="17" spans="1:14" ht="24.9" customHeight="1" x14ac:dyDescent="0.25">
      <c r="A17" s="168"/>
      <c r="B17" s="332"/>
      <c r="C17" s="330"/>
      <c r="D17" s="330"/>
      <c r="E17" s="123" t="s">
        <v>123</v>
      </c>
      <c r="F17" s="123">
        <f t="shared" si="2"/>
        <v>0</v>
      </c>
      <c r="G17" s="123">
        <f t="shared" si="0"/>
        <v>0</v>
      </c>
      <c r="H17" s="210">
        <v>14.5</v>
      </c>
      <c r="I17" s="210">
        <v>14.04</v>
      </c>
      <c r="J17" s="210">
        <v>15</v>
      </c>
      <c r="K17" s="210">
        <v>-0.23</v>
      </c>
      <c r="L17" s="175">
        <f t="shared" si="1"/>
        <v>14.77</v>
      </c>
      <c r="M17" s="168"/>
      <c r="N17" s="267"/>
    </row>
    <row r="18" spans="1:14" ht="24.9" customHeight="1" x14ac:dyDescent="0.25">
      <c r="A18" s="168"/>
      <c r="B18" s="332"/>
      <c r="C18" s="330"/>
      <c r="D18" s="330"/>
      <c r="E18" s="123" t="s">
        <v>124</v>
      </c>
      <c r="F18" s="123">
        <f t="shared" si="2"/>
        <v>0</v>
      </c>
      <c r="G18" s="123">
        <f t="shared" si="0"/>
        <v>0</v>
      </c>
      <c r="H18" s="210">
        <v>15.5</v>
      </c>
      <c r="I18" s="210">
        <v>15.37</v>
      </c>
      <c r="J18" s="210">
        <v>16</v>
      </c>
      <c r="K18" s="210">
        <v>-0.23</v>
      </c>
      <c r="L18" s="175">
        <f t="shared" si="1"/>
        <v>15.77</v>
      </c>
      <c r="M18" s="168"/>
      <c r="N18" s="267"/>
    </row>
    <row r="19" spans="1:14" ht="24.9" customHeight="1" thickBot="1" x14ac:dyDescent="0.3">
      <c r="A19" s="168"/>
      <c r="B19" s="333"/>
      <c r="C19" s="331"/>
      <c r="D19" s="331"/>
      <c r="E19" s="125" t="s">
        <v>125</v>
      </c>
      <c r="F19" s="125" t="str">
        <f t="shared" si="2"/>
        <v>X</v>
      </c>
      <c r="G19" s="125">
        <f t="shared" si="0"/>
        <v>0</v>
      </c>
      <c r="H19" s="210">
        <v>15.5</v>
      </c>
      <c r="I19" s="210">
        <v>15.39</v>
      </c>
      <c r="J19" s="210">
        <v>16</v>
      </c>
      <c r="K19" s="210">
        <v>-0.23</v>
      </c>
      <c r="L19" s="176">
        <f t="shared" si="1"/>
        <v>15.77</v>
      </c>
      <c r="M19" s="168"/>
      <c r="N19" s="267"/>
    </row>
    <row r="20" spans="1:14" ht="28.2" thickBot="1" x14ac:dyDescent="0.3">
      <c r="A20" s="174" t="s">
        <v>139</v>
      </c>
      <c r="B20" s="332" t="s">
        <v>119</v>
      </c>
      <c r="C20" s="330">
        <v>2422</v>
      </c>
      <c r="D20" s="330">
        <v>3</v>
      </c>
      <c r="E20" s="123" t="s">
        <v>118</v>
      </c>
      <c r="F20" s="224"/>
      <c r="G20" s="123">
        <f t="shared" ref="G20:G37" si="3">$A$21</f>
        <v>0</v>
      </c>
      <c r="H20" s="210">
        <v>9.5</v>
      </c>
      <c r="I20" s="211">
        <v>9.899233146441091</v>
      </c>
      <c r="J20" s="210">
        <v>10</v>
      </c>
      <c r="K20" s="210">
        <v>-0.23</v>
      </c>
      <c r="L20" s="175">
        <f>K20+J20</f>
        <v>9.77</v>
      </c>
      <c r="M20" s="168"/>
    </row>
    <row r="21" spans="1:14" ht="24.9" customHeight="1" thickBot="1" x14ac:dyDescent="0.3">
      <c r="A21" s="227"/>
      <c r="B21" s="332"/>
      <c r="C21" s="330"/>
      <c r="D21" s="330"/>
      <c r="E21" s="123" t="s">
        <v>121</v>
      </c>
      <c r="F21" s="224"/>
      <c r="G21" s="123">
        <f t="shared" si="3"/>
        <v>0</v>
      </c>
      <c r="H21" s="210">
        <v>11.5</v>
      </c>
      <c r="I21" s="211">
        <v>11.943918641493243</v>
      </c>
      <c r="J21" s="210">
        <v>12</v>
      </c>
      <c r="K21" s="210">
        <v>-0.23</v>
      </c>
      <c r="L21" s="175">
        <f t="shared" ref="L21:L37" si="4">K21+J21</f>
        <v>11.77</v>
      </c>
      <c r="M21" s="168"/>
    </row>
    <row r="22" spans="1:14" ht="24.9" customHeight="1" x14ac:dyDescent="0.25">
      <c r="A22" s="168"/>
      <c r="B22" s="332"/>
      <c r="C22" s="330"/>
      <c r="D22" s="330"/>
      <c r="E22" s="123" t="s">
        <v>123</v>
      </c>
      <c r="F22" s="224"/>
      <c r="G22" s="123">
        <f t="shared" si="3"/>
        <v>0</v>
      </c>
      <c r="H22" s="210">
        <v>14.5</v>
      </c>
      <c r="I22" s="211">
        <v>14.412845021321965</v>
      </c>
      <c r="J22" s="210">
        <v>15</v>
      </c>
      <c r="K22" s="210">
        <v>-0.23</v>
      </c>
      <c r="L22" s="175">
        <f t="shared" si="4"/>
        <v>14.77</v>
      </c>
      <c r="M22" s="168"/>
    </row>
    <row r="23" spans="1:14" ht="24.9" customHeight="1" x14ac:dyDescent="0.25">
      <c r="A23" s="168"/>
      <c r="B23" s="332"/>
      <c r="C23" s="330"/>
      <c r="D23" s="330"/>
      <c r="E23" s="130" t="s">
        <v>124</v>
      </c>
      <c r="F23" s="225"/>
      <c r="G23" s="123">
        <f t="shared" si="3"/>
        <v>0</v>
      </c>
      <c r="H23" s="210">
        <v>15.5</v>
      </c>
      <c r="I23" s="211">
        <v>16.450256214576473</v>
      </c>
      <c r="J23" s="210">
        <v>16</v>
      </c>
      <c r="K23" s="210">
        <v>-0.23</v>
      </c>
      <c r="L23" s="175">
        <f t="shared" si="4"/>
        <v>15.77</v>
      </c>
      <c r="M23" s="168"/>
    </row>
    <row r="24" spans="1:14" ht="24.9" customHeight="1" x14ac:dyDescent="0.25">
      <c r="A24" s="168"/>
      <c r="B24" s="332"/>
      <c r="C24" s="330"/>
      <c r="D24" s="330"/>
      <c r="E24" s="130" t="s">
        <v>128</v>
      </c>
      <c r="F24" s="225"/>
      <c r="G24" s="123">
        <f t="shared" si="3"/>
        <v>0</v>
      </c>
      <c r="H24" s="210">
        <v>15.5</v>
      </c>
      <c r="I24" s="211">
        <v>15.882615766696516</v>
      </c>
      <c r="J24" s="210">
        <v>16</v>
      </c>
      <c r="K24" s="210">
        <v>-0.23</v>
      </c>
      <c r="L24" s="175">
        <f t="shared" si="4"/>
        <v>15.77</v>
      </c>
      <c r="M24" s="168"/>
    </row>
    <row r="25" spans="1:14" ht="24.9" customHeight="1" x14ac:dyDescent="0.25">
      <c r="A25" s="168"/>
      <c r="B25" s="332"/>
      <c r="C25" s="330"/>
      <c r="D25" s="330"/>
      <c r="E25" s="130" t="s">
        <v>125</v>
      </c>
      <c r="F25" s="130" t="s">
        <v>126</v>
      </c>
      <c r="G25" s="123">
        <f t="shared" si="3"/>
        <v>0</v>
      </c>
      <c r="H25" s="210">
        <v>9.5</v>
      </c>
      <c r="I25" s="211">
        <v>9.1517263765721388</v>
      </c>
      <c r="J25" s="210">
        <v>10</v>
      </c>
      <c r="K25" s="210">
        <v>-0.23</v>
      </c>
      <c r="L25" s="175">
        <f t="shared" si="4"/>
        <v>9.77</v>
      </c>
      <c r="M25" s="168"/>
    </row>
    <row r="26" spans="1:14" ht="24.9" customHeight="1" x14ac:dyDescent="0.25">
      <c r="A26" s="168"/>
      <c r="B26" s="332"/>
      <c r="C26" s="330">
        <v>2442</v>
      </c>
      <c r="D26" s="330">
        <v>7</v>
      </c>
      <c r="E26" s="123" t="s">
        <v>118</v>
      </c>
      <c r="F26" s="123">
        <f>F20</f>
        <v>0</v>
      </c>
      <c r="G26" s="123">
        <f t="shared" si="3"/>
        <v>0</v>
      </c>
      <c r="H26" s="210">
        <v>11.5</v>
      </c>
      <c r="I26" s="211">
        <v>11.765108614841486</v>
      </c>
      <c r="J26" s="210">
        <v>12</v>
      </c>
      <c r="K26" s="210">
        <v>-0.23</v>
      </c>
      <c r="L26" s="175">
        <f t="shared" si="4"/>
        <v>11.77</v>
      </c>
      <c r="M26" s="168"/>
    </row>
    <row r="27" spans="1:14" ht="24.9" customHeight="1" x14ac:dyDescent="0.25">
      <c r="A27" s="168"/>
      <c r="B27" s="332"/>
      <c r="C27" s="330"/>
      <c r="D27" s="330"/>
      <c r="E27" s="123" t="s">
        <v>121</v>
      </c>
      <c r="F27" s="123">
        <f t="shared" ref="F27:F28" si="5">F21</f>
        <v>0</v>
      </c>
      <c r="G27" s="123">
        <f t="shared" si="3"/>
        <v>0</v>
      </c>
      <c r="H27" s="210">
        <v>14.5</v>
      </c>
      <c r="I27" s="211">
        <v>14.093258466846942</v>
      </c>
      <c r="J27" s="210">
        <v>15</v>
      </c>
      <c r="K27" s="210">
        <v>-0.23</v>
      </c>
      <c r="L27" s="175">
        <f t="shared" si="4"/>
        <v>14.77</v>
      </c>
      <c r="M27" s="168"/>
    </row>
    <row r="28" spans="1:14" ht="24.9" customHeight="1" x14ac:dyDescent="0.25">
      <c r="A28" s="168"/>
      <c r="B28" s="332"/>
      <c r="C28" s="330"/>
      <c r="D28" s="330"/>
      <c r="E28" s="123" t="s">
        <v>123</v>
      </c>
      <c r="F28" s="123">
        <f t="shared" si="5"/>
        <v>0</v>
      </c>
      <c r="G28" s="123">
        <f t="shared" si="3"/>
        <v>0</v>
      </c>
      <c r="H28" s="210">
        <v>15.5</v>
      </c>
      <c r="I28" s="211">
        <v>15.486761768032769</v>
      </c>
      <c r="J28" s="210">
        <v>16</v>
      </c>
      <c r="K28" s="210">
        <v>-0.23</v>
      </c>
      <c r="L28" s="175">
        <f t="shared" si="4"/>
        <v>15.77</v>
      </c>
      <c r="M28" s="168"/>
    </row>
    <row r="29" spans="1:14" ht="24.9" customHeight="1" x14ac:dyDescent="0.25">
      <c r="A29" s="168"/>
      <c r="B29" s="332"/>
      <c r="C29" s="330"/>
      <c r="D29" s="330"/>
      <c r="E29" s="123" t="s">
        <v>124</v>
      </c>
      <c r="F29" s="123">
        <f>F23</f>
        <v>0</v>
      </c>
      <c r="G29" s="123">
        <f t="shared" si="3"/>
        <v>0</v>
      </c>
      <c r="H29" s="210">
        <v>15.5</v>
      </c>
      <c r="I29" s="211">
        <v>15.552279223162113</v>
      </c>
      <c r="J29" s="210">
        <v>16</v>
      </c>
      <c r="K29" s="210">
        <v>-0.23</v>
      </c>
      <c r="L29" s="175">
        <f t="shared" si="4"/>
        <v>15.77</v>
      </c>
      <c r="M29" s="168"/>
    </row>
    <row r="30" spans="1:14" ht="24.9" customHeight="1" x14ac:dyDescent="0.25">
      <c r="A30" s="168"/>
      <c r="B30" s="332"/>
      <c r="C30" s="330"/>
      <c r="D30" s="330"/>
      <c r="E30" s="123" t="s">
        <v>128</v>
      </c>
      <c r="F30" s="123">
        <f t="shared" ref="F30:F37" si="6">F24</f>
        <v>0</v>
      </c>
      <c r="G30" s="123">
        <f t="shared" si="3"/>
        <v>0</v>
      </c>
      <c r="H30" s="210">
        <v>9.5</v>
      </c>
      <c r="I30" s="211">
        <v>10.532604284524085</v>
      </c>
      <c r="J30" s="210">
        <v>10</v>
      </c>
      <c r="K30" s="210">
        <v>-0.23</v>
      </c>
      <c r="L30" s="175">
        <f t="shared" si="4"/>
        <v>9.77</v>
      </c>
      <c r="M30" s="168"/>
    </row>
    <row r="31" spans="1:14" ht="24.9" customHeight="1" x14ac:dyDescent="0.25">
      <c r="A31" s="168"/>
      <c r="B31" s="332"/>
      <c r="C31" s="330"/>
      <c r="D31" s="330"/>
      <c r="E31" s="123" t="s">
        <v>125</v>
      </c>
      <c r="F31" s="123" t="str">
        <f t="shared" si="6"/>
        <v>X</v>
      </c>
      <c r="G31" s="123">
        <f t="shared" si="3"/>
        <v>0</v>
      </c>
      <c r="H31" s="210">
        <v>11.5</v>
      </c>
      <c r="I31" s="211">
        <v>11.588254792584172</v>
      </c>
      <c r="J31" s="210">
        <v>12</v>
      </c>
      <c r="K31" s="210">
        <v>-0.23</v>
      </c>
      <c r="L31" s="175">
        <f t="shared" si="4"/>
        <v>11.77</v>
      </c>
      <c r="M31" s="168"/>
    </row>
    <row r="32" spans="1:14" ht="24.9" customHeight="1" x14ac:dyDescent="0.25">
      <c r="A32" s="168"/>
      <c r="B32" s="332"/>
      <c r="C32" s="330">
        <v>2462</v>
      </c>
      <c r="D32" s="330">
        <v>11</v>
      </c>
      <c r="E32" s="123" t="s">
        <v>118</v>
      </c>
      <c r="F32" s="123">
        <f t="shared" si="6"/>
        <v>0</v>
      </c>
      <c r="G32" s="123">
        <f t="shared" si="3"/>
        <v>0</v>
      </c>
      <c r="H32" s="210">
        <v>14.5</v>
      </c>
      <c r="I32" s="211">
        <v>14.645668102574286</v>
      </c>
      <c r="J32" s="210">
        <v>15</v>
      </c>
      <c r="K32" s="210">
        <v>-0.23</v>
      </c>
      <c r="L32" s="175">
        <f t="shared" si="4"/>
        <v>14.77</v>
      </c>
      <c r="M32" s="168"/>
    </row>
    <row r="33" spans="1:13" ht="24.9" customHeight="1" x14ac:dyDescent="0.25">
      <c r="A33" s="168"/>
      <c r="B33" s="332"/>
      <c r="C33" s="330"/>
      <c r="D33" s="330"/>
      <c r="E33" s="123" t="s">
        <v>121</v>
      </c>
      <c r="F33" s="123">
        <f t="shared" si="6"/>
        <v>0</v>
      </c>
      <c r="G33" s="123">
        <f t="shared" si="3"/>
        <v>0</v>
      </c>
      <c r="H33" s="210">
        <v>15.5</v>
      </c>
      <c r="I33" s="211">
        <v>15.609135481188522</v>
      </c>
      <c r="J33" s="210">
        <v>16</v>
      </c>
      <c r="K33" s="210">
        <v>-0.23</v>
      </c>
      <c r="L33" s="175">
        <f t="shared" si="4"/>
        <v>15.77</v>
      </c>
      <c r="M33" s="168"/>
    </row>
    <row r="34" spans="1:13" ht="24.9" customHeight="1" x14ac:dyDescent="0.25">
      <c r="A34" s="168"/>
      <c r="B34" s="332"/>
      <c r="C34" s="330"/>
      <c r="D34" s="330"/>
      <c r="E34" s="123" t="s">
        <v>123</v>
      </c>
      <c r="F34" s="123">
        <f t="shared" si="6"/>
        <v>0</v>
      </c>
      <c r="G34" s="123">
        <f t="shared" si="3"/>
        <v>0</v>
      </c>
      <c r="H34" s="210">
        <v>15.5</v>
      </c>
      <c r="I34" s="211">
        <v>16.572602859802799</v>
      </c>
      <c r="J34" s="210">
        <v>16</v>
      </c>
      <c r="K34" s="210">
        <v>-0.23</v>
      </c>
      <c r="L34" s="175">
        <f t="shared" si="4"/>
        <v>15.77</v>
      </c>
      <c r="M34" s="168"/>
    </row>
    <row r="35" spans="1:13" ht="24.9" customHeight="1" x14ac:dyDescent="0.25">
      <c r="A35" s="168"/>
      <c r="B35" s="332"/>
      <c r="C35" s="330"/>
      <c r="D35" s="330"/>
      <c r="E35" s="123" t="s">
        <v>124</v>
      </c>
      <c r="F35" s="123">
        <f t="shared" si="6"/>
        <v>0</v>
      </c>
      <c r="G35" s="123">
        <f t="shared" si="3"/>
        <v>0</v>
      </c>
      <c r="H35" s="210">
        <v>15.5</v>
      </c>
      <c r="I35" s="211">
        <v>17.536070238417</v>
      </c>
      <c r="J35" s="210">
        <v>16</v>
      </c>
      <c r="K35" s="210">
        <v>-0.23</v>
      </c>
      <c r="L35" s="175">
        <f t="shared" si="4"/>
        <v>15.77</v>
      </c>
      <c r="M35" s="168"/>
    </row>
    <row r="36" spans="1:13" ht="24.9" customHeight="1" x14ac:dyDescent="0.25">
      <c r="A36" s="168"/>
      <c r="B36" s="332"/>
      <c r="C36" s="330"/>
      <c r="D36" s="330"/>
      <c r="E36" s="123" t="s">
        <v>128</v>
      </c>
      <c r="F36" s="123">
        <f t="shared" si="6"/>
        <v>0</v>
      </c>
      <c r="G36" s="123">
        <f t="shared" si="3"/>
        <v>0</v>
      </c>
      <c r="H36" s="210">
        <v>15.5</v>
      </c>
      <c r="I36" s="211">
        <v>18.499537617031201</v>
      </c>
      <c r="J36" s="210">
        <v>16</v>
      </c>
      <c r="K36" s="210">
        <v>-0.23</v>
      </c>
      <c r="L36" s="175">
        <f t="shared" si="4"/>
        <v>15.77</v>
      </c>
      <c r="M36" s="168"/>
    </row>
    <row r="37" spans="1:13" ht="24.9" customHeight="1" thickBot="1" x14ac:dyDescent="0.3">
      <c r="A37" s="168"/>
      <c r="B37" s="333"/>
      <c r="C37" s="331"/>
      <c r="D37" s="331"/>
      <c r="E37" s="125" t="s">
        <v>125</v>
      </c>
      <c r="F37" s="125" t="str">
        <f t="shared" si="6"/>
        <v>X</v>
      </c>
      <c r="G37" s="125">
        <f t="shared" si="3"/>
        <v>0</v>
      </c>
      <c r="H37" s="210">
        <v>15.5</v>
      </c>
      <c r="I37" s="211">
        <v>19.463004995645498</v>
      </c>
      <c r="J37" s="210">
        <v>16</v>
      </c>
      <c r="K37" s="210">
        <v>-0.23</v>
      </c>
      <c r="L37" s="176">
        <f t="shared" si="4"/>
        <v>15.77</v>
      </c>
      <c r="M37" s="168"/>
    </row>
    <row r="38" spans="1:13" ht="9.9" customHeight="1" x14ac:dyDescent="0.25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</row>
  </sheetData>
  <mergeCells count="16">
    <mergeCell ref="B2:L2"/>
    <mergeCell ref="D10:D14"/>
    <mergeCell ref="C26:C31"/>
    <mergeCell ref="D26:D31"/>
    <mergeCell ref="C15:C19"/>
    <mergeCell ref="D15:D19"/>
    <mergeCell ref="B3:L3"/>
    <mergeCell ref="C32:C37"/>
    <mergeCell ref="D32:D37"/>
    <mergeCell ref="B5:B19"/>
    <mergeCell ref="C5:C9"/>
    <mergeCell ref="D5:D9"/>
    <mergeCell ref="B20:B37"/>
    <mergeCell ref="C20:C25"/>
    <mergeCell ref="D20:D25"/>
    <mergeCell ref="C10:C14"/>
  </mergeCells>
  <phoneticPr fontId="6" type="noConversion"/>
  <conditionalFormatting sqref="K5:K19">
    <cfRule type="top10" dxfId="14" priority="19" rank="1"/>
  </conditionalFormatting>
  <conditionalFormatting sqref="H5:J19">
    <cfRule type="top10" dxfId="13" priority="10" rank="1"/>
  </conditionalFormatting>
  <conditionalFormatting sqref="H20:H34">
    <cfRule type="top10" dxfId="12" priority="9" rank="1"/>
  </conditionalFormatting>
  <conditionalFormatting sqref="H35">
    <cfRule type="top10" dxfId="11" priority="8" rank="1"/>
  </conditionalFormatting>
  <conditionalFormatting sqref="H36:H37">
    <cfRule type="top10" dxfId="10" priority="7" rank="1"/>
  </conditionalFormatting>
  <conditionalFormatting sqref="J20:J34">
    <cfRule type="top10" dxfId="9" priority="6" rank="1"/>
  </conditionalFormatting>
  <conditionalFormatting sqref="J35">
    <cfRule type="top10" dxfId="8" priority="5" rank="1"/>
  </conditionalFormatting>
  <conditionalFormatting sqref="J36:J37">
    <cfRule type="top10" dxfId="7" priority="4" rank="1"/>
  </conditionalFormatting>
  <conditionalFormatting sqref="K20:K34">
    <cfRule type="top10" dxfId="6" priority="3" rank="1"/>
  </conditionalFormatting>
  <conditionalFormatting sqref="K35">
    <cfRule type="top10" dxfId="5" priority="2" rank="1"/>
  </conditionalFormatting>
  <conditionalFormatting sqref="K36:K37">
    <cfRule type="top10" dxfId="4" priority="1" rank="1"/>
  </conditionalFormatting>
  <pageMargins left="0.15748031496062992" right="0.15748031496062992" top="0" bottom="0" header="0.31496062992125984" footer="0.31496062992125984"/>
  <pageSetup paperSize="9" scale="2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view="pageBreakPreview" zoomScale="70" zoomScaleNormal="115" zoomScaleSheetLayoutView="70" workbookViewId="0">
      <pane ySplit="4" topLeftCell="A5" activePane="bottomLeft" state="frozen"/>
      <selection pane="bottomLeft" activeCell="P26" sqref="P26"/>
    </sheetView>
  </sheetViews>
  <sheetFormatPr defaultColWidth="8.796875" defaultRowHeight="13.8" x14ac:dyDescent="0.25"/>
  <cols>
    <col min="1" max="1" width="8.796875" style="115"/>
    <col min="2" max="8" width="8.796875" style="115" customWidth="1"/>
    <col min="9" max="9" width="10.09765625" style="115" bestFit="1" customWidth="1"/>
    <col min="10" max="10" width="10.3984375" style="115" bestFit="1" customWidth="1"/>
    <col min="11" max="12" width="8.796875" style="115" customWidth="1"/>
    <col min="13" max="16384" width="8.796875" style="115"/>
  </cols>
  <sheetData>
    <row r="1" spans="1:14" ht="9.9" customHeight="1" thickBot="1" x14ac:dyDescent="0.3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4" ht="24.9" customHeight="1" thickBot="1" x14ac:dyDescent="0.3">
      <c r="A2" s="168"/>
      <c r="B2" s="289" t="s">
        <v>129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168"/>
    </row>
    <row r="3" spans="1:14" ht="24.9" customHeight="1" thickBot="1" x14ac:dyDescent="0.3">
      <c r="A3" s="168"/>
      <c r="B3" s="334" t="s">
        <v>137</v>
      </c>
      <c r="C3" s="335"/>
      <c r="D3" s="335"/>
      <c r="E3" s="335"/>
      <c r="F3" s="335"/>
      <c r="G3" s="335"/>
      <c r="H3" s="335"/>
      <c r="I3" s="335"/>
      <c r="J3" s="335"/>
      <c r="K3" s="335"/>
      <c r="L3" s="336"/>
      <c r="M3" s="168"/>
    </row>
    <row r="4" spans="1:14" ht="27.6" thickBot="1" x14ac:dyDescent="0.3">
      <c r="A4" s="168"/>
      <c r="B4" s="169" t="s">
        <v>0</v>
      </c>
      <c r="C4" s="170" t="s">
        <v>140</v>
      </c>
      <c r="D4" s="171" t="s">
        <v>141</v>
      </c>
      <c r="E4" s="171" t="s">
        <v>142</v>
      </c>
      <c r="F4" s="170" t="s">
        <v>143</v>
      </c>
      <c r="G4" s="171" t="s">
        <v>144</v>
      </c>
      <c r="H4" s="120" t="s">
        <v>91</v>
      </c>
      <c r="I4" s="121" t="s">
        <v>174</v>
      </c>
      <c r="J4" s="121" t="s">
        <v>175</v>
      </c>
      <c r="K4" s="172" t="s">
        <v>173</v>
      </c>
      <c r="L4" s="173" t="s">
        <v>116</v>
      </c>
      <c r="M4" s="168"/>
    </row>
    <row r="5" spans="1:14" ht="28.2" thickBot="1" x14ac:dyDescent="0.3">
      <c r="A5" s="174" t="s">
        <v>139</v>
      </c>
      <c r="B5" s="332" t="s">
        <v>117</v>
      </c>
      <c r="C5" s="330">
        <v>2412</v>
      </c>
      <c r="D5" s="330">
        <v>1</v>
      </c>
      <c r="E5" s="123" t="s">
        <v>118</v>
      </c>
      <c r="F5" s="123">
        <f>'WLAN 2.4 GHz 802.11ax Ant1'!F5</f>
        <v>0</v>
      </c>
      <c r="G5" s="123">
        <f t="shared" ref="G5:G19" si="0">$A$6</f>
        <v>0</v>
      </c>
      <c r="H5" s="210">
        <v>9.5</v>
      </c>
      <c r="I5" s="210">
        <v>9.23</v>
      </c>
      <c r="J5" s="210">
        <v>10</v>
      </c>
      <c r="K5" s="210">
        <v>-0.26</v>
      </c>
      <c r="L5" s="175">
        <f>K5+J5</f>
        <v>9.74</v>
      </c>
      <c r="M5" s="168"/>
      <c r="N5" s="268"/>
    </row>
    <row r="6" spans="1:14" ht="24.9" customHeight="1" thickBot="1" x14ac:dyDescent="0.3">
      <c r="A6" s="177">
        <f>'WLAN 2.4 GHz 802.11ax Ant1'!A6</f>
        <v>0</v>
      </c>
      <c r="B6" s="332"/>
      <c r="C6" s="330"/>
      <c r="D6" s="330"/>
      <c r="E6" s="123" t="s">
        <v>121</v>
      </c>
      <c r="F6" s="123">
        <f>'WLAN 2.4 GHz 802.11ax Ant1'!F6</f>
        <v>0</v>
      </c>
      <c r="G6" s="123">
        <f t="shared" si="0"/>
        <v>0</v>
      </c>
      <c r="H6" s="210">
        <v>11.5</v>
      </c>
      <c r="I6" s="210">
        <v>11.55</v>
      </c>
      <c r="J6" s="210">
        <v>12</v>
      </c>
      <c r="K6" s="210">
        <v>-0.26</v>
      </c>
      <c r="L6" s="175">
        <f t="shared" ref="L6:L19" si="1">K6+J6</f>
        <v>11.74</v>
      </c>
      <c r="M6" s="168"/>
      <c r="N6" s="268"/>
    </row>
    <row r="7" spans="1:14" ht="24.9" customHeight="1" x14ac:dyDescent="0.25">
      <c r="A7" s="168"/>
      <c r="B7" s="332"/>
      <c r="C7" s="330"/>
      <c r="D7" s="330"/>
      <c r="E7" s="123" t="s">
        <v>123</v>
      </c>
      <c r="F7" s="123">
        <f>'WLAN 2.4 GHz 802.11ax Ant1'!F7</f>
        <v>0</v>
      </c>
      <c r="G7" s="123">
        <f t="shared" si="0"/>
        <v>0</v>
      </c>
      <c r="H7" s="210">
        <v>14.5</v>
      </c>
      <c r="I7" s="210">
        <v>14.51</v>
      </c>
      <c r="J7" s="210">
        <v>15</v>
      </c>
      <c r="K7" s="210">
        <v>-0.26</v>
      </c>
      <c r="L7" s="175">
        <f t="shared" si="1"/>
        <v>14.74</v>
      </c>
      <c r="M7" s="168"/>
      <c r="N7" s="268"/>
    </row>
    <row r="8" spans="1:14" ht="24.9" customHeight="1" x14ac:dyDescent="0.25">
      <c r="A8" s="168"/>
      <c r="B8" s="332"/>
      <c r="C8" s="330"/>
      <c r="D8" s="330"/>
      <c r="E8" s="123" t="s">
        <v>124</v>
      </c>
      <c r="F8" s="123">
        <f>'WLAN 2.4 GHz 802.11ax Ant1'!F8</f>
        <v>0</v>
      </c>
      <c r="G8" s="123">
        <f t="shared" si="0"/>
        <v>0</v>
      </c>
      <c r="H8" s="210">
        <v>15.5</v>
      </c>
      <c r="I8" s="210">
        <v>15.38</v>
      </c>
      <c r="J8" s="210">
        <v>16</v>
      </c>
      <c r="K8" s="210">
        <v>-0.26</v>
      </c>
      <c r="L8" s="175">
        <f t="shared" si="1"/>
        <v>15.74</v>
      </c>
      <c r="M8" s="168"/>
      <c r="N8" s="268"/>
    </row>
    <row r="9" spans="1:14" ht="24.9" customHeight="1" x14ac:dyDescent="0.25">
      <c r="A9" s="168"/>
      <c r="B9" s="332"/>
      <c r="C9" s="330"/>
      <c r="D9" s="330"/>
      <c r="E9" s="123" t="s">
        <v>125</v>
      </c>
      <c r="F9" s="123" t="str">
        <f>'WLAN 2.4 GHz 802.11ax Ant1'!F9</f>
        <v>X</v>
      </c>
      <c r="G9" s="123">
        <f t="shared" si="0"/>
        <v>0</v>
      </c>
      <c r="H9" s="210">
        <v>15.5</v>
      </c>
      <c r="I9" s="210">
        <v>15.39</v>
      </c>
      <c r="J9" s="210">
        <v>16</v>
      </c>
      <c r="K9" s="210">
        <v>-0.26</v>
      </c>
      <c r="L9" s="175">
        <f t="shared" si="1"/>
        <v>15.74</v>
      </c>
      <c r="M9" s="168"/>
      <c r="N9" s="268"/>
    </row>
    <row r="10" spans="1:14" ht="24.9" customHeight="1" x14ac:dyDescent="0.25">
      <c r="A10" s="168"/>
      <c r="B10" s="332"/>
      <c r="C10" s="330">
        <v>2442</v>
      </c>
      <c r="D10" s="330">
        <v>7</v>
      </c>
      <c r="E10" s="123" t="s">
        <v>118</v>
      </c>
      <c r="F10" s="123">
        <f>'WLAN 2.4 GHz 802.11ax Ant1'!F10</f>
        <v>0</v>
      </c>
      <c r="G10" s="123">
        <f t="shared" si="0"/>
        <v>0</v>
      </c>
      <c r="H10" s="210">
        <v>9.5</v>
      </c>
      <c r="I10" s="210">
        <v>9</v>
      </c>
      <c r="J10" s="210">
        <v>10</v>
      </c>
      <c r="K10" s="210">
        <v>-0.26</v>
      </c>
      <c r="L10" s="175">
        <f t="shared" si="1"/>
        <v>9.74</v>
      </c>
      <c r="M10" s="168"/>
      <c r="N10" s="268"/>
    </row>
    <row r="11" spans="1:14" ht="24.9" customHeight="1" x14ac:dyDescent="0.25">
      <c r="A11" s="168"/>
      <c r="B11" s="332"/>
      <c r="C11" s="330"/>
      <c r="D11" s="330"/>
      <c r="E11" s="123" t="s">
        <v>121</v>
      </c>
      <c r="F11" s="123">
        <f>'WLAN 2.4 GHz 802.11ax Ant1'!F11</f>
        <v>0</v>
      </c>
      <c r="G11" s="123">
        <f t="shared" si="0"/>
        <v>0</v>
      </c>
      <c r="H11" s="210">
        <v>11.5</v>
      </c>
      <c r="I11" s="210">
        <v>11.06</v>
      </c>
      <c r="J11" s="210">
        <v>12</v>
      </c>
      <c r="K11" s="210">
        <v>-0.26</v>
      </c>
      <c r="L11" s="175">
        <f t="shared" si="1"/>
        <v>11.74</v>
      </c>
      <c r="M11" s="168"/>
      <c r="N11" s="268"/>
    </row>
    <row r="12" spans="1:14" ht="24.9" customHeight="1" x14ac:dyDescent="0.25">
      <c r="A12" s="168"/>
      <c r="B12" s="332"/>
      <c r="C12" s="330"/>
      <c r="D12" s="330"/>
      <c r="E12" s="123" t="s">
        <v>123</v>
      </c>
      <c r="F12" s="123">
        <f>'WLAN 2.4 GHz 802.11ax Ant1'!F12</f>
        <v>0</v>
      </c>
      <c r="G12" s="123">
        <f t="shared" si="0"/>
        <v>0</v>
      </c>
      <c r="H12" s="210">
        <v>14.5</v>
      </c>
      <c r="I12" s="210">
        <v>14.27</v>
      </c>
      <c r="J12" s="210">
        <v>15</v>
      </c>
      <c r="K12" s="210">
        <v>-0.26</v>
      </c>
      <c r="L12" s="175">
        <f t="shared" si="1"/>
        <v>14.74</v>
      </c>
      <c r="M12" s="168"/>
      <c r="N12" s="268"/>
    </row>
    <row r="13" spans="1:14" ht="24.9" customHeight="1" x14ac:dyDescent="0.25">
      <c r="A13" s="168"/>
      <c r="B13" s="332"/>
      <c r="C13" s="330"/>
      <c r="D13" s="330"/>
      <c r="E13" s="123" t="s">
        <v>124</v>
      </c>
      <c r="F13" s="123">
        <f>'WLAN 2.4 GHz 802.11ax Ant1'!F13</f>
        <v>0</v>
      </c>
      <c r="G13" s="123">
        <f t="shared" si="0"/>
        <v>0</v>
      </c>
      <c r="H13" s="210">
        <v>15.5</v>
      </c>
      <c r="I13" s="210">
        <v>15.04</v>
      </c>
      <c r="J13" s="210">
        <v>16</v>
      </c>
      <c r="K13" s="210">
        <v>-0.26</v>
      </c>
      <c r="L13" s="175">
        <f t="shared" si="1"/>
        <v>15.74</v>
      </c>
      <c r="M13" s="168"/>
      <c r="N13" s="268"/>
    </row>
    <row r="14" spans="1:14" ht="24.9" customHeight="1" x14ac:dyDescent="0.25">
      <c r="A14" s="168"/>
      <c r="B14" s="332"/>
      <c r="C14" s="330"/>
      <c r="D14" s="330"/>
      <c r="E14" s="123" t="s">
        <v>125</v>
      </c>
      <c r="F14" s="123" t="str">
        <f>'WLAN 2.4 GHz 802.11ax Ant1'!F14</f>
        <v>X</v>
      </c>
      <c r="G14" s="123">
        <f t="shared" si="0"/>
        <v>0</v>
      </c>
      <c r="H14" s="210">
        <v>15.5</v>
      </c>
      <c r="I14" s="210">
        <v>15.07</v>
      </c>
      <c r="J14" s="210">
        <v>16</v>
      </c>
      <c r="K14" s="210">
        <v>-0.26</v>
      </c>
      <c r="L14" s="175">
        <f t="shared" si="1"/>
        <v>15.74</v>
      </c>
      <c r="M14" s="168"/>
      <c r="N14" s="268"/>
    </row>
    <row r="15" spans="1:14" ht="24.9" customHeight="1" x14ac:dyDescent="0.25">
      <c r="A15" s="168"/>
      <c r="B15" s="332"/>
      <c r="C15" s="330">
        <v>2472</v>
      </c>
      <c r="D15" s="330">
        <v>13</v>
      </c>
      <c r="E15" s="123" t="s">
        <v>118</v>
      </c>
      <c r="F15" s="123">
        <f>'WLAN 2.4 GHz 802.11ax Ant1'!F15</f>
        <v>0</v>
      </c>
      <c r="G15" s="123">
        <f t="shared" si="0"/>
        <v>0</v>
      </c>
      <c r="H15" s="210">
        <v>9.5</v>
      </c>
      <c r="I15" s="210">
        <v>9.42</v>
      </c>
      <c r="J15" s="210">
        <v>10</v>
      </c>
      <c r="K15" s="210">
        <v>-0.26</v>
      </c>
      <c r="L15" s="175">
        <f t="shared" si="1"/>
        <v>9.74</v>
      </c>
      <c r="M15" s="168"/>
      <c r="N15" s="268"/>
    </row>
    <row r="16" spans="1:14" ht="24.9" customHeight="1" x14ac:dyDescent="0.25">
      <c r="A16" s="168"/>
      <c r="B16" s="332"/>
      <c r="C16" s="330"/>
      <c r="D16" s="330"/>
      <c r="E16" s="123" t="s">
        <v>121</v>
      </c>
      <c r="F16" s="123">
        <f>'WLAN 2.4 GHz 802.11ax Ant1'!F16</f>
        <v>0</v>
      </c>
      <c r="G16" s="123">
        <f t="shared" si="0"/>
        <v>0</v>
      </c>
      <c r="H16" s="210">
        <v>11.5</v>
      </c>
      <c r="I16" s="210">
        <v>11.03</v>
      </c>
      <c r="J16" s="210">
        <v>12</v>
      </c>
      <c r="K16" s="210">
        <v>-0.26</v>
      </c>
      <c r="L16" s="175">
        <f t="shared" si="1"/>
        <v>11.74</v>
      </c>
      <c r="M16" s="168"/>
      <c r="N16" s="268"/>
    </row>
    <row r="17" spans="1:14" ht="24.9" customHeight="1" x14ac:dyDescent="0.25">
      <c r="A17" s="168"/>
      <c r="B17" s="332"/>
      <c r="C17" s="330"/>
      <c r="D17" s="330"/>
      <c r="E17" s="123" t="s">
        <v>123</v>
      </c>
      <c r="F17" s="123">
        <f>'WLAN 2.4 GHz 802.11ax Ant1'!F17</f>
        <v>0</v>
      </c>
      <c r="G17" s="123">
        <f t="shared" si="0"/>
        <v>0</v>
      </c>
      <c r="H17" s="210">
        <v>14.5</v>
      </c>
      <c r="I17" s="210">
        <v>14.03</v>
      </c>
      <c r="J17" s="210">
        <v>15</v>
      </c>
      <c r="K17" s="210">
        <v>-0.26</v>
      </c>
      <c r="L17" s="175">
        <f t="shared" si="1"/>
        <v>14.74</v>
      </c>
      <c r="M17" s="168"/>
      <c r="N17" s="268"/>
    </row>
    <row r="18" spans="1:14" ht="24.9" customHeight="1" x14ac:dyDescent="0.25">
      <c r="A18" s="168"/>
      <c r="B18" s="332"/>
      <c r="C18" s="330"/>
      <c r="D18" s="330"/>
      <c r="E18" s="123" t="s">
        <v>124</v>
      </c>
      <c r="F18" s="123">
        <f>'WLAN 2.4 GHz 802.11ax Ant1'!F18</f>
        <v>0</v>
      </c>
      <c r="G18" s="123">
        <f t="shared" si="0"/>
        <v>0</v>
      </c>
      <c r="H18" s="210">
        <v>15.5</v>
      </c>
      <c r="I18" s="210">
        <v>15.15</v>
      </c>
      <c r="J18" s="210">
        <v>16</v>
      </c>
      <c r="K18" s="210">
        <v>-0.26</v>
      </c>
      <c r="L18" s="175">
        <f t="shared" si="1"/>
        <v>15.74</v>
      </c>
      <c r="M18" s="168"/>
      <c r="N18" s="268"/>
    </row>
    <row r="19" spans="1:14" ht="24.9" customHeight="1" thickBot="1" x14ac:dyDescent="0.3">
      <c r="A19" s="168"/>
      <c r="B19" s="333"/>
      <c r="C19" s="331"/>
      <c r="D19" s="331"/>
      <c r="E19" s="125" t="s">
        <v>125</v>
      </c>
      <c r="F19" s="123" t="str">
        <f>'WLAN 2.4 GHz 802.11ax Ant1'!F19</f>
        <v>X</v>
      </c>
      <c r="G19" s="125">
        <f t="shared" si="0"/>
        <v>0</v>
      </c>
      <c r="H19" s="210">
        <v>15.5</v>
      </c>
      <c r="I19" s="210">
        <v>15.17</v>
      </c>
      <c r="J19" s="210">
        <v>16</v>
      </c>
      <c r="K19" s="210">
        <v>-0.26</v>
      </c>
      <c r="L19" s="176">
        <f t="shared" si="1"/>
        <v>15.74</v>
      </c>
      <c r="M19" s="168"/>
      <c r="N19" s="268"/>
    </row>
    <row r="20" spans="1:14" ht="28.2" thickBot="1" x14ac:dyDescent="0.3">
      <c r="A20" s="174" t="s">
        <v>139</v>
      </c>
      <c r="B20" s="332" t="s">
        <v>119</v>
      </c>
      <c r="C20" s="330">
        <v>2422</v>
      </c>
      <c r="D20" s="330">
        <v>3</v>
      </c>
      <c r="E20" s="123" t="s">
        <v>118</v>
      </c>
      <c r="F20" s="123">
        <f>'WLAN 2.4 GHz 802.11ax Ant1'!F20</f>
        <v>0</v>
      </c>
      <c r="G20" s="123">
        <f t="shared" ref="G20:G37" si="2">$A$21</f>
        <v>0</v>
      </c>
      <c r="H20" s="210">
        <v>9.5</v>
      </c>
      <c r="I20" s="209">
        <v>9.609600087639441</v>
      </c>
      <c r="J20" s="210">
        <v>10</v>
      </c>
      <c r="K20" s="210">
        <v>-0.26</v>
      </c>
      <c r="L20" s="175">
        <f>K20+J20</f>
        <v>9.74</v>
      </c>
      <c r="M20" s="168"/>
    </row>
    <row r="21" spans="1:14" ht="24.9" customHeight="1" thickBot="1" x14ac:dyDescent="0.3">
      <c r="A21" s="177">
        <f>'WLAN 2.4 GHz 802.11ax Ant1'!A21</f>
        <v>0</v>
      </c>
      <c r="B21" s="332"/>
      <c r="C21" s="330"/>
      <c r="D21" s="330"/>
      <c r="E21" s="123" t="s">
        <v>121</v>
      </c>
      <c r="F21" s="123">
        <f>'WLAN 2.4 GHz 802.11ax Ant1'!F21</f>
        <v>0</v>
      </c>
      <c r="G21" s="123">
        <f t="shared" si="2"/>
        <v>0</v>
      </c>
      <c r="H21" s="210">
        <v>11.5</v>
      </c>
      <c r="I21" s="209">
        <v>12.502562113486352</v>
      </c>
      <c r="J21" s="210">
        <v>12</v>
      </c>
      <c r="K21" s="210">
        <v>-0.26</v>
      </c>
      <c r="L21" s="175">
        <f t="shared" ref="L21:L37" si="3">K21+J21</f>
        <v>11.74</v>
      </c>
      <c r="M21" s="168"/>
    </row>
    <row r="22" spans="1:14" ht="24.9" customHeight="1" x14ac:dyDescent="0.25">
      <c r="A22" s="168"/>
      <c r="B22" s="332"/>
      <c r="C22" s="330"/>
      <c r="D22" s="330"/>
      <c r="E22" s="123" t="s">
        <v>123</v>
      </c>
      <c r="F22" s="123">
        <f>'WLAN 2.4 GHz 802.11ax Ant1'!F22</f>
        <v>0</v>
      </c>
      <c r="G22" s="123">
        <f t="shared" si="2"/>
        <v>0</v>
      </c>
      <c r="H22" s="210">
        <v>14.5</v>
      </c>
      <c r="I22" s="209">
        <v>15.496336016128371</v>
      </c>
      <c r="J22" s="210">
        <v>15</v>
      </c>
      <c r="K22" s="210">
        <v>-0.26</v>
      </c>
      <c r="L22" s="175">
        <f t="shared" si="3"/>
        <v>14.74</v>
      </c>
      <c r="M22" s="168"/>
    </row>
    <row r="23" spans="1:14" ht="24.9" customHeight="1" x14ac:dyDescent="0.25">
      <c r="A23" s="168"/>
      <c r="B23" s="332"/>
      <c r="C23" s="330"/>
      <c r="D23" s="330"/>
      <c r="E23" s="130" t="s">
        <v>124</v>
      </c>
      <c r="F23" s="123">
        <f>'WLAN 2.4 GHz 802.11ax Ant1'!F23</f>
        <v>0</v>
      </c>
      <c r="G23" s="123">
        <f t="shared" si="2"/>
        <v>0</v>
      </c>
      <c r="H23" s="210">
        <v>15.5</v>
      </c>
      <c r="I23" s="228">
        <v>15.78471489960487</v>
      </c>
      <c r="J23" s="210">
        <v>16</v>
      </c>
      <c r="K23" s="210">
        <v>-0.26</v>
      </c>
      <c r="L23" s="175">
        <f t="shared" si="3"/>
        <v>15.74</v>
      </c>
      <c r="M23" s="168"/>
    </row>
    <row r="24" spans="1:14" ht="24.9" customHeight="1" x14ac:dyDescent="0.25">
      <c r="A24" s="168"/>
      <c r="B24" s="332"/>
      <c r="C24" s="330"/>
      <c r="D24" s="330"/>
      <c r="E24" s="130" t="s">
        <v>128</v>
      </c>
      <c r="F24" s="123">
        <f>'WLAN 2.4 GHz 802.11ax Ant1'!F24</f>
        <v>0</v>
      </c>
      <c r="G24" s="123">
        <f t="shared" si="2"/>
        <v>0</v>
      </c>
      <c r="H24" s="210">
        <v>15.5</v>
      </c>
      <c r="I24" s="228">
        <v>15.919359619630546</v>
      </c>
      <c r="J24" s="210">
        <v>16</v>
      </c>
      <c r="K24" s="210">
        <v>-0.26</v>
      </c>
      <c r="L24" s="175">
        <f t="shared" si="3"/>
        <v>15.74</v>
      </c>
      <c r="M24" s="168"/>
    </row>
    <row r="25" spans="1:14" ht="24.9" customHeight="1" x14ac:dyDescent="0.25">
      <c r="A25" s="168"/>
      <c r="B25" s="332"/>
      <c r="C25" s="330"/>
      <c r="D25" s="330"/>
      <c r="E25" s="130" t="s">
        <v>125</v>
      </c>
      <c r="F25" s="123" t="str">
        <f>'WLAN 2.4 GHz 802.11ax Ant1'!F25</f>
        <v>X</v>
      </c>
      <c r="G25" s="123">
        <f t="shared" si="2"/>
        <v>0</v>
      </c>
      <c r="H25" s="210">
        <v>9.5</v>
      </c>
      <c r="I25" s="228">
        <v>9.722328604914507</v>
      </c>
      <c r="J25" s="210">
        <v>10</v>
      </c>
      <c r="K25" s="210">
        <v>-0.26</v>
      </c>
      <c r="L25" s="175">
        <f t="shared" si="3"/>
        <v>9.74</v>
      </c>
      <c r="M25" s="168"/>
    </row>
    <row r="26" spans="1:14" ht="24.9" customHeight="1" x14ac:dyDescent="0.25">
      <c r="A26" s="168"/>
      <c r="B26" s="332"/>
      <c r="C26" s="330">
        <v>2442</v>
      </c>
      <c r="D26" s="330">
        <v>7</v>
      </c>
      <c r="E26" s="123" t="s">
        <v>118</v>
      </c>
      <c r="F26" s="123">
        <f>'WLAN 2.4 GHz 802.11ax Ant1'!F26</f>
        <v>0</v>
      </c>
      <c r="G26" s="123">
        <f t="shared" si="2"/>
        <v>0</v>
      </c>
      <c r="H26" s="210">
        <v>11.5</v>
      </c>
      <c r="I26" s="209">
        <v>11.926783363615796</v>
      </c>
      <c r="J26" s="210">
        <v>12</v>
      </c>
      <c r="K26" s="210">
        <v>-0.26</v>
      </c>
      <c r="L26" s="175">
        <f t="shared" si="3"/>
        <v>11.74</v>
      </c>
      <c r="M26" s="168"/>
    </row>
    <row r="27" spans="1:14" ht="24.9" customHeight="1" x14ac:dyDescent="0.25">
      <c r="A27" s="168"/>
      <c r="B27" s="332"/>
      <c r="C27" s="330"/>
      <c r="D27" s="330"/>
      <c r="E27" s="123" t="s">
        <v>121</v>
      </c>
      <c r="F27" s="123">
        <f>'WLAN 2.4 GHz 802.11ax Ant1'!F27</f>
        <v>0</v>
      </c>
      <c r="G27" s="123">
        <f t="shared" si="2"/>
        <v>0</v>
      </c>
      <c r="H27" s="210">
        <v>14.5</v>
      </c>
      <c r="I27" s="209">
        <v>15.185898359109169</v>
      </c>
      <c r="J27" s="210">
        <v>15</v>
      </c>
      <c r="K27" s="210">
        <v>-0.26</v>
      </c>
      <c r="L27" s="175">
        <f t="shared" si="3"/>
        <v>14.74</v>
      </c>
      <c r="M27" s="168"/>
    </row>
    <row r="28" spans="1:14" ht="24.9" customHeight="1" x14ac:dyDescent="0.25">
      <c r="A28" s="168"/>
      <c r="B28" s="332"/>
      <c r="C28" s="330"/>
      <c r="D28" s="330"/>
      <c r="E28" s="123" t="s">
        <v>123</v>
      </c>
      <c r="F28" s="123">
        <f>'WLAN 2.4 GHz 802.11ax Ant1'!F28</f>
        <v>0</v>
      </c>
      <c r="G28" s="123">
        <f t="shared" si="2"/>
        <v>0</v>
      </c>
      <c r="H28" s="210">
        <v>15.5</v>
      </c>
      <c r="I28" s="209">
        <v>15.909119961585601</v>
      </c>
      <c r="J28" s="210">
        <v>16</v>
      </c>
      <c r="K28" s="210">
        <v>-0.26</v>
      </c>
      <c r="L28" s="175">
        <f t="shared" si="3"/>
        <v>15.74</v>
      </c>
      <c r="M28" s="168"/>
    </row>
    <row r="29" spans="1:14" ht="24.9" customHeight="1" x14ac:dyDescent="0.25">
      <c r="A29" s="168"/>
      <c r="B29" s="332"/>
      <c r="C29" s="330"/>
      <c r="D29" s="330"/>
      <c r="E29" s="123" t="s">
        <v>124</v>
      </c>
      <c r="F29" s="123">
        <f>'WLAN 2.4 GHz 802.11ax Ant1'!F29</f>
        <v>0</v>
      </c>
      <c r="G29" s="123">
        <f t="shared" si="2"/>
        <v>0</v>
      </c>
      <c r="H29" s="210">
        <v>15.5</v>
      </c>
      <c r="I29" s="231">
        <v>15.347989310736487</v>
      </c>
      <c r="J29" s="210">
        <v>16</v>
      </c>
      <c r="K29" s="210">
        <v>-0.26</v>
      </c>
      <c r="L29" s="175">
        <f t="shared" si="3"/>
        <v>15.74</v>
      </c>
      <c r="M29" s="168"/>
    </row>
    <row r="30" spans="1:14" ht="24.9" customHeight="1" x14ac:dyDescent="0.25">
      <c r="A30" s="168"/>
      <c r="B30" s="332"/>
      <c r="C30" s="330"/>
      <c r="D30" s="330"/>
      <c r="E30" s="123" t="s">
        <v>128</v>
      </c>
      <c r="F30" s="123">
        <f>'WLAN 2.4 GHz 802.11ax Ant1'!F30</f>
        <v>0</v>
      </c>
      <c r="G30" s="123">
        <f t="shared" si="2"/>
        <v>0</v>
      </c>
      <c r="H30" s="210">
        <v>9.5</v>
      </c>
      <c r="I30" s="231">
        <v>9.9799802352045521</v>
      </c>
      <c r="J30" s="210">
        <v>10</v>
      </c>
      <c r="K30" s="210">
        <v>-0.26</v>
      </c>
      <c r="L30" s="175">
        <f t="shared" si="3"/>
        <v>9.74</v>
      </c>
      <c r="M30" s="168"/>
    </row>
    <row r="31" spans="1:14" ht="24.9" customHeight="1" x14ac:dyDescent="0.25">
      <c r="A31" s="168"/>
      <c r="B31" s="332"/>
      <c r="C31" s="330"/>
      <c r="D31" s="330"/>
      <c r="E31" s="123" t="s">
        <v>125</v>
      </c>
      <c r="F31" s="123" t="str">
        <f>'WLAN 2.4 GHz 802.11ax Ant1'!F31</f>
        <v>X</v>
      </c>
      <c r="G31" s="123">
        <f t="shared" si="2"/>
        <v>0</v>
      </c>
      <c r="H31" s="210">
        <v>11.5</v>
      </c>
      <c r="I31" s="231">
        <v>11.540970529662184</v>
      </c>
      <c r="J31" s="210">
        <v>12</v>
      </c>
      <c r="K31" s="210">
        <v>-0.26</v>
      </c>
      <c r="L31" s="175">
        <f t="shared" si="3"/>
        <v>11.74</v>
      </c>
      <c r="M31" s="168"/>
    </row>
    <row r="32" spans="1:14" ht="24.9" customHeight="1" x14ac:dyDescent="0.25">
      <c r="A32" s="168"/>
      <c r="B32" s="332"/>
      <c r="C32" s="330">
        <v>2462</v>
      </c>
      <c r="D32" s="330">
        <v>11</v>
      </c>
      <c r="E32" s="123" t="s">
        <v>118</v>
      </c>
      <c r="F32" s="123">
        <f>'WLAN 2.4 GHz 802.11ax Ant1'!F32</f>
        <v>0</v>
      </c>
      <c r="G32" s="123">
        <f t="shared" si="2"/>
        <v>0</v>
      </c>
      <c r="H32" s="210">
        <v>14.5</v>
      </c>
      <c r="I32" s="209">
        <v>14.290819969419584</v>
      </c>
      <c r="J32" s="210">
        <v>15</v>
      </c>
      <c r="K32" s="210">
        <v>-0.26</v>
      </c>
      <c r="L32" s="175">
        <f t="shared" si="3"/>
        <v>14.74</v>
      </c>
      <c r="M32" s="168"/>
    </row>
    <row r="33" spans="1:13" ht="24.9" customHeight="1" x14ac:dyDescent="0.25">
      <c r="A33" s="168"/>
      <c r="B33" s="332"/>
      <c r="C33" s="330"/>
      <c r="D33" s="330"/>
      <c r="E33" s="123" t="s">
        <v>121</v>
      </c>
      <c r="F33" s="123">
        <f>'WLAN 2.4 GHz 802.11ax Ant1'!F33</f>
        <v>0</v>
      </c>
      <c r="G33" s="123">
        <f t="shared" si="2"/>
        <v>0</v>
      </c>
      <c r="H33" s="210">
        <v>15.5</v>
      </c>
      <c r="I33" s="209">
        <v>15.98414367500836</v>
      </c>
      <c r="J33" s="210">
        <v>16</v>
      </c>
      <c r="K33" s="210">
        <v>-0.26</v>
      </c>
      <c r="L33" s="175">
        <f t="shared" si="3"/>
        <v>15.74</v>
      </c>
      <c r="M33" s="168"/>
    </row>
    <row r="34" spans="1:13" ht="24.9" customHeight="1" x14ac:dyDescent="0.25">
      <c r="A34" s="168"/>
      <c r="B34" s="332"/>
      <c r="C34" s="330"/>
      <c r="D34" s="330"/>
      <c r="E34" s="123" t="s">
        <v>123</v>
      </c>
      <c r="F34" s="123">
        <f>'WLAN 2.4 GHz 802.11ax Ant1'!F34</f>
        <v>0</v>
      </c>
      <c r="G34" s="123">
        <f t="shared" si="2"/>
        <v>0</v>
      </c>
      <c r="H34" s="210">
        <v>15.5</v>
      </c>
      <c r="I34" s="209">
        <v>15.807576631820663</v>
      </c>
      <c r="J34" s="210">
        <v>16</v>
      </c>
      <c r="K34" s="210">
        <v>-0.26</v>
      </c>
      <c r="L34" s="175">
        <f t="shared" si="3"/>
        <v>15.74</v>
      </c>
      <c r="M34" s="168"/>
    </row>
    <row r="35" spans="1:13" ht="24.9" customHeight="1" x14ac:dyDescent="0.25">
      <c r="A35" s="168"/>
      <c r="B35" s="332"/>
      <c r="C35" s="330"/>
      <c r="D35" s="330"/>
      <c r="E35" s="123" t="s">
        <v>124</v>
      </c>
      <c r="F35" s="123">
        <f>'WLAN 2.4 GHz 802.11ax Ant1'!F35</f>
        <v>0</v>
      </c>
      <c r="G35" s="123">
        <f t="shared" si="2"/>
        <v>0</v>
      </c>
      <c r="H35" s="210">
        <v>15.5</v>
      </c>
      <c r="I35" s="231">
        <v>15.347989310736487</v>
      </c>
      <c r="J35" s="210">
        <v>15</v>
      </c>
      <c r="K35" s="210">
        <v>-0.26</v>
      </c>
      <c r="L35" s="175">
        <f t="shared" si="3"/>
        <v>14.74</v>
      </c>
      <c r="M35" s="168"/>
    </row>
    <row r="36" spans="1:13" ht="24.9" customHeight="1" x14ac:dyDescent="0.25">
      <c r="A36" s="168"/>
      <c r="B36" s="332"/>
      <c r="C36" s="330"/>
      <c r="D36" s="330"/>
      <c r="E36" s="123" t="s">
        <v>128</v>
      </c>
      <c r="F36" s="123">
        <f>'WLAN 2.4 GHz 802.11ax Ant1'!F36</f>
        <v>0</v>
      </c>
      <c r="G36" s="123">
        <f t="shared" si="2"/>
        <v>0</v>
      </c>
      <c r="H36" s="210">
        <v>15.5</v>
      </c>
      <c r="I36" s="231">
        <v>9.9799802352045521</v>
      </c>
      <c r="J36" s="210">
        <v>16</v>
      </c>
      <c r="K36" s="210">
        <v>-0.26</v>
      </c>
      <c r="L36" s="175">
        <f t="shared" si="3"/>
        <v>15.74</v>
      </c>
      <c r="M36" s="168"/>
    </row>
    <row r="37" spans="1:13" ht="24.9" customHeight="1" thickBot="1" x14ac:dyDescent="0.3">
      <c r="A37" s="168"/>
      <c r="B37" s="333"/>
      <c r="C37" s="331"/>
      <c r="D37" s="331"/>
      <c r="E37" s="125" t="s">
        <v>125</v>
      </c>
      <c r="F37" s="125" t="str">
        <f>'WLAN 2.4 GHz 802.11ax Ant1'!F37</f>
        <v>X</v>
      </c>
      <c r="G37" s="125">
        <f t="shared" si="2"/>
        <v>0</v>
      </c>
      <c r="H37" s="210">
        <v>15.5</v>
      </c>
      <c r="I37" s="231">
        <v>11.540970529662184</v>
      </c>
      <c r="J37" s="210">
        <v>16</v>
      </c>
      <c r="K37" s="210">
        <v>-0.26</v>
      </c>
      <c r="L37" s="176">
        <f t="shared" si="3"/>
        <v>15.74</v>
      </c>
      <c r="M37" s="168"/>
    </row>
    <row r="38" spans="1:13" ht="9.9" customHeight="1" x14ac:dyDescent="0.25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</row>
  </sheetData>
  <mergeCells count="16">
    <mergeCell ref="B2:L2"/>
    <mergeCell ref="D10:D14"/>
    <mergeCell ref="C26:C31"/>
    <mergeCell ref="D26:D31"/>
    <mergeCell ref="C15:C19"/>
    <mergeCell ref="D15:D19"/>
    <mergeCell ref="B3:L3"/>
    <mergeCell ref="C32:C37"/>
    <mergeCell ref="D32:D37"/>
    <mergeCell ref="B5:B19"/>
    <mergeCell ref="C5:C9"/>
    <mergeCell ref="D5:D9"/>
    <mergeCell ref="B20:B37"/>
    <mergeCell ref="C20:C25"/>
    <mergeCell ref="D20:D25"/>
    <mergeCell ref="C10:C14"/>
  </mergeCells>
  <phoneticPr fontId="6" type="noConversion"/>
  <conditionalFormatting sqref="K5:K37">
    <cfRule type="top10" dxfId="3" priority="1" rank="1"/>
  </conditionalFormatting>
  <pageMargins left="0.15748031496062992" right="0.15748031496062992" top="0" bottom="0" header="0.31496062992125984" footer="0.31496062992125984"/>
  <pageSetup paperSize="9" scale="2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9"/>
  <sheetViews>
    <sheetView view="pageBreakPreview" zoomScale="70" zoomScaleNormal="115" zoomScaleSheetLayoutView="70" workbookViewId="0">
      <pane ySplit="4" topLeftCell="A20" activePane="bottomLeft" state="frozen"/>
      <selection pane="bottomLeft" activeCell="N34" sqref="N34"/>
    </sheetView>
  </sheetViews>
  <sheetFormatPr defaultColWidth="8.796875" defaultRowHeight="13.8" x14ac:dyDescent="0.25"/>
  <cols>
    <col min="1" max="1" width="8.796875" style="115"/>
    <col min="2" max="9" width="8.796875" style="115" customWidth="1"/>
    <col min="10" max="14" width="10.09765625" style="115" bestFit="1" customWidth="1"/>
    <col min="15" max="15" width="8.69921875" style="115" bestFit="1" customWidth="1"/>
    <col min="16" max="16384" width="8.796875" style="115"/>
  </cols>
  <sheetData>
    <row r="1" spans="1:19" ht="9.9" customHeight="1" thickBot="1" x14ac:dyDescent="0.3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19" ht="24.9" customHeight="1" thickBot="1" x14ac:dyDescent="0.3">
      <c r="A2" s="168"/>
      <c r="B2" s="289" t="s">
        <v>130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168"/>
    </row>
    <row r="3" spans="1:19" ht="24.9" customHeight="1" thickBot="1" x14ac:dyDescent="0.3">
      <c r="A3" s="168"/>
      <c r="B3" s="334" t="s">
        <v>137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6"/>
      <c r="Q3" s="168"/>
    </row>
    <row r="4" spans="1:19" ht="40.799999999999997" thickBot="1" x14ac:dyDescent="0.3">
      <c r="A4" s="168"/>
      <c r="B4" s="178" t="s">
        <v>0</v>
      </c>
      <c r="C4" s="179" t="s">
        <v>111</v>
      </c>
      <c r="D4" s="180" t="s">
        <v>112</v>
      </c>
      <c r="E4" s="180" t="s">
        <v>113</v>
      </c>
      <c r="F4" s="179" t="s">
        <v>114</v>
      </c>
      <c r="G4" s="180" t="s">
        <v>115</v>
      </c>
      <c r="H4" s="121" t="s">
        <v>95</v>
      </c>
      <c r="I4" s="121" t="s">
        <v>96</v>
      </c>
      <c r="J4" s="121" t="s">
        <v>177</v>
      </c>
      <c r="K4" s="121" t="s">
        <v>178</v>
      </c>
      <c r="L4" s="121" t="s">
        <v>175</v>
      </c>
      <c r="M4" s="121" t="s">
        <v>179</v>
      </c>
      <c r="N4" s="121" t="s">
        <v>175</v>
      </c>
      <c r="O4" s="121" t="s">
        <v>176</v>
      </c>
      <c r="P4" s="122" t="s">
        <v>4</v>
      </c>
      <c r="Q4" s="168"/>
    </row>
    <row r="5" spans="1:19" ht="28.2" thickBot="1" x14ac:dyDescent="0.3">
      <c r="A5" s="174" t="s">
        <v>110</v>
      </c>
      <c r="B5" s="337" t="s">
        <v>117</v>
      </c>
      <c r="C5" s="338">
        <v>2412</v>
      </c>
      <c r="D5" s="338">
        <v>1</v>
      </c>
      <c r="E5" s="181" t="s">
        <v>118</v>
      </c>
      <c r="F5" s="181">
        <f>'WLAN 2.4 GHz 802.11ax Ant1'!F5</f>
        <v>0</v>
      </c>
      <c r="G5" s="181">
        <f t="shared" ref="G5:G19" si="0">$A$6</f>
        <v>0</v>
      </c>
      <c r="H5" s="210">
        <v>7</v>
      </c>
      <c r="I5" s="210">
        <v>7</v>
      </c>
      <c r="J5" s="210">
        <v>10.220000000000001</v>
      </c>
      <c r="K5" s="210">
        <v>10.220000000000001</v>
      </c>
      <c r="L5" s="210">
        <v>10</v>
      </c>
      <c r="M5" s="210">
        <f>10*LOG10((10^(J5/10))+(10^(K5/10)))</f>
        <v>13.230299956639813</v>
      </c>
      <c r="N5" s="263">
        <f>10*LOG10((10^(L5/10))*2)</f>
        <v>13.010299956639813</v>
      </c>
      <c r="O5" s="232">
        <v>-0.65</v>
      </c>
      <c r="P5" s="182">
        <f>O5+N5</f>
        <v>12.360299956639812</v>
      </c>
      <c r="Q5" s="168"/>
      <c r="R5" s="268"/>
      <c r="S5" s="268"/>
    </row>
    <row r="6" spans="1:19" ht="24.9" customHeight="1" thickBot="1" x14ac:dyDescent="0.3">
      <c r="A6" s="227"/>
      <c r="B6" s="332"/>
      <c r="C6" s="330"/>
      <c r="D6" s="330"/>
      <c r="E6" s="123" t="s">
        <v>121</v>
      </c>
      <c r="F6" s="123">
        <f>'WLAN 2.4 GHz 802.11ax Ant1'!F6</f>
        <v>0</v>
      </c>
      <c r="G6" s="123">
        <f t="shared" si="0"/>
        <v>0</v>
      </c>
      <c r="H6" s="210">
        <v>9</v>
      </c>
      <c r="I6" s="210">
        <v>9</v>
      </c>
      <c r="J6" s="210">
        <v>11.81</v>
      </c>
      <c r="K6" s="210">
        <v>11.81</v>
      </c>
      <c r="L6" s="210">
        <v>12</v>
      </c>
      <c r="M6" s="210">
        <f t="shared" ref="M6:M19" si="1">10*LOG10((10^(J6/10))+(10^(K6/10)))</f>
        <v>14.820299956639815</v>
      </c>
      <c r="N6" s="263">
        <f t="shared" ref="N6:N19" si="2">10*LOG10((10^(L6/10))*2)</f>
        <v>15.010299956639813</v>
      </c>
      <c r="O6" s="232">
        <v>-0.65</v>
      </c>
      <c r="P6" s="175">
        <f t="shared" ref="P6:P19" si="3">O6+N6</f>
        <v>14.360299956639812</v>
      </c>
      <c r="Q6" s="168"/>
      <c r="R6" s="268"/>
      <c r="S6" s="268"/>
    </row>
    <row r="7" spans="1:19" ht="24.9" customHeight="1" thickBot="1" x14ac:dyDescent="0.3">
      <c r="A7" s="168"/>
      <c r="B7" s="332"/>
      <c r="C7" s="330"/>
      <c r="D7" s="330"/>
      <c r="E7" s="123" t="s">
        <v>123</v>
      </c>
      <c r="F7" s="123">
        <f>'WLAN 2.4 GHz 802.11ax Ant1'!F7</f>
        <v>0</v>
      </c>
      <c r="G7" s="123">
        <f t="shared" si="0"/>
        <v>0</v>
      </c>
      <c r="H7" s="210">
        <v>12</v>
      </c>
      <c r="I7" s="210">
        <v>12</v>
      </c>
      <c r="J7" s="210">
        <v>15.72</v>
      </c>
      <c r="K7" s="210">
        <v>15.72</v>
      </c>
      <c r="L7" s="210">
        <v>15</v>
      </c>
      <c r="M7" s="210">
        <f t="shared" si="1"/>
        <v>18.730299956639815</v>
      </c>
      <c r="N7" s="263">
        <f t="shared" si="2"/>
        <v>18.010299956639813</v>
      </c>
      <c r="O7" s="232">
        <v>-0.65</v>
      </c>
      <c r="P7" s="175">
        <f t="shared" si="3"/>
        <v>17.360299956639814</v>
      </c>
      <c r="Q7" s="168"/>
      <c r="R7" s="268"/>
      <c r="S7" s="268"/>
    </row>
    <row r="8" spans="1:19" ht="24.9" customHeight="1" thickBot="1" x14ac:dyDescent="0.3">
      <c r="A8" s="168"/>
      <c r="B8" s="332"/>
      <c r="C8" s="330"/>
      <c r="D8" s="330"/>
      <c r="E8" s="123" t="s">
        <v>124</v>
      </c>
      <c r="F8" s="123">
        <f>'WLAN 2.4 GHz 802.11ax Ant1'!F8</f>
        <v>0</v>
      </c>
      <c r="G8" s="123">
        <f t="shared" si="0"/>
        <v>0</v>
      </c>
      <c r="H8" s="210">
        <v>13</v>
      </c>
      <c r="I8" s="210">
        <v>13</v>
      </c>
      <c r="J8" s="210">
        <v>16.61</v>
      </c>
      <c r="K8" s="210">
        <v>16.61</v>
      </c>
      <c r="L8" s="210">
        <v>16</v>
      </c>
      <c r="M8" s="210">
        <f t="shared" si="1"/>
        <v>19.620299956639812</v>
      </c>
      <c r="N8" s="263">
        <f t="shared" si="2"/>
        <v>19.010299956639816</v>
      </c>
      <c r="O8" s="232">
        <v>-0.65</v>
      </c>
      <c r="P8" s="175">
        <f t="shared" si="3"/>
        <v>18.360299956639818</v>
      </c>
      <c r="Q8" s="168"/>
      <c r="R8" s="268"/>
      <c r="S8" s="268"/>
    </row>
    <row r="9" spans="1:19" ht="24.9" customHeight="1" thickBot="1" x14ac:dyDescent="0.3">
      <c r="A9" s="168"/>
      <c r="B9" s="332"/>
      <c r="C9" s="330"/>
      <c r="D9" s="330"/>
      <c r="E9" s="123" t="s">
        <v>125</v>
      </c>
      <c r="F9" s="123" t="str">
        <f>'WLAN 2.4 GHz 802.11ax Ant1'!F9</f>
        <v>X</v>
      </c>
      <c r="G9" s="123">
        <f t="shared" si="0"/>
        <v>0</v>
      </c>
      <c r="H9" s="210">
        <v>15.5</v>
      </c>
      <c r="I9" s="210">
        <v>15.5</v>
      </c>
      <c r="J9" s="210">
        <v>18.739999999999998</v>
      </c>
      <c r="K9" s="210">
        <v>18.739999999999998</v>
      </c>
      <c r="L9" s="210">
        <v>19</v>
      </c>
      <c r="M9" s="210">
        <f t="shared" si="1"/>
        <v>21.750299956639815</v>
      </c>
      <c r="N9" s="263">
        <f t="shared" si="2"/>
        <v>22.010299956639816</v>
      </c>
      <c r="O9" s="232">
        <v>-0.65</v>
      </c>
      <c r="P9" s="175">
        <f t="shared" si="3"/>
        <v>21.360299956639818</v>
      </c>
      <c r="Q9" s="168"/>
      <c r="R9" s="268"/>
      <c r="S9" s="268"/>
    </row>
    <row r="10" spans="1:19" ht="24.9" customHeight="1" thickBot="1" x14ac:dyDescent="0.3">
      <c r="A10" s="168"/>
      <c r="B10" s="332"/>
      <c r="C10" s="330">
        <v>2442</v>
      </c>
      <c r="D10" s="330">
        <v>7</v>
      </c>
      <c r="E10" s="123" t="s">
        <v>118</v>
      </c>
      <c r="F10" s="123">
        <f>'WLAN 2.4 GHz 802.11ax Ant1'!F10</f>
        <v>0</v>
      </c>
      <c r="G10" s="123">
        <f t="shared" si="0"/>
        <v>0</v>
      </c>
      <c r="H10" s="210">
        <v>7</v>
      </c>
      <c r="I10" s="210">
        <v>7</v>
      </c>
      <c r="J10" s="210">
        <v>9.17</v>
      </c>
      <c r="K10" s="210">
        <v>9.17</v>
      </c>
      <c r="L10" s="210">
        <v>10</v>
      </c>
      <c r="M10" s="210">
        <f t="shared" si="1"/>
        <v>12.180299956639812</v>
      </c>
      <c r="N10" s="263">
        <f t="shared" si="2"/>
        <v>13.010299956639813</v>
      </c>
      <c r="O10" s="232">
        <v>-0.65</v>
      </c>
      <c r="P10" s="175">
        <f t="shared" si="3"/>
        <v>12.360299956639812</v>
      </c>
      <c r="Q10" s="168"/>
      <c r="R10" s="268"/>
      <c r="S10" s="268"/>
    </row>
    <row r="11" spans="1:19" ht="24.9" customHeight="1" thickBot="1" x14ac:dyDescent="0.3">
      <c r="A11" s="168"/>
      <c r="B11" s="332"/>
      <c r="C11" s="330"/>
      <c r="D11" s="330"/>
      <c r="E11" s="123" t="s">
        <v>121</v>
      </c>
      <c r="F11" s="123">
        <f>'WLAN 2.4 GHz 802.11ax Ant1'!F11</f>
        <v>0</v>
      </c>
      <c r="G11" s="123">
        <f t="shared" si="0"/>
        <v>0</v>
      </c>
      <c r="H11" s="210">
        <v>9</v>
      </c>
      <c r="I11" s="210">
        <v>9</v>
      </c>
      <c r="J11" s="210">
        <v>11.26</v>
      </c>
      <c r="K11" s="210">
        <v>11.26</v>
      </c>
      <c r="L11" s="210">
        <v>12</v>
      </c>
      <c r="M11" s="210">
        <f t="shared" si="1"/>
        <v>14.270299956639811</v>
      </c>
      <c r="N11" s="263">
        <f t="shared" si="2"/>
        <v>15.010299956639813</v>
      </c>
      <c r="O11" s="232">
        <v>-0.65</v>
      </c>
      <c r="P11" s="175">
        <f t="shared" si="3"/>
        <v>14.360299956639812</v>
      </c>
      <c r="Q11" s="168"/>
      <c r="R11" s="268"/>
      <c r="S11" s="268"/>
    </row>
    <row r="12" spans="1:19" ht="24.9" customHeight="1" thickBot="1" x14ac:dyDescent="0.3">
      <c r="A12" s="168"/>
      <c r="B12" s="332"/>
      <c r="C12" s="330"/>
      <c r="D12" s="330"/>
      <c r="E12" s="123" t="s">
        <v>123</v>
      </c>
      <c r="F12" s="123">
        <f>'WLAN 2.4 GHz 802.11ax Ant1'!F12</f>
        <v>0</v>
      </c>
      <c r="G12" s="123">
        <f t="shared" si="0"/>
        <v>0</v>
      </c>
      <c r="H12" s="210">
        <v>12</v>
      </c>
      <c r="I12" s="210">
        <v>12</v>
      </c>
      <c r="J12" s="210">
        <v>15.61</v>
      </c>
      <c r="K12" s="210">
        <v>15.61</v>
      </c>
      <c r="L12" s="210">
        <v>15</v>
      </c>
      <c r="M12" s="210">
        <f t="shared" si="1"/>
        <v>18.620299956639812</v>
      </c>
      <c r="N12" s="263">
        <f t="shared" si="2"/>
        <v>18.010299956639813</v>
      </c>
      <c r="O12" s="232">
        <v>-0.65</v>
      </c>
      <c r="P12" s="175">
        <f t="shared" si="3"/>
        <v>17.360299956639814</v>
      </c>
      <c r="Q12" s="168"/>
      <c r="R12" s="268"/>
      <c r="S12" s="268"/>
    </row>
    <row r="13" spans="1:19" ht="24.9" customHeight="1" thickBot="1" x14ac:dyDescent="0.3">
      <c r="A13" s="168"/>
      <c r="B13" s="332"/>
      <c r="C13" s="330"/>
      <c r="D13" s="330"/>
      <c r="E13" s="123" t="s">
        <v>124</v>
      </c>
      <c r="F13" s="123">
        <f>'WLAN 2.4 GHz 802.11ax Ant1'!F13</f>
        <v>0</v>
      </c>
      <c r="G13" s="123">
        <f t="shared" si="0"/>
        <v>0</v>
      </c>
      <c r="H13" s="210">
        <v>13</v>
      </c>
      <c r="I13" s="210">
        <v>13</v>
      </c>
      <c r="J13" s="210">
        <v>16.5</v>
      </c>
      <c r="K13" s="210">
        <v>16.5</v>
      </c>
      <c r="L13" s="210">
        <v>16</v>
      </c>
      <c r="M13" s="210">
        <f t="shared" si="1"/>
        <v>19.510299956639813</v>
      </c>
      <c r="N13" s="263">
        <f t="shared" si="2"/>
        <v>19.010299956639816</v>
      </c>
      <c r="O13" s="232">
        <v>-0.65</v>
      </c>
      <c r="P13" s="175">
        <f t="shared" si="3"/>
        <v>18.360299956639818</v>
      </c>
      <c r="Q13" s="168"/>
      <c r="R13" s="268"/>
      <c r="S13" s="268"/>
    </row>
    <row r="14" spans="1:19" ht="24.9" customHeight="1" thickBot="1" x14ac:dyDescent="0.3">
      <c r="A14" s="168"/>
      <c r="B14" s="332"/>
      <c r="C14" s="330"/>
      <c r="D14" s="330"/>
      <c r="E14" s="123" t="s">
        <v>125</v>
      </c>
      <c r="F14" s="123" t="str">
        <f>'WLAN 2.4 GHz 802.11ax Ant1'!F14</f>
        <v>X</v>
      </c>
      <c r="G14" s="123">
        <f t="shared" si="0"/>
        <v>0</v>
      </c>
      <c r="H14" s="210">
        <v>15.5</v>
      </c>
      <c r="I14" s="210">
        <v>15.5</v>
      </c>
      <c r="J14" s="210">
        <v>18.25</v>
      </c>
      <c r="K14" s="210">
        <v>18.25</v>
      </c>
      <c r="L14" s="210">
        <v>19</v>
      </c>
      <c r="M14" s="210">
        <f t="shared" si="1"/>
        <v>21.260299956639813</v>
      </c>
      <c r="N14" s="263">
        <f t="shared" si="2"/>
        <v>22.010299956639816</v>
      </c>
      <c r="O14" s="232">
        <v>-0.65</v>
      </c>
      <c r="P14" s="175">
        <f t="shared" si="3"/>
        <v>21.360299956639818</v>
      </c>
      <c r="Q14" s="168"/>
      <c r="R14" s="268"/>
      <c r="S14" s="268"/>
    </row>
    <row r="15" spans="1:19" ht="24.9" customHeight="1" thickBot="1" x14ac:dyDescent="0.3">
      <c r="A15" s="168"/>
      <c r="B15" s="332"/>
      <c r="C15" s="330">
        <v>2472</v>
      </c>
      <c r="D15" s="330">
        <v>13</v>
      </c>
      <c r="E15" s="123" t="s">
        <v>118</v>
      </c>
      <c r="F15" s="123">
        <f>'WLAN 2.4 GHz 802.11ax Ant1'!F15</f>
        <v>0</v>
      </c>
      <c r="G15" s="123">
        <f t="shared" si="0"/>
        <v>0</v>
      </c>
      <c r="H15" s="210">
        <v>7</v>
      </c>
      <c r="I15" s="210">
        <v>7</v>
      </c>
      <c r="J15" s="210">
        <v>10.27</v>
      </c>
      <c r="K15" s="210">
        <v>10.27</v>
      </c>
      <c r="L15" s="210">
        <v>10</v>
      </c>
      <c r="M15" s="210">
        <f t="shared" si="1"/>
        <v>13.280299956639812</v>
      </c>
      <c r="N15" s="263">
        <f t="shared" si="2"/>
        <v>13.010299956639813</v>
      </c>
      <c r="O15" s="232">
        <v>-0.65</v>
      </c>
      <c r="P15" s="175">
        <f t="shared" si="3"/>
        <v>12.360299956639812</v>
      </c>
      <c r="Q15" s="168"/>
      <c r="R15" s="268"/>
      <c r="S15" s="268"/>
    </row>
    <row r="16" spans="1:19" ht="24.9" customHeight="1" thickBot="1" x14ac:dyDescent="0.3">
      <c r="A16" s="168"/>
      <c r="B16" s="332"/>
      <c r="C16" s="330"/>
      <c r="D16" s="330"/>
      <c r="E16" s="123" t="s">
        <v>121</v>
      </c>
      <c r="F16" s="123">
        <f>'WLAN 2.4 GHz 802.11ax Ant1'!F16</f>
        <v>0</v>
      </c>
      <c r="G16" s="123">
        <f t="shared" si="0"/>
        <v>0</v>
      </c>
      <c r="H16" s="210">
        <v>9</v>
      </c>
      <c r="I16" s="210">
        <v>9</v>
      </c>
      <c r="J16" s="210">
        <v>11.84</v>
      </c>
      <c r="K16" s="210">
        <v>11.84</v>
      </c>
      <c r="L16" s="210">
        <v>12</v>
      </c>
      <c r="M16" s="210">
        <f t="shared" si="1"/>
        <v>14.850299956639812</v>
      </c>
      <c r="N16" s="263">
        <f t="shared" si="2"/>
        <v>15.010299956639813</v>
      </c>
      <c r="O16" s="232">
        <v>-0.65</v>
      </c>
      <c r="P16" s="175">
        <f t="shared" si="3"/>
        <v>14.360299956639812</v>
      </c>
      <c r="Q16" s="168"/>
      <c r="R16" s="268"/>
      <c r="S16" s="268"/>
    </row>
    <row r="17" spans="1:19" ht="24.9" customHeight="1" thickBot="1" x14ac:dyDescent="0.3">
      <c r="A17" s="168"/>
      <c r="B17" s="332"/>
      <c r="C17" s="330"/>
      <c r="D17" s="330"/>
      <c r="E17" s="123" t="s">
        <v>123</v>
      </c>
      <c r="F17" s="123">
        <f>'WLAN 2.4 GHz 802.11ax Ant1'!F17</f>
        <v>0</v>
      </c>
      <c r="G17" s="123">
        <f t="shared" si="0"/>
        <v>0</v>
      </c>
      <c r="H17" s="210">
        <v>12</v>
      </c>
      <c r="I17" s="210">
        <v>12</v>
      </c>
      <c r="J17" s="210">
        <v>14.89</v>
      </c>
      <c r="K17" s="210">
        <v>14.89</v>
      </c>
      <c r="L17" s="210">
        <v>15</v>
      </c>
      <c r="M17" s="210">
        <f t="shared" si="1"/>
        <v>17.900299956639813</v>
      </c>
      <c r="N17" s="263">
        <f t="shared" si="2"/>
        <v>18.010299956639813</v>
      </c>
      <c r="O17" s="232">
        <v>-0.65</v>
      </c>
      <c r="P17" s="175">
        <f t="shared" si="3"/>
        <v>17.360299956639814</v>
      </c>
      <c r="Q17" s="168"/>
      <c r="R17" s="268"/>
      <c r="S17" s="268"/>
    </row>
    <row r="18" spans="1:19" ht="24.9" customHeight="1" thickBot="1" x14ac:dyDescent="0.3">
      <c r="A18" s="168"/>
      <c r="B18" s="332"/>
      <c r="C18" s="330"/>
      <c r="D18" s="330"/>
      <c r="E18" s="123" t="s">
        <v>132</v>
      </c>
      <c r="F18" s="123">
        <f>'WLAN 2.4 GHz 802.11ax Ant1'!F18</f>
        <v>0</v>
      </c>
      <c r="G18" s="123">
        <f t="shared" si="0"/>
        <v>0</v>
      </c>
      <c r="H18" s="210">
        <v>13</v>
      </c>
      <c r="I18" s="210">
        <v>13</v>
      </c>
      <c r="J18" s="210">
        <v>16.420000000000002</v>
      </c>
      <c r="K18" s="210">
        <v>16.420000000000002</v>
      </c>
      <c r="L18" s="210">
        <v>16</v>
      </c>
      <c r="M18" s="210">
        <f t="shared" si="1"/>
        <v>19.430299956639814</v>
      </c>
      <c r="N18" s="263">
        <f t="shared" si="2"/>
        <v>19.010299956639816</v>
      </c>
      <c r="O18" s="232">
        <v>-0.65</v>
      </c>
      <c r="P18" s="175">
        <f t="shared" si="3"/>
        <v>18.360299956639818</v>
      </c>
      <c r="Q18" s="168"/>
      <c r="R18" s="268"/>
      <c r="S18" s="268"/>
    </row>
    <row r="19" spans="1:19" ht="24.9" customHeight="1" thickBot="1" x14ac:dyDescent="0.3">
      <c r="A19" s="168"/>
      <c r="B19" s="333"/>
      <c r="C19" s="331"/>
      <c r="D19" s="331"/>
      <c r="E19" s="125" t="s">
        <v>134</v>
      </c>
      <c r="F19" s="125" t="str">
        <f>'WLAN 2.4 GHz 802.11ax Ant1'!F19</f>
        <v>X</v>
      </c>
      <c r="G19" s="125">
        <f t="shared" si="0"/>
        <v>0</v>
      </c>
      <c r="H19" s="210">
        <v>15.5</v>
      </c>
      <c r="I19" s="210">
        <v>15.5</v>
      </c>
      <c r="J19" s="210">
        <v>18.399999999999999</v>
      </c>
      <c r="K19" s="210">
        <v>18.399999999999999</v>
      </c>
      <c r="L19" s="210">
        <v>19</v>
      </c>
      <c r="M19" s="210">
        <f t="shared" si="1"/>
        <v>21.410299956639811</v>
      </c>
      <c r="N19" s="263">
        <f t="shared" si="2"/>
        <v>22.010299956639816</v>
      </c>
      <c r="O19" s="232">
        <v>-0.65</v>
      </c>
      <c r="P19" s="176">
        <f t="shared" si="3"/>
        <v>21.360299956639818</v>
      </c>
      <c r="Q19" s="168"/>
      <c r="R19" s="268"/>
      <c r="S19" s="268"/>
    </row>
    <row r="20" spans="1:19" ht="28.2" thickBot="1" x14ac:dyDescent="0.3">
      <c r="A20" s="174" t="s">
        <v>110</v>
      </c>
      <c r="B20" s="339" t="s">
        <v>119</v>
      </c>
      <c r="C20" s="340">
        <v>2422</v>
      </c>
      <c r="D20" s="340">
        <v>3</v>
      </c>
      <c r="E20" s="183" t="s">
        <v>118</v>
      </c>
      <c r="F20" s="183">
        <f>'WLAN 2.4 GHz 802.11ax Ant1'!F20</f>
        <v>0</v>
      </c>
      <c r="G20" s="183">
        <f t="shared" ref="G20:G37" si="4">$A$21</f>
        <v>0</v>
      </c>
      <c r="H20" s="210">
        <v>7</v>
      </c>
      <c r="I20" s="210">
        <v>7</v>
      </c>
      <c r="J20" s="269">
        <v>10.56400490786528</v>
      </c>
      <c r="K20" s="269">
        <v>11.060766737091695</v>
      </c>
      <c r="L20" s="210">
        <v>10</v>
      </c>
      <c r="M20" s="210">
        <f>10*LOG10((10^(J20/10))+(10^(K20/10)))</f>
        <v>13.829784588635199</v>
      </c>
      <c r="N20" s="263">
        <f>10*LOG10((10^(L20/10))*2)</f>
        <v>13.010299956639813</v>
      </c>
      <c r="O20" s="232">
        <v>-0.65</v>
      </c>
      <c r="P20" s="184">
        <f>O20+N20</f>
        <v>12.360299956639812</v>
      </c>
      <c r="Q20" s="168"/>
    </row>
    <row r="21" spans="1:19" ht="24.9" customHeight="1" thickBot="1" x14ac:dyDescent="0.3">
      <c r="A21" s="227"/>
      <c r="B21" s="332"/>
      <c r="C21" s="330"/>
      <c r="D21" s="330"/>
      <c r="E21" s="123" t="s">
        <v>121</v>
      </c>
      <c r="F21" s="123">
        <f>'WLAN 2.4 GHz 802.11ax Ant1'!F21</f>
        <v>0</v>
      </c>
      <c r="G21" s="123">
        <f t="shared" si="4"/>
        <v>0</v>
      </c>
      <c r="H21" s="210">
        <v>9</v>
      </c>
      <c r="I21" s="210">
        <v>9</v>
      </c>
      <c r="J21" s="269">
        <v>12.01201338676735</v>
      </c>
      <c r="K21" s="269">
        <v>11.816070115627911</v>
      </c>
      <c r="L21" s="210">
        <v>12</v>
      </c>
      <c r="M21" s="210">
        <f t="shared" ref="M21:M34" si="5">10*LOG10((10^(J21/10))+(10^(K21/10)))</f>
        <v>14.925446675524054</v>
      </c>
      <c r="N21" s="263">
        <f t="shared" ref="N21:N37" si="6">10*LOG10((10^(L21/10))*2)</f>
        <v>15.010299956639813</v>
      </c>
      <c r="O21" s="232">
        <v>-0.65</v>
      </c>
      <c r="P21" s="175">
        <f t="shared" ref="P21:P37" si="7">O21+N21</f>
        <v>14.360299956639812</v>
      </c>
      <c r="Q21" s="168"/>
    </row>
    <row r="22" spans="1:19" ht="24.9" customHeight="1" thickBot="1" x14ac:dyDescent="0.3">
      <c r="A22" s="168"/>
      <c r="B22" s="332"/>
      <c r="C22" s="330"/>
      <c r="D22" s="330"/>
      <c r="E22" s="123" t="s">
        <v>123</v>
      </c>
      <c r="F22" s="123">
        <f>'WLAN 2.4 GHz 802.11ax Ant1'!F22</f>
        <v>0</v>
      </c>
      <c r="G22" s="123">
        <f t="shared" si="4"/>
        <v>0</v>
      </c>
      <c r="H22" s="210">
        <v>12</v>
      </c>
      <c r="I22" s="210">
        <v>12</v>
      </c>
      <c r="J22" s="269">
        <v>15.941299909301122</v>
      </c>
      <c r="K22" s="269">
        <v>16.369842012611354</v>
      </c>
      <c r="L22" s="210">
        <v>15</v>
      </c>
      <c r="M22" s="210">
        <f t="shared" si="5"/>
        <v>19.171154598479468</v>
      </c>
      <c r="N22" s="263">
        <f t="shared" si="6"/>
        <v>18.010299956639813</v>
      </c>
      <c r="O22" s="232">
        <v>-0.65</v>
      </c>
      <c r="P22" s="175">
        <f t="shared" si="7"/>
        <v>17.360299956639814</v>
      </c>
      <c r="Q22" s="168"/>
    </row>
    <row r="23" spans="1:19" ht="24.9" customHeight="1" thickBot="1" x14ac:dyDescent="0.3">
      <c r="A23" s="168"/>
      <c r="B23" s="332"/>
      <c r="C23" s="330"/>
      <c r="D23" s="330"/>
      <c r="E23" s="123" t="s">
        <v>124</v>
      </c>
      <c r="F23" s="123">
        <f>'WLAN 2.4 GHz 802.11ax Ant1'!F23</f>
        <v>0</v>
      </c>
      <c r="G23" s="123">
        <f t="shared" si="4"/>
        <v>0</v>
      </c>
      <c r="H23" s="210">
        <v>13</v>
      </c>
      <c r="I23" s="210">
        <v>13</v>
      </c>
      <c r="J23" s="269">
        <v>17.022989626662039</v>
      </c>
      <c r="K23" s="269">
        <v>17.037781773086273</v>
      </c>
      <c r="L23" s="210">
        <v>16</v>
      </c>
      <c r="M23" s="210">
        <f t="shared" si="5"/>
        <v>20.040691954299781</v>
      </c>
      <c r="N23" s="263">
        <f t="shared" si="6"/>
        <v>19.010299956639816</v>
      </c>
      <c r="O23" s="232">
        <v>-0.65</v>
      </c>
      <c r="P23" s="175">
        <f t="shared" si="7"/>
        <v>18.360299956639818</v>
      </c>
      <c r="Q23" s="168"/>
    </row>
    <row r="24" spans="1:19" ht="24.9" customHeight="1" thickBot="1" x14ac:dyDescent="0.3">
      <c r="A24" s="168"/>
      <c r="B24" s="332"/>
      <c r="C24" s="330"/>
      <c r="D24" s="330"/>
      <c r="E24" s="123" t="s">
        <v>128</v>
      </c>
      <c r="F24" s="123">
        <f>'WLAN 2.4 GHz 802.11ax Ant1'!F24</f>
        <v>0</v>
      </c>
      <c r="G24" s="123">
        <f t="shared" si="4"/>
        <v>0</v>
      </c>
      <c r="H24" s="210">
        <v>15.5</v>
      </c>
      <c r="I24" s="210">
        <v>15.5</v>
      </c>
      <c r="J24" s="269">
        <v>19.637942393336534</v>
      </c>
      <c r="K24" s="269">
        <v>19.43578106476053</v>
      </c>
      <c r="L24" s="210">
        <v>19</v>
      </c>
      <c r="M24" s="210">
        <f t="shared" si="5"/>
        <v>22.54833788971365</v>
      </c>
      <c r="N24" s="263">
        <f t="shared" si="6"/>
        <v>22.010299956639816</v>
      </c>
      <c r="O24" s="232">
        <v>-0.65</v>
      </c>
      <c r="P24" s="175">
        <f t="shared" si="7"/>
        <v>21.360299956639818</v>
      </c>
      <c r="Q24" s="168"/>
    </row>
    <row r="25" spans="1:19" ht="24.9" customHeight="1" thickBot="1" x14ac:dyDescent="0.3">
      <c r="A25" s="168"/>
      <c r="B25" s="332"/>
      <c r="C25" s="330"/>
      <c r="D25" s="330"/>
      <c r="E25" s="123" t="s">
        <v>125</v>
      </c>
      <c r="F25" s="123" t="str">
        <f>'WLAN 2.4 GHz 802.11ax Ant1'!F25</f>
        <v>X</v>
      </c>
      <c r="G25" s="123">
        <f t="shared" si="4"/>
        <v>0</v>
      </c>
      <c r="H25" s="210">
        <v>7</v>
      </c>
      <c r="I25" s="210">
        <v>7</v>
      </c>
      <c r="J25" s="269">
        <v>10.024232258362654</v>
      </c>
      <c r="K25" s="269">
        <v>9.5088017371480795</v>
      </c>
      <c r="L25" s="210">
        <v>10</v>
      </c>
      <c r="M25" s="210">
        <f t="shared" si="5"/>
        <v>12.784459028492886</v>
      </c>
      <c r="N25" s="263">
        <f t="shared" si="6"/>
        <v>13.010299956639813</v>
      </c>
      <c r="O25" s="232">
        <v>-0.65</v>
      </c>
      <c r="P25" s="175">
        <f t="shared" si="7"/>
        <v>12.360299956639812</v>
      </c>
      <c r="Q25" s="168"/>
    </row>
    <row r="26" spans="1:19" ht="24.9" customHeight="1" thickBot="1" x14ac:dyDescent="0.3">
      <c r="A26" s="168"/>
      <c r="B26" s="332"/>
      <c r="C26" s="330">
        <v>2442</v>
      </c>
      <c r="D26" s="330">
        <v>7</v>
      </c>
      <c r="E26" s="123" t="s">
        <v>118</v>
      </c>
      <c r="F26" s="123">
        <f>'WLAN 2.4 GHz 802.11ax Ant1'!F26</f>
        <v>0</v>
      </c>
      <c r="G26" s="123">
        <f t="shared" si="4"/>
        <v>0</v>
      </c>
      <c r="H26" s="210">
        <v>9</v>
      </c>
      <c r="I26" s="210">
        <v>9</v>
      </c>
      <c r="J26" s="269">
        <v>11.800547813389784</v>
      </c>
      <c r="K26" s="269">
        <v>11.329854268361604</v>
      </c>
      <c r="L26" s="210">
        <v>12</v>
      </c>
      <c r="M26" s="210">
        <f t="shared" si="5"/>
        <v>14.581874669974365</v>
      </c>
      <c r="N26" s="263">
        <f t="shared" si="6"/>
        <v>15.010299956639813</v>
      </c>
      <c r="O26" s="232">
        <v>-0.65</v>
      </c>
      <c r="P26" s="175">
        <f t="shared" si="7"/>
        <v>14.360299956639812</v>
      </c>
      <c r="Q26" s="168"/>
    </row>
    <row r="27" spans="1:19" ht="24.9" customHeight="1" thickBot="1" x14ac:dyDescent="0.3">
      <c r="A27" s="168"/>
      <c r="B27" s="332"/>
      <c r="C27" s="330"/>
      <c r="D27" s="330"/>
      <c r="E27" s="123" t="s">
        <v>121</v>
      </c>
      <c r="F27" s="123">
        <f>'WLAN 2.4 GHz 802.11ax Ant1'!F27</f>
        <v>0</v>
      </c>
      <c r="G27" s="123">
        <f t="shared" si="4"/>
        <v>0</v>
      </c>
      <c r="H27" s="210">
        <v>12</v>
      </c>
      <c r="I27" s="210">
        <v>12</v>
      </c>
      <c r="J27" s="269">
        <v>15.889697852289917</v>
      </c>
      <c r="K27" s="269">
        <v>16.023460901556852</v>
      </c>
      <c r="L27" s="210">
        <v>15</v>
      </c>
      <c r="M27" s="210">
        <f t="shared" si="5"/>
        <v>18.967394302291297</v>
      </c>
      <c r="N27" s="263">
        <f t="shared" si="6"/>
        <v>18.010299956639813</v>
      </c>
      <c r="O27" s="232">
        <v>-0.65</v>
      </c>
      <c r="P27" s="175">
        <f t="shared" si="7"/>
        <v>17.360299956639814</v>
      </c>
      <c r="Q27" s="168"/>
    </row>
    <row r="28" spans="1:19" ht="24.9" customHeight="1" thickBot="1" x14ac:dyDescent="0.3">
      <c r="A28" s="168"/>
      <c r="B28" s="332"/>
      <c r="C28" s="330"/>
      <c r="D28" s="330"/>
      <c r="E28" s="123" t="s">
        <v>123</v>
      </c>
      <c r="F28" s="123">
        <f>'WLAN 2.4 GHz 802.11ax Ant1'!F28</f>
        <v>0</v>
      </c>
      <c r="G28" s="123">
        <f t="shared" si="4"/>
        <v>0</v>
      </c>
      <c r="H28" s="210">
        <v>13</v>
      </c>
      <c r="I28" s="210">
        <v>13</v>
      </c>
      <c r="J28" s="269">
        <v>17.043829969425278</v>
      </c>
      <c r="K28" s="269">
        <v>17.225026592677963</v>
      </c>
      <c r="L28" s="210">
        <v>16</v>
      </c>
      <c r="M28" s="210">
        <f t="shared" si="5"/>
        <v>20.145673156306202</v>
      </c>
      <c r="N28" s="263">
        <f t="shared" si="6"/>
        <v>19.010299956639816</v>
      </c>
      <c r="O28" s="232">
        <v>-0.65</v>
      </c>
      <c r="P28" s="175">
        <f t="shared" si="7"/>
        <v>18.360299956639818</v>
      </c>
      <c r="Q28" s="168"/>
    </row>
    <row r="29" spans="1:19" ht="24.9" customHeight="1" thickBot="1" x14ac:dyDescent="0.3">
      <c r="A29" s="168"/>
      <c r="B29" s="332"/>
      <c r="C29" s="330"/>
      <c r="D29" s="330"/>
      <c r="E29" s="123" t="s">
        <v>124</v>
      </c>
      <c r="F29" s="123">
        <f>'WLAN 2.4 GHz 802.11ax Ant1'!F29</f>
        <v>0</v>
      </c>
      <c r="G29" s="123">
        <f t="shared" si="4"/>
        <v>0</v>
      </c>
      <c r="H29" s="210">
        <v>15.5</v>
      </c>
      <c r="I29" s="210">
        <v>15.5</v>
      </c>
      <c r="J29" s="269">
        <v>18.980412917490476</v>
      </c>
      <c r="K29" s="269">
        <v>18.837138678196958</v>
      </c>
      <c r="L29" s="210">
        <v>19</v>
      </c>
      <c r="M29" s="210">
        <f t="shared" si="5"/>
        <v>21.919666556856413</v>
      </c>
      <c r="N29" s="263">
        <f t="shared" si="6"/>
        <v>22.010299956639816</v>
      </c>
      <c r="O29" s="232">
        <v>-0.65</v>
      </c>
      <c r="P29" s="175">
        <f t="shared" si="7"/>
        <v>21.360299956639818</v>
      </c>
      <c r="Q29" s="168"/>
    </row>
    <row r="30" spans="1:19" ht="24.9" customHeight="1" thickBot="1" x14ac:dyDescent="0.3">
      <c r="A30" s="168"/>
      <c r="B30" s="332"/>
      <c r="C30" s="330"/>
      <c r="D30" s="330"/>
      <c r="E30" s="123" t="s">
        <v>128</v>
      </c>
      <c r="F30" s="123">
        <f>'WLAN 2.4 GHz 802.11ax Ant1'!F30</f>
        <v>0</v>
      </c>
      <c r="G30" s="123">
        <f t="shared" si="4"/>
        <v>0</v>
      </c>
      <c r="H30" s="210">
        <v>7</v>
      </c>
      <c r="I30" s="210">
        <v>7</v>
      </c>
      <c r="J30" s="269">
        <v>11.13045691242414</v>
      </c>
      <c r="K30" s="269">
        <v>10.309226075377872</v>
      </c>
      <c r="L30" s="210">
        <v>10</v>
      </c>
      <c r="M30" s="210">
        <f t="shared" si="5"/>
        <v>13.749523969231205</v>
      </c>
      <c r="N30" s="263">
        <f t="shared" si="6"/>
        <v>13.010299956639813</v>
      </c>
      <c r="O30" s="232">
        <v>-0.65</v>
      </c>
      <c r="P30" s="175">
        <f t="shared" si="7"/>
        <v>12.360299956639812</v>
      </c>
      <c r="Q30" s="168"/>
    </row>
    <row r="31" spans="1:19" ht="24.9" customHeight="1" thickBot="1" x14ac:dyDescent="0.3">
      <c r="A31" s="168"/>
      <c r="B31" s="332"/>
      <c r="C31" s="330"/>
      <c r="D31" s="330"/>
      <c r="E31" s="123" t="s">
        <v>125</v>
      </c>
      <c r="F31" s="123" t="str">
        <f>'WLAN 2.4 GHz 802.11ax Ant1'!F31</f>
        <v>X</v>
      </c>
      <c r="G31" s="123">
        <f t="shared" si="4"/>
        <v>0</v>
      </c>
      <c r="H31" s="210">
        <v>9</v>
      </c>
      <c r="I31" s="210">
        <v>9</v>
      </c>
      <c r="J31" s="269">
        <v>12.36037369841547</v>
      </c>
      <c r="K31" s="269">
        <v>12.406399836543985</v>
      </c>
      <c r="L31" s="210">
        <v>12</v>
      </c>
      <c r="M31" s="210">
        <f t="shared" si="5"/>
        <v>15.393747696442633</v>
      </c>
      <c r="N31" s="263">
        <f t="shared" si="6"/>
        <v>15.010299956639813</v>
      </c>
      <c r="O31" s="232">
        <v>-0.65</v>
      </c>
      <c r="P31" s="175">
        <f t="shared" si="7"/>
        <v>14.360299956639812</v>
      </c>
      <c r="Q31" s="168"/>
    </row>
    <row r="32" spans="1:19" ht="24.9" customHeight="1" thickBot="1" x14ac:dyDescent="0.3">
      <c r="A32" s="168"/>
      <c r="B32" s="332"/>
      <c r="C32" s="330">
        <v>2462</v>
      </c>
      <c r="D32" s="330">
        <v>11</v>
      </c>
      <c r="E32" s="123" t="s">
        <v>131</v>
      </c>
      <c r="F32" s="123">
        <f>'WLAN 2.4 GHz 802.11ax Ant1'!F32</f>
        <v>0</v>
      </c>
      <c r="G32" s="123">
        <f t="shared" si="4"/>
        <v>0</v>
      </c>
      <c r="H32" s="210">
        <v>12</v>
      </c>
      <c r="I32" s="210">
        <v>12</v>
      </c>
      <c r="J32" s="269">
        <v>15.791552683564555</v>
      </c>
      <c r="K32" s="269">
        <v>15.506170935076417</v>
      </c>
      <c r="L32" s="210">
        <v>15</v>
      </c>
      <c r="M32" s="210">
        <f t="shared" si="5"/>
        <v>18.661505454892438</v>
      </c>
      <c r="N32" s="263">
        <f t="shared" si="6"/>
        <v>18.010299956639813</v>
      </c>
      <c r="O32" s="232">
        <v>-0.65</v>
      </c>
      <c r="P32" s="175">
        <f t="shared" si="7"/>
        <v>17.360299956639814</v>
      </c>
      <c r="Q32" s="168"/>
    </row>
    <row r="33" spans="1:17" ht="24.9" customHeight="1" thickBot="1" x14ac:dyDescent="0.3">
      <c r="A33" s="168"/>
      <c r="B33" s="332"/>
      <c r="C33" s="330"/>
      <c r="D33" s="330"/>
      <c r="E33" s="123" t="s">
        <v>133</v>
      </c>
      <c r="F33" s="123">
        <f>'WLAN 2.4 GHz 802.11ax Ant1'!F33</f>
        <v>0</v>
      </c>
      <c r="G33" s="123">
        <f t="shared" si="4"/>
        <v>0</v>
      </c>
      <c r="H33" s="210">
        <v>13</v>
      </c>
      <c r="I33" s="210">
        <v>13</v>
      </c>
      <c r="J33" s="269">
        <v>17.200377825480825</v>
      </c>
      <c r="K33" s="269">
        <v>16.929065174604879</v>
      </c>
      <c r="L33" s="210">
        <v>16</v>
      </c>
      <c r="M33" s="210">
        <f t="shared" si="5"/>
        <v>20.077139794312309</v>
      </c>
      <c r="N33" s="263">
        <f t="shared" si="6"/>
        <v>19.010299956639816</v>
      </c>
      <c r="O33" s="232">
        <v>-0.65</v>
      </c>
      <c r="P33" s="175">
        <f t="shared" si="7"/>
        <v>18.360299956639818</v>
      </c>
      <c r="Q33" s="168"/>
    </row>
    <row r="34" spans="1:17" ht="24.9" customHeight="1" thickBot="1" x14ac:dyDescent="0.3">
      <c r="A34" s="168"/>
      <c r="B34" s="332"/>
      <c r="C34" s="330"/>
      <c r="D34" s="330"/>
      <c r="E34" s="123" t="s">
        <v>135</v>
      </c>
      <c r="F34" s="123">
        <f>'WLAN 2.4 GHz 802.11ax Ant1'!F34</f>
        <v>0</v>
      </c>
      <c r="G34" s="123">
        <f t="shared" si="4"/>
        <v>0</v>
      </c>
      <c r="H34" s="210">
        <v>15.5</v>
      </c>
      <c r="I34" s="210">
        <v>15.5</v>
      </c>
      <c r="J34" s="269">
        <v>18.545911505020051</v>
      </c>
      <c r="K34" s="269">
        <v>18.632397960519388</v>
      </c>
      <c r="L34" s="210">
        <v>19</v>
      </c>
      <c r="M34" s="210">
        <f t="shared" si="5"/>
        <v>21.599669974881188</v>
      </c>
      <c r="N34" s="263">
        <f t="shared" si="6"/>
        <v>22.010299956639816</v>
      </c>
      <c r="O34" s="232">
        <v>-0.65</v>
      </c>
      <c r="P34" s="175">
        <f t="shared" si="7"/>
        <v>21.360299956639818</v>
      </c>
      <c r="Q34" s="168"/>
    </row>
    <row r="35" spans="1:17" ht="24.9" customHeight="1" thickBot="1" x14ac:dyDescent="0.3">
      <c r="A35" s="168"/>
      <c r="B35" s="332"/>
      <c r="C35" s="330"/>
      <c r="D35" s="330"/>
      <c r="E35" s="123" t="s">
        <v>132</v>
      </c>
      <c r="F35" s="123">
        <f>'WLAN 2.4 GHz 802.11ax Ant1'!F35</f>
        <v>0</v>
      </c>
      <c r="G35" s="123">
        <f t="shared" si="4"/>
        <v>0</v>
      </c>
      <c r="H35" s="210">
        <v>15.5</v>
      </c>
      <c r="I35" s="210">
        <v>15.5</v>
      </c>
      <c r="J35" s="269">
        <v>18.545911505020051</v>
      </c>
      <c r="K35" s="269">
        <v>18.632397960519388</v>
      </c>
      <c r="L35" s="210">
        <v>20</v>
      </c>
      <c r="M35" s="210">
        <f t="shared" ref="M35:M37" si="8">10*LOG10((10^(J35/10))+(10^(K35/10)))</f>
        <v>21.599669974881188</v>
      </c>
      <c r="N35" s="263">
        <f t="shared" si="6"/>
        <v>23.010299956639813</v>
      </c>
      <c r="O35" s="232">
        <v>-0.65</v>
      </c>
      <c r="P35" s="175">
        <f t="shared" si="7"/>
        <v>22.360299956639814</v>
      </c>
      <c r="Q35" s="168"/>
    </row>
    <row r="36" spans="1:17" ht="24.9" customHeight="1" thickBot="1" x14ac:dyDescent="0.3">
      <c r="A36" s="168"/>
      <c r="B36" s="332"/>
      <c r="C36" s="330"/>
      <c r="D36" s="330"/>
      <c r="E36" s="123" t="s">
        <v>136</v>
      </c>
      <c r="F36" s="123">
        <f>'WLAN 2.4 GHz 802.11ax Ant1'!F36</f>
        <v>0</v>
      </c>
      <c r="G36" s="123">
        <f t="shared" si="4"/>
        <v>0</v>
      </c>
      <c r="H36" s="210">
        <v>15.5</v>
      </c>
      <c r="I36" s="210">
        <v>15.5</v>
      </c>
      <c r="J36" s="269">
        <v>18.545911505020051</v>
      </c>
      <c r="K36" s="269">
        <v>18.632397960519388</v>
      </c>
      <c r="L36" s="210">
        <v>21</v>
      </c>
      <c r="M36" s="210">
        <f t="shared" si="8"/>
        <v>21.599669974881188</v>
      </c>
      <c r="N36" s="263">
        <f t="shared" si="6"/>
        <v>24.010299956639813</v>
      </c>
      <c r="O36" s="232">
        <v>-0.65</v>
      </c>
      <c r="P36" s="175">
        <f t="shared" si="7"/>
        <v>23.360299956639814</v>
      </c>
      <c r="Q36" s="168"/>
    </row>
    <row r="37" spans="1:17" ht="24.9" customHeight="1" thickBot="1" x14ac:dyDescent="0.3">
      <c r="A37" s="168"/>
      <c r="B37" s="333"/>
      <c r="C37" s="331"/>
      <c r="D37" s="331"/>
      <c r="E37" s="125" t="s">
        <v>134</v>
      </c>
      <c r="F37" s="125" t="str">
        <f>'WLAN 2.4 GHz 802.11ax Ant1'!F37</f>
        <v>X</v>
      </c>
      <c r="G37" s="125">
        <f t="shared" si="4"/>
        <v>0</v>
      </c>
      <c r="H37" s="210">
        <v>15.5</v>
      </c>
      <c r="I37" s="210">
        <v>15.5</v>
      </c>
      <c r="J37" s="269">
        <v>18.545911505020051</v>
      </c>
      <c r="K37" s="269">
        <v>18.632397960519388</v>
      </c>
      <c r="L37" s="210">
        <v>22</v>
      </c>
      <c r="M37" s="210">
        <f t="shared" si="8"/>
        <v>21.599669974881188</v>
      </c>
      <c r="N37" s="263">
        <f t="shared" si="6"/>
        <v>25.01029995663982</v>
      </c>
      <c r="O37" s="232">
        <v>-0.65</v>
      </c>
      <c r="P37" s="176">
        <f t="shared" si="7"/>
        <v>24.360299956639821</v>
      </c>
      <c r="Q37" s="168"/>
    </row>
    <row r="38" spans="1:17" ht="9.9" customHeight="1" x14ac:dyDescent="0.25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</row>
    <row r="39" spans="1:17" x14ac:dyDescent="0.25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</row>
  </sheetData>
  <mergeCells count="16">
    <mergeCell ref="B2:P2"/>
    <mergeCell ref="B5:B19"/>
    <mergeCell ref="C5:C9"/>
    <mergeCell ref="D5:D9"/>
    <mergeCell ref="B20:B37"/>
    <mergeCell ref="C20:C25"/>
    <mergeCell ref="D20:D25"/>
    <mergeCell ref="C10:C14"/>
    <mergeCell ref="D10:D14"/>
    <mergeCell ref="C26:C31"/>
    <mergeCell ref="B3:P3"/>
    <mergeCell ref="D26:D31"/>
    <mergeCell ref="C15:C19"/>
    <mergeCell ref="D15:D19"/>
    <mergeCell ref="C32:C37"/>
    <mergeCell ref="D32:D37"/>
  </mergeCells>
  <phoneticPr fontId="6" type="noConversion"/>
  <pageMargins left="0.15748031496062992" right="0.15748031496062992" top="0" bottom="0" header="0.31496062992125984" footer="0.31496062992125984"/>
  <pageSetup paperSize="9" scale="2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62"/>
  <sheetViews>
    <sheetView view="pageBreakPreview" topLeftCell="S1" zoomScale="70" zoomScaleNormal="115" zoomScaleSheetLayoutView="70" workbookViewId="0">
      <pane ySplit="4" topLeftCell="A5" activePane="bottomLeft" state="frozen"/>
      <selection pane="bottomLeft" activeCell="J5" sqref="J5:J59"/>
    </sheetView>
  </sheetViews>
  <sheetFormatPr defaultColWidth="8.796875" defaultRowHeight="13.8" x14ac:dyDescent="0.25"/>
  <cols>
    <col min="1" max="1" width="8.796875" style="115"/>
    <col min="2" max="8" width="8.796875" style="115" customWidth="1"/>
    <col min="9" max="9" width="10.09765625" style="116" bestFit="1" customWidth="1"/>
    <col min="10" max="10" width="10.3984375" style="116" bestFit="1" customWidth="1"/>
    <col min="11" max="12" width="8.796875" style="116" customWidth="1"/>
    <col min="13" max="14" width="8.796875" style="115" customWidth="1"/>
    <col min="15" max="21" width="8.796875" style="115"/>
    <col min="22" max="22" width="10.09765625" style="116" bestFit="1" customWidth="1"/>
    <col min="23" max="23" width="10.3984375" style="116" bestFit="1" customWidth="1"/>
    <col min="24" max="26" width="8.796875" style="116" customWidth="1"/>
    <col min="27" max="34" width="8.796875" style="115"/>
    <col min="35" max="35" width="10.09765625" style="116" bestFit="1" customWidth="1"/>
    <col min="36" max="36" width="10.3984375" style="116" bestFit="1" customWidth="1"/>
    <col min="37" max="38" width="8.796875" style="116" customWidth="1"/>
    <col min="39" max="40" width="8.796875" style="115" customWidth="1"/>
    <col min="41" max="16384" width="8.796875" style="115"/>
  </cols>
  <sheetData>
    <row r="1" spans="1:43" ht="9.9" customHeight="1" thickBot="1" x14ac:dyDescent="0.3">
      <c r="A1" s="168"/>
      <c r="B1" s="168"/>
      <c r="C1" s="168"/>
      <c r="D1" s="168"/>
      <c r="E1" s="168"/>
      <c r="F1" s="168"/>
      <c r="G1" s="168"/>
      <c r="H1" s="168"/>
      <c r="I1" s="185"/>
      <c r="J1" s="185"/>
      <c r="K1" s="185"/>
      <c r="L1" s="185"/>
      <c r="M1" s="168"/>
      <c r="N1" s="168"/>
      <c r="O1" s="168"/>
      <c r="P1" s="168"/>
      <c r="Q1" s="168"/>
      <c r="R1" s="168"/>
      <c r="S1" s="168"/>
      <c r="T1" s="168"/>
      <c r="U1" s="168"/>
      <c r="V1" s="185"/>
      <c r="W1" s="185"/>
      <c r="X1" s="185"/>
      <c r="Y1" s="185"/>
      <c r="Z1" s="185"/>
      <c r="AA1" s="168"/>
      <c r="AB1" s="168"/>
      <c r="AC1" s="168"/>
      <c r="AD1" s="168"/>
      <c r="AE1" s="168"/>
      <c r="AF1" s="168"/>
      <c r="AG1" s="168"/>
      <c r="AH1" s="168"/>
      <c r="AI1" s="185"/>
      <c r="AJ1" s="185"/>
      <c r="AK1" s="185"/>
      <c r="AL1" s="185"/>
      <c r="AM1" s="168"/>
    </row>
    <row r="2" spans="1:43" ht="24.9" customHeight="1" thickBot="1" x14ac:dyDescent="0.3">
      <c r="A2" s="168"/>
      <c r="B2" s="289" t="s">
        <v>109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1"/>
      <c r="AM2" s="168"/>
    </row>
    <row r="3" spans="1:43" ht="24.9" customHeight="1" thickBot="1" x14ac:dyDescent="0.3">
      <c r="A3" s="168"/>
      <c r="B3" s="294" t="s">
        <v>163</v>
      </c>
      <c r="C3" s="295"/>
      <c r="D3" s="295"/>
      <c r="E3" s="295"/>
      <c r="F3" s="295"/>
      <c r="G3" s="295"/>
      <c r="H3" s="295"/>
      <c r="I3" s="295"/>
      <c r="J3" s="295"/>
      <c r="K3" s="295"/>
      <c r="L3" s="296"/>
      <c r="M3" s="118"/>
      <c r="N3" s="118"/>
      <c r="O3" s="341" t="s">
        <v>164</v>
      </c>
      <c r="P3" s="342"/>
      <c r="Q3" s="342"/>
      <c r="R3" s="342"/>
      <c r="S3" s="342"/>
      <c r="T3" s="342"/>
      <c r="U3" s="342"/>
      <c r="V3" s="342"/>
      <c r="W3" s="342"/>
      <c r="X3" s="342"/>
      <c r="Y3" s="343"/>
      <c r="Z3" s="186"/>
      <c r="AA3" s="187"/>
      <c r="AB3" s="341" t="s">
        <v>165</v>
      </c>
      <c r="AC3" s="342"/>
      <c r="AD3" s="342"/>
      <c r="AE3" s="342"/>
      <c r="AF3" s="342"/>
      <c r="AG3" s="342"/>
      <c r="AH3" s="342"/>
      <c r="AI3" s="342"/>
      <c r="AJ3" s="342"/>
      <c r="AK3" s="342"/>
      <c r="AL3" s="343"/>
      <c r="AM3" s="168"/>
    </row>
    <row r="4" spans="1:43" ht="27.6" thickBot="1" x14ac:dyDescent="0.3">
      <c r="A4" s="168"/>
      <c r="B4" s="129" t="s">
        <v>0</v>
      </c>
      <c r="C4" s="270" t="s">
        <v>140</v>
      </c>
      <c r="D4" s="129" t="s">
        <v>141</v>
      </c>
      <c r="E4" s="129" t="s">
        <v>142</v>
      </c>
      <c r="F4" s="270" t="s">
        <v>143</v>
      </c>
      <c r="G4" s="129" t="s">
        <v>144</v>
      </c>
      <c r="H4" s="129" t="s">
        <v>91</v>
      </c>
      <c r="I4" s="270" t="s">
        <v>174</v>
      </c>
      <c r="J4" s="270" t="s">
        <v>175</v>
      </c>
      <c r="K4" s="272" t="s">
        <v>173</v>
      </c>
      <c r="L4" s="272" t="s">
        <v>116</v>
      </c>
      <c r="M4" s="118"/>
      <c r="N4" s="168"/>
      <c r="O4" s="169" t="s">
        <v>0</v>
      </c>
      <c r="P4" s="170" t="s">
        <v>140</v>
      </c>
      <c r="Q4" s="171" t="s">
        <v>141</v>
      </c>
      <c r="R4" s="171" t="s">
        <v>142</v>
      </c>
      <c r="S4" s="170" t="s">
        <v>143</v>
      </c>
      <c r="T4" s="171" t="s">
        <v>144</v>
      </c>
      <c r="U4" s="120" t="s">
        <v>91</v>
      </c>
      <c r="V4" s="121" t="s">
        <v>174</v>
      </c>
      <c r="W4" s="121" t="s">
        <v>175</v>
      </c>
      <c r="X4" s="172" t="s">
        <v>173</v>
      </c>
      <c r="Y4" s="173" t="s">
        <v>116</v>
      </c>
      <c r="Z4" s="188"/>
      <c r="AA4" s="168"/>
      <c r="AB4" s="169" t="s">
        <v>0</v>
      </c>
      <c r="AC4" s="170" t="s">
        <v>140</v>
      </c>
      <c r="AD4" s="171" t="s">
        <v>141</v>
      </c>
      <c r="AE4" s="171" t="s">
        <v>142</v>
      </c>
      <c r="AF4" s="170" t="s">
        <v>143</v>
      </c>
      <c r="AG4" s="171" t="s">
        <v>144</v>
      </c>
      <c r="AH4" s="120" t="s">
        <v>91</v>
      </c>
      <c r="AI4" s="121" t="s">
        <v>174</v>
      </c>
      <c r="AJ4" s="121" t="s">
        <v>175</v>
      </c>
      <c r="AK4" s="172" t="s">
        <v>173</v>
      </c>
      <c r="AL4" s="173" t="s">
        <v>116</v>
      </c>
      <c r="AM4" s="168"/>
    </row>
    <row r="5" spans="1:43" ht="28.2" thickBot="1" x14ac:dyDescent="0.3">
      <c r="A5" s="189" t="s">
        <v>139</v>
      </c>
      <c r="B5" s="344" t="s">
        <v>145</v>
      </c>
      <c r="C5" s="330">
        <v>5180</v>
      </c>
      <c r="D5" s="330">
        <v>36</v>
      </c>
      <c r="E5" s="247" t="s">
        <v>146</v>
      </c>
      <c r="F5" s="224"/>
      <c r="G5" s="247">
        <f t="shared" ref="G5:G19" si="0">$A$6</f>
        <v>0</v>
      </c>
      <c r="H5" s="273">
        <v>9.5</v>
      </c>
      <c r="I5" s="274">
        <v>9.17</v>
      </c>
      <c r="J5" s="225">
        <v>10</v>
      </c>
      <c r="K5" s="225">
        <v>-0.3</v>
      </c>
      <c r="L5" s="271">
        <f>J5+K5</f>
        <v>9.6999999999999993</v>
      </c>
      <c r="M5" s="276"/>
      <c r="N5" s="174" t="s">
        <v>139</v>
      </c>
      <c r="O5" s="332" t="s">
        <v>138</v>
      </c>
      <c r="P5" s="330">
        <v>5500</v>
      </c>
      <c r="Q5" s="330">
        <v>100</v>
      </c>
      <c r="R5" s="123" t="s">
        <v>146</v>
      </c>
      <c r="S5" s="123">
        <f t="shared" ref="S5:S19" si="1">F5</f>
        <v>0</v>
      </c>
      <c r="T5" s="123">
        <f t="shared" ref="T5:T19" si="2">$N$6</f>
        <v>0</v>
      </c>
      <c r="U5" s="210">
        <v>9.5</v>
      </c>
      <c r="V5" s="214">
        <v>9.4850239465235298</v>
      </c>
      <c r="W5" s="225">
        <v>10</v>
      </c>
      <c r="X5" s="225">
        <v>-0.54</v>
      </c>
      <c r="Y5" s="175">
        <f>W5+X5</f>
        <v>9.4600000000000009</v>
      </c>
      <c r="Z5" s="157"/>
      <c r="AA5" s="174" t="s">
        <v>139</v>
      </c>
      <c r="AB5" s="332" t="s">
        <v>138</v>
      </c>
      <c r="AC5" s="330">
        <v>5745</v>
      </c>
      <c r="AD5" s="330">
        <v>149</v>
      </c>
      <c r="AE5" s="123" t="s">
        <v>146</v>
      </c>
      <c r="AF5" s="224"/>
      <c r="AG5" s="123">
        <f t="shared" ref="AG5:AG19" si="3">$AA$6</f>
        <v>0</v>
      </c>
      <c r="AH5" s="210">
        <v>9.5</v>
      </c>
      <c r="AI5" s="220">
        <v>9.8204344285826757</v>
      </c>
      <c r="AJ5" s="225">
        <v>10</v>
      </c>
      <c r="AK5" s="210">
        <v>-0.12</v>
      </c>
      <c r="AL5" s="175">
        <f>AJ5+AK5</f>
        <v>9.8800000000000008</v>
      </c>
      <c r="AM5" s="168"/>
      <c r="AP5" s="117"/>
      <c r="AQ5" s="117"/>
    </row>
    <row r="6" spans="1:43" ht="24.9" customHeight="1" thickBot="1" x14ac:dyDescent="0.3">
      <c r="A6" s="240"/>
      <c r="B6" s="344"/>
      <c r="C6" s="330"/>
      <c r="D6" s="330"/>
      <c r="E6" s="247" t="s">
        <v>121</v>
      </c>
      <c r="F6" s="224"/>
      <c r="G6" s="247">
        <f t="shared" si="0"/>
        <v>0</v>
      </c>
      <c r="H6" s="273">
        <v>11.5</v>
      </c>
      <c r="I6" s="274">
        <v>11.02</v>
      </c>
      <c r="J6" s="225">
        <v>12</v>
      </c>
      <c r="K6" s="225">
        <v>-0.3</v>
      </c>
      <c r="L6" s="271">
        <f t="shared" ref="L6:L19" si="4">J6+K6</f>
        <v>11.7</v>
      </c>
      <c r="M6" s="276"/>
      <c r="N6" s="227"/>
      <c r="O6" s="332"/>
      <c r="P6" s="330"/>
      <c r="Q6" s="330"/>
      <c r="R6" s="123" t="s">
        <v>121</v>
      </c>
      <c r="S6" s="123">
        <f t="shared" si="1"/>
        <v>0</v>
      </c>
      <c r="T6" s="123">
        <f t="shared" si="2"/>
        <v>0</v>
      </c>
      <c r="U6" s="210">
        <v>11.5</v>
      </c>
      <c r="V6" s="214">
        <v>12.019137118009244</v>
      </c>
      <c r="W6" s="225">
        <v>12</v>
      </c>
      <c r="X6" s="225">
        <v>-0.54</v>
      </c>
      <c r="Y6" s="175">
        <f t="shared" ref="Y6:Y19" si="5">W6+X6</f>
        <v>11.46</v>
      </c>
      <c r="Z6" s="157"/>
      <c r="AA6" s="227"/>
      <c r="AB6" s="332"/>
      <c r="AC6" s="330"/>
      <c r="AD6" s="330"/>
      <c r="AE6" s="123" t="s">
        <v>121</v>
      </c>
      <c r="AF6" s="224"/>
      <c r="AG6" s="123">
        <f t="shared" si="3"/>
        <v>0</v>
      </c>
      <c r="AH6" s="210">
        <v>11.5</v>
      </c>
      <c r="AI6" s="220">
        <v>11.369645847837297</v>
      </c>
      <c r="AJ6" s="225">
        <v>12</v>
      </c>
      <c r="AK6" s="210">
        <v>-0.12</v>
      </c>
      <c r="AL6" s="175">
        <f t="shared" ref="AL6:AL19" si="6">AJ6+AK6</f>
        <v>11.88</v>
      </c>
      <c r="AM6" s="168"/>
      <c r="AP6" s="117"/>
      <c r="AQ6" s="117"/>
    </row>
    <row r="7" spans="1:43" ht="24.9" customHeight="1" x14ac:dyDescent="0.25">
      <c r="A7" s="168"/>
      <c r="B7" s="344"/>
      <c r="C7" s="330"/>
      <c r="D7" s="330"/>
      <c r="E7" s="247" t="s">
        <v>123</v>
      </c>
      <c r="F7" s="224"/>
      <c r="G7" s="247">
        <f t="shared" si="0"/>
        <v>0</v>
      </c>
      <c r="H7" s="273">
        <v>14.5</v>
      </c>
      <c r="I7" s="274">
        <v>14.16</v>
      </c>
      <c r="J7" s="225">
        <v>15</v>
      </c>
      <c r="K7" s="225">
        <v>-0.3</v>
      </c>
      <c r="L7" s="271">
        <f t="shared" si="4"/>
        <v>14.7</v>
      </c>
      <c r="M7" s="276"/>
      <c r="N7" s="168"/>
      <c r="O7" s="332"/>
      <c r="P7" s="330"/>
      <c r="Q7" s="330"/>
      <c r="R7" s="123" t="s">
        <v>123</v>
      </c>
      <c r="S7" s="123">
        <f t="shared" si="1"/>
        <v>0</v>
      </c>
      <c r="T7" s="123">
        <f t="shared" si="2"/>
        <v>0</v>
      </c>
      <c r="U7" s="210">
        <v>14.5</v>
      </c>
      <c r="V7" s="214">
        <v>14.726063451619194</v>
      </c>
      <c r="W7" s="225">
        <v>15</v>
      </c>
      <c r="X7" s="225">
        <v>-0.54</v>
      </c>
      <c r="Y7" s="175">
        <f t="shared" si="5"/>
        <v>14.46</v>
      </c>
      <c r="Z7" s="157"/>
      <c r="AA7" s="168"/>
      <c r="AB7" s="332"/>
      <c r="AC7" s="330"/>
      <c r="AD7" s="330"/>
      <c r="AE7" s="123" t="s">
        <v>123</v>
      </c>
      <c r="AF7" s="224"/>
      <c r="AG7" s="123">
        <f t="shared" si="3"/>
        <v>0</v>
      </c>
      <c r="AH7" s="210">
        <v>14.5</v>
      </c>
      <c r="AI7" s="220">
        <v>14.219702966335992</v>
      </c>
      <c r="AJ7" s="225">
        <v>15</v>
      </c>
      <c r="AK7" s="210">
        <v>-0.12</v>
      </c>
      <c r="AL7" s="175">
        <f t="shared" si="6"/>
        <v>14.88</v>
      </c>
      <c r="AM7" s="168"/>
      <c r="AP7" s="117"/>
      <c r="AQ7" s="117"/>
    </row>
    <row r="8" spans="1:43" ht="24.9" customHeight="1" x14ac:dyDescent="0.25">
      <c r="A8" s="168"/>
      <c r="B8" s="344"/>
      <c r="C8" s="330"/>
      <c r="D8" s="330"/>
      <c r="E8" s="192" t="s">
        <v>147</v>
      </c>
      <c r="F8" s="241"/>
      <c r="G8" s="247">
        <f t="shared" si="0"/>
        <v>0</v>
      </c>
      <c r="H8" s="273">
        <v>15.5</v>
      </c>
      <c r="I8" s="274">
        <v>15.53</v>
      </c>
      <c r="J8" s="225">
        <v>16</v>
      </c>
      <c r="K8" s="225">
        <v>-0.3</v>
      </c>
      <c r="L8" s="271">
        <f t="shared" si="4"/>
        <v>15.7</v>
      </c>
      <c r="M8" s="276"/>
      <c r="N8" s="168"/>
      <c r="O8" s="332"/>
      <c r="P8" s="330"/>
      <c r="Q8" s="330"/>
      <c r="R8" s="192" t="s">
        <v>147</v>
      </c>
      <c r="S8" s="193">
        <f t="shared" si="1"/>
        <v>0</v>
      </c>
      <c r="T8" s="123">
        <f t="shared" si="2"/>
        <v>0</v>
      </c>
      <c r="U8" s="210">
        <v>15.5</v>
      </c>
      <c r="V8" s="221">
        <v>16.024337145554203</v>
      </c>
      <c r="W8" s="225">
        <v>16</v>
      </c>
      <c r="X8" s="225">
        <v>-0.54</v>
      </c>
      <c r="Y8" s="175">
        <f t="shared" si="5"/>
        <v>15.46</v>
      </c>
      <c r="Z8" s="157"/>
      <c r="AA8" s="168"/>
      <c r="AB8" s="332"/>
      <c r="AC8" s="330"/>
      <c r="AD8" s="330"/>
      <c r="AE8" s="192" t="s">
        <v>147</v>
      </c>
      <c r="AF8" s="241"/>
      <c r="AG8" s="123">
        <f t="shared" si="3"/>
        <v>0</v>
      </c>
      <c r="AH8" s="210">
        <v>15.5</v>
      </c>
      <c r="AI8" s="220">
        <v>16.12551885206901</v>
      </c>
      <c r="AJ8" s="225">
        <v>16</v>
      </c>
      <c r="AK8" s="210">
        <v>-0.12</v>
      </c>
      <c r="AL8" s="175">
        <f t="shared" si="6"/>
        <v>15.88</v>
      </c>
      <c r="AM8" s="168"/>
      <c r="AP8" s="117"/>
      <c r="AQ8" s="117"/>
    </row>
    <row r="9" spans="1:43" ht="24.9" customHeight="1" x14ac:dyDescent="0.25">
      <c r="A9" s="168"/>
      <c r="B9" s="344"/>
      <c r="C9" s="330"/>
      <c r="D9" s="330"/>
      <c r="E9" s="192" t="s">
        <v>125</v>
      </c>
      <c r="F9" s="193" t="s">
        <v>126</v>
      </c>
      <c r="G9" s="247">
        <f t="shared" si="0"/>
        <v>0</v>
      </c>
      <c r="H9" s="273">
        <v>14.5</v>
      </c>
      <c r="I9" s="274">
        <v>14.79</v>
      </c>
      <c r="J9" s="225">
        <v>15</v>
      </c>
      <c r="K9" s="225">
        <v>-0.3</v>
      </c>
      <c r="L9" s="271">
        <f t="shared" si="4"/>
        <v>14.7</v>
      </c>
      <c r="M9" s="276"/>
      <c r="N9" s="168"/>
      <c r="O9" s="332"/>
      <c r="P9" s="330"/>
      <c r="Q9" s="330"/>
      <c r="R9" s="192" t="s">
        <v>125</v>
      </c>
      <c r="S9" s="193" t="str">
        <f t="shared" si="1"/>
        <v>X</v>
      </c>
      <c r="T9" s="123">
        <f t="shared" si="2"/>
        <v>0</v>
      </c>
      <c r="U9" s="210">
        <v>14.5</v>
      </c>
      <c r="V9" s="221">
        <v>15.591864974673557</v>
      </c>
      <c r="W9" s="225">
        <v>15</v>
      </c>
      <c r="X9" s="225">
        <v>-0.54</v>
      </c>
      <c r="Y9" s="175">
        <f t="shared" si="5"/>
        <v>14.46</v>
      </c>
      <c r="Z9" s="157"/>
      <c r="AA9" s="168"/>
      <c r="AB9" s="332"/>
      <c r="AC9" s="330"/>
      <c r="AD9" s="330"/>
      <c r="AE9" s="192" t="s">
        <v>125</v>
      </c>
      <c r="AF9" s="193" t="s">
        <v>126</v>
      </c>
      <c r="AG9" s="123">
        <f t="shared" si="3"/>
        <v>0</v>
      </c>
      <c r="AH9" s="210">
        <v>14.5</v>
      </c>
      <c r="AI9" s="220">
        <v>14.929886611770447</v>
      </c>
      <c r="AJ9" s="225">
        <v>15</v>
      </c>
      <c r="AK9" s="210">
        <v>-0.12</v>
      </c>
      <c r="AL9" s="175">
        <f t="shared" si="6"/>
        <v>14.88</v>
      </c>
      <c r="AM9" s="168"/>
      <c r="AP9" s="117"/>
      <c r="AQ9" s="117"/>
    </row>
    <row r="10" spans="1:43" ht="24.9" customHeight="1" x14ac:dyDescent="0.25">
      <c r="A10" s="168"/>
      <c r="B10" s="344"/>
      <c r="C10" s="330">
        <v>5260</v>
      </c>
      <c r="D10" s="330">
        <v>52</v>
      </c>
      <c r="E10" s="192" t="s">
        <v>118</v>
      </c>
      <c r="F10" s="247">
        <f t="shared" ref="F10:F19" si="7">F5</f>
        <v>0</v>
      </c>
      <c r="G10" s="247">
        <f t="shared" si="0"/>
        <v>0</v>
      </c>
      <c r="H10" s="273">
        <v>14.5</v>
      </c>
      <c r="I10" s="275">
        <v>14.76</v>
      </c>
      <c r="J10" s="225">
        <v>15</v>
      </c>
      <c r="K10" s="225">
        <v>-0.3</v>
      </c>
      <c r="L10" s="271">
        <f t="shared" si="4"/>
        <v>14.7</v>
      </c>
      <c r="M10" s="276"/>
      <c r="N10" s="190"/>
      <c r="O10" s="332"/>
      <c r="P10" s="330">
        <v>5600</v>
      </c>
      <c r="Q10" s="330">
        <v>120</v>
      </c>
      <c r="R10" s="192" t="s">
        <v>148</v>
      </c>
      <c r="S10" s="123">
        <f t="shared" si="1"/>
        <v>0</v>
      </c>
      <c r="T10" s="123">
        <f t="shared" si="2"/>
        <v>0</v>
      </c>
      <c r="U10" s="210">
        <v>14.5</v>
      </c>
      <c r="V10" s="214">
        <v>15.668297045731629</v>
      </c>
      <c r="W10" s="225">
        <v>15</v>
      </c>
      <c r="X10" s="225">
        <v>-0.54</v>
      </c>
      <c r="Y10" s="175">
        <f t="shared" si="5"/>
        <v>14.46</v>
      </c>
      <c r="Z10" s="157"/>
      <c r="AA10" s="168"/>
      <c r="AB10" s="332"/>
      <c r="AC10" s="330">
        <v>5785</v>
      </c>
      <c r="AD10" s="330">
        <v>157</v>
      </c>
      <c r="AE10" s="192" t="s">
        <v>118</v>
      </c>
      <c r="AF10" s="123">
        <f>AF5</f>
        <v>0</v>
      </c>
      <c r="AG10" s="123">
        <f t="shared" si="3"/>
        <v>0</v>
      </c>
      <c r="AH10" s="210">
        <v>14.5</v>
      </c>
      <c r="AI10" s="220">
        <v>14.950659987365492</v>
      </c>
      <c r="AJ10" s="225">
        <v>15</v>
      </c>
      <c r="AK10" s="210">
        <v>-0.12</v>
      </c>
      <c r="AL10" s="175">
        <f t="shared" si="6"/>
        <v>14.88</v>
      </c>
      <c r="AM10" s="168"/>
      <c r="AP10" s="117"/>
      <c r="AQ10" s="117"/>
    </row>
    <row r="11" spans="1:43" ht="24.9" customHeight="1" x14ac:dyDescent="0.25">
      <c r="A11" s="168"/>
      <c r="B11" s="344"/>
      <c r="C11" s="330"/>
      <c r="D11" s="330"/>
      <c r="E11" s="192" t="s">
        <v>121</v>
      </c>
      <c r="F11" s="247">
        <f t="shared" si="7"/>
        <v>0</v>
      </c>
      <c r="G11" s="247">
        <f t="shared" si="0"/>
        <v>0</v>
      </c>
      <c r="H11" s="273">
        <v>9.5</v>
      </c>
      <c r="I11" s="274">
        <v>9.35</v>
      </c>
      <c r="J11" s="225">
        <v>10</v>
      </c>
      <c r="K11" s="225">
        <v>-0.3</v>
      </c>
      <c r="L11" s="271">
        <f t="shared" si="4"/>
        <v>9.6999999999999993</v>
      </c>
      <c r="M11" s="276"/>
      <c r="N11" s="168"/>
      <c r="O11" s="332"/>
      <c r="P11" s="330"/>
      <c r="Q11" s="330"/>
      <c r="R11" s="192" t="s">
        <v>149</v>
      </c>
      <c r="S11" s="123">
        <f t="shared" si="1"/>
        <v>0</v>
      </c>
      <c r="T11" s="123">
        <f t="shared" si="2"/>
        <v>0</v>
      </c>
      <c r="U11" s="210">
        <v>9.5</v>
      </c>
      <c r="V11" s="214">
        <v>10.161564605618464</v>
      </c>
      <c r="W11" s="225">
        <v>10</v>
      </c>
      <c r="X11" s="225">
        <v>-0.54</v>
      </c>
      <c r="Y11" s="175">
        <f t="shared" si="5"/>
        <v>9.4600000000000009</v>
      </c>
      <c r="Z11" s="157"/>
      <c r="AA11" s="168"/>
      <c r="AB11" s="332"/>
      <c r="AC11" s="330"/>
      <c r="AD11" s="330"/>
      <c r="AE11" s="192" t="s">
        <v>150</v>
      </c>
      <c r="AF11" s="123">
        <f>AF6</f>
        <v>0</v>
      </c>
      <c r="AG11" s="123">
        <f t="shared" si="3"/>
        <v>0</v>
      </c>
      <c r="AH11" s="210">
        <v>9.5</v>
      </c>
      <c r="AI11" s="220">
        <v>9.867051255319792</v>
      </c>
      <c r="AJ11" s="225">
        <v>10</v>
      </c>
      <c r="AK11" s="210">
        <v>-0.12</v>
      </c>
      <c r="AL11" s="175">
        <f t="shared" si="6"/>
        <v>9.8800000000000008</v>
      </c>
      <c r="AM11" s="168"/>
      <c r="AP11" s="117"/>
      <c r="AQ11" s="117"/>
    </row>
    <row r="12" spans="1:43" ht="24.9" customHeight="1" x14ac:dyDescent="0.25">
      <c r="A12" s="168"/>
      <c r="B12" s="344"/>
      <c r="C12" s="330"/>
      <c r="D12" s="330"/>
      <c r="E12" s="192" t="s">
        <v>123</v>
      </c>
      <c r="F12" s="247">
        <f t="shared" si="7"/>
        <v>0</v>
      </c>
      <c r="G12" s="247">
        <f t="shared" si="0"/>
        <v>0</v>
      </c>
      <c r="H12" s="273">
        <v>11.5</v>
      </c>
      <c r="I12" s="274">
        <v>11.19</v>
      </c>
      <c r="J12" s="225">
        <v>12</v>
      </c>
      <c r="K12" s="225">
        <v>-0.3</v>
      </c>
      <c r="L12" s="271">
        <f t="shared" si="4"/>
        <v>11.7</v>
      </c>
      <c r="M12" s="276"/>
      <c r="N12" s="168"/>
      <c r="O12" s="332"/>
      <c r="P12" s="330"/>
      <c r="Q12" s="330"/>
      <c r="R12" s="192" t="s">
        <v>151</v>
      </c>
      <c r="S12" s="123">
        <f t="shared" si="1"/>
        <v>0</v>
      </c>
      <c r="T12" s="123">
        <f t="shared" si="2"/>
        <v>0</v>
      </c>
      <c r="U12" s="210">
        <v>11.5</v>
      </c>
      <c r="V12" s="214">
        <v>11.667015111527839</v>
      </c>
      <c r="W12" s="225">
        <v>12</v>
      </c>
      <c r="X12" s="225">
        <v>-0.54</v>
      </c>
      <c r="Y12" s="175">
        <f t="shared" si="5"/>
        <v>11.46</v>
      </c>
      <c r="Z12" s="157"/>
      <c r="AA12" s="168"/>
      <c r="AB12" s="332"/>
      <c r="AC12" s="330"/>
      <c r="AD12" s="330"/>
      <c r="AE12" s="192" t="s">
        <v>152</v>
      </c>
      <c r="AF12" s="123">
        <f>AF7</f>
        <v>0</v>
      </c>
      <c r="AG12" s="123">
        <f t="shared" si="3"/>
        <v>0</v>
      </c>
      <c r="AH12" s="210">
        <v>11.5</v>
      </c>
      <c r="AI12" s="220">
        <v>12.129140073240281</v>
      </c>
      <c r="AJ12" s="225">
        <v>12</v>
      </c>
      <c r="AK12" s="210">
        <v>-0.12</v>
      </c>
      <c r="AL12" s="175">
        <f t="shared" si="6"/>
        <v>11.88</v>
      </c>
      <c r="AM12" s="168"/>
      <c r="AP12" s="117"/>
      <c r="AQ12" s="117"/>
    </row>
    <row r="13" spans="1:43" ht="24.9" customHeight="1" x14ac:dyDescent="0.25">
      <c r="A13" s="168"/>
      <c r="B13" s="344"/>
      <c r="C13" s="330"/>
      <c r="D13" s="330"/>
      <c r="E13" s="192" t="s">
        <v>147</v>
      </c>
      <c r="F13" s="193">
        <f t="shared" si="7"/>
        <v>0</v>
      </c>
      <c r="G13" s="247">
        <f t="shared" si="0"/>
        <v>0</v>
      </c>
      <c r="H13" s="273">
        <v>14.5</v>
      </c>
      <c r="I13" s="274">
        <v>14.08</v>
      </c>
      <c r="J13" s="225">
        <v>15</v>
      </c>
      <c r="K13" s="225">
        <v>-0.3</v>
      </c>
      <c r="L13" s="271">
        <f t="shared" si="4"/>
        <v>14.7</v>
      </c>
      <c r="M13" s="276"/>
      <c r="N13" s="190"/>
      <c r="O13" s="332"/>
      <c r="P13" s="330"/>
      <c r="Q13" s="330"/>
      <c r="R13" s="192" t="s">
        <v>147</v>
      </c>
      <c r="S13" s="193">
        <f t="shared" si="1"/>
        <v>0</v>
      </c>
      <c r="T13" s="123">
        <f t="shared" si="2"/>
        <v>0</v>
      </c>
      <c r="U13" s="210">
        <v>14.5</v>
      </c>
      <c r="V13" s="221">
        <v>14.178885716799822</v>
      </c>
      <c r="W13" s="225">
        <v>15</v>
      </c>
      <c r="X13" s="225">
        <v>-0.54</v>
      </c>
      <c r="Y13" s="175">
        <f t="shared" si="5"/>
        <v>14.46</v>
      </c>
      <c r="Z13" s="157"/>
      <c r="AA13" s="168"/>
      <c r="AB13" s="332"/>
      <c r="AC13" s="330"/>
      <c r="AD13" s="330"/>
      <c r="AE13" s="192" t="s">
        <v>147</v>
      </c>
      <c r="AF13" s="123">
        <f>AF8</f>
        <v>0</v>
      </c>
      <c r="AG13" s="123">
        <f t="shared" si="3"/>
        <v>0</v>
      </c>
      <c r="AH13" s="210">
        <v>14.5</v>
      </c>
      <c r="AI13" s="220">
        <v>14.699927752691172</v>
      </c>
      <c r="AJ13" s="225">
        <v>15</v>
      </c>
      <c r="AK13" s="210">
        <v>-0.12</v>
      </c>
      <c r="AL13" s="175">
        <f t="shared" si="6"/>
        <v>14.88</v>
      </c>
      <c r="AM13" s="168"/>
      <c r="AP13" s="117"/>
      <c r="AQ13" s="117"/>
    </row>
    <row r="14" spans="1:43" ht="24.9" customHeight="1" x14ac:dyDescent="0.25">
      <c r="A14" s="168"/>
      <c r="B14" s="344"/>
      <c r="C14" s="330"/>
      <c r="D14" s="330"/>
      <c r="E14" s="192" t="s">
        <v>153</v>
      </c>
      <c r="F14" s="193" t="str">
        <f t="shared" si="7"/>
        <v>X</v>
      </c>
      <c r="G14" s="247">
        <f t="shared" si="0"/>
        <v>0</v>
      </c>
      <c r="H14" s="273">
        <v>15.5</v>
      </c>
      <c r="I14" s="274">
        <v>15.79</v>
      </c>
      <c r="J14" s="225">
        <v>16</v>
      </c>
      <c r="K14" s="225">
        <v>-0.3</v>
      </c>
      <c r="L14" s="271">
        <f t="shared" si="4"/>
        <v>15.7</v>
      </c>
      <c r="M14" s="276"/>
      <c r="N14" s="190"/>
      <c r="O14" s="332"/>
      <c r="P14" s="330"/>
      <c r="Q14" s="330"/>
      <c r="R14" s="192" t="s">
        <v>153</v>
      </c>
      <c r="S14" s="193" t="str">
        <f t="shared" si="1"/>
        <v>X</v>
      </c>
      <c r="T14" s="123">
        <f t="shared" si="2"/>
        <v>0</v>
      </c>
      <c r="U14" s="210">
        <v>15.5</v>
      </c>
      <c r="V14" s="221">
        <v>16.664765536399091</v>
      </c>
      <c r="W14" s="225">
        <v>16</v>
      </c>
      <c r="X14" s="225">
        <v>-0.54</v>
      </c>
      <c r="Y14" s="175">
        <f t="shared" si="5"/>
        <v>15.46</v>
      </c>
      <c r="Z14" s="157"/>
      <c r="AA14" s="168"/>
      <c r="AB14" s="332"/>
      <c r="AC14" s="330"/>
      <c r="AD14" s="330"/>
      <c r="AE14" s="192" t="s">
        <v>153</v>
      </c>
      <c r="AF14" s="193" t="s">
        <v>154</v>
      </c>
      <c r="AG14" s="123">
        <f t="shared" si="3"/>
        <v>0</v>
      </c>
      <c r="AH14" s="210">
        <v>15.5</v>
      </c>
      <c r="AI14" s="220">
        <v>16.489730179207953</v>
      </c>
      <c r="AJ14" s="225">
        <v>16</v>
      </c>
      <c r="AK14" s="210">
        <v>-0.12</v>
      </c>
      <c r="AL14" s="175">
        <f t="shared" si="6"/>
        <v>15.88</v>
      </c>
      <c r="AM14" s="168"/>
      <c r="AP14" s="117"/>
      <c r="AQ14" s="117"/>
    </row>
    <row r="15" spans="1:43" ht="24.9" customHeight="1" x14ac:dyDescent="0.25">
      <c r="A15" s="168"/>
      <c r="B15" s="344"/>
      <c r="C15" s="330">
        <v>5320</v>
      </c>
      <c r="D15" s="330">
        <v>64</v>
      </c>
      <c r="E15" s="192" t="s">
        <v>155</v>
      </c>
      <c r="F15" s="247">
        <f t="shared" si="7"/>
        <v>0</v>
      </c>
      <c r="G15" s="247">
        <f t="shared" si="0"/>
        <v>0</v>
      </c>
      <c r="H15" s="273">
        <v>14.5</v>
      </c>
      <c r="I15" s="274">
        <v>15.03</v>
      </c>
      <c r="J15" s="225">
        <v>15</v>
      </c>
      <c r="K15" s="225">
        <v>-0.3</v>
      </c>
      <c r="L15" s="271">
        <f t="shared" si="4"/>
        <v>14.7</v>
      </c>
      <c r="M15" s="276"/>
      <c r="N15" s="168"/>
      <c r="O15" s="332"/>
      <c r="P15" s="330">
        <v>5700</v>
      </c>
      <c r="Q15" s="330">
        <v>140</v>
      </c>
      <c r="R15" s="192" t="s">
        <v>155</v>
      </c>
      <c r="S15" s="123">
        <f t="shared" si="1"/>
        <v>0</v>
      </c>
      <c r="T15" s="123">
        <f t="shared" si="2"/>
        <v>0</v>
      </c>
      <c r="U15" s="210">
        <v>14.5</v>
      </c>
      <c r="V15" s="214">
        <v>15.912801645084871</v>
      </c>
      <c r="W15" s="225">
        <v>15</v>
      </c>
      <c r="X15" s="225">
        <v>-0.54</v>
      </c>
      <c r="Y15" s="175">
        <f t="shared" si="5"/>
        <v>14.46</v>
      </c>
      <c r="Z15" s="157"/>
      <c r="AA15" s="168"/>
      <c r="AB15" s="332"/>
      <c r="AC15" s="330">
        <v>5825</v>
      </c>
      <c r="AD15" s="330">
        <v>165</v>
      </c>
      <c r="AE15" s="192" t="s">
        <v>155</v>
      </c>
      <c r="AF15" s="123">
        <f>AF10</f>
        <v>0</v>
      </c>
      <c r="AG15" s="123">
        <f t="shared" si="3"/>
        <v>0</v>
      </c>
      <c r="AH15" s="210">
        <v>14.5</v>
      </c>
      <c r="AI15" s="220">
        <v>15.403380450562015</v>
      </c>
      <c r="AJ15" s="225">
        <v>15</v>
      </c>
      <c r="AK15" s="210">
        <v>-0.12</v>
      </c>
      <c r="AL15" s="175">
        <f t="shared" si="6"/>
        <v>14.88</v>
      </c>
      <c r="AM15" s="168"/>
      <c r="AP15" s="117"/>
      <c r="AQ15" s="117"/>
    </row>
    <row r="16" spans="1:43" ht="24.9" customHeight="1" x14ac:dyDescent="0.25">
      <c r="A16" s="168"/>
      <c r="B16" s="344"/>
      <c r="C16" s="330"/>
      <c r="D16" s="330"/>
      <c r="E16" s="192" t="s">
        <v>156</v>
      </c>
      <c r="F16" s="247">
        <f t="shared" si="7"/>
        <v>0</v>
      </c>
      <c r="G16" s="247">
        <f t="shared" si="0"/>
        <v>0</v>
      </c>
      <c r="H16" s="273">
        <v>14.5</v>
      </c>
      <c r="I16" s="275">
        <v>15.13</v>
      </c>
      <c r="J16" s="225">
        <v>15</v>
      </c>
      <c r="K16" s="225">
        <v>-0.3</v>
      </c>
      <c r="L16" s="271">
        <f t="shared" si="4"/>
        <v>14.7</v>
      </c>
      <c r="M16" s="276"/>
      <c r="N16" s="168"/>
      <c r="O16" s="332"/>
      <c r="P16" s="330"/>
      <c r="Q16" s="330"/>
      <c r="R16" s="192" t="s">
        <v>156</v>
      </c>
      <c r="S16" s="123">
        <f t="shared" si="1"/>
        <v>0</v>
      </c>
      <c r="T16" s="123">
        <f t="shared" si="2"/>
        <v>0</v>
      </c>
      <c r="U16" s="210">
        <v>14.5</v>
      </c>
      <c r="V16" s="214">
        <v>15.712768113460752</v>
      </c>
      <c r="W16" s="225">
        <v>15</v>
      </c>
      <c r="X16" s="225">
        <v>-0.54</v>
      </c>
      <c r="Y16" s="175">
        <f t="shared" si="5"/>
        <v>14.46</v>
      </c>
      <c r="Z16" s="157"/>
      <c r="AA16" s="168"/>
      <c r="AB16" s="332"/>
      <c r="AC16" s="330"/>
      <c r="AD16" s="330"/>
      <c r="AE16" s="192" t="s">
        <v>156</v>
      </c>
      <c r="AF16" s="123">
        <f>AF11</f>
        <v>0</v>
      </c>
      <c r="AG16" s="123">
        <f t="shared" si="3"/>
        <v>0</v>
      </c>
      <c r="AH16" s="210">
        <v>14.5</v>
      </c>
      <c r="AI16" s="220">
        <v>15.873245485383743</v>
      </c>
      <c r="AJ16" s="225">
        <v>15</v>
      </c>
      <c r="AK16" s="210">
        <v>-0.12</v>
      </c>
      <c r="AL16" s="175">
        <f t="shared" si="6"/>
        <v>14.88</v>
      </c>
      <c r="AM16" s="168"/>
      <c r="AP16" s="117"/>
      <c r="AQ16" s="117"/>
    </row>
    <row r="17" spans="1:43" ht="24.9" customHeight="1" x14ac:dyDescent="0.25">
      <c r="A17" s="168"/>
      <c r="B17" s="344"/>
      <c r="C17" s="330"/>
      <c r="D17" s="330"/>
      <c r="E17" s="192" t="s">
        <v>123</v>
      </c>
      <c r="F17" s="247">
        <f t="shared" si="7"/>
        <v>0</v>
      </c>
      <c r="G17" s="247">
        <f t="shared" si="0"/>
        <v>0</v>
      </c>
      <c r="H17" s="273">
        <v>9.5</v>
      </c>
      <c r="I17" s="274">
        <v>10.09</v>
      </c>
      <c r="J17" s="225">
        <v>10</v>
      </c>
      <c r="K17" s="225">
        <v>-0.3</v>
      </c>
      <c r="L17" s="271">
        <f t="shared" si="4"/>
        <v>9.6999999999999993</v>
      </c>
      <c r="M17" s="276"/>
      <c r="N17" s="168"/>
      <c r="O17" s="332"/>
      <c r="P17" s="330"/>
      <c r="Q17" s="330"/>
      <c r="R17" s="192" t="s">
        <v>123</v>
      </c>
      <c r="S17" s="123">
        <f t="shared" si="1"/>
        <v>0</v>
      </c>
      <c r="T17" s="123">
        <f t="shared" si="2"/>
        <v>0</v>
      </c>
      <c r="U17" s="210">
        <v>9.5</v>
      </c>
      <c r="V17" s="214">
        <v>10.413085723643974</v>
      </c>
      <c r="W17" s="225">
        <v>10</v>
      </c>
      <c r="X17" s="225">
        <v>-0.54</v>
      </c>
      <c r="Y17" s="175">
        <f t="shared" si="5"/>
        <v>9.4600000000000009</v>
      </c>
      <c r="Z17" s="157"/>
      <c r="AA17" s="168"/>
      <c r="AB17" s="332"/>
      <c r="AC17" s="330"/>
      <c r="AD17" s="330"/>
      <c r="AE17" s="192" t="s">
        <v>123</v>
      </c>
      <c r="AF17" s="123">
        <f>AF12</f>
        <v>0</v>
      </c>
      <c r="AG17" s="123">
        <f t="shared" si="3"/>
        <v>0</v>
      </c>
      <c r="AH17" s="210">
        <v>9.5</v>
      </c>
      <c r="AI17" s="220">
        <v>10.159080119105816</v>
      </c>
      <c r="AJ17" s="225">
        <v>10</v>
      </c>
      <c r="AK17" s="210">
        <v>-0.12</v>
      </c>
      <c r="AL17" s="175">
        <f t="shared" si="6"/>
        <v>9.8800000000000008</v>
      </c>
      <c r="AM17" s="168"/>
      <c r="AP17" s="117"/>
      <c r="AQ17" s="117"/>
    </row>
    <row r="18" spans="1:43" ht="24.9" customHeight="1" x14ac:dyDescent="0.25">
      <c r="A18" s="168"/>
      <c r="B18" s="344"/>
      <c r="C18" s="330"/>
      <c r="D18" s="330"/>
      <c r="E18" s="192" t="s">
        <v>147</v>
      </c>
      <c r="F18" s="193">
        <f t="shared" si="7"/>
        <v>0</v>
      </c>
      <c r="G18" s="247">
        <f t="shared" si="0"/>
        <v>0</v>
      </c>
      <c r="H18" s="273">
        <v>11.5</v>
      </c>
      <c r="I18" s="274">
        <v>11.58</v>
      </c>
      <c r="J18" s="225">
        <v>12</v>
      </c>
      <c r="K18" s="225">
        <v>-0.3</v>
      </c>
      <c r="L18" s="271">
        <f t="shared" si="4"/>
        <v>11.7</v>
      </c>
      <c r="M18" s="276"/>
      <c r="N18" s="168"/>
      <c r="O18" s="332"/>
      <c r="P18" s="330"/>
      <c r="Q18" s="330"/>
      <c r="R18" s="192" t="s">
        <v>147</v>
      </c>
      <c r="S18" s="193">
        <f t="shared" si="1"/>
        <v>0</v>
      </c>
      <c r="T18" s="123">
        <f t="shared" si="2"/>
        <v>0</v>
      </c>
      <c r="U18" s="210">
        <v>11.5</v>
      </c>
      <c r="V18" s="221">
        <v>11.632208540859553</v>
      </c>
      <c r="W18" s="225">
        <v>12</v>
      </c>
      <c r="X18" s="225">
        <v>-0.54</v>
      </c>
      <c r="Y18" s="175">
        <f t="shared" si="5"/>
        <v>11.46</v>
      </c>
      <c r="Z18" s="157"/>
      <c r="AA18" s="168"/>
      <c r="AB18" s="332"/>
      <c r="AC18" s="330"/>
      <c r="AD18" s="330"/>
      <c r="AE18" s="192" t="s">
        <v>147</v>
      </c>
      <c r="AF18" s="123">
        <f>AF13</f>
        <v>0</v>
      </c>
      <c r="AG18" s="123">
        <f t="shared" si="3"/>
        <v>0</v>
      </c>
      <c r="AH18" s="210">
        <v>11.5</v>
      </c>
      <c r="AI18" s="220">
        <v>12.108876951068948</v>
      </c>
      <c r="AJ18" s="225">
        <v>12</v>
      </c>
      <c r="AK18" s="210">
        <v>-0.12</v>
      </c>
      <c r="AL18" s="175">
        <f t="shared" si="6"/>
        <v>11.88</v>
      </c>
      <c r="AM18" s="168"/>
      <c r="AP18" s="117"/>
      <c r="AQ18" s="117"/>
    </row>
    <row r="19" spans="1:43" ht="24.9" customHeight="1" thickBot="1" x14ac:dyDescent="0.3">
      <c r="A19" s="168"/>
      <c r="B19" s="344"/>
      <c r="C19" s="330"/>
      <c r="D19" s="330"/>
      <c r="E19" s="192" t="s">
        <v>157</v>
      </c>
      <c r="F19" s="193" t="str">
        <f t="shared" si="7"/>
        <v>X</v>
      </c>
      <c r="G19" s="247">
        <f t="shared" si="0"/>
        <v>0</v>
      </c>
      <c r="H19" s="273">
        <v>14.5</v>
      </c>
      <c r="I19" s="274">
        <v>14.69</v>
      </c>
      <c r="J19" s="225">
        <v>15</v>
      </c>
      <c r="K19" s="225">
        <v>-0.3</v>
      </c>
      <c r="L19" s="271">
        <f t="shared" si="4"/>
        <v>14.7</v>
      </c>
      <c r="M19" s="276"/>
      <c r="N19" s="168"/>
      <c r="O19" s="333"/>
      <c r="P19" s="331"/>
      <c r="Q19" s="331"/>
      <c r="R19" s="194" t="s">
        <v>157</v>
      </c>
      <c r="S19" s="195" t="str">
        <f t="shared" si="1"/>
        <v>X</v>
      </c>
      <c r="T19" s="125">
        <f t="shared" si="2"/>
        <v>0</v>
      </c>
      <c r="U19" s="213">
        <v>14.5</v>
      </c>
      <c r="V19" s="222">
        <v>14.832930988808361</v>
      </c>
      <c r="W19" s="225">
        <v>15</v>
      </c>
      <c r="X19" s="225">
        <v>-0.54</v>
      </c>
      <c r="Y19" s="176">
        <f t="shared" si="5"/>
        <v>14.46</v>
      </c>
      <c r="Z19" s="157"/>
      <c r="AA19" s="168"/>
      <c r="AB19" s="333"/>
      <c r="AC19" s="331"/>
      <c r="AD19" s="331"/>
      <c r="AE19" s="194" t="s">
        <v>157</v>
      </c>
      <c r="AF19" s="195" t="s">
        <v>158</v>
      </c>
      <c r="AG19" s="125">
        <f t="shared" si="3"/>
        <v>0</v>
      </c>
      <c r="AH19" s="213">
        <v>14.5</v>
      </c>
      <c r="AI19" s="223">
        <v>15.332496750557842</v>
      </c>
      <c r="AJ19" s="225">
        <v>15</v>
      </c>
      <c r="AK19" s="210">
        <v>-0.12</v>
      </c>
      <c r="AL19" s="176">
        <f t="shared" si="6"/>
        <v>14.88</v>
      </c>
      <c r="AM19" s="168"/>
      <c r="AP19" s="117"/>
      <c r="AQ19" s="117"/>
    </row>
    <row r="20" spans="1:43" ht="28.2" thickBot="1" x14ac:dyDescent="0.3">
      <c r="A20" s="189" t="s">
        <v>139</v>
      </c>
      <c r="B20" s="344" t="s">
        <v>160</v>
      </c>
      <c r="C20" s="330">
        <v>5190</v>
      </c>
      <c r="D20" s="330">
        <v>38</v>
      </c>
      <c r="E20" s="247" t="s">
        <v>146</v>
      </c>
      <c r="F20" s="224"/>
      <c r="G20" s="247">
        <f t="shared" ref="G20:G37" si="8">$A$21</f>
        <v>0</v>
      </c>
      <c r="H20" s="273">
        <v>15.5</v>
      </c>
      <c r="I20" s="274">
        <v>16.03</v>
      </c>
      <c r="J20" s="225">
        <v>10</v>
      </c>
      <c r="K20" s="225">
        <v>-0.3</v>
      </c>
      <c r="L20" s="271">
        <f>J20+K20</f>
        <v>9.6999999999999993</v>
      </c>
      <c r="M20" s="276"/>
      <c r="N20" s="174" t="s">
        <v>139</v>
      </c>
      <c r="O20" s="332" t="s">
        <v>119</v>
      </c>
      <c r="P20" s="330">
        <v>5510</v>
      </c>
      <c r="Q20" s="330">
        <v>102</v>
      </c>
      <c r="R20" s="123" t="s">
        <v>118</v>
      </c>
      <c r="S20" s="123">
        <f t="shared" ref="S20:S37" si="9">F20</f>
        <v>0</v>
      </c>
      <c r="T20" s="123">
        <f t="shared" ref="T20:T37" si="10">$N$21</f>
        <v>0</v>
      </c>
      <c r="U20" s="210">
        <v>15.5</v>
      </c>
      <c r="V20" s="215">
        <v>16.502149089511995</v>
      </c>
      <c r="W20" s="225">
        <v>10</v>
      </c>
      <c r="X20" s="225">
        <v>-0.54</v>
      </c>
      <c r="Y20" s="175">
        <f t="shared" ref="Y20:Y37" si="11">W20+X20</f>
        <v>9.4600000000000009</v>
      </c>
      <c r="Z20" s="196"/>
      <c r="AA20" s="174" t="s">
        <v>139</v>
      </c>
      <c r="AB20" s="332" t="s">
        <v>160</v>
      </c>
      <c r="AC20" s="330">
        <v>5755</v>
      </c>
      <c r="AD20" s="330">
        <v>151</v>
      </c>
      <c r="AE20" s="123" t="s">
        <v>146</v>
      </c>
      <c r="AF20" s="224"/>
      <c r="AG20" s="123">
        <f t="shared" ref="AG20:AG31" si="12">$AA$21</f>
        <v>0</v>
      </c>
      <c r="AH20" s="210">
        <v>15.5</v>
      </c>
      <c r="AI20" s="210">
        <v>16.809081143608942</v>
      </c>
      <c r="AJ20" s="225">
        <v>10</v>
      </c>
      <c r="AK20" s="210">
        <v>-0.12</v>
      </c>
      <c r="AL20" s="175">
        <f t="shared" ref="AL20:AL31" si="13">AJ20+AK20</f>
        <v>9.8800000000000008</v>
      </c>
      <c r="AM20" s="168"/>
    </row>
    <row r="21" spans="1:43" ht="24.9" customHeight="1" thickBot="1" x14ac:dyDescent="0.3">
      <c r="A21" s="240"/>
      <c r="B21" s="344"/>
      <c r="C21" s="330"/>
      <c r="D21" s="330"/>
      <c r="E21" s="247" t="s">
        <v>120</v>
      </c>
      <c r="F21" s="224"/>
      <c r="G21" s="247">
        <f t="shared" si="8"/>
        <v>0</v>
      </c>
      <c r="H21" s="273">
        <v>14.5</v>
      </c>
      <c r="I21" s="274">
        <v>15.36</v>
      </c>
      <c r="J21" s="225">
        <v>12</v>
      </c>
      <c r="K21" s="225">
        <v>-0.3</v>
      </c>
      <c r="L21" s="271">
        <f t="shared" ref="L21:L37" si="14">J21+K21</f>
        <v>11.7</v>
      </c>
      <c r="M21" s="276"/>
      <c r="N21" s="227"/>
      <c r="O21" s="332"/>
      <c r="P21" s="330"/>
      <c r="Q21" s="330"/>
      <c r="R21" s="123" t="s">
        <v>120</v>
      </c>
      <c r="S21" s="123">
        <f t="shared" si="9"/>
        <v>0</v>
      </c>
      <c r="T21" s="123">
        <f t="shared" si="10"/>
        <v>0</v>
      </c>
      <c r="U21" s="210">
        <v>14.5</v>
      </c>
      <c r="V21" s="215">
        <v>15.806987962057446</v>
      </c>
      <c r="W21" s="225">
        <v>12</v>
      </c>
      <c r="X21" s="225">
        <v>-0.54</v>
      </c>
      <c r="Y21" s="175">
        <f t="shared" si="11"/>
        <v>11.46</v>
      </c>
      <c r="Z21" s="168"/>
      <c r="AA21" s="227"/>
      <c r="AB21" s="332"/>
      <c r="AC21" s="330"/>
      <c r="AD21" s="330"/>
      <c r="AE21" s="123" t="s">
        <v>120</v>
      </c>
      <c r="AF21" s="224"/>
      <c r="AG21" s="123">
        <f t="shared" si="12"/>
        <v>0</v>
      </c>
      <c r="AH21" s="210">
        <v>14.5</v>
      </c>
      <c r="AI21" s="210">
        <v>16.080076264964543</v>
      </c>
      <c r="AJ21" s="225">
        <v>12</v>
      </c>
      <c r="AK21" s="210">
        <v>-0.12</v>
      </c>
      <c r="AL21" s="175">
        <f t="shared" si="13"/>
        <v>11.88</v>
      </c>
      <c r="AM21" s="168"/>
    </row>
    <row r="22" spans="1:43" ht="24.9" customHeight="1" x14ac:dyDescent="0.25">
      <c r="A22" s="168"/>
      <c r="B22" s="344"/>
      <c r="C22" s="330"/>
      <c r="D22" s="330"/>
      <c r="E22" s="247" t="s">
        <v>122</v>
      </c>
      <c r="F22" s="224"/>
      <c r="G22" s="247">
        <f t="shared" si="8"/>
        <v>0</v>
      </c>
      <c r="H22" s="273">
        <v>14.5</v>
      </c>
      <c r="I22" s="274">
        <v>15.69</v>
      </c>
      <c r="J22" s="225">
        <v>15</v>
      </c>
      <c r="K22" s="225">
        <v>-0.3</v>
      </c>
      <c r="L22" s="271">
        <f t="shared" si="14"/>
        <v>14.7</v>
      </c>
      <c r="M22" s="276"/>
      <c r="N22" s="168"/>
      <c r="O22" s="332"/>
      <c r="P22" s="330"/>
      <c r="Q22" s="330"/>
      <c r="R22" s="123" t="s">
        <v>122</v>
      </c>
      <c r="S22" s="123">
        <f t="shared" si="9"/>
        <v>0</v>
      </c>
      <c r="T22" s="123">
        <f t="shared" si="10"/>
        <v>0</v>
      </c>
      <c r="U22" s="210">
        <v>14.5</v>
      </c>
      <c r="V22" s="215">
        <v>16.454309191396312</v>
      </c>
      <c r="W22" s="225">
        <v>15</v>
      </c>
      <c r="X22" s="225">
        <v>-0.54</v>
      </c>
      <c r="Y22" s="175">
        <f t="shared" si="11"/>
        <v>14.46</v>
      </c>
      <c r="Z22" s="168"/>
      <c r="AA22" s="168"/>
      <c r="AB22" s="332"/>
      <c r="AC22" s="330"/>
      <c r="AD22" s="330"/>
      <c r="AE22" s="123" t="s">
        <v>122</v>
      </c>
      <c r="AF22" s="224"/>
      <c r="AG22" s="123">
        <f t="shared" si="12"/>
        <v>0</v>
      </c>
      <c r="AH22" s="210">
        <v>14.5</v>
      </c>
      <c r="AI22" s="210">
        <v>15.99250288475648</v>
      </c>
      <c r="AJ22" s="225">
        <v>15</v>
      </c>
      <c r="AK22" s="210">
        <v>-0.12</v>
      </c>
      <c r="AL22" s="175">
        <f t="shared" si="13"/>
        <v>14.88</v>
      </c>
      <c r="AM22" s="168"/>
    </row>
    <row r="23" spans="1:43" ht="24.9" customHeight="1" x14ac:dyDescent="0.25">
      <c r="A23" s="168"/>
      <c r="B23" s="344"/>
      <c r="C23" s="330"/>
      <c r="D23" s="330"/>
      <c r="E23" s="247" t="s">
        <v>147</v>
      </c>
      <c r="F23" s="224"/>
      <c r="G23" s="247">
        <f t="shared" si="8"/>
        <v>0</v>
      </c>
      <c r="H23" s="273">
        <v>9.5</v>
      </c>
      <c r="I23" s="274">
        <v>9.58</v>
      </c>
      <c r="J23" s="225">
        <v>16</v>
      </c>
      <c r="K23" s="225">
        <v>-0.3</v>
      </c>
      <c r="L23" s="271">
        <f t="shared" si="14"/>
        <v>15.7</v>
      </c>
      <c r="M23" s="276"/>
      <c r="N23" s="190"/>
      <c r="O23" s="332"/>
      <c r="P23" s="330"/>
      <c r="Q23" s="330"/>
      <c r="R23" s="123" t="s">
        <v>147</v>
      </c>
      <c r="S23" s="123">
        <f t="shared" si="9"/>
        <v>0</v>
      </c>
      <c r="T23" s="123">
        <f t="shared" si="10"/>
        <v>0</v>
      </c>
      <c r="U23" s="210">
        <v>9.5</v>
      </c>
      <c r="V23" s="215">
        <v>10.346451860663203</v>
      </c>
      <c r="W23" s="225">
        <v>16</v>
      </c>
      <c r="X23" s="225">
        <v>-0.54</v>
      </c>
      <c r="Y23" s="175">
        <f t="shared" si="11"/>
        <v>15.46</v>
      </c>
      <c r="Z23" s="190"/>
      <c r="AA23" s="168"/>
      <c r="AB23" s="332"/>
      <c r="AC23" s="330"/>
      <c r="AD23" s="330"/>
      <c r="AE23" s="123" t="s">
        <v>147</v>
      </c>
      <c r="AF23" s="224"/>
      <c r="AG23" s="123">
        <f t="shared" si="12"/>
        <v>0</v>
      </c>
      <c r="AH23" s="210">
        <v>9.5</v>
      </c>
      <c r="AI23" s="210">
        <v>10.542455128529291</v>
      </c>
      <c r="AJ23" s="225">
        <v>16</v>
      </c>
      <c r="AK23" s="210">
        <v>-0.12</v>
      </c>
      <c r="AL23" s="175">
        <f t="shared" si="13"/>
        <v>15.88</v>
      </c>
      <c r="AM23" s="168"/>
    </row>
    <row r="24" spans="1:43" ht="24.9" customHeight="1" x14ac:dyDescent="0.25">
      <c r="A24" s="168"/>
      <c r="B24" s="344"/>
      <c r="C24" s="330"/>
      <c r="D24" s="330"/>
      <c r="E24" s="247" t="s">
        <v>161</v>
      </c>
      <c r="F24" s="224"/>
      <c r="G24" s="247">
        <f t="shared" si="8"/>
        <v>0</v>
      </c>
      <c r="H24" s="273">
        <v>11.5</v>
      </c>
      <c r="I24" s="274">
        <v>10.95</v>
      </c>
      <c r="J24" s="225">
        <v>15</v>
      </c>
      <c r="K24" s="225">
        <v>-0.3</v>
      </c>
      <c r="L24" s="271">
        <f t="shared" si="14"/>
        <v>14.7</v>
      </c>
      <c r="M24" s="276"/>
      <c r="N24" s="190"/>
      <c r="O24" s="332"/>
      <c r="P24" s="330"/>
      <c r="Q24" s="330"/>
      <c r="R24" s="123" t="s">
        <v>161</v>
      </c>
      <c r="S24" s="123">
        <f t="shared" si="9"/>
        <v>0</v>
      </c>
      <c r="T24" s="123">
        <f t="shared" si="10"/>
        <v>0</v>
      </c>
      <c r="U24" s="210">
        <v>11.5</v>
      </c>
      <c r="V24" s="215">
        <v>11.241043059020805</v>
      </c>
      <c r="W24" s="225">
        <v>15</v>
      </c>
      <c r="X24" s="225">
        <v>-0.54</v>
      </c>
      <c r="Y24" s="175">
        <f t="shared" si="11"/>
        <v>14.46</v>
      </c>
      <c r="Z24" s="190"/>
      <c r="AA24" s="168"/>
      <c r="AB24" s="332"/>
      <c r="AC24" s="330"/>
      <c r="AD24" s="330"/>
      <c r="AE24" s="123" t="s">
        <v>161</v>
      </c>
      <c r="AF24" s="224"/>
      <c r="AG24" s="123">
        <f t="shared" si="12"/>
        <v>0</v>
      </c>
      <c r="AH24" s="210">
        <v>11.5</v>
      </c>
      <c r="AI24" s="210">
        <v>11.441664975565995</v>
      </c>
      <c r="AJ24" s="225">
        <v>15</v>
      </c>
      <c r="AK24" s="210">
        <v>-0.12</v>
      </c>
      <c r="AL24" s="175">
        <f t="shared" si="13"/>
        <v>14.88</v>
      </c>
      <c r="AM24" s="168"/>
    </row>
    <row r="25" spans="1:43" ht="24.9" customHeight="1" x14ac:dyDescent="0.25">
      <c r="A25" s="168"/>
      <c r="B25" s="344"/>
      <c r="C25" s="330"/>
      <c r="D25" s="330"/>
      <c r="E25" s="247" t="s">
        <v>159</v>
      </c>
      <c r="F25" s="247" t="s">
        <v>162</v>
      </c>
      <c r="G25" s="247">
        <f t="shared" si="8"/>
        <v>0</v>
      </c>
      <c r="H25" s="273">
        <v>14.5</v>
      </c>
      <c r="I25" s="274">
        <v>15.11</v>
      </c>
      <c r="J25" s="225">
        <v>15</v>
      </c>
      <c r="K25" s="225">
        <v>-0.3</v>
      </c>
      <c r="L25" s="271">
        <f t="shared" si="14"/>
        <v>14.7</v>
      </c>
      <c r="M25" s="276"/>
      <c r="N25" s="190"/>
      <c r="O25" s="332"/>
      <c r="P25" s="330"/>
      <c r="Q25" s="330"/>
      <c r="R25" s="123" t="s">
        <v>159</v>
      </c>
      <c r="S25" s="123" t="str">
        <f t="shared" si="9"/>
        <v>X</v>
      </c>
      <c r="T25" s="123">
        <f t="shared" si="10"/>
        <v>0</v>
      </c>
      <c r="U25" s="210">
        <v>14.5</v>
      </c>
      <c r="V25" s="215">
        <v>16.063471189492592</v>
      </c>
      <c r="W25" s="225">
        <v>15</v>
      </c>
      <c r="X25" s="225">
        <v>-0.54</v>
      </c>
      <c r="Y25" s="175">
        <f t="shared" si="11"/>
        <v>14.46</v>
      </c>
      <c r="Z25" s="190"/>
      <c r="AA25" s="168"/>
      <c r="AB25" s="332"/>
      <c r="AC25" s="330"/>
      <c r="AD25" s="330"/>
      <c r="AE25" s="123" t="s">
        <v>159</v>
      </c>
      <c r="AF25" s="123" t="s">
        <v>162</v>
      </c>
      <c r="AG25" s="123">
        <f t="shared" si="12"/>
        <v>0</v>
      </c>
      <c r="AH25" s="210">
        <v>14.5</v>
      </c>
      <c r="AI25" s="210">
        <v>15.337219758256817</v>
      </c>
      <c r="AJ25" s="225">
        <v>15</v>
      </c>
      <c r="AK25" s="210">
        <v>-0.12</v>
      </c>
      <c r="AL25" s="175">
        <f t="shared" si="13"/>
        <v>14.88</v>
      </c>
      <c r="AM25" s="168"/>
    </row>
    <row r="26" spans="1:43" ht="24.9" customHeight="1" x14ac:dyDescent="0.25">
      <c r="A26" s="168"/>
      <c r="B26" s="344"/>
      <c r="C26" s="330">
        <v>5270</v>
      </c>
      <c r="D26" s="330">
        <v>54</v>
      </c>
      <c r="E26" s="247" t="s">
        <v>146</v>
      </c>
      <c r="F26" s="247">
        <f t="shared" ref="F26:F37" si="15">F20</f>
        <v>0</v>
      </c>
      <c r="G26" s="247">
        <f t="shared" si="8"/>
        <v>0</v>
      </c>
      <c r="H26" s="273">
        <v>15.5</v>
      </c>
      <c r="I26" s="274">
        <v>15.36</v>
      </c>
      <c r="J26" s="225">
        <v>10</v>
      </c>
      <c r="K26" s="225">
        <v>-0.3</v>
      </c>
      <c r="L26" s="271">
        <f t="shared" si="14"/>
        <v>9.6999999999999993</v>
      </c>
      <c r="M26" s="276"/>
      <c r="N26" s="168"/>
      <c r="O26" s="332"/>
      <c r="P26" s="330">
        <v>5590</v>
      </c>
      <c r="Q26" s="330">
        <v>118</v>
      </c>
      <c r="R26" s="123" t="s">
        <v>146</v>
      </c>
      <c r="S26" s="123">
        <f t="shared" si="9"/>
        <v>0</v>
      </c>
      <c r="T26" s="123">
        <f t="shared" si="10"/>
        <v>0</v>
      </c>
      <c r="U26" s="210">
        <v>15.5</v>
      </c>
      <c r="V26" s="215">
        <v>15.432029874988306</v>
      </c>
      <c r="W26" s="225">
        <v>10</v>
      </c>
      <c r="X26" s="225">
        <v>-0.54</v>
      </c>
      <c r="Y26" s="175">
        <f t="shared" si="11"/>
        <v>9.4600000000000009</v>
      </c>
      <c r="Z26" s="190"/>
      <c r="AA26" s="168"/>
      <c r="AB26" s="332"/>
      <c r="AC26" s="330">
        <v>5795</v>
      </c>
      <c r="AD26" s="330">
        <v>159</v>
      </c>
      <c r="AE26" s="123" t="s">
        <v>146</v>
      </c>
      <c r="AF26" s="123">
        <f t="shared" ref="AF26:AF31" si="16">AF20</f>
        <v>0</v>
      </c>
      <c r="AG26" s="123">
        <f t="shared" si="12"/>
        <v>0</v>
      </c>
      <c r="AH26" s="210">
        <v>15.5</v>
      </c>
      <c r="AI26" s="210">
        <v>15.976340467295636</v>
      </c>
      <c r="AJ26" s="225">
        <v>10</v>
      </c>
      <c r="AK26" s="210">
        <v>-0.12</v>
      </c>
      <c r="AL26" s="175">
        <f t="shared" si="13"/>
        <v>9.8800000000000008</v>
      </c>
      <c r="AM26" s="168"/>
    </row>
    <row r="27" spans="1:43" ht="24.9" customHeight="1" x14ac:dyDescent="0.25">
      <c r="A27" s="168"/>
      <c r="B27" s="344"/>
      <c r="C27" s="330"/>
      <c r="D27" s="330"/>
      <c r="E27" s="247" t="s">
        <v>120</v>
      </c>
      <c r="F27" s="247">
        <f t="shared" si="15"/>
        <v>0</v>
      </c>
      <c r="G27" s="247">
        <f t="shared" si="8"/>
        <v>0</v>
      </c>
      <c r="H27" s="273">
        <v>14.5</v>
      </c>
      <c r="I27" s="274">
        <v>14.04</v>
      </c>
      <c r="J27" s="225">
        <v>12</v>
      </c>
      <c r="K27" s="225">
        <v>-0.3</v>
      </c>
      <c r="L27" s="271">
        <f t="shared" si="14"/>
        <v>11.7</v>
      </c>
      <c r="M27" s="276"/>
      <c r="N27" s="168"/>
      <c r="O27" s="332"/>
      <c r="P27" s="330"/>
      <c r="Q27" s="330"/>
      <c r="R27" s="123" t="s">
        <v>120</v>
      </c>
      <c r="S27" s="123">
        <f t="shared" si="9"/>
        <v>0</v>
      </c>
      <c r="T27" s="123">
        <f t="shared" si="10"/>
        <v>0</v>
      </c>
      <c r="U27" s="210">
        <v>14.5</v>
      </c>
      <c r="V27" s="215">
        <v>14.093915983192396</v>
      </c>
      <c r="W27" s="225">
        <v>12</v>
      </c>
      <c r="X27" s="225">
        <v>-0.54</v>
      </c>
      <c r="Y27" s="175">
        <f t="shared" si="11"/>
        <v>11.46</v>
      </c>
      <c r="Z27" s="190"/>
      <c r="AA27" s="168"/>
      <c r="AB27" s="332"/>
      <c r="AC27" s="330"/>
      <c r="AD27" s="330"/>
      <c r="AE27" s="123" t="s">
        <v>120</v>
      </c>
      <c r="AF27" s="123">
        <f t="shared" si="16"/>
        <v>0</v>
      </c>
      <c r="AG27" s="123">
        <f t="shared" si="12"/>
        <v>0</v>
      </c>
      <c r="AH27" s="210">
        <v>14.5</v>
      </c>
      <c r="AI27" s="210">
        <v>15.016556877667036</v>
      </c>
      <c r="AJ27" s="225">
        <v>12</v>
      </c>
      <c r="AK27" s="210">
        <v>-0.12</v>
      </c>
      <c r="AL27" s="175">
        <f t="shared" si="13"/>
        <v>11.88</v>
      </c>
      <c r="AM27" s="168"/>
    </row>
    <row r="28" spans="1:43" ht="24.9" customHeight="1" x14ac:dyDescent="0.25">
      <c r="A28" s="168"/>
      <c r="B28" s="344"/>
      <c r="C28" s="330"/>
      <c r="D28" s="330"/>
      <c r="E28" s="247" t="s">
        <v>122</v>
      </c>
      <c r="F28" s="247">
        <f t="shared" si="15"/>
        <v>0</v>
      </c>
      <c r="G28" s="247">
        <f t="shared" si="8"/>
        <v>0</v>
      </c>
      <c r="H28" s="273">
        <v>14.5</v>
      </c>
      <c r="I28" s="275">
        <v>14.38</v>
      </c>
      <c r="J28" s="225">
        <v>15</v>
      </c>
      <c r="K28" s="225">
        <v>-0.3</v>
      </c>
      <c r="L28" s="271">
        <f t="shared" si="14"/>
        <v>14.7</v>
      </c>
      <c r="M28" s="276"/>
      <c r="N28" s="168"/>
      <c r="O28" s="332"/>
      <c r="P28" s="330"/>
      <c r="Q28" s="330"/>
      <c r="R28" s="123" t="s">
        <v>122</v>
      </c>
      <c r="S28" s="123">
        <f t="shared" si="9"/>
        <v>0</v>
      </c>
      <c r="T28" s="123">
        <f t="shared" si="10"/>
        <v>0</v>
      </c>
      <c r="U28" s="210">
        <v>14.5</v>
      </c>
      <c r="V28" s="215">
        <v>14.544795889915489</v>
      </c>
      <c r="W28" s="225">
        <v>15</v>
      </c>
      <c r="X28" s="225">
        <v>-0.54</v>
      </c>
      <c r="Y28" s="175">
        <f t="shared" si="11"/>
        <v>14.46</v>
      </c>
      <c r="Z28" s="168"/>
      <c r="AA28" s="168"/>
      <c r="AB28" s="332"/>
      <c r="AC28" s="330"/>
      <c r="AD28" s="330"/>
      <c r="AE28" s="123" t="s">
        <v>122</v>
      </c>
      <c r="AF28" s="123">
        <f t="shared" si="16"/>
        <v>0</v>
      </c>
      <c r="AG28" s="123">
        <f t="shared" si="12"/>
        <v>0</v>
      </c>
      <c r="AH28" s="210">
        <v>14.5</v>
      </c>
      <c r="AI28" s="210">
        <v>14.610507318336857</v>
      </c>
      <c r="AJ28" s="225">
        <v>15</v>
      </c>
      <c r="AK28" s="210">
        <v>-0.12</v>
      </c>
      <c r="AL28" s="175">
        <f t="shared" si="13"/>
        <v>14.88</v>
      </c>
      <c r="AM28" s="168"/>
    </row>
    <row r="29" spans="1:43" ht="24.9" customHeight="1" x14ac:dyDescent="0.25">
      <c r="A29" s="168"/>
      <c r="B29" s="344"/>
      <c r="C29" s="330"/>
      <c r="D29" s="330"/>
      <c r="E29" s="247" t="s">
        <v>147</v>
      </c>
      <c r="F29" s="247">
        <f t="shared" si="15"/>
        <v>0</v>
      </c>
      <c r="G29" s="247">
        <f t="shared" si="8"/>
        <v>0</v>
      </c>
      <c r="H29" s="273">
        <v>9.5</v>
      </c>
      <c r="I29" s="274">
        <v>9.26</v>
      </c>
      <c r="J29" s="225">
        <v>16</v>
      </c>
      <c r="K29" s="225">
        <v>-0.3</v>
      </c>
      <c r="L29" s="271">
        <f t="shared" si="14"/>
        <v>15.7</v>
      </c>
      <c r="M29" s="276"/>
      <c r="N29" s="168"/>
      <c r="O29" s="332"/>
      <c r="P29" s="330"/>
      <c r="Q29" s="330"/>
      <c r="R29" s="123" t="s">
        <v>147</v>
      </c>
      <c r="S29" s="123">
        <f t="shared" si="9"/>
        <v>0</v>
      </c>
      <c r="T29" s="123">
        <f t="shared" si="10"/>
        <v>0</v>
      </c>
      <c r="U29" s="210">
        <v>9.5</v>
      </c>
      <c r="V29" s="215">
        <v>10.10496991490481</v>
      </c>
      <c r="W29" s="225">
        <v>16</v>
      </c>
      <c r="X29" s="225">
        <v>-0.54</v>
      </c>
      <c r="Y29" s="175">
        <f t="shared" si="11"/>
        <v>15.46</v>
      </c>
      <c r="Z29" s="168"/>
      <c r="AA29" s="168"/>
      <c r="AB29" s="332"/>
      <c r="AC29" s="330"/>
      <c r="AD29" s="330"/>
      <c r="AE29" s="123" t="s">
        <v>147</v>
      </c>
      <c r="AF29" s="123">
        <f t="shared" si="16"/>
        <v>0</v>
      </c>
      <c r="AG29" s="123">
        <f t="shared" si="12"/>
        <v>0</v>
      </c>
      <c r="AH29" s="210">
        <v>9.5</v>
      </c>
      <c r="AI29" s="210">
        <v>9.7374436916630298</v>
      </c>
      <c r="AJ29" s="225">
        <v>16</v>
      </c>
      <c r="AK29" s="210">
        <v>-0.12</v>
      </c>
      <c r="AL29" s="175">
        <f t="shared" si="13"/>
        <v>15.88</v>
      </c>
      <c r="AM29" s="168"/>
    </row>
    <row r="30" spans="1:43" ht="24.9" customHeight="1" x14ac:dyDescent="0.25">
      <c r="A30" s="168"/>
      <c r="B30" s="344"/>
      <c r="C30" s="330"/>
      <c r="D30" s="330"/>
      <c r="E30" s="247" t="s">
        <v>161</v>
      </c>
      <c r="F30" s="247">
        <f t="shared" si="15"/>
        <v>0</v>
      </c>
      <c r="G30" s="247">
        <f t="shared" si="8"/>
        <v>0</v>
      </c>
      <c r="H30" s="273">
        <v>11.5</v>
      </c>
      <c r="I30" s="274">
        <v>11.09</v>
      </c>
      <c r="J30" s="225">
        <v>15</v>
      </c>
      <c r="K30" s="225">
        <v>-0.3</v>
      </c>
      <c r="L30" s="271">
        <f t="shared" si="14"/>
        <v>14.7</v>
      </c>
      <c r="M30" s="276"/>
      <c r="N30" s="168"/>
      <c r="O30" s="332"/>
      <c r="P30" s="330"/>
      <c r="Q30" s="330"/>
      <c r="R30" s="123" t="s">
        <v>161</v>
      </c>
      <c r="S30" s="123">
        <f t="shared" si="9"/>
        <v>0</v>
      </c>
      <c r="T30" s="123">
        <f t="shared" si="10"/>
        <v>0</v>
      </c>
      <c r="U30" s="210">
        <v>11.5</v>
      </c>
      <c r="V30" s="215">
        <v>11.850732593573396</v>
      </c>
      <c r="W30" s="225">
        <v>15</v>
      </c>
      <c r="X30" s="225">
        <v>-0.54</v>
      </c>
      <c r="Y30" s="175">
        <f t="shared" si="11"/>
        <v>14.46</v>
      </c>
      <c r="Z30" s="168"/>
      <c r="AA30" s="168"/>
      <c r="AB30" s="332"/>
      <c r="AC30" s="330"/>
      <c r="AD30" s="330"/>
      <c r="AE30" s="123" t="s">
        <v>161</v>
      </c>
      <c r="AF30" s="123">
        <f t="shared" si="16"/>
        <v>0</v>
      </c>
      <c r="AG30" s="123">
        <f t="shared" si="12"/>
        <v>0</v>
      </c>
      <c r="AH30" s="210">
        <v>11.5</v>
      </c>
      <c r="AI30" s="210">
        <v>11.747353712005902</v>
      </c>
      <c r="AJ30" s="225">
        <v>15</v>
      </c>
      <c r="AK30" s="210">
        <v>-0.12</v>
      </c>
      <c r="AL30" s="175">
        <f t="shared" si="13"/>
        <v>14.88</v>
      </c>
      <c r="AM30" s="168"/>
    </row>
    <row r="31" spans="1:43" ht="24.9" customHeight="1" thickBot="1" x14ac:dyDescent="0.3">
      <c r="A31" s="168"/>
      <c r="B31" s="344"/>
      <c r="C31" s="330"/>
      <c r="D31" s="330"/>
      <c r="E31" s="247" t="s">
        <v>159</v>
      </c>
      <c r="F31" s="247" t="str">
        <f t="shared" si="15"/>
        <v>X</v>
      </c>
      <c r="G31" s="247">
        <f t="shared" si="8"/>
        <v>0</v>
      </c>
      <c r="H31" s="273">
        <v>14.5</v>
      </c>
      <c r="I31" s="274">
        <v>15.06</v>
      </c>
      <c r="J31" s="225">
        <v>15</v>
      </c>
      <c r="K31" s="225">
        <v>-0.3</v>
      </c>
      <c r="L31" s="271">
        <f t="shared" si="14"/>
        <v>14.7</v>
      </c>
      <c r="M31" s="276"/>
      <c r="N31" s="168"/>
      <c r="O31" s="332"/>
      <c r="P31" s="330"/>
      <c r="Q31" s="330"/>
      <c r="R31" s="123" t="s">
        <v>159</v>
      </c>
      <c r="S31" s="123" t="str">
        <f t="shared" si="9"/>
        <v>X</v>
      </c>
      <c r="T31" s="123">
        <f t="shared" si="10"/>
        <v>0</v>
      </c>
      <c r="U31" s="210">
        <v>14.5</v>
      </c>
      <c r="V31" s="215">
        <v>15.724819103933003</v>
      </c>
      <c r="W31" s="225">
        <v>15</v>
      </c>
      <c r="X31" s="225">
        <v>-0.54</v>
      </c>
      <c r="Y31" s="175">
        <f t="shared" si="11"/>
        <v>14.46</v>
      </c>
      <c r="Z31" s="168"/>
      <c r="AA31" s="168"/>
      <c r="AB31" s="333"/>
      <c r="AC31" s="331"/>
      <c r="AD31" s="331"/>
      <c r="AE31" s="125" t="s">
        <v>159</v>
      </c>
      <c r="AF31" s="125" t="str">
        <f t="shared" si="16"/>
        <v>X</v>
      </c>
      <c r="AG31" s="125">
        <f t="shared" si="12"/>
        <v>0</v>
      </c>
      <c r="AH31" s="210">
        <v>14.5</v>
      </c>
      <c r="AI31" s="213">
        <v>16.023440274337784</v>
      </c>
      <c r="AJ31" s="225">
        <v>15</v>
      </c>
      <c r="AK31" s="210">
        <v>-0.12</v>
      </c>
      <c r="AL31" s="176">
        <f t="shared" si="13"/>
        <v>14.88</v>
      </c>
      <c r="AM31" s="168"/>
    </row>
    <row r="32" spans="1:43" ht="28.2" thickBot="1" x14ac:dyDescent="0.3">
      <c r="A32" s="168"/>
      <c r="B32" s="344"/>
      <c r="C32" s="330">
        <v>5310</v>
      </c>
      <c r="D32" s="330">
        <v>62</v>
      </c>
      <c r="E32" s="247" t="s">
        <v>146</v>
      </c>
      <c r="F32" s="247">
        <f t="shared" si="15"/>
        <v>0</v>
      </c>
      <c r="G32" s="247">
        <f t="shared" si="8"/>
        <v>0</v>
      </c>
      <c r="H32" s="273">
        <v>15.5</v>
      </c>
      <c r="I32" s="274">
        <v>15.77</v>
      </c>
      <c r="J32" s="225">
        <v>10</v>
      </c>
      <c r="K32" s="225">
        <v>-0.3</v>
      </c>
      <c r="L32" s="271">
        <f t="shared" si="14"/>
        <v>9.6999999999999993</v>
      </c>
      <c r="M32" s="276"/>
      <c r="N32" s="168"/>
      <c r="O32" s="332"/>
      <c r="P32" s="330">
        <v>5670</v>
      </c>
      <c r="Q32" s="330">
        <v>134</v>
      </c>
      <c r="R32" s="123" t="s">
        <v>146</v>
      </c>
      <c r="S32" s="123">
        <f t="shared" si="9"/>
        <v>0</v>
      </c>
      <c r="T32" s="123">
        <f t="shared" si="10"/>
        <v>0</v>
      </c>
      <c r="U32" s="210">
        <v>15.5</v>
      </c>
      <c r="V32" s="215">
        <v>16.336844119683651</v>
      </c>
      <c r="W32" s="225">
        <v>10</v>
      </c>
      <c r="X32" s="225">
        <v>-0.54</v>
      </c>
      <c r="Y32" s="175">
        <f t="shared" si="11"/>
        <v>9.4600000000000009</v>
      </c>
      <c r="Z32" s="168"/>
      <c r="AA32" s="174" t="s">
        <v>139</v>
      </c>
      <c r="AB32" s="278" t="s">
        <v>168</v>
      </c>
      <c r="AC32" s="345">
        <v>5775</v>
      </c>
      <c r="AD32" s="345">
        <v>155</v>
      </c>
      <c r="AE32" s="192" t="s">
        <v>118</v>
      </c>
      <c r="AF32" s="245"/>
      <c r="AG32" s="193">
        <f t="shared" ref="AG32:AG38" si="17">$AA$33</f>
        <v>0</v>
      </c>
      <c r="AH32" s="210">
        <v>15.5</v>
      </c>
      <c r="AI32" s="220">
        <v>16.588076181557572</v>
      </c>
      <c r="AJ32" s="225">
        <v>10</v>
      </c>
      <c r="AK32" s="210">
        <v>-0.12</v>
      </c>
      <c r="AL32" s="175">
        <f>AJ32+AK32</f>
        <v>9.8800000000000008</v>
      </c>
      <c r="AM32" s="185"/>
    </row>
    <row r="33" spans="1:39" ht="24.9" customHeight="1" thickBot="1" x14ac:dyDescent="0.3">
      <c r="A33" s="168"/>
      <c r="B33" s="344"/>
      <c r="C33" s="330"/>
      <c r="D33" s="330"/>
      <c r="E33" s="247" t="s">
        <v>120</v>
      </c>
      <c r="F33" s="247">
        <f t="shared" si="15"/>
        <v>0</v>
      </c>
      <c r="G33" s="247">
        <f t="shared" si="8"/>
        <v>0</v>
      </c>
      <c r="H33" s="273">
        <v>14.5</v>
      </c>
      <c r="I33" s="274">
        <v>13.91</v>
      </c>
      <c r="J33" s="225">
        <v>12</v>
      </c>
      <c r="K33" s="225">
        <v>-0.3</v>
      </c>
      <c r="L33" s="271">
        <f t="shared" si="14"/>
        <v>11.7</v>
      </c>
      <c r="M33" s="276"/>
      <c r="N33" s="168"/>
      <c r="O33" s="332"/>
      <c r="P33" s="330"/>
      <c r="Q33" s="330"/>
      <c r="R33" s="123" t="s">
        <v>120</v>
      </c>
      <c r="S33" s="123">
        <f t="shared" si="9"/>
        <v>0</v>
      </c>
      <c r="T33" s="123">
        <f t="shared" si="10"/>
        <v>0</v>
      </c>
      <c r="U33" s="210">
        <v>14.5</v>
      </c>
      <c r="V33" s="215">
        <v>14.148428873098512</v>
      </c>
      <c r="W33" s="225">
        <v>12</v>
      </c>
      <c r="X33" s="225">
        <v>-0.54</v>
      </c>
      <c r="Y33" s="175">
        <f t="shared" si="11"/>
        <v>11.46</v>
      </c>
      <c r="Z33" s="168"/>
      <c r="AA33" s="227"/>
      <c r="AB33" s="348"/>
      <c r="AC33" s="346"/>
      <c r="AD33" s="346"/>
      <c r="AE33" s="192" t="s">
        <v>121</v>
      </c>
      <c r="AF33" s="245"/>
      <c r="AG33" s="193">
        <f t="shared" si="17"/>
        <v>0</v>
      </c>
      <c r="AH33" s="210">
        <v>14.5</v>
      </c>
      <c r="AI33" s="220">
        <v>14.713942845254447</v>
      </c>
      <c r="AJ33" s="225">
        <v>12</v>
      </c>
      <c r="AK33" s="210">
        <v>-0.12</v>
      </c>
      <c r="AL33" s="175">
        <f>AJ33+AK33</f>
        <v>11.88</v>
      </c>
      <c r="AM33" s="185"/>
    </row>
    <row r="34" spans="1:39" ht="24.9" customHeight="1" x14ac:dyDescent="0.25">
      <c r="A34" s="168"/>
      <c r="B34" s="344"/>
      <c r="C34" s="330"/>
      <c r="D34" s="330"/>
      <c r="E34" s="247" t="s">
        <v>122</v>
      </c>
      <c r="F34" s="247">
        <f t="shared" si="15"/>
        <v>0</v>
      </c>
      <c r="G34" s="247">
        <f t="shared" si="8"/>
        <v>0</v>
      </c>
      <c r="H34" s="273">
        <v>14.5</v>
      </c>
      <c r="I34" s="275">
        <v>14.16</v>
      </c>
      <c r="J34" s="225">
        <v>15</v>
      </c>
      <c r="K34" s="225">
        <v>-0.3</v>
      </c>
      <c r="L34" s="271">
        <f t="shared" si="14"/>
        <v>14.7</v>
      </c>
      <c r="M34" s="276"/>
      <c r="N34" s="168"/>
      <c r="O34" s="332"/>
      <c r="P34" s="330"/>
      <c r="Q34" s="330"/>
      <c r="R34" s="123" t="s">
        <v>122</v>
      </c>
      <c r="S34" s="123">
        <f t="shared" si="9"/>
        <v>0</v>
      </c>
      <c r="T34" s="123">
        <f t="shared" si="10"/>
        <v>0</v>
      </c>
      <c r="U34" s="210">
        <v>14.5</v>
      </c>
      <c r="V34" s="215">
        <v>15.090400548359909</v>
      </c>
      <c r="W34" s="225">
        <v>15</v>
      </c>
      <c r="X34" s="225">
        <v>-0.54</v>
      </c>
      <c r="Y34" s="175">
        <f t="shared" si="11"/>
        <v>14.46</v>
      </c>
      <c r="Z34" s="168"/>
      <c r="AA34" s="168"/>
      <c r="AB34" s="348"/>
      <c r="AC34" s="346"/>
      <c r="AD34" s="346"/>
      <c r="AE34" s="192" t="s">
        <v>123</v>
      </c>
      <c r="AF34" s="245"/>
      <c r="AG34" s="193">
        <f t="shared" si="17"/>
        <v>0</v>
      </c>
      <c r="AH34" s="210">
        <v>14.5</v>
      </c>
      <c r="AI34" s="220">
        <v>14.527110077662721</v>
      </c>
      <c r="AJ34" s="225">
        <v>15</v>
      </c>
      <c r="AK34" s="210">
        <v>-0.12</v>
      </c>
      <c r="AL34" s="175">
        <f>AJ34+AK34</f>
        <v>14.88</v>
      </c>
      <c r="AM34" s="185"/>
    </row>
    <row r="35" spans="1:39" ht="24.9" customHeight="1" x14ac:dyDescent="0.25">
      <c r="A35" s="168"/>
      <c r="B35" s="344"/>
      <c r="C35" s="330"/>
      <c r="D35" s="330"/>
      <c r="E35" s="247" t="s">
        <v>147</v>
      </c>
      <c r="F35" s="247">
        <f t="shared" si="15"/>
        <v>0</v>
      </c>
      <c r="G35" s="247">
        <f t="shared" si="8"/>
        <v>0</v>
      </c>
      <c r="H35" s="273">
        <v>9.5</v>
      </c>
      <c r="I35" s="274">
        <v>9.1199999999999992</v>
      </c>
      <c r="J35" s="225">
        <v>16</v>
      </c>
      <c r="K35" s="225">
        <v>-0.3</v>
      </c>
      <c r="L35" s="271">
        <f t="shared" si="14"/>
        <v>15.7</v>
      </c>
      <c r="M35" s="276"/>
      <c r="N35" s="168"/>
      <c r="O35" s="332"/>
      <c r="P35" s="330"/>
      <c r="Q35" s="330"/>
      <c r="R35" s="123" t="s">
        <v>147</v>
      </c>
      <c r="S35" s="123">
        <f t="shared" si="9"/>
        <v>0</v>
      </c>
      <c r="T35" s="123">
        <f t="shared" si="10"/>
        <v>0</v>
      </c>
      <c r="U35" s="210">
        <v>9.5</v>
      </c>
      <c r="V35" s="215">
        <v>9.9115649025585419</v>
      </c>
      <c r="W35" s="225">
        <v>16</v>
      </c>
      <c r="X35" s="225">
        <v>-0.54</v>
      </c>
      <c r="Y35" s="175">
        <f t="shared" si="11"/>
        <v>15.46</v>
      </c>
      <c r="Z35" s="168"/>
      <c r="AA35" s="168"/>
      <c r="AB35" s="348"/>
      <c r="AC35" s="346"/>
      <c r="AD35" s="346"/>
      <c r="AE35" s="192" t="s">
        <v>147</v>
      </c>
      <c r="AF35" s="245"/>
      <c r="AG35" s="193">
        <f t="shared" si="17"/>
        <v>0</v>
      </c>
      <c r="AH35" s="210">
        <v>9.5</v>
      </c>
      <c r="AI35" s="220">
        <v>9.7192704567802224</v>
      </c>
      <c r="AJ35" s="225">
        <v>16</v>
      </c>
      <c r="AK35" s="210">
        <v>-0.12</v>
      </c>
      <c r="AL35" s="175">
        <f>AJ35+AK35</f>
        <v>15.88</v>
      </c>
      <c r="AM35" s="185"/>
    </row>
    <row r="36" spans="1:39" ht="24.9" customHeight="1" x14ac:dyDescent="0.25">
      <c r="A36" s="168"/>
      <c r="B36" s="344"/>
      <c r="C36" s="330"/>
      <c r="D36" s="330"/>
      <c r="E36" s="247" t="s">
        <v>161</v>
      </c>
      <c r="F36" s="247">
        <f t="shared" si="15"/>
        <v>0</v>
      </c>
      <c r="G36" s="247">
        <f t="shared" si="8"/>
        <v>0</v>
      </c>
      <c r="H36" s="273">
        <v>11.5</v>
      </c>
      <c r="I36" s="274">
        <v>10.85</v>
      </c>
      <c r="J36" s="225">
        <v>15</v>
      </c>
      <c r="K36" s="225">
        <v>-0.3</v>
      </c>
      <c r="L36" s="271">
        <f t="shared" si="14"/>
        <v>14.7</v>
      </c>
      <c r="M36" s="276"/>
      <c r="N36" s="168"/>
      <c r="O36" s="332"/>
      <c r="P36" s="330"/>
      <c r="Q36" s="330"/>
      <c r="R36" s="123" t="s">
        <v>161</v>
      </c>
      <c r="S36" s="123">
        <f t="shared" si="9"/>
        <v>0</v>
      </c>
      <c r="T36" s="123">
        <f t="shared" si="10"/>
        <v>0</v>
      </c>
      <c r="U36" s="210">
        <v>11.5</v>
      </c>
      <c r="V36" s="215">
        <v>11.736105650534123</v>
      </c>
      <c r="W36" s="225">
        <v>15</v>
      </c>
      <c r="X36" s="225">
        <v>-0.54</v>
      </c>
      <c r="Y36" s="175">
        <f t="shared" si="11"/>
        <v>14.46</v>
      </c>
      <c r="Z36" s="168"/>
      <c r="AA36" s="168"/>
      <c r="AB36" s="348"/>
      <c r="AC36" s="346"/>
      <c r="AD36" s="346"/>
      <c r="AE36" s="192" t="s">
        <v>161</v>
      </c>
      <c r="AF36" s="245"/>
      <c r="AG36" s="193">
        <f t="shared" si="17"/>
        <v>0</v>
      </c>
      <c r="AH36" s="210">
        <v>11.5</v>
      </c>
      <c r="AI36" s="220">
        <v>11.784361324872119</v>
      </c>
      <c r="AJ36" s="225">
        <v>15</v>
      </c>
      <c r="AK36" s="210">
        <v>-0.12</v>
      </c>
      <c r="AL36" s="175">
        <f>AJ36+AK36</f>
        <v>14.88</v>
      </c>
      <c r="AM36" s="185"/>
    </row>
    <row r="37" spans="1:39" ht="24.9" customHeight="1" thickBot="1" x14ac:dyDescent="0.3">
      <c r="A37" s="168"/>
      <c r="B37" s="344"/>
      <c r="C37" s="330"/>
      <c r="D37" s="330"/>
      <c r="E37" s="247" t="s">
        <v>159</v>
      </c>
      <c r="F37" s="247" t="str">
        <f t="shared" si="15"/>
        <v>X</v>
      </c>
      <c r="G37" s="247">
        <f t="shared" si="8"/>
        <v>0</v>
      </c>
      <c r="H37" s="273">
        <v>14.5</v>
      </c>
      <c r="I37" s="274">
        <v>15.31</v>
      </c>
      <c r="J37" s="225">
        <v>15</v>
      </c>
      <c r="K37" s="225">
        <v>-0.3</v>
      </c>
      <c r="L37" s="271">
        <f t="shared" si="14"/>
        <v>14.7</v>
      </c>
      <c r="M37" s="276"/>
      <c r="N37" s="168"/>
      <c r="O37" s="333"/>
      <c r="P37" s="331"/>
      <c r="Q37" s="331"/>
      <c r="R37" s="125" t="s">
        <v>159</v>
      </c>
      <c r="S37" s="125" t="str">
        <f t="shared" si="9"/>
        <v>X</v>
      </c>
      <c r="T37" s="125">
        <f t="shared" si="10"/>
        <v>0</v>
      </c>
      <c r="U37" s="213">
        <v>14.5</v>
      </c>
      <c r="V37" s="229">
        <v>15.434996701242568</v>
      </c>
      <c r="W37" s="225">
        <v>15</v>
      </c>
      <c r="X37" s="225">
        <v>-0.54</v>
      </c>
      <c r="Y37" s="176">
        <f t="shared" si="11"/>
        <v>14.46</v>
      </c>
      <c r="Z37" s="168"/>
      <c r="AA37" s="168"/>
      <c r="AB37" s="348"/>
      <c r="AC37" s="346"/>
      <c r="AD37" s="346"/>
      <c r="AE37" s="197" t="s">
        <v>185</v>
      </c>
      <c r="AF37" s="246"/>
      <c r="AG37" s="193">
        <f t="shared" si="17"/>
        <v>0</v>
      </c>
      <c r="AH37" s="213">
        <v>14.5</v>
      </c>
      <c r="AI37" s="243">
        <v>16.049384627590307</v>
      </c>
      <c r="AJ37" s="225">
        <v>15</v>
      </c>
      <c r="AK37" s="210">
        <v>-0.12</v>
      </c>
      <c r="AL37" s="175">
        <f t="shared" ref="AL37:AL38" si="18">AJ37+AK37</f>
        <v>14.88</v>
      </c>
      <c r="AM37" s="185"/>
    </row>
    <row r="38" spans="1:39" ht="28.2" thickBot="1" x14ac:dyDescent="0.3">
      <c r="A38" s="189" t="s">
        <v>139</v>
      </c>
      <c r="B38" s="344" t="s">
        <v>166</v>
      </c>
      <c r="C38" s="330">
        <v>5210</v>
      </c>
      <c r="D38" s="330">
        <v>42</v>
      </c>
      <c r="E38" s="192" t="s">
        <v>146</v>
      </c>
      <c r="F38" s="192"/>
      <c r="G38" s="192">
        <f t="shared" ref="G38:G51" si="19">$A$39</f>
        <v>0</v>
      </c>
      <c r="H38" s="273">
        <v>15.5</v>
      </c>
      <c r="I38" s="274">
        <v>15.57</v>
      </c>
      <c r="J38" s="225">
        <v>10</v>
      </c>
      <c r="K38" s="225">
        <v>-0.3</v>
      </c>
      <c r="L38" s="271">
        <f t="shared" ref="L38:L51" si="20">J38+K38</f>
        <v>9.6999999999999993</v>
      </c>
      <c r="M38" s="276"/>
      <c r="N38" s="174" t="s">
        <v>139</v>
      </c>
      <c r="O38" s="332" t="s">
        <v>167</v>
      </c>
      <c r="P38" s="330">
        <v>5530</v>
      </c>
      <c r="Q38" s="330">
        <v>106</v>
      </c>
      <c r="R38" s="192" t="s">
        <v>118</v>
      </c>
      <c r="S38" s="192">
        <f>F38</f>
        <v>0</v>
      </c>
      <c r="T38" s="192">
        <f t="shared" ref="T38:T51" si="21">$N$39</f>
        <v>0</v>
      </c>
      <c r="U38" s="220">
        <v>15.5</v>
      </c>
      <c r="V38" s="221">
        <v>15.854653820090634</v>
      </c>
      <c r="W38" s="225">
        <v>10</v>
      </c>
      <c r="X38" s="225">
        <v>-0.54</v>
      </c>
      <c r="Y38" s="175">
        <f t="shared" ref="Y38:Y51" si="22">W38+X38</f>
        <v>9.4600000000000009</v>
      </c>
      <c r="Z38" s="168"/>
      <c r="AA38" s="168"/>
      <c r="AB38" s="349"/>
      <c r="AC38" s="347"/>
      <c r="AD38" s="347"/>
      <c r="AE38" s="194" t="s">
        <v>125</v>
      </c>
      <c r="AF38" s="194" t="s">
        <v>126</v>
      </c>
      <c r="AG38" s="195">
        <f t="shared" si="17"/>
        <v>0</v>
      </c>
      <c r="AH38" s="220">
        <v>15.5</v>
      </c>
      <c r="AI38" s="223">
        <v>15.601962940786256</v>
      </c>
      <c r="AJ38" s="225">
        <v>10</v>
      </c>
      <c r="AK38" s="210">
        <v>-0.12</v>
      </c>
      <c r="AL38" s="176">
        <f t="shared" si="18"/>
        <v>9.8800000000000008</v>
      </c>
      <c r="AM38" s="168"/>
    </row>
    <row r="39" spans="1:39" ht="24.9" customHeight="1" thickBot="1" x14ac:dyDescent="0.3">
      <c r="A39" s="240"/>
      <c r="B39" s="344"/>
      <c r="C39" s="330"/>
      <c r="D39" s="330"/>
      <c r="E39" s="192" t="s">
        <v>121</v>
      </c>
      <c r="F39" s="192"/>
      <c r="G39" s="192">
        <f t="shared" si="19"/>
        <v>0</v>
      </c>
      <c r="H39" s="273">
        <v>14.5</v>
      </c>
      <c r="I39" s="274">
        <v>14.25</v>
      </c>
      <c r="J39" s="225">
        <v>12</v>
      </c>
      <c r="K39" s="225">
        <v>-0.3</v>
      </c>
      <c r="L39" s="271">
        <f t="shared" si="20"/>
        <v>11.7</v>
      </c>
      <c r="M39" s="276"/>
      <c r="N39" s="227"/>
      <c r="O39" s="332"/>
      <c r="P39" s="330"/>
      <c r="Q39" s="330"/>
      <c r="R39" s="192" t="s">
        <v>121</v>
      </c>
      <c r="S39" s="192">
        <f t="shared" ref="S39:S51" si="23">F39</f>
        <v>0</v>
      </c>
      <c r="T39" s="192">
        <f t="shared" si="21"/>
        <v>0</v>
      </c>
      <c r="U39" s="220">
        <v>14.5</v>
      </c>
      <c r="V39" s="221">
        <v>14.366686977730875</v>
      </c>
      <c r="W39" s="225">
        <v>12</v>
      </c>
      <c r="X39" s="225">
        <v>-0.54</v>
      </c>
      <c r="Y39" s="175">
        <f t="shared" si="22"/>
        <v>11.46</v>
      </c>
      <c r="Z39" s="168"/>
      <c r="AA39" s="187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85"/>
      <c r="AM39" s="168"/>
    </row>
    <row r="40" spans="1:39" ht="24.9" customHeight="1" x14ac:dyDescent="0.25">
      <c r="A40" s="168"/>
      <c r="B40" s="344"/>
      <c r="C40" s="330"/>
      <c r="D40" s="330"/>
      <c r="E40" s="192" t="s">
        <v>123</v>
      </c>
      <c r="F40" s="192"/>
      <c r="G40" s="192">
        <f t="shared" si="19"/>
        <v>0</v>
      </c>
      <c r="H40" s="273">
        <v>14.5</v>
      </c>
      <c r="I40" s="274">
        <v>14.21</v>
      </c>
      <c r="J40" s="225">
        <v>15</v>
      </c>
      <c r="K40" s="225">
        <v>-0.3</v>
      </c>
      <c r="L40" s="271">
        <f t="shared" si="20"/>
        <v>14.7</v>
      </c>
      <c r="M40" s="276"/>
      <c r="N40" s="168"/>
      <c r="O40" s="332"/>
      <c r="P40" s="330"/>
      <c r="Q40" s="330"/>
      <c r="R40" s="192" t="s">
        <v>123</v>
      </c>
      <c r="S40" s="192">
        <f t="shared" si="23"/>
        <v>0</v>
      </c>
      <c r="T40" s="192">
        <f t="shared" si="21"/>
        <v>0</v>
      </c>
      <c r="U40" s="220">
        <v>14.5</v>
      </c>
      <c r="V40" s="221">
        <v>15.142133988428139</v>
      </c>
      <c r="W40" s="225">
        <v>15</v>
      </c>
      <c r="X40" s="225">
        <v>-0.54</v>
      </c>
      <c r="Y40" s="175">
        <f t="shared" si="22"/>
        <v>14.46</v>
      </c>
      <c r="Z40" s="168"/>
      <c r="AA40" s="196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98"/>
      <c r="AM40" s="168"/>
    </row>
    <row r="41" spans="1:39" ht="24.9" customHeight="1" x14ac:dyDescent="0.25">
      <c r="A41" s="168"/>
      <c r="B41" s="344"/>
      <c r="C41" s="330"/>
      <c r="D41" s="330"/>
      <c r="E41" s="192" t="s">
        <v>147</v>
      </c>
      <c r="F41" s="192"/>
      <c r="G41" s="192">
        <f t="shared" si="19"/>
        <v>0</v>
      </c>
      <c r="H41" s="273">
        <v>9.5</v>
      </c>
      <c r="I41" s="274">
        <v>9.07</v>
      </c>
      <c r="J41" s="225">
        <v>16</v>
      </c>
      <c r="K41" s="225">
        <v>-0.3</v>
      </c>
      <c r="L41" s="271">
        <f t="shared" si="20"/>
        <v>15.7</v>
      </c>
      <c r="M41" s="276"/>
      <c r="N41" s="190"/>
      <c r="O41" s="332"/>
      <c r="P41" s="330"/>
      <c r="Q41" s="330"/>
      <c r="R41" s="192" t="s">
        <v>147</v>
      </c>
      <c r="S41" s="192">
        <f t="shared" si="23"/>
        <v>0</v>
      </c>
      <c r="T41" s="192">
        <f t="shared" si="21"/>
        <v>0</v>
      </c>
      <c r="U41" s="220">
        <v>9.5</v>
      </c>
      <c r="V41" s="221">
        <v>9.7396289048434159</v>
      </c>
      <c r="W41" s="225">
        <v>16</v>
      </c>
      <c r="X41" s="225">
        <v>-0.54</v>
      </c>
      <c r="Y41" s="175">
        <f t="shared" si="22"/>
        <v>15.46</v>
      </c>
      <c r="Z41" s="168"/>
      <c r="AA41" s="190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98"/>
      <c r="AM41" s="168"/>
    </row>
    <row r="42" spans="1:39" ht="24.9" customHeight="1" x14ac:dyDescent="0.25">
      <c r="A42" s="168"/>
      <c r="B42" s="344"/>
      <c r="C42" s="330"/>
      <c r="D42" s="330"/>
      <c r="E42" s="192" t="s">
        <v>161</v>
      </c>
      <c r="F42" s="192"/>
      <c r="G42" s="192">
        <f t="shared" si="19"/>
        <v>0</v>
      </c>
      <c r="H42" s="273">
        <v>11.5</v>
      </c>
      <c r="I42" s="274">
        <v>11.16</v>
      </c>
      <c r="J42" s="225">
        <v>15</v>
      </c>
      <c r="K42" s="225">
        <v>-0.3</v>
      </c>
      <c r="L42" s="271">
        <f t="shared" si="20"/>
        <v>14.7</v>
      </c>
      <c r="M42" s="276"/>
      <c r="N42" s="190"/>
      <c r="O42" s="332"/>
      <c r="P42" s="330"/>
      <c r="Q42" s="330"/>
      <c r="R42" s="192" t="s">
        <v>161</v>
      </c>
      <c r="S42" s="192">
        <f t="shared" si="23"/>
        <v>0</v>
      </c>
      <c r="T42" s="192">
        <f t="shared" si="21"/>
        <v>0</v>
      </c>
      <c r="U42" s="220">
        <v>11.5</v>
      </c>
      <c r="V42" s="221">
        <v>11.582492495440535</v>
      </c>
      <c r="W42" s="225">
        <v>15</v>
      </c>
      <c r="X42" s="225">
        <v>-0.54</v>
      </c>
      <c r="Y42" s="175">
        <f t="shared" si="22"/>
        <v>14.46</v>
      </c>
      <c r="Z42" s="190"/>
      <c r="AA42" s="190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98"/>
      <c r="AM42" s="168"/>
    </row>
    <row r="43" spans="1:39" ht="24.9" customHeight="1" x14ac:dyDescent="0.25">
      <c r="A43" s="168"/>
      <c r="B43" s="344"/>
      <c r="C43" s="330"/>
      <c r="D43" s="330"/>
      <c r="E43" s="192" t="s">
        <v>169</v>
      </c>
      <c r="F43" s="192"/>
      <c r="G43" s="192">
        <f t="shared" si="19"/>
        <v>0</v>
      </c>
      <c r="H43" s="273">
        <v>14.5</v>
      </c>
      <c r="I43" s="274">
        <v>14.92</v>
      </c>
      <c r="J43" s="225">
        <v>15</v>
      </c>
      <c r="K43" s="225">
        <v>-0.3</v>
      </c>
      <c r="L43" s="271">
        <f t="shared" si="20"/>
        <v>14.7</v>
      </c>
      <c r="M43" s="276"/>
      <c r="N43" s="190"/>
      <c r="O43" s="332"/>
      <c r="P43" s="330"/>
      <c r="Q43" s="330"/>
      <c r="R43" s="192" t="s">
        <v>169</v>
      </c>
      <c r="S43" s="192">
        <f t="shared" si="23"/>
        <v>0</v>
      </c>
      <c r="T43" s="192">
        <f t="shared" si="21"/>
        <v>0</v>
      </c>
      <c r="U43" s="220">
        <v>14.5</v>
      </c>
      <c r="V43" s="221">
        <v>15.698977945024851</v>
      </c>
      <c r="W43" s="225">
        <v>15</v>
      </c>
      <c r="X43" s="225">
        <v>-0.54</v>
      </c>
      <c r="Y43" s="175">
        <f t="shared" si="22"/>
        <v>14.46</v>
      </c>
      <c r="Z43" s="190"/>
      <c r="AA43" s="199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98"/>
      <c r="AM43" s="168"/>
    </row>
    <row r="44" spans="1:39" ht="24.9" customHeight="1" x14ac:dyDescent="0.25">
      <c r="A44" s="168"/>
      <c r="B44" s="344"/>
      <c r="C44" s="330"/>
      <c r="D44" s="330"/>
      <c r="E44" s="192" t="s">
        <v>125</v>
      </c>
      <c r="F44" s="192" t="s">
        <v>126</v>
      </c>
      <c r="G44" s="192">
        <f t="shared" si="19"/>
        <v>0</v>
      </c>
      <c r="H44" s="273">
        <v>15.5</v>
      </c>
      <c r="I44" s="274">
        <v>15.39</v>
      </c>
      <c r="J44" s="225">
        <v>10</v>
      </c>
      <c r="K44" s="225">
        <v>-0.3</v>
      </c>
      <c r="L44" s="271">
        <f t="shared" si="20"/>
        <v>9.6999999999999993</v>
      </c>
      <c r="M44" s="276"/>
      <c r="N44" s="168"/>
      <c r="O44" s="332"/>
      <c r="P44" s="330"/>
      <c r="Q44" s="330"/>
      <c r="R44" s="192" t="s">
        <v>125</v>
      </c>
      <c r="S44" s="192" t="str">
        <f t="shared" si="23"/>
        <v>X</v>
      </c>
      <c r="T44" s="192">
        <f t="shared" si="21"/>
        <v>0</v>
      </c>
      <c r="U44" s="220">
        <v>15.5</v>
      </c>
      <c r="V44" s="221">
        <v>16.255015956553471</v>
      </c>
      <c r="W44" s="225">
        <v>10</v>
      </c>
      <c r="X44" s="225">
        <v>-0.54</v>
      </c>
      <c r="Y44" s="175">
        <f t="shared" si="22"/>
        <v>9.4600000000000009</v>
      </c>
      <c r="Z44" s="190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98"/>
      <c r="AM44" s="168"/>
    </row>
    <row r="45" spans="1:39" ht="24.9" customHeight="1" x14ac:dyDescent="0.25">
      <c r="A45" s="168"/>
      <c r="B45" s="344"/>
      <c r="C45" s="330">
        <v>5290</v>
      </c>
      <c r="D45" s="330">
        <v>58</v>
      </c>
      <c r="E45" s="192" t="s">
        <v>118</v>
      </c>
      <c r="F45" s="192">
        <f>F38</f>
        <v>0</v>
      </c>
      <c r="G45" s="192">
        <f t="shared" si="19"/>
        <v>0</v>
      </c>
      <c r="H45" s="273">
        <v>14.5</v>
      </c>
      <c r="I45" s="274">
        <v>15.03</v>
      </c>
      <c r="J45" s="225">
        <v>12</v>
      </c>
      <c r="K45" s="225">
        <v>-0.3</v>
      </c>
      <c r="L45" s="271">
        <f t="shared" si="20"/>
        <v>11.7</v>
      </c>
      <c r="M45" s="276"/>
      <c r="N45" s="168"/>
      <c r="O45" s="332"/>
      <c r="P45" s="330">
        <v>5610</v>
      </c>
      <c r="Q45" s="330">
        <v>122</v>
      </c>
      <c r="R45" s="192" t="s">
        <v>146</v>
      </c>
      <c r="S45" s="192">
        <f t="shared" si="23"/>
        <v>0</v>
      </c>
      <c r="T45" s="192">
        <f t="shared" si="21"/>
        <v>0</v>
      </c>
      <c r="U45" s="220">
        <v>14.5</v>
      </c>
      <c r="V45" s="221">
        <v>15.964735878820848</v>
      </c>
      <c r="W45" s="225">
        <v>12</v>
      </c>
      <c r="X45" s="225">
        <v>-0.54</v>
      </c>
      <c r="Y45" s="175">
        <f t="shared" si="22"/>
        <v>11.46</v>
      </c>
      <c r="Z45" s="196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98"/>
      <c r="AM45" s="168"/>
    </row>
    <row r="46" spans="1:39" ht="24.9" customHeight="1" x14ac:dyDescent="0.25">
      <c r="A46" s="168"/>
      <c r="B46" s="344"/>
      <c r="C46" s="330"/>
      <c r="D46" s="330"/>
      <c r="E46" s="192" t="s">
        <v>120</v>
      </c>
      <c r="F46" s="192">
        <f t="shared" ref="F46:F51" si="24">F39</f>
        <v>0</v>
      </c>
      <c r="G46" s="192">
        <f t="shared" si="19"/>
        <v>0</v>
      </c>
      <c r="H46" s="273">
        <v>14.5</v>
      </c>
      <c r="I46" s="274">
        <v>14.85</v>
      </c>
      <c r="J46" s="225">
        <v>15</v>
      </c>
      <c r="K46" s="225">
        <v>-0.3</v>
      </c>
      <c r="L46" s="271">
        <f t="shared" si="20"/>
        <v>14.7</v>
      </c>
      <c r="M46" s="276"/>
      <c r="N46" s="168"/>
      <c r="O46" s="332"/>
      <c r="P46" s="330"/>
      <c r="Q46" s="330"/>
      <c r="R46" s="192" t="s">
        <v>121</v>
      </c>
      <c r="S46" s="192">
        <f t="shared" si="23"/>
        <v>0</v>
      </c>
      <c r="T46" s="192">
        <f t="shared" si="21"/>
        <v>0</v>
      </c>
      <c r="U46" s="220">
        <v>14.5</v>
      </c>
      <c r="V46" s="221">
        <v>15.159201604971678</v>
      </c>
      <c r="W46" s="225">
        <v>15</v>
      </c>
      <c r="X46" s="225">
        <v>-0.54</v>
      </c>
      <c r="Y46" s="175">
        <f t="shared" si="22"/>
        <v>14.46</v>
      </c>
      <c r="Z46" s="190"/>
      <c r="AA46" s="168"/>
      <c r="AB46" s="168"/>
      <c r="AC46" s="168"/>
      <c r="AD46" s="168"/>
      <c r="AE46" s="168"/>
      <c r="AF46" s="168"/>
      <c r="AG46" s="168"/>
      <c r="AH46" s="185"/>
      <c r="AI46" s="185"/>
      <c r="AJ46" s="168"/>
      <c r="AK46" s="185"/>
      <c r="AL46" s="185"/>
      <c r="AM46" s="185"/>
    </row>
    <row r="47" spans="1:39" ht="24.9" customHeight="1" x14ac:dyDescent="0.25">
      <c r="A47" s="168"/>
      <c r="B47" s="344"/>
      <c r="C47" s="330"/>
      <c r="D47" s="330"/>
      <c r="E47" s="192" t="s">
        <v>123</v>
      </c>
      <c r="F47" s="192">
        <f t="shared" si="24"/>
        <v>0</v>
      </c>
      <c r="G47" s="192">
        <f t="shared" si="19"/>
        <v>0</v>
      </c>
      <c r="H47" s="273">
        <v>9.5</v>
      </c>
      <c r="I47" s="274">
        <v>9.81</v>
      </c>
      <c r="J47" s="225">
        <v>16</v>
      </c>
      <c r="K47" s="225">
        <v>-0.3</v>
      </c>
      <c r="L47" s="271">
        <f t="shared" si="20"/>
        <v>15.7</v>
      </c>
      <c r="M47" s="276"/>
      <c r="N47" s="168"/>
      <c r="O47" s="332"/>
      <c r="P47" s="330"/>
      <c r="Q47" s="330"/>
      <c r="R47" s="192" t="s">
        <v>122</v>
      </c>
      <c r="S47" s="192">
        <f t="shared" si="23"/>
        <v>0</v>
      </c>
      <c r="T47" s="192">
        <f t="shared" si="21"/>
        <v>0</v>
      </c>
      <c r="U47" s="220">
        <v>9.5</v>
      </c>
      <c r="V47" s="221">
        <v>10.194047691259167</v>
      </c>
      <c r="W47" s="225">
        <v>16</v>
      </c>
      <c r="X47" s="225">
        <v>-0.54</v>
      </c>
      <c r="Y47" s="175">
        <f t="shared" si="22"/>
        <v>15.46</v>
      </c>
      <c r="Z47" s="168"/>
      <c r="AA47" s="168"/>
      <c r="AB47" s="168"/>
      <c r="AC47" s="168"/>
      <c r="AD47" s="168"/>
      <c r="AE47" s="168"/>
      <c r="AF47" s="168"/>
      <c r="AG47" s="168"/>
      <c r="AH47" s="185"/>
      <c r="AI47" s="185"/>
      <c r="AJ47" s="168"/>
      <c r="AK47" s="185"/>
      <c r="AL47" s="185"/>
      <c r="AM47" s="200"/>
    </row>
    <row r="48" spans="1:39" ht="24.9" customHeight="1" x14ac:dyDescent="0.25">
      <c r="A48" s="168"/>
      <c r="B48" s="344"/>
      <c r="C48" s="330"/>
      <c r="D48" s="330"/>
      <c r="E48" s="192" t="s">
        <v>147</v>
      </c>
      <c r="F48" s="192">
        <f t="shared" si="24"/>
        <v>0</v>
      </c>
      <c r="G48" s="192">
        <f t="shared" si="19"/>
        <v>0</v>
      </c>
      <c r="H48" s="273">
        <v>11.5</v>
      </c>
      <c r="I48" s="274">
        <v>11.76</v>
      </c>
      <c r="J48" s="225">
        <v>15</v>
      </c>
      <c r="K48" s="225">
        <v>-0.3</v>
      </c>
      <c r="L48" s="271">
        <f t="shared" si="20"/>
        <v>14.7</v>
      </c>
      <c r="M48" s="276"/>
      <c r="N48" s="168"/>
      <c r="O48" s="332"/>
      <c r="P48" s="330"/>
      <c r="Q48" s="330"/>
      <c r="R48" s="192" t="s">
        <v>147</v>
      </c>
      <c r="S48" s="192">
        <f t="shared" si="23"/>
        <v>0</v>
      </c>
      <c r="T48" s="192">
        <f t="shared" si="21"/>
        <v>0</v>
      </c>
      <c r="U48" s="220">
        <v>11.5</v>
      </c>
      <c r="V48" s="221">
        <v>12.316498252886358</v>
      </c>
      <c r="W48" s="225">
        <v>15</v>
      </c>
      <c r="X48" s="225">
        <v>-0.54</v>
      </c>
      <c r="Y48" s="175">
        <f t="shared" si="22"/>
        <v>14.46</v>
      </c>
      <c r="Z48" s="168"/>
      <c r="AA48" s="168"/>
      <c r="AB48" s="168"/>
      <c r="AC48" s="168"/>
      <c r="AD48" s="168"/>
      <c r="AE48" s="168"/>
      <c r="AF48" s="168"/>
      <c r="AG48" s="168"/>
      <c r="AH48" s="185"/>
      <c r="AI48" s="185"/>
      <c r="AJ48" s="168"/>
      <c r="AK48" s="185"/>
      <c r="AL48" s="185"/>
      <c r="AM48" s="200"/>
    </row>
    <row r="49" spans="1:39" ht="24.9" customHeight="1" x14ac:dyDescent="0.25">
      <c r="A49" s="168"/>
      <c r="B49" s="344"/>
      <c r="C49" s="330"/>
      <c r="D49" s="330"/>
      <c r="E49" s="192" t="s">
        <v>161</v>
      </c>
      <c r="F49" s="192">
        <f t="shared" si="24"/>
        <v>0</v>
      </c>
      <c r="G49" s="192">
        <f t="shared" si="19"/>
        <v>0</v>
      </c>
      <c r="H49" s="273">
        <v>14.5</v>
      </c>
      <c r="I49" s="274">
        <v>15.32</v>
      </c>
      <c r="J49" s="225">
        <v>15</v>
      </c>
      <c r="K49" s="225">
        <v>-0.3</v>
      </c>
      <c r="L49" s="271">
        <f t="shared" si="20"/>
        <v>14.7</v>
      </c>
      <c r="M49" s="276"/>
      <c r="N49" s="168"/>
      <c r="O49" s="332"/>
      <c r="P49" s="330"/>
      <c r="Q49" s="330"/>
      <c r="R49" s="192" t="s">
        <v>161</v>
      </c>
      <c r="S49" s="192">
        <f t="shared" si="23"/>
        <v>0</v>
      </c>
      <c r="T49" s="192">
        <f t="shared" si="21"/>
        <v>0</v>
      </c>
      <c r="U49" s="220">
        <v>14.5</v>
      </c>
      <c r="V49" s="221">
        <v>15.333813615711975</v>
      </c>
      <c r="W49" s="225">
        <v>15</v>
      </c>
      <c r="X49" s="225">
        <v>-0.54</v>
      </c>
      <c r="Y49" s="175">
        <f t="shared" si="22"/>
        <v>14.46</v>
      </c>
      <c r="Z49" s="168"/>
      <c r="AA49" s="168"/>
      <c r="AB49" s="168"/>
      <c r="AC49" s="168"/>
      <c r="AD49" s="168"/>
      <c r="AE49" s="168"/>
      <c r="AF49" s="168"/>
      <c r="AG49" s="168"/>
      <c r="AH49" s="185"/>
      <c r="AI49" s="185"/>
      <c r="AJ49" s="168"/>
      <c r="AK49" s="185"/>
      <c r="AL49" s="185"/>
      <c r="AM49" s="200"/>
    </row>
    <row r="50" spans="1:39" ht="24.9" customHeight="1" x14ac:dyDescent="0.25">
      <c r="A50" s="168"/>
      <c r="B50" s="344"/>
      <c r="C50" s="330"/>
      <c r="D50" s="330"/>
      <c r="E50" s="192" t="s">
        <v>169</v>
      </c>
      <c r="F50" s="192">
        <f t="shared" si="24"/>
        <v>0</v>
      </c>
      <c r="G50" s="192">
        <f t="shared" si="19"/>
        <v>0</v>
      </c>
      <c r="H50" s="273">
        <v>15.5</v>
      </c>
      <c r="I50" s="274">
        <v>16.22</v>
      </c>
      <c r="J50" s="225">
        <v>10</v>
      </c>
      <c r="K50" s="225">
        <v>-0.3</v>
      </c>
      <c r="L50" s="271">
        <f t="shared" si="20"/>
        <v>9.6999999999999993</v>
      </c>
      <c r="M50" s="276"/>
      <c r="N50" s="168"/>
      <c r="O50" s="332"/>
      <c r="P50" s="330"/>
      <c r="Q50" s="330"/>
      <c r="R50" s="192" t="s">
        <v>169</v>
      </c>
      <c r="S50" s="192">
        <f t="shared" si="23"/>
        <v>0</v>
      </c>
      <c r="T50" s="192">
        <f t="shared" si="21"/>
        <v>0</v>
      </c>
      <c r="U50" s="220">
        <v>15.5</v>
      </c>
      <c r="V50" s="221">
        <v>16.662110790711861</v>
      </c>
      <c r="W50" s="225">
        <v>10</v>
      </c>
      <c r="X50" s="225">
        <v>-0.54</v>
      </c>
      <c r="Y50" s="175">
        <f t="shared" si="22"/>
        <v>9.4600000000000009</v>
      </c>
      <c r="Z50" s="168"/>
      <c r="AA50" s="168"/>
      <c r="AB50" s="168"/>
      <c r="AC50" s="168"/>
      <c r="AD50" s="168"/>
      <c r="AE50" s="168"/>
      <c r="AF50" s="168"/>
      <c r="AG50" s="168"/>
      <c r="AH50" s="185"/>
      <c r="AI50" s="185"/>
      <c r="AJ50" s="168"/>
      <c r="AK50" s="185"/>
      <c r="AL50" s="185"/>
      <c r="AM50" s="200"/>
    </row>
    <row r="51" spans="1:39" ht="24.9" customHeight="1" thickBot="1" x14ac:dyDescent="0.3">
      <c r="A51" s="168"/>
      <c r="B51" s="344"/>
      <c r="C51" s="330"/>
      <c r="D51" s="330"/>
      <c r="E51" s="192" t="s">
        <v>159</v>
      </c>
      <c r="F51" s="192" t="str">
        <f t="shared" si="24"/>
        <v>X</v>
      </c>
      <c r="G51" s="192">
        <f t="shared" si="19"/>
        <v>0</v>
      </c>
      <c r="H51" s="273">
        <v>14.5</v>
      </c>
      <c r="I51" s="274">
        <v>15.26</v>
      </c>
      <c r="J51" s="225">
        <v>12</v>
      </c>
      <c r="K51" s="225">
        <v>-0.3</v>
      </c>
      <c r="L51" s="271">
        <f t="shared" si="20"/>
        <v>11.7</v>
      </c>
      <c r="M51" s="276"/>
      <c r="N51" s="168"/>
      <c r="O51" s="333"/>
      <c r="P51" s="331"/>
      <c r="Q51" s="331"/>
      <c r="R51" s="194" t="s">
        <v>159</v>
      </c>
      <c r="S51" s="194" t="str">
        <f t="shared" si="23"/>
        <v>X</v>
      </c>
      <c r="T51" s="194">
        <f t="shared" si="21"/>
        <v>0</v>
      </c>
      <c r="U51" s="223">
        <v>14.5</v>
      </c>
      <c r="V51" s="222">
        <v>15.612257020477713</v>
      </c>
      <c r="W51" s="225">
        <v>12</v>
      </c>
      <c r="X51" s="225">
        <v>-0.54</v>
      </c>
      <c r="Y51" s="176">
        <f t="shared" si="22"/>
        <v>11.46</v>
      </c>
      <c r="Z51" s="168"/>
      <c r="AA51" s="168"/>
      <c r="AB51" s="168"/>
      <c r="AC51" s="168"/>
      <c r="AD51" s="168"/>
      <c r="AE51" s="168"/>
      <c r="AF51" s="168"/>
      <c r="AG51" s="168"/>
      <c r="AH51" s="185"/>
      <c r="AI51" s="185"/>
      <c r="AJ51" s="168"/>
      <c r="AK51" s="185"/>
      <c r="AL51" s="185"/>
      <c r="AM51" s="200"/>
    </row>
    <row r="52" spans="1:39" ht="28.2" thickBot="1" x14ac:dyDescent="0.3">
      <c r="A52" s="189" t="s">
        <v>139</v>
      </c>
      <c r="B52" s="344" t="s">
        <v>170</v>
      </c>
      <c r="C52" s="330">
        <v>5250</v>
      </c>
      <c r="D52" s="330">
        <v>50</v>
      </c>
      <c r="E52" s="192" t="s">
        <v>118</v>
      </c>
      <c r="F52" s="192"/>
      <c r="G52" s="192">
        <f t="shared" ref="G52:G59" si="25">$A$53</f>
        <v>0</v>
      </c>
      <c r="H52" s="273">
        <v>14.5</v>
      </c>
      <c r="I52" s="274">
        <v>15.38</v>
      </c>
      <c r="J52" s="225">
        <v>15</v>
      </c>
      <c r="K52" s="225">
        <v>-0.3</v>
      </c>
      <c r="L52" s="271">
        <f t="shared" ref="L52:L59" si="26">J52+K52</f>
        <v>14.7</v>
      </c>
      <c r="M52" s="276"/>
      <c r="N52" s="174" t="s">
        <v>139</v>
      </c>
      <c r="O52" s="332" t="s">
        <v>170</v>
      </c>
      <c r="P52" s="330">
        <v>5570</v>
      </c>
      <c r="Q52" s="330">
        <v>114</v>
      </c>
      <c r="R52" s="192" t="s">
        <v>118</v>
      </c>
      <c r="S52" s="192">
        <f t="shared" ref="S52:S58" si="27">F52</f>
        <v>0</v>
      </c>
      <c r="T52" s="192">
        <f t="shared" ref="T52:T59" si="28">$N$53</f>
        <v>0</v>
      </c>
      <c r="U52" s="220">
        <v>14.5</v>
      </c>
      <c r="V52" s="221">
        <v>16.274037864701949</v>
      </c>
      <c r="W52" s="225">
        <v>15</v>
      </c>
      <c r="X52" s="225">
        <v>-0.54</v>
      </c>
      <c r="Y52" s="175">
        <f t="shared" ref="Y52:Y59" si="29">W52+X52</f>
        <v>14.46</v>
      </c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200"/>
    </row>
    <row r="53" spans="1:39" ht="24.9" customHeight="1" thickBot="1" x14ac:dyDescent="0.3">
      <c r="A53" s="240"/>
      <c r="B53" s="344"/>
      <c r="C53" s="330"/>
      <c r="D53" s="330"/>
      <c r="E53" s="192" t="s">
        <v>121</v>
      </c>
      <c r="F53" s="192"/>
      <c r="G53" s="192">
        <f t="shared" si="25"/>
        <v>0</v>
      </c>
      <c r="H53" s="273">
        <v>9.5</v>
      </c>
      <c r="I53" s="274">
        <v>9.3800000000000008</v>
      </c>
      <c r="J53" s="225">
        <v>16</v>
      </c>
      <c r="K53" s="225">
        <v>-0.3</v>
      </c>
      <c r="L53" s="271">
        <f t="shared" si="26"/>
        <v>15.7</v>
      </c>
      <c r="M53" s="276"/>
      <c r="N53" s="240"/>
      <c r="O53" s="332"/>
      <c r="P53" s="330"/>
      <c r="Q53" s="330"/>
      <c r="R53" s="192" t="s">
        <v>121</v>
      </c>
      <c r="S53" s="192">
        <f t="shared" si="27"/>
        <v>0</v>
      </c>
      <c r="T53" s="192">
        <f t="shared" si="28"/>
        <v>0</v>
      </c>
      <c r="U53" s="220">
        <v>9.5</v>
      </c>
      <c r="V53" s="221">
        <v>10.378295633973392</v>
      </c>
      <c r="W53" s="225">
        <v>16</v>
      </c>
      <c r="X53" s="225">
        <v>-0.54</v>
      </c>
      <c r="Y53" s="175">
        <f t="shared" si="29"/>
        <v>15.46</v>
      </c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</row>
    <row r="54" spans="1:39" ht="24.9" customHeight="1" x14ac:dyDescent="0.25">
      <c r="A54" s="168"/>
      <c r="B54" s="344"/>
      <c r="C54" s="330"/>
      <c r="D54" s="330"/>
      <c r="E54" s="192" t="s">
        <v>123</v>
      </c>
      <c r="F54" s="192"/>
      <c r="G54" s="192">
        <f t="shared" si="25"/>
        <v>0</v>
      </c>
      <c r="H54" s="273">
        <v>11.5</v>
      </c>
      <c r="I54" s="274">
        <v>11.32</v>
      </c>
      <c r="J54" s="225">
        <v>15</v>
      </c>
      <c r="K54" s="225">
        <v>-0.3</v>
      </c>
      <c r="L54" s="271">
        <f t="shared" si="26"/>
        <v>14.7</v>
      </c>
      <c r="M54" s="276"/>
      <c r="N54" s="168"/>
      <c r="O54" s="332"/>
      <c r="P54" s="330"/>
      <c r="Q54" s="330"/>
      <c r="R54" s="192" t="s">
        <v>123</v>
      </c>
      <c r="S54" s="192">
        <f t="shared" si="27"/>
        <v>0</v>
      </c>
      <c r="T54" s="192">
        <f t="shared" si="28"/>
        <v>0</v>
      </c>
      <c r="U54" s="220">
        <v>11.5</v>
      </c>
      <c r="V54" s="221">
        <v>11.882177105417968</v>
      </c>
      <c r="W54" s="225">
        <v>15</v>
      </c>
      <c r="X54" s="225">
        <v>-0.54</v>
      </c>
      <c r="Y54" s="175">
        <f t="shared" si="29"/>
        <v>14.46</v>
      </c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</row>
    <row r="55" spans="1:39" ht="24.9" customHeight="1" x14ac:dyDescent="0.25">
      <c r="A55" s="168"/>
      <c r="B55" s="344"/>
      <c r="C55" s="330"/>
      <c r="D55" s="330"/>
      <c r="E55" s="192" t="s">
        <v>147</v>
      </c>
      <c r="F55" s="192"/>
      <c r="G55" s="192">
        <f t="shared" si="25"/>
        <v>0</v>
      </c>
      <c r="H55" s="273">
        <v>14.5</v>
      </c>
      <c r="I55" s="274">
        <v>14.44</v>
      </c>
      <c r="J55" s="225">
        <v>15</v>
      </c>
      <c r="K55" s="225">
        <v>-0.3</v>
      </c>
      <c r="L55" s="271">
        <f t="shared" si="26"/>
        <v>14.7</v>
      </c>
      <c r="M55" s="276"/>
      <c r="N55" s="190"/>
      <c r="O55" s="332"/>
      <c r="P55" s="330"/>
      <c r="Q55" s="330"/>
      <c r="R55" s="192" t="s">
        <v>147</v>
      </c>
      <c r="S55" s="192">
        <f t="shared" si="27"/>
        <v>0</v>
      </c>
      <c r="T55" s="192">
        <f t="shared" si="28"/>
        <v>0</v>
      </c>
      <c r="U55" s="220">
        <v>14.5</v>
      </c>
      <c r="V55" s="221">
        <v>15.268600831878922</v>
      </c>
      <c r="W55" s="225">
        <v>15</v>
      </c>
      <c r="X55" s="225">
        <v>-0.54</v>
      </c>
      <c r="Y55" s="175">
        <f t="shared" si="29"/>
        <v>14.46</v>
      </c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</row>
    <row r="56" spans="1:39" ht="24.9" customHeight="1" x14ac:dyDescent="0.25">
      <c r="A56" s="168"/>
      <c r="B56" s="344"/>
      <c r="C56" s="330"/>
      <c r="D56" s="330"/>
      <c r="E56" s="192" t="s">
        <v>161</v>
      </c>
      <c r="F56" s="192"/>
      <c r="G56" s="192">
        <f t="shared" si="25"/>
        <v>0</v>
      </c>
      <c r="H56" s="273">
        <v>15.5</v>
      </c>
      <c r="I56" s="274">
        <v>15.36</v>
      </c>
      <c r="J56" s="225">
        <v>15</v>
      </c>
      <c r="K56" s="225">
        <v>-0.3</v>
      </c>
      <c r="L56" s="271">
        <f t="shared" si="26"/>
        <v>14.7</v>
      </c>
      <c r="M56" s="276"/>
      <c r="N56" s="190"/>
      <c r="O56" s="332"/>
      <c r="P56" s="330"/>
      <c r="Q56" s="330"/>
      <c r="R56" s="192" t="s">
        <v>161</v>
      </c>
      <c r="S56" s="192">
        <f t="shared" si="27"/>
        <v>0</v>
      </c>
      <c r="T56" s="192">
        <f t="shared" si="28"/>
        <v>0</v>
      </c>
      <c r="U56" s="220">
        <v>15.5</v>
      </c>
      <c r="V56" s="221">
        <v>16.01284258094908</v>
      </c>
      <c r="W56" s="225">
        <v>15</v>
      </c>
      <c r="X56" s="225">
        <v>-0.54</v>
      </c>
      <c r="Y56" s="175">
        <f t="shared" si="29"/>
        <v>14.46</v>
      </c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</row>
    <row r="57" spans="1:39" ht="24.9" customHeight="1" x14ac:dyDescent="0.25">
      <c r="A57" s="168"/>
      <c r="B57" s="344"/>
      <c r="C57" s="330"/>
      <c r="D57" s="330"/>
      <c r="E57" s="192" t="s">
        <v>169</v>
      </c>
      <c r="F57" s="192"/>
      <c r="G57" s="192">
        <f t="shared" si="25"/>
        <v>0</v>
      </c>
      <c r="H57" s="273">
        <v>14.5</v>
      </c>
      <c r="I57" s="274">
        <v>14.58</v>
      </c>
      <c r="J57" s="225">
        <v>15</v>
      </c>
      <c r="K57" s="225">
        <v>-0.3</v>
      </c>
      <c r="L57" s="271">
        <f t="shared" si="26"/>
        <v>14.7</v>
      </c>
      <c r="M57" s="276"/>
      <c r="N57" s="190"/>
      <c r="O57" s="332"/>
      <c r="P57" s="330"/>
      <c r="Q57" s="330"/>
      <c r="R57" s="192" t="s">
        <v>169</v>
      </c>
      <c r="S57" s="192">
        <f t="shared" si="27"/>
        <v>0</v>
      </c>
      <c r="T57" s="192">
        <f t="shared" si="28"/>
        <v>0</v>
      </c>
      <c r="U57" s="220">
        <v>14.5</v>
      </c>
      <c r="V57" s="221">
        <v>15.194448598645364</v>
      </c>
      <c r="W57" s="225">
        <v>15</v>
      </c>
      <c r="X57" s="225">
        <v>-0.54</v>
      </c>
      <c r="Y57" s="175">
        <f t="shared" si="29"/>
        <v>14.46</v>
      </c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</row>
    <row r="58" spans="1:39" ht="24.9" customHeight="1" x14ac:dyDescent="0.25">
      <c r="A58" s="168"/>
      <c r="B58" s="344"/>
      <c r="C58" s="330"/>
      <c r="D58" s="330"/>
      <c r="E58" s="192" t="s">
        <v>172</v>
      </c>
      <c r="F58" s="192"/>
      <c r="G58" s="192">
        <f t="shared" si="25"/>
        <v>0</v>
      </c>
      <c r="H58" s="273">
        <v>14.5</v>
      </c>
      <c r="I58" s="274">
        <v>14.65</v>
      </c>
      <c r="J58" s="225">
        <v>15</v>
      </c>
      <c r="K58" s="225">
        <v>-0.3</v>
      </c>
      <c r="L58" s="271">
        <f t="shared" si="26"/>
        <v>14.7</v>
      </c>
      <c r="M58" s="276"/>
      <c r="N58" s="190"/>
      <c r="O58" s="332"/>
      <c r="P58" s="330"/>
      <c r="Q58" s="330"/>
      <c r="R58" s="192" t="s">
        <v>172</v>
      </c>
      <c r="S58" s="192">
        <f t="shared" si="27"/>
        <v>0</v>
      </c>
      <c r="T58" s="192">
        <f t="shared" si="28"/>
        <v>0</v>
      </c>
      <c r="U58" s="220">
        <v>14.5</v>
      </c>
      <c r="V58" s="221">
        <v>14.669925613515149</v>
      </c>
      <c r="W58" s="225">
        <v>15</v>
      </c>
      <c r="X58" s="225">
        <v>-0.54</v>
      </c>
      <c r="Y58" s="175">
        <f t="shared" si="29"/>
        <v>14.46</v>
      </c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</row>
    <row r="59" spans="1:39" ht="24.9" customHeight="1" thickBot="1" x14ac:dyDescent="0.3">
      <c r="A59" s="168"/>
      <c r="B59" s="344"/>
      <c r="C59" s="330"/>
      <c r="D59" s="330"/>
      <c r="E59" s="192" t="s">
        <v>125</v>
      </c>
      <c r="F59" s="192" t="s">
        <v>126</v>
      </c>
      <c r="G59" s="192">
        <f t="shared" si="25"/>
        <v>0</v>
      </c>
      <c r="H59" s="224">
        <v>14.5</v>
      </c>
      <c r="I59" s="210">
        <v>14.65</v>
      </c>
      <c r="J59" s="225">
        <v>15</v>
      </c>
      <c r="K59" s="225">
        <v>-0.3</v>
      </c>
      <c r="L59" s="271">
        <f t="shared" si="26"/>
        <v>14.7</v>
      </c>
      <c r="M59" s="276"/>
      <c r="N59" s="168"/>
      <c r="O59" s="333"/>
      <c r="P59" s="331"/>
      <c r="Q59" s="331"/>
      <c r="R59" s="194" t="s">
        <v>125</v>
      </c>
      <c r="S59" s="194" t="s">
        <v>126</v>
      </c>
      <c r="T59" s="194">
        <f t="shared" si="28"/>
        <v>0</v>
      </c>
      <c r="U59" s="223">
        <v>14.5</v>
      </c>
      <c r="V59" s="222">
        <v>15.517358827514215</v>
      </c>
      <c r="W59" s="225">
        <v>15</v>
      </c>
      <c r="X59" s="225">
        <v>-0.54</v>
      </c>
      <c r="Y59" s="176">
        <f t="shared" si="29"/>
        <v>14.46</v>
      </c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</row>
    <row r="60" spans="1:39" ht="24.9" customHeight="1" x14ac:dyDescent="0.25">
      <c r="A60" s="168"/>
      <c r="B60" s="168"/>
      <c r="C60" s="168"/>
      <c r="D60" s="168"/>
      <c r="E60" s="168"/>
      <c r="F60" s="168"/>
      <c r="G60" s="168"/>
      <c r="H60" s="168"/>
      <c r="I60" s="185"/>
      <c r="J60" s="185"/>
      <c r="K60" s="185"/>
      <c r="L60" s="185"/>
      <c r="M60" s="168"/>
      <c r="N60" s="168"/>
      <c r="O60" s="168"/>
      <c r="P60" s="168"/>
      <c r="Q60" s="168"/>
      <c r="R60" s="168"/>
      <c r="S60" s="168"/>
      <c r="T60" s="168"/>
      <c r="U60" s="168"/>
      <c r="V60" s="185"/>
      <c r="W60" s="185"/>
      <c r="X60" s="185"/>
      <c r="Y60" s="185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</row>
    <row r="61" spans="1:39" ht="24.9" customHeight="1" x14ac:dyDescent="0.25">
      <c r="A61" s="168"/>
      <c r="B61" s="168"/>
      <c r="C61" s="168"/>
      <c r="D61" s="168"/>
      <c r="E61" s="168"/>
      <c r="F61" s="168"/>
      <c r="G61" s="168"/>
      <c r="H61" s="168"/>
      <c r="I61" s="185"/>
      <c r="J61" s="185"/>
      <c r="K61" s="185"/>
      <c r="L61" s="185"/>
      <c r="M61" s="168"/>
      <c r="N61" s="168"/>
      <c r="O61" s="168"/>
      <c r="P61" s="168"/>
      <c r="Q61" s="168"/>
      <c r="R61" s="168"/>
      <c r="S61" s="168"/>
      <c r="T61" s="168"/>
      <c r="U61" s="168"/>
      <c r="V61" s="185"/>
      <c r="W61" s="185"/>
      <c r="X61" s="185"/>
      <c r="Y61" s="185"/>
      <c r="Z61" s="168"/>
      <c r="AA61" s="168"/>
      <c r="AB61" s="168"/>
      <c r="AC61" s="168"/>
      <c r="AD61" s="168"/>
      <c r="AE61" s="168"/>
      <c r="AF61" s="168"/>
      <c r="AG61" s="168"/>
      <c r="AH61" s="168"/>
      <c r="AI61" s="185"/>
      <c r="AJ61" s="185"/>
      <c r="AK61" s="185"/>
      <c r="AL61" s="185"/>
      <c r="AM61" s="168"/>
    </row>
    <row r="62" spans="1:39" ht="9.9" customHeight="1" x14ac:dyDescent="0.25">
      <c r="A62" s="168"/>
      <c r="B62" s="168"/>
      <c r="C62" s="168"/>
      <c r="D62" s="168"/>
      <c r="E62" s="168"/>
      <c r="F62" s="168"/>
      <c r="G62" s="168"/>
      <c r="H62" s="168"/>
      <c r="I62" s="185"/>
      <c r="J62" s="185"/>
      <c r="K62" s="185"/>
      <c r="L62" s="185"/>
      <c r="M62" s="168"/>
      <c r="N62" s="168"/>
      <c r="O62" s="168"/>
      <c r="P62" s="168"/>
      <c r="Q62" s="168"/>
      <c r="R62" s="168"/>
      <c r="S62" s="168"/>
      <c r="T62" s="168"/>
      <c r="U62" s="168"/>
      <c r="V62" s="185"/>
      <c r="W62" s="185"/>
      <c r="X62" s="185"/>
      <c r="Y62" s="185"/>
      <c r="Z62" s="185"/>
      <c r="AA62" s="168"/>
      <c r="AB62" s="168"/>
      <c r="AC62" s="168"/>
      <c r="AD62" s="168"/>
      <c r="AE62" s="168"/>
      <c r="AF62" s="168"/>
      <c r="AG62" s="168"/>
      <c r="AH62" s="168"/>
      <c r="AI62" s="185"/>
      <c r="AJ62" s="185"/>
      <c r="AK62" s="185"/>
      <c r="AL62" s="185"/>
      <c r="AM62" s="168"/>
    </row>
  </sheetData>
  <mergeCells count="63">
    <mergeCell ref="AC32:AC38"/>
    <mergeCell ref="AB32:AB38"/>
    <mergeCell ref="Q52:Q59"/>
    <mergeCell ref="B52:B59"/>
    <mergeCell ref="C52:C59"/>
    <mergeCell ref="D52:D59"/>
    <mergeCell ref="O52:O59"/>
    <mergeCell ref="P52:P59"/>
    <mergeCell ref="D32:D37"/>
    <mergeCell ref="P32:P37"/>
    <mergeCell ref="Q32:Q37"/>
    <mergeCell ref="B20:B37"/>
    <mergeCell ref="C45:C51"/>
    <mergeCell ref="D45:D51"/>
    <mergeCell ref="P45:P51"/>
    <mergeCell ref="Q45:Q51"/>
    <mergeCell ref="B38:B51"/>
    <mergeCell ref="C38:C44"/>
    <mergeCell ref="D38:D44"/>
    <mergeCell ref="O38:O51"/>
    <mergeCell ref="P38:P44"/>
    <mergeCell ref="AC20:AC25"/>
    <mergeCell ref="AD20:AD25"/>
    <mergeCell ref="C26:C31"/>
    <mergeCell ref="D26:D31"/>
    <mergeCell ref="P26:P31"/>
    <mergeCell ref="Q26:Q31"/>
    <mergeCell ref="AC26:AC31"/>
    <mergeCell ref="AD26:AD31"/>
    <mergeCell ref="C20:C25"/>
    <mergeCell ref="D20:D25"/>
    <mergeCell ref="O20:O37"/>
    <mergeCell ref="P20:P25"/>
    <mergeCell ref="Q20:Q25"/>
    <mergeCell ref="AB20:AB31"/>
    <mergeCell ref="AD32:AD38"/>
    <mergeCell ref="Q38:Q44"/>
    <mergeCell ref="B2:AL2"/>
    <mergeCell ref="C32:C37"/>
    <mergeCell ref="AC15:AC19"/>
    <mergeCell ref="AD15:AD19"/>
    <mergeCell ref="AB5:AB19"/>
    <mergeCell ref="AC5:AC9"/>
    <mergeCell ref="AD5:AD9"/>
    <mergeCell ref="C10:C14"/>
    <mergeCell ref="D10:D14"/>
    <mergeCell ref="P10:P14"/>
    <mergeCell ref="Q10:Q14"/>
    <mergeCell ref="AC10:AC14"/>
    <mergeCell ref="AD10:AD14"/>
    <mergeCell ref="C15:C19"/>
    <mergeCell ref="B5:B19"/>
    <mergeCell ref="C5:C9"/>
    <mergeCell ref="B3:L3"/>
    <mergeCell ref="O3:Y3"/>
    <mergeCell ref="AB3:AL3"/>
    <mergeCell ref="D5:D9"/>
    <mergeCell ref="O5:O19"/>
    <mergeCell ref="P5:P9"/>
    <mergeCell ref="Q5:Q9"/>
    <mergeCell ref="D15:D19"/>
    <mergeCell ref="P15:P19"/>
    <mergeCell ref="Q15:Q19"/>
  </mergeCells>
  <phoneticPr fontId="6" type="noConversion"/>
  <pageMargins left="0.15748031496062992" right="0.15748031496062992" top="0" bottom="0" header="0.31496062992125984" footer="0.31496062992125984"/>
  <pageSetup paperSize="9" scale="2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62"/>
  <sheetViews>
    <sheetView view="pageBreakPreview" zoomScale="70" zoomScaleNormal="115" zoomScaleSheetLayoutView="70" workbookViewId="0">
      <pane ySplit="3" topLeftCell="A4" activePane="bottomLeft" state="frozen"/>
      <selection pane="bottomLeft" activeCell="P26" sqref="P26:P31"/>
    </sheetView>
  </sheetViews>
  <sheetFormatPr defaultColWidth="8.796875" defaultRowHeight="13.8" x14ac:dyDescent="0.25"/>
  <cols>
    <col min="1" max="1" width="8.796875" style="115"/>
    <col min="2" max="8" width="8.796875" style="115" customWidth="1"/>
    <col min="9" max="9" width="10.09765625" style="116" bestFit="1" customWidth="1"/>
    <col min="10" max="10" width="10.3984375" style="116" bestFit="1" customWidth="1"/>
    <col min="11" max="12" width="8.796875" style="116" customWidth="1"/>
    <col min="13" max="14" width="8.796875" style="115" customWidth="1"/>
    <col min="15" max="21" width="8.796875" style="115"/>
    <col min="22" max="22" width="10.09765625" style="116" bestFit="1" customWidth="1"/>
    <col min="23" max="23" width="10.3984375" style="116" bestFit="1" customWidth="1"/>
    <col min="24" max="26" width="8.796875" style="116" customWidth="1"/>
    <col min="27" max="34" width="8.796875" style="115"/>
    <col min="35" max="35" width="10.09765625" style="116" bestFit="1" customWidth="1"/>
    <col min="36" max="36" width="10.3984375" style="116" bestFit="1" customWidth="1"/>
    <col min="37" max="38" width="8.796875" style="116" customWidth="1"/>
    <col min="39" max="40" width="8.796875" style="115" customWidth="1"/>
    <col min="41" max="16384" width="8.796875" style="115"/>
  </cols>
  <sheetData>
    <row r="1" spans="1:43" ht="9.9" customHeight="1" thickBot="1" x14ac:dyDescent="0.3">
      <c r="A1" s="168"/>
      <c r="B1" s="168"/>
      <c r="C1" s="168"/>
      <c r="D1" s="168"/>
      <c r="E1" s="168"/>
      <c r="F1" s="168"/>
      <c r="G1" s="168"/>
      <c r="H1" s="168"/>
      <c r="I1" s="185"/>
      <c r="J1" s="185"/>
      <c r="K1" s="185"/>
      <c r="L1" s="185"/>
      <c r="M1" s="168"/>
      <c r="N1" s="168"/>
      <c r="O1" s="168"/>
      <c r="P1" s="168"/>
      <c r="Q1" s="168"/>
      <c r="R1" s="168"/>
      <c r="S1" s="168"/>
      <c r="T1" s="168"/>
      <c r="U1" s="168"/>
      <c r="V1" s="185"/>
      <c r="W1" s="185"/>
      <c r="X1" s="185"/>
      <c r="Y1" s="185"/>
      <c r="Z1" s="185"/>
      <c r="AA1" s="168"/>
      <c r="AB1" s="168"/>
      <c r="AC1" s="168"/>
      <c r="AD1" s="168"/>
      <c r="AE1" s="168"/>
      <c r="AF1" s="168"/>
      <c r="AG1" s="168"/>
      <c r="AH1" s="168"/>
      <c r="AI1" s="185"/>
      <c r="AJ1" s="185"/>
      <c r="AK1" s="185"/>
      <c r="AL1" s="185"/>
      <c r="AM1" s="168"/>
    </row>
    <row r="2" spans="1:43" ht="24.9" customHeight="1" thickBot="1" x14ac:dyDescent="0.3">
      <c r="A2" s="168"/>
      <c r="B2" s="289" t="s">
        <v>180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1"/>
      <c r="AM2" s="168"/>
    </row>
    <row r="3" spans="1:43" ht="24.9" customHeight="1" thickBot="1" x14ac:dyDescent="0.3">
      <c r="A3" s="168"/>
      <c r="B3" s="294" t="s">
        <v>163</v>
      </c>
      <c r="C3" s="295"/>
      <c r="D3" s="295"/>
      <c r="E3" s="295"/>
      <c r="F3" s="295"/>
      <c r="G3" s="295"/>
      <c r="H3" s="295"/>
      <c r="I3" s="295"/>
      <c r="J3" s="295"/>
      <c r="K3" s="295"/>
      <c r="L3" s="296"/>
      <c r="M3" s="118"/>
      <c r="N3" s="118"/>
      <c r="O3" s="341" t="s">
        <v>164</v>
      </c>
      <c r="P3" s="342"/>
      <c r="Q3" s="342"/>
      <c r="R3" s="342"/>
      <c r="S3" s="342"/>
      <c r="T3" s="342"/>
      <c r="U3" s="342"/>
      <c r="V3" s="342"/>
      <c r="W3" s="342"/>
      <c r="X3" s="342"/>
      <c r="Y3" s="343"/>
      <c r="Z3" s="186"/>
      <c r="AA3" s="187"/>
      <c r="AB3" s="341" t="s">
        <v>165</v>
      </c>
      <c r="AC3" s="342"/>
      <c r="AD3" s="342"/>
      <c r="AE3" s="342"/>
      <c r="AF3" s="342"/>
      <c r="AG3" s="342"/>
      <c r="AH3" s="342"/>
      <c r="AI3" s="342"/>
      <c r="AJ3" s="342"/>
      <c r="AK3" s="342"/>
      <c r="AL3" s="343"/>
      <c r="AM3" s="168"/>
    </row>
    <row r="4" spans="1:43" ht="27.6" thickBot="1" x14ac:dyDescent="0.3">
      <c r="A4" s="168"/>
      <c r="B4" s="169" t="s">
        <v>0</v>
      </c>
      <c r="C4" s="170" t="s">
        <v>140</v>
      </c>
      <c r="D4" s="171" t="s">
        <v>141</v>
      </c>
      <c r="E4" s="171" t="s">
        <v>142</v>
      </c>
      <c r="F4" s="170" t="s">
        <v>143</v>
      </c>
      <c r="G4" s="171" t="s">
        <v>144</v>
      </c>
      <c r="H4" s="120" t="s">
        <v>91</v>
      </c>
      <c r="I4" s="121" t="s">
        <v>174</v>
      </c>
      <c r="J4" s="121" t="s">
        <v>175</v>
      </c>
      <c r="K4" s="172" t="s">
        <v>173</v>
      </c>
      <c r="L4" s="173" t="s">
        <v>116</v>
      </c>
      <c r="M4" s="118"/>
      <c r="N4" s="168"/>
      <c r="O4" s="169" t="s">
        <v>0</v>
      </c>
      <c r="P4" s="170" t="s">
        <v>140</v>
      </c>
      <c r="Q4" s="171" t="s">
        <v>141</v>
      </c>
      <c r="R4" s="171" t="s">
        <v>142</v>
      </c>
      <c r="S4" s="170" t="s">
        <v>143</v>
      </c>
      <c r="T4" s="171" t="s">
        <v>144</v>
      </c>
      <c r="U4" s="120" t="s">
        <v>91</v>
      </c>
      <c r="V4" s="121" t="s">
        <v>174</v>
      </c>
      <c r="W4" s="121" t="s">
        <v>175</v>
      </c>
      <c r="X4" s="172" t="s">
        <v>173</v>
      </c>
      <c r="Y4" s="173" t="s">
        <v>116</v>
      </c>
      <c r="Z4" s="188"/>
      <c r="AA4" s="168"/>
      <c r="AB4" s="169" t="s">
        <v>0</v>
      </c>
      <c r="AC4" s="170" t="s">
        <v>140</v>
      </c>
      <c r="AD4" s="171" t="s">
        <v>141</v>
      </c>
      <c r="AE4" s="171" t="s">
        <v>142</v>
      </c>
      <c r="AF4" s="170" t="s">
        <v>143</v>
      </c>
      <c r="AG4" s="171" t="s">
        <v>144</v>
      </c>
      <c r="AH4" s="120" t="s">
        <v>91</v>
      </c>
      <c r="AI4" s="121" t="s">
        <v>174</v>
      </c>
      <c r="AJ4" s="121" t="s">
        <v>175</v>
      </c>
      <c r="AK4" s="172" t="s">
        <v>173</v>
      </c>
      <c r="AL4" s="173" t="s">
        <v>116</v>
      </c>
      <c r="AM4" s="168"/>
    </row>
    <row r="5" spans="1:43" ht="28.2" thickBot="1" x14ac:dyDescent="0.3">
      <c r="A5" s="189" t="s">
        <v>139</v>
      </c>
      <c r="B5" s="332" t="s">
        <v>145</v>
      </c>
      <c r="C5" s="330">
        <v>5180</v>
      </c>
      <c r="D5" s="330">
        <v>36</v>
      </c>
      <c r="E5" s="123" t="s">
        <v>146</v>
      </c>
      <c r="F5" s="123">
        <f>'WLAN 5 GHz 802.11ax Ant1'!F5</f>
        <v>0</v>
      </c>
      <c r="G5" s="123">
        <f t="shared" ref="G5:G19" si="0">$A$6</f>
        <v>0</v>
      </c>
      <c r="H5" s="277">
        <v>9.5</v>
      </c>
      <c r="I5" s="209">
        <v>9.4349577962891296</v>
      </c>
      <c r="J5" s="225">
        <v>10</v>
      </c>
      <c r="K5" s="225">
        <v>-0.14000000000000001</v>
      </c>
      <c r="L5" s="175">
        <f>J5+K5</f>
        <v>9.86</v>
      </c>
      <c r="M5" s="190"/>
      <c r="N5" s="174" t="s">
        <v>139</v>
      </c>
      <c r="O5" s="332" t="s">
        <v>138</v>
      </c>
      <c r="P5" s="330">
        <v>5500</v>
      </c>
      <c r="Q5" s="330">
        <v>100</v>
      </c>
      <c r="R5" s="123" t="s">
        <v>146</v>
      </c>
      <c r="S5" s="123">
        <f>'WLAN 5 GHz 802.11ax Ant1'!S5</f>
        <v>0</v>
      </c>
      <c r="T5" s="123">
        <f t="shared" ref="T5:T19" si="1">$N$6</f>
        <v>0</v>
      </c>
      <c r="U5" s="277">
        <v>9.5</v>
      </c>
      <c r="V5" s="209">
        <v>9.9181716804420823</v>
      </c>
      <c r="W5" s="225">
        <v>10</v>
      </c>
      <c r="X5" s="225">
        <v>-0.54</v>
      </c>
      <c r="Y5" s="175">
        <f>W5+X5</f>
        <v>9.4600000000000009</v>
      </c>
      <c r="Z5" s="157"/>
      <c r="AA5" s="174" t="s">
        <v>139</v>
      </c>
      <c r="AB5" s="332" t="s">
        <v>138</v>
      </c>
      <c r="AC5" s="330">
        <v>5745</v>
      </c>
      <c r="AD5" s="330">
        <v>149</v>
      </c>
      <c r="AE5" s="123" t="s">
        <v>146</v>
      </c>
      <c r="AF5" s="123">
        <f>'WLAN 5 GHz 802.11ax Ant1'!AF5</f>
        <v>0</v>
      </c>
      <c r="AG5" s="123">
        <f t="shared" ref="AG5:AG19" si="2">$AA$6</f>
        <v>0</v>
      </c>
      <c r="AH5" s="277">
        <v>9.5</v>
      </c>
      <c r="AI5" s="228">
        <v>9.9545106210338634</v>
      </c>
      <c r="AJ5" s="225">
        <v>10</v>
      </c>
      <c r="AK5" s="210">
        <v>-0.36</v>
      </c>
      <c r="AL5" s="175">
        <f>AJ5+AK5</f>
        <v>9.64</v>
      </c>
      <c r="AM5" s="168"/>
      <c r="AP5" s="117"/>
      <c r="AQ5" s="117"/>
    </row>
    <row r="6" spans="1:43" ht="24.9" customHeight="1" thickBot="1" x14ac:dyDescent="0.3">
      <c r="A6" s="191">
        <f>'WLAN 5 GHz 802.11ax Ant1'!A6</f>
        <v>0</v>
      </c>
      <c r="B6" s="332"/>
      <c r="C6" s="330"/>
      <c r="D6" s="330"/>
      <c r="E6" s="123" t="s">
        <v>121</v>
      </c>
      <c r="F6" s="123">
        <f>'WLAN 5 GHz 802.11ax Ant1'!F6</f>
        <v>0</v>
      </c>
      <c r="G6" s="123">
        <f t="shared" si="0"/>
        <v>0</v>
      </c>
      <c r="H6" s="277">
        <v>11.5</v>
      </c>
      <c r="I6" s="209">
        <v>11.629974072736285</v>
      </c>
      <c r="J6" s="225">
        <v>12</v>
      </c>
      <c r="K6" s="225">
        <v>-0.14000000000000001</v>
      </c>
      <c r="L6" s="175">
        <f t="shared" ref="L6:L19" si="3">J6+K6</f>
        <v>11.86</v>
      </c>
      <c r="M6" s="168"/>
      <c r="N6" s="191">
        <f>'WLAN 5 GHz 802.11ax Ant1'!N6</f>
        <v>0</v>
      </c>
      <c r="O6" s="332"/>
      <c r="P6" s="330"/>
      <c r="Q6" s="330"/>
      <c r="R6" s="123" t="s">
        <v>121</v>
      </c>
      <c r="S6" s="123">
        <f>'WLAN 5 GHz 802.11ax Ant1'!S6</f>
        <v>0</v>
      </c>
      <c r="T6" s="123">
        <f t="shared" si="1"/>
        <v>0</v>
      </c>
      <c r="U6" s="277">
        <v>11.5</v>
      </c>
      <c r="V6" s="209">
        <v>11.948285705677819</v>
      </c>
      <c r="W6" s="225">
        <v>12</v>
      </c>
      <c r="X6" s="225">
        <v>-0.54</v>
      </c>
      <c r="Y6" s="175">
        <f t="shared" ref="Y6:Y19" si="4">W6+X6</f>
        <v>11.46</v>
      </c>
      <c r="Z6" s="157"/>
      <c r="AA6" s="191">
        <f>'WLAN 5 GHz 802.11ax Ant1'!AA6</f>
        <v>0</v>
      </c>
      <c r="AB6" s="332"/>
      <c r="AC6" s="330"/>
      <c r="AD6" s="330"/>
      <c r="AE6" s="123" t="s">
        <v>121</v>
      </c>
      <c r="AF6" s="123">
        <f>'WLAN 5 GHz 802.11ax Ant1'!AF6</f>
        <v>0</v>
      </c>
      <c r="AG6" s="123">
        <f t="shared" si="2"/>
        <v>0</v>
      </c>
      <c r="AH6" s="277">
        <v>11.5</v>
      </c>
      <c r="AI6" s="228">
        <v>11.480382113929714</v>
      </c>
      <c r="AJ6" s="225">
        <v>12</v>
      </c>
      <c r="AK6" s="210">
        <v>-0.36</v>
      </c>
      <c r="AL6" s="175">
        <f t="shared" ref="AL6:AL19" si="5">AJ6+AK6</f>
        <v>11.64</v>
      </c>
      <c r="AM6" s="168"/>
      <c r="AP6" s="117"/>
      <c r="AQ6" s="117"/>
    </row>
    <row r="7" spans="1:43" ht="24.9" customHeight="1" x14ac:dyDescent="0.25">
      <c r="A7" s="168"/>
      <c r="B7" s="332"/>
      <c r="C7" s="330"/>
      <c r="D7" s="330"/>
      <c r="E7" s="123" t="s">
        <v>123</v>
      </c>
      <c r="F7" s="123">
        <f>'WLAN 5 GHz 802.11ax Ant1'!F7</f>
        <v>0</v>
      </c>
      <c r="G7" s="123">
        <f t="shared" si="0"/>
        <v>0</v>
      </c>
      <c r="H7" s="277">
        <v>14.5</v>
      </c>
      <c r="I7" s="209">
        <v>14.404861016458353</v>
      </c>
      <c r="J7" s="225">
        <v>15</v>
      </c>
      <c r="K7" s="225">
        <v>-0.14000000000000001</v>
      </c>
      <c r="L7" s="175">
        <f t="shared" si="3"/>
        <v>14.86</v>
      </c>
      <c r="M7" s="168"/>
      <c r="N7" s="168"/>
      <c r="O7" s="332"/>
      <c r="P7" s="330"/>
      <c r="Q7" s="330"/>
      <c r="R7" s="123" t="s">
        <v>123</v>
      </c>
      <c r="S7" s="123">
        <f>'WLAN 5 GHz 802.11ax Ant1'!S7</f>
        <v>0</v>
      </c>
      <c r="T7" s="123">
        <f t="shared" si="1"/>
        <v>0</v>
      </c>
      <c r="U7" s="277">
        <v>14.5</v>
      </c>
      <c r="V7" s="209">
        <v>15.07536441683413</v>
      </c>
      <c r="W7" s="225">
        <v>15</v>
      </c>
      <c r="X7" s="225">
        <v>-0.54</v>
      </c>
      <c r="Y7" s="175">
        <f t="shared" si="4"/>
        <v>14.46</v>
      </c>
      <c r="Z7" s="157"/>
      <c r="AA7" s="168"/>
      <c r="AB7" s="332"/>
      <c r="AC7" s="330"/>
      <c r="AD7" s="330"/>
      <c r="AE7" s="123" t="s">
        <v>123</v>
      </c>
      <c r="AF7" s="123">
        <f>'WLAN 5 GHz 802.11ax Ant1'!AF7</f>
        <v>0</v>
      </c>
      <c r="AG7" s="123">
        <f t="shared" si="2"/>
        <v>0</v>
      </c>
      <c r="AH7" s="277">
        <v>14.5</v>
      </c>
      <c r="AI7" s="228">
        <v>14.484112122858768</v>
      </c>
      <c r="AJ7" s="225">
        <v>15</v>
      </c>
      <c r="AK7" s="210">
        <v>-0.36</v>
      </c>
      <c r="AL7" s="175">
        <f t="shared" si="5"/>
        <v>14.64</v>
      </c>
      <c r="AM7" s="168"/>
      <c r="AP7" s="117"/>
      <c r="AQ7" s="117"/>
    </row>
    <row r="8" spans="1:43" ht="24.9" customHeight="1" x14ac:dyDescent="0.25">
      <c r="A8" s="168"/>
      <c r="B8" s="332"/>
      <c r="C8" s="330"/>
      <c r="D8" s="330"/>
      <c r="E8" s="192" t="s">
        <v>147</v>
      </c>
      <c r="F8" s="123">
        <f>'WLAN 5 GHz 802.11ax Ant1'!F8</f>
        <v>0</v>
      </c>
      <c r="G8" s="123">
        <f t="shared" si="0"/>
        <v>0</v>
      </c>
      <c r="H8" s="277">
        <v>15.5</v>
      </c>
      <c r="I8" s="228">
        <v>16.11896685615379</v>
      </c>
      <c r="J8" s="225">
        <v>16</v>
      </c>
      <c r="K8" s="225">
        <v>-0.14000000000000001</v>
      </c>
      <c r="L8" s="175">
        <f t="shared" si="3"/>
        <v>15.86</v>
      </c>
      <c r="M8" s="168"/>
      <c r="N8" s="168"/>
      <c r="O8" s="332"/>
      <c r="P8" s="330"/>
      <c r="Q8" s="330"/>
      <c r="R8" s="192" t="s">
        <v>147</v>
      </c>
      <c r="S8" s="123">
        <f>'WLAN 5 GHz 802.11ax Ant1'!S8</f>
        <v>0</v>
      </c>
      <c r="T8" s="123">
        <f t="shared" si="1"/>
        <v>0</v>
      </c>
      <c r="U8" s="277">
        <v>15.5</v>
      </c>
      <c r="V8" s="228">
        <v>16.470342543045177</v>
      </c>
      <c r="W8" s="225">
        <v>16</v>
      </c>
      <c r="X8" s="225">
        <v>-0.54</v>
      </c>
      <c r="Y8" s="175">
        <f t="shared" si="4"/>
        <v>15.46</v>
      </c>
      <c r="Z8" s="157"/>
      <c r="AA8" s="168"/>
      <c r="AB8" s="332"/>
      <c r="AC8" s="330"/>
      <c r="AD8" s="330"/>
      <c r="AE8" s="192" t="s">
        <v>147</v>
      </c>
      <c r="AF8" s="123">
        <f>'WLAN 5 GHz 802.11ax Ant1'!AF8</f>
        <v>0</v>
      </c>
      <c r="AG8" s="123">
        <f t="shared" si="2"/>
        <v>0</v>
      </c>
      <c r="AH8" s="277">
        <v>15.5</v>
      </c>
      <c r="AI8" s="228">
        <v>16.429379855526733</v>
      </c>
      <c r="AJ8" s="225">
        <v>16</v>
      </c>
      <c r="AK8" s="210">
        <v>-0.36</v>
      </c>
      <c r="AL8" s="175">
        <f t="shared" si="5"/>
        <v>15.64</v>
      </c>
      <c r="AM8" s="168"/>
      <c r="AP8" s="117"/>
      <c r="AQ8" s="117"/>
    </row>
    <row r="9" spans="1:43" ht="24.9" customHeight="1" x14ac:dyDescent="0.25">
      <c r="A9" s="168"/>
      <c r="B9" s="332"/>
      <c r="C9" s="330"/>
      <c r="D9" s="330"/>
      <c r="E9" s="192" t="s">
        <v>125</v>
      </c>
      <c r="F9" s="123" t="str">
        <f>'WLAN 5 GHz 802.11ax Ant1'!F9</f>
        <v>X</v>
      </c>
      <c r="G9" s="123">
        <f t="shared" si="0"/>
        <v>0</v>
      </c>
      <c r="H9" s="277">
        <v>14.5</v>
      </c>
      <c r="I9" s="228">
        <v>15.04204781334465</v>
      </c>
      <c r="J9" s="225">
        <v>15</v>
      </c>
      <c r="K9" s="225">
        <v>-0.14000000000000001</v>
      </c>
      <c r="L9" s="175">
        <f t="shared" si="3"/>
        <v>14.86</v>
      </c>
      <c r="M9" s="168"/>
      <c r="N9" s="168"/>
      <c r="O9" s="332"/>
      <c r="P9" s="330"/>
      <c r="Q9" s="330"/>
      <c r="R9" s="192" t="s">
        <v>125</v>
      </c>
      <c r="S9" s="123" t="str">
        <f>'WLAN 5 GHz 802.11ax Ant1'!S9</f>
        <v>X</v>
      </c>
      <c r="T9" s="123">
        <f t="shared" si="1"/>
        <v>0</v>
      </c>
      <c r="U9" s="277">
        <v>14.5</v>
      </c>
      <c r="V9" s="228">
        <v>15.400377815466895</v>
      </c>
      <c r="W9" s="225">
        <v>15</v>
      </c>
      <c r="X9" s="225">
        <v>-0.54</v>
      </c>
      <c r="Y9" s="175">
        <f t="shared" si="4"/>
        <v>14.46</v>
      </c>
      <c r="Z9" s="157"/>
      <c r="AA9" s="168"/>
      <c r="AB9" s="332"/>
      <c r="AC9" s="330"/>
      <c r="AD9" s="330"/>
      <c r="AE9" s="192" t="s">
        <v>125</v>
      </c>
      <c r="AF9" s="123" t="str">
        <f>'WLAN 5 GHz 802.11ax Ant1'!AF9</f>
        <v>X</v>
      </c>
      <c r="AG9" s="123">
        <f t="shared" si="2"/>
        <v>0</v>
      </c>
      <c r="AH9" s="277">
        <v>14.5</v>
      </c>
      <c r="AI9" s="228">
        <v>15.353226407021943</v>
      </c>
      <c r="AJ9" s="225">
        <v>15</v>
      </c>
      <c r="AK9" s="210">
        <v>-0.36</v>
      </c>
      <c r="AL9" s="175">
        <f t="shared" si="5"/>
        <v>14.64</v>
      </c>
      <c r="AM9" s="168"/>
      <c r="AP9" s="117"/>
      <c r="AQ9" s="117"/>
    </row>
    <row r="10" spans="1:43" ht="24.9" customHeight="1" x14ac:dyDescent="0.25">
      <c r="A10" s="168"/>
      <c r="B10" s="332"/>
      <c r="C10" s="330">
        <v>5260</v>
      </c>
      <c r="D10" s="330">
        <v>52</v>
      </c>
      <c r="E10" s="192" t="s">
        <v>118</v>
      </c>
      <c r="F10" s="123">
        <f>'WLAN 5 GHz 802.11ax Ant1'!F10</f>
        <v>0</v>
      </c>
      <c r="G10" s="123">
        <f t="shared" si="0"/>
        <v>0</v>
      </c>
      <c r="H10" s="277">
        <v>14.5</v>
      </c>
      <c r="I10" s="209">
        <v>15.397852704139884</v>
      </c>
      <c r="J10" s="225">
        <v>15</v>
      </c>
      <c r="K10" s="225">
        <v>-0.14000000000000001</v>
      </c>
      <c r="L10" s="175">
        <f t="shared" si="3"/>
        <v>14.86</v>
      </c>
      <c r="M10" s="190"/>
      <c r="N10" s="190"/>
      <c r="O10" s="332"/>
      <c r="P10" s="330">
        <v>5600</v>
      </c>
      <c r="Q10" s="330">
        <v>120</v>
      </c>
      <c r="R10" s="192" t="s">
        <v>148</v>
      </c>
      <c r="S10" s="123">
        <f>'WLAN 5 GHz 802.11ax Ant1'!S10</f>
        <v>0</v>
      </c>
      <c r="T10" s="123">
        <f t="shared" si="1"/>
        <v>0</v>
      </c>
      <c r="U10" s="277">
        <v>14.5</v>
      </c>
      <c r="V10" s="209">
        <v>15.225739525225015</v>
      </c>
      <c r="W10" s="225">
        <v>15</v>
      </c>
      <c r="X10" s="225">
        <v>-0.54</v>
      </c>
      <c r="Y10" s="175">
        <f t="shared" si="4"/>
        <v>14.46</v>
      </c>
      <c r="Z10" s="157"/>
      <c r="AA10" s="168"/>
      <c r="AB10" s="332"/>
      <c r="AC10" s="330">
        <v>5785</v>
      </c>
      <c r="AD10" s="330">
        <v>157</v>
      </c>
      <c r="AE10" s="192" t="s">
        <v>118</v>
      </c>
      <c r="AF10" s="123">
        <f>'WLAN 5 GHz 802.11ax Ant1'!AF10</f>
        <v>0</v>
      </c>
      <c r="AG10" s="123">
        <f t="shared" si="2"/>
        <v>0</v>
      </c>
      <c r="AH10" s="277">
        <v>14.5</v>
      </c>
      <c r="AI10" s="228">
        <v>15.557763461986569</v>
      </c>
      <c r="AJ10" s="225">
        <v>15</v>
      </c>
      <c r="AK10" s="210">
        <v>-0.36</v>
      </c>
      <c r="AL10" s="175">
        <f t="shared" si="5"/>
        <v>14.64</v>
      </c>
      <c r="AM10" s="168"/>
      <c r="AP10" s="117"/>
      <c r="AQ10" s="117"/>
    </row>
    <row r="11" spans="1:43" ht="24.9" customHeight="1" x14ac:dyDescent="0.25">
      <c r="A11" s="168"/>
      <c r="B11" s="332"/>
      <c r="C11" s="330"/>
      <c r="D11" s="330"/>
      <c r="E11" s="192" t="s">
        <v>121</v>
      </c>
      <c r="F11" s="123">
        <f>'WLAN 5 GHz 802.11ax Ant1'!F11</f>
        <v>0</v>
      </c>
      <c r="G11" s="123">
        <f t="shared" si="0"/>
        <v>0</v>
      </c>
      <c r="H11" s="277">
        <v>9.5</v>
      </c>
      <c r="I11" s="209">
        <v>9.689048634886543</v>
      </c>
      <c r="J11" s="225">
        <v>10</v>
      </c>
      <c r="K11" s="225">
        <v>-0.14000000000000001</v>
      </c>
      <c r="L11" s="175">
        <f t="shared" si="3"/>
        <v>9.86</v>
      </c>
      <c r="M11" s="168"/>
      <c r="N11" s="168"/>
      <c r="O11" s="332"/>
      <c r="P11" s="330"/>
      <c r="Q11" s="330"/>
      <c r="R11" s="192" t="s">
        <v>149</v>
      </c>
      <c r="S11" s="123">
        <f>'WLAN 5 GHz 802.11ax Ant1'!S11</f>
        <v>0</v>
      </c>
      <c r="T11" s="123">
        <f t="shared" si="1"/>
        <v>0</v>
      </c>
      <c r="U11" s="277">
        <v>9.5</v>
      </c>
      <c r="V11" s="209">
        <v>9.8741653860061351</v>
      </c>
      <c r="W11" s="225">
        <v>10</v>
      </c>
      <c r="X11" s="225">
        <v>-0.54</v>
      </c>
      <c r="Y11" s="175">
        <f t="shared" si="4"/>
        <v>9.4600000000000009</v>
      </c>
      <c r="Z11" s="157"/>
      <c r="AA11" s="168"/>
      <c r="AB11" s="332"/>
      <c r="AC11" s="330"/>
      <c r="AD11" s="330"/>
      <c r="AE11" s="192" t="s">
        <v>150</v>
      </c>
      <c r="AF11" s="123">
        <f>'WLAN 5 GHz 802.11ax Ant1'!AF11</f>
        <v>0</v>
      </c>
      <c r="AG11" s="123">
        <f t="shared" si="2"/>
        <v>0</v>
      </c>
      <c r="AH11" s="277">
        <v>9.5</v>
      </c>
      <c r="AI11" s="228">
        <v>9.5892790242745178</v>
      </c>
      <c r="AJ11" s="225">
        <v>10</v>
      </c>
      <c r="AK11" s="210">
        <v>-0.36</v>
      </c>
      <c r="AL11" s="175">
        <f t="shared" si="5"/>
        <v>9.64</v>
      </c>
      <c r="AM11" s="168"/>
      <c r="AP11" s="117"/>
      <c r="AQ11" s="117"/>
    </row>
    <row r="12" spans="1:43" ht="24.9" customHeight="1" x14ac:dyDescent="0.25">
      <c r="A12" s="168"/>
      <c r="B12" s="332"/>
      <c r="C12" s="330"/>
      <c r="D12" s="330"/>
      <c r="E12" s="192" t="s">
        <v>123</v>
      </c>
      <c r="F12" s="123">
        <f>'WLAN 5 GHz 802.11ax Ant1'!F12</f>
        <v>0</v>
      </c>
      <c r="G12" s="123">
        <f t="shared" si="0"/>
        <v>0</v>
      </c>
      <c r="H12" s="277">
        <v>11.5</v>
      </c>
      <c r="I12" s="209">
        <v>11.856257708439927</v>
      </c>
      <c r="J12" s="225">
        <v>12</v>
      </c>
      <c r="K12" s="225">
        <v>-0.14000000000000001</v>
      </c>
      <c r="L12" s="175">
        <f t="shared" si="3"/>
        <v>11.86</v>
      </c>
      <c r="M12" s="168"/>
      <c r="N12" s="168"/>
      <c r="O12" s="332"/>
      <c r="P12" s="330"/>
      <c r="Q12" s="330"/>
      <c r="R12" s="192" t="s">
        <v>151</v>
      </c>
      <c r="S12" s="123">
        <f>'WLAN 5 GHz 802.11ax Ant1'!S12</f>
        <v>0</v>
      </c>
      <c r="T12" s="123">
        <f t="shared" si="1"/>
        <v>0</v>
      </c>
      <c r="U12" s="277">
        <v>11.5</v>
      </c>
      <c r="V12" s="209">
        <v>11.851165300875522</v>
      </c>
      <c r="W12" s="225">
        <v>12</v>
      </c>
      <c r="X12" s="225">
        <v>-0.54</v>
      </c>
      <c r="Y12" s="175">
        <f t="shared" si="4"/>
        <v>11.46</v>
      </c>
      <c r="Z12" s="157"/>
      <c r="AA12" s="168"/>
      <c r="AB12" s="332"/>
      <c r="AC12" s="330"/>
      <c r="AD12" s="330"/>
      <c r="AE12" s="192" t="s">
        <v>152</v>
      </c>
      <c r="AF12" s="123">
        <f>'WLAN 5 GHz 802.11ax Ant1'!AF12</f>
        <v>0</v>
      </c>
      <c r="AG12" s="123">
        <f t="shared" si="2"/>
        <v>0</v>
      </c>
      <c r="AH12" s="277">
        <v>11.5</v>
      </c>
      <c r="AI12" s="228">
        <v>12.002295714601765</v>
      </c>
      <c r="AJ12" s="225">
        <v>12</v>
      </c>
      <c r="AK12" s="210">
        <v>-0.36</v>
      </c>
      <c r="AL12" s="175">
        <f t="shared" si="5"/>
        <v>11.64</v>
      </c>
      <c r="AM12" s="168"/>
      <c r="AP12" s="117"/>
      <c r="AQ12" s="117"/>
    </row>
    <row r="13" spans="1:43" ht="24.9" customHeight="1" x14ac:dyDescent="0.25">
      <c r="A13" s="168"/>
      <c r="B13" s="332"/>
      <c r="C13" s="330"/>
      <c r="D13" s="330"/>
      <c r="E13" s="192" t="s">
        <v>147</v>
      </c>
      <c r="F13" s="123">
        <f>'WLAN 5 GHz 802.11ax Ant1'!F13</f>
        <v>0</v>
      </c>
      <c r="G13" s="123">
        <f t="shared" si="0"/>
        <v>0</v>
      </c>
      <c r="H13" s="277">
        <v>14.5</v>
      </c>
      <c r="I13" s="228">
        <v>14.533693364580014</v>
      </c>
      <c r="J13" s="225">
        <v>15</v>
      </c>
      <c r="K13" s="225">
        <v>-0.14000000000000001</v>
      </c>
      <c r="L13" s="175">
        <f t="shared" si="3"/>
        <v>14.86</v>
      </c>
      <c r="M13" s="190"/>
      <c r="N13" s="190"/>
      <c r="O13" s="332"/>
      <c r="P13" s="330"/>
      <c r="Q13" s="330"/>
      <c r="R13" s="192" t="s">
        <v>147</v>
      </c>
      <c r="S13" s="123">
        <f>'WLAN 5 GHz 802.11ax Ant1'!S13</f>
        <v>0</v>
      </c>
      <c r="T13" s="123">
        <f t="shared" si="1"/>
        <v>0</v>
      </c>
      <c r="U13" s="277">
        <v>14.5</v>
      </c>
      <c r="V13" s="228">
        <v>14.170006988860134</v>
      </c>
      <c r="W13" s="225">
        <v>15</v>
      </c>
      <c r="X13" s="225">
        <v>-0.54</v>
      </c>
      <c r="Y13" s="175">
        <f t="shared" si="4"/>
        <v>14.46</v>
      </c>
      <c r="Z13" s="157"/>
      <c r="AA13" s="168"/>
      <c r="AB13" s="332"/>
      <c r="AC13" s="330"/>
      <c r="AD13" s="330"/>
      <c r="AE13" s="192" t="s">
        <v>147</v>
      </c>
      <c r="AF13" s="123">
        <f>'WLAN 5 GHz 802.11ax Ant1'!AF13</f>
        <v>0</v>
      </c>
      <c r="AG13" s="123">
        <f t="shared" si="2"/>
        <v>0</v>
      </c>
      <c r="AH13" s="277">
        <v>14.5</v>
      </c>
      <c r="AI13" s="228">
        <v>14.666601209466034</v>
      </c>
      <c r="AJ13" s="225">
        <v>15</v>
      </c>
      <c r="AK13" s="210">
        <v>-0.36</v>
      </c>
      <c r="AL13" s="175">
        <f t="shared" si="5"/>
        <v>14.64</v>
      </c>
      <c r="AM13" s="168"/>
      <c r="AP13" s="117"/>
      <c r="AQ13" s="117"/>
    </row>
    <row r="14" spans="1:43" ht="24.9" customHeight="1" x14ac:dyDescent="0.25">
      <c r="A14" s="168"/>
      <c r="B14" s="332"/>
      <c r="C14" s="330"/>
      <c r="D14" s="330"/>
      <c r="E14" s="192" t="s">
        <v>153</v>
      </c>
      <c r="F14" s="123" t="str">
        <f>'WLAN 5 GHz 802.11ax Ant1'!F14</f>
        <v>X</v>
      </c>
      <c r="G14" s="123">
        <f t="shared" si="0"/>
        <v>0</v>
      </c>
      <c r="H14" s="277">
        <v>15.5</v>
      </c>
      <c r="I14" s="228">
        <v>16.100195431695724</v>
      </c>
      <c r="J14" s="225">
        <v>16</v>
      </c>
      <c r="K14" s="225">
        <v>-0.14000000000000001</v>
      </c>
      <c r="L14" s="175">
        <f t="shared" si="3"/>
        <v>15.86</v>
      </c>
      <c r="M14" s="190"/>
      <c r="N14" s="190"/>
      <c r="O14" s="332"/>
      <c r="P14" s="330"/>
      <c r="Q14" s="330"/>
      <c r="R14" s="192" t="s">
        <v>153</v>
      </c>
      <c r="S14" s="123" t="str">
        <f>'WLAN 5 GHz 802.11ax Ant1'!S14</f>
        <v>X</v>
      </c>
      <c r="T14" s="123">
        <f t="shared" si="1"/>
        <v>0</v>
      </c>
      <c r="U14" s="277">
        <v>15.5</v>
      </c>
      <c r="V14" s="228">
        <v>15.9195208905962</v>
      </c>
      <c r="W14" s="225">
        <v>16</v>
      </c>
      <c r="X14" s="225">
        <v>-0.54</v>
      </c>
      <c r="Y14" s="175">
        <f t="shared" si="4"/>
        <v>15.46</v>
      </c>
      <c r="Z14" s="157"/>
      <c r="AA14" s="168"/>
      <c r="AB14" s="332"/>
      <c r="AC14" s="330"/>
      <c r="AD14" s="330"/>
      <c r="AE14" s="192" t="s">
        <v>153</v>
      </c>
      <c r="AF14" s="123" t="str">
        <f>'WLAN 5 GHz 802.11ax Ant1'!AF14</f>
        <v>X</v>
      </c>
      <c r="AG14" s="123">
        <f t="shared" si="2"/>
        <v>0</v>
      </c>
      <c r="AH14" s="277">
        <v>15.5</v>
      </c>
      <c r="AI14" s="228">
        <v>16.36248336996049</v>
      </c>
      <c r="AJ14" s="225">
        <v>16</v>
      </c>
      <c r="AK14" s="210">
        <v>-0.36</v>
      </c>
      <c r="AL14" s="175">
        <f t="shared" si="5"/>
        <v>15.64</v>
      </c>
      <c r="AM14" s="168"/>
      <c r="AP14" s="117"/>
      <c r="AQ14" s="117"/>
    </row>
    <row r="15" spans="1:43" ht="24.9" customHeight="1" x14ac:dyDescent="0.25">
      <c r="A15" s="168"/>
      <c r="B15" s="332"/>
      <c r="C15" s="330">
        <v>5320</v>
      </c>
      <c r="D15" s="330">
        <v>64</v>
      </c>
      <c r="E15" s="192" t="s">
        <v>155</v>
      </c>
      <c r="F15" s="123">
        <f>'WLAN 5 GHz 802.11ax Ant1'!F15</f>
        <v>0</v>
      </c>
      <c r="G15" s="123">
        <f t="shared" si="0"/>
        <v>0</v>
      </c>
      <c r="H15" s="277">
        <v>14.5</v>
      </c>
      <c r="I15" s="209">
        <v>15.338748089542493</v>
      </c>
      <c r="J15" s="225">
        <v>15</v>
      </c>
      <c r="K15" s="225">
        <v>-0.14000000000000001</v>
      </c>
      <c r="L15" s="175">
        <f t="shared" si="3"/>
        <v>14.86</v>
      </c>
      <c r="M15" s="168"/>
      <c r="N15" s="168"/>
      <c r="O15" s="332"/>
      <c r="P15" s="330">
        <v>5700</v>
      </c>
      <c r="Q15" s="330">
        <v>140</v>
      </c>
      <c r="R15" s="192" t="s">
        <v>155</v>
      </c>
      <c r="S15" s="123">
        <f>'WLAN 5 GHz 802.11ax Ant1'!S15</f>
        <v>0</v>
      </c>
      <c r="T15" s="123">
        <f t="shared" si="1"/>
        <v>0</v>
      </c>
      <c r="U15" s="277">
        <v>14.5</v>
      </c>
      <c r="V15" s="209">
        <v>15.061957726658791</v>
      </c>
      <c r="W15" s="225">
        <v>15</v>
      </c>
      <c r="X15" s="225">
        <v>-0.54</v>
      </c>
      <c r="Y15" s="175">
        <f t="shared" si="4"/>
        <v>14.46</v>
      </c>
      <c r="Z15" s="157"/>
      <c r="AA15" s="168"/>
      <c r="AB15" s="332"/>
      <c r="AC15" s="330">
        <v>5825</v>
      </c>
      <c r="AD15" s="330">
        <v>165</v>
      </c>
      <c r="AE15" s="192" t="s">
        <v>155</v>
      </c>
      <c r="AF15" s="123">
        <f>'WLAN 5 GHz 802.11ax Ant1'!AF15</f>
        <v>0</v>
      </c>
      <c r="AG15" s="123">
        <f t="shared" si="2"/>
        <v>0</v>
      </c>
      <c r="AH15" s="277">
        <v>14.5</v>
      </c>
      <c r="AI15" s="228">
        <v>15.037963910775783</v>
      </c>
      <c r="AJ15" s="225">
        <v>15</v>
      </c>
      <c r="AK15" s="210">
        <v>-0.36</v>
      </c>
      <c r="AL15" s="175">
        <f t="shared" si="5"/>
        <v>14.64</v>
      </c>
      <c r="AM15" s="168"/>
      <c r="AP15" s="117"/>
      <c r="AQ15" s="117"/>
    </row>
    <row r="16" spans="1:43" ht="24.9" customHeight="1" x14ac:dyDescent="0.25">
      <c r="A16" s="168"/>
      <c r="B16" s="332"/>
      <c r="C16" s="330"/>
      <c r="D16" s="330"/>
      <c r="E16" s="192" t="s">
        <v>156</v>
      </c>
      <c r="F16" s="123">
        <f>'WLAN 5 GHz 802.11ax Ant1'!F16</f>
        <v>0</v>
      </c>
      <c r="G16" s="123">
        <f t="shared" si="0"/>
        <v>0</v>
      </c>
      <c r="H16" s="277">
        <v>14.5</v>
      </c>
      <c r="I16" s="209">
        <v>15.374951028001016</v>
      </c>
      <c r="J16" s="225">
        <v>15</v>
      </c>
      <c r="K16" s="225">
        <v>-0.14000000000000001</v>
      </c>
      <c r="L16" s="175">
        <f t="shared" si="3"/>
        <v>14.86</v>
      </c>
      <c r="M16" s="190"/>
      <c r="N16" s="168"/>
      <c r="O16" s="332"/>
      <c r="P16" s="330"/>
      <c r="Q16" s="330"/>
      <c r="R16" s="192" t="s">
        <v>156</v>
      </c>
      <c r="S16" s="123">
        <f>'WLAN 5 GHz 802.11ax Ant1'!S16</f>
        <v>0</v>
      </c>
      <c r="T16" s="123">
        <f t="shared" si="1"/>
        <v>0</v>
      </c>
      <c r="U16" s="277">
        <v>14.5</v>
      </c>
      <c r="V16" s="209">
        <v>15.498770455136293</v>
      </c>
      <c r="W16" s="225">
        <v>15</v>
      </c>
      <c r="X16" s="225">
        <v>-0.54</v>
      </c>
      <c r="Y16" s="175">
        <f t="shared" si="4"/>
        <v>14.46</v>
      </c>
      <c r="Z16" s="157"/>
      <c r="AA16" s="168"/>
      <c r="AB16" s="332"/>
      <c r="AC16" s="330"/>
      <c r="AD16" s="330"/>
      <c r="AE16" s="192" t="s">
        <v>156</v>
      </c>
      <c r="AF16" s="123">
        <f>'WLAN 5 GHz 802.11ax Ant1'!AF16</f>
        <v>0</v>
      </c>
      <c r="AG16" s="123">
        <f t="shared" si="2"/>
        <v>0</v>
      </c>
      <c r="AH16" s="277">
        <v>14.5</v>
      </c>
      <c r="AI16" s="228">
        <v>15.405927941828971</v>
      </c>
      <c r="AJ16" s="225">
        <v>15</v>
      </c>
      <c r="AK16" s="210">
        <v>-0.36</v>
      </c>
      <c r="AL16" s="175">
        <f t="shared" si="5"/>
        <v>14.64</v>
      </c>
      <c r="AM16" s="168"/>
      <c r="AP16" s="117"/>
      <c r="AQ16" s="117"/>
    </row>
    <row r="17" spans="1:43" ht="24.9" customHeight="1" x14ac:dyDescent="0.25">
      <c r="A17" s="168"/>
      <c r="B17" s="332"/>
      <c r="C17" s="330"/>
      <c r="D17" s="330"/>
      <c r="E17" s="192" t="s">
        <v>123</v>
      </c>
      <c r="F17" s="123">
        <f>'WLAN 5 GHz 802.11ax Ant1'!F17</f>
        <v>0</v>
      </c>
      <c r="G17" s="123">
        <f t="shared" si="0"/>
        <v>0</v>
      </c>
      <c r="H17" s="277">
        <v>9.5</v>
      </c>
      <c r="I17" s="209">
        <v>10.937360173838124</v>
      </c>
      <c r="J17" s="225">
        <v>10</v>
      </c>
      <c r="K17" s="225">
        <v>-0.14000000000000001</v>
      </c>
      <c r="L17" s="175">
        <f t="shared" si="3"/>
        <v>9.86</v>
      </c>
      <c r="M17" s="168"/>
      <c r="N17" s="168"/>
      <c r="O17" s="332"/>
      <c r="P17" s="330"/>
      <c r="Q17" s="330"/>
      <c r="R17" s="192" t="s">
        <v>123</v>
      </c>
      <c r="S17" s="123">
        <f>'WLAN 5 GHz 802.11ax Ant1'!S17</f>
        <v>0</v>
      </c>
      <c r="T17" s="123">
        <f t="shared" si="1"/>
        <v>0</v>
      </c>
      <c r="U17" s="277">
        <v>9.5</v>
      </c>
      <c r="V17" s="209">
        <v>10.19780926808418</v>
      </c>
      <c r="W17" s="225">
        <v>10</v>
      </c>
      <c r="X17" s="225">
        <v>-0.54</v>
      </c>
      <c r="Y17" s="175">
        <f t="shared" si="4"/>
        <v>9.4600000000000009</v>
      </c>
      <c r="Z17" s="157"/>
      <c r="AA17" s="168"/>
      <c r="AB17" s="332"/>
      <c r="AC17" s="330"/>
      <c r="AD17" s="330"/>
      <c r="AE17" s="192" t="s">
        <v>123</v>
      </c>
      <c r="AF17" s="123">
        <f>'WLAN 5 GHz 802.11ax Ant1'!AF17</f>
        <v>0</v>
      </c>
      <c r="AG17" s="123">
        <f t="shared" si="2"/>
        <v>0</v>
      </c>
      <c r="AH17" s="277">
        <v>9.5</v>
      </c>
      <c r="AI17" s="228">
        <v>10.830829028690458</v>
      </c>
      <c r="AJ17" s="225">
        <v>10</v>
      </c>
      <c r="AK17" s="210">
        <v>-0.36</v>
      </c>
      <c r="AL17" s="175">
        <f t="shared" si="5"/>
        <v>9.64</v>
      </c>
      <c r="AM17" s="168"/>
      <c r="AP17" s="117"/>
      <c r="AQ17" s="117"/>
    </row>
    <row r="18" spans="1:43" ht="24.9" customHeight="1" x14ac:dyDescent="0.25">
      <c r="A18" s="168"/>
      <c r="B18" s="332"/>
      <c r="C18" s="330"/>
      <c r="D18" s="330"/>
      <c r="E18" s="192" t="s">
        <v>147</v>
      </c>
      <c r="F18" s="123">
        <f>'WLAN 5 GHz 802.11ax Ant1'!F18</f>
        <v>0</v>
      </c>
      <c r="G18" s="123">
        <f t="shared" si="0"/>
        <v>0</v>
      </c>
      <c r="H18" s="277">
        <v>11.5</v>
      </c>
      <c r="I18" s="228">
        <v>12.456039564403152</v>
      </c>
      <c r="J18" s="225">
        <v>12</v>
      </c>
      <c r="K18" s="225">
        <v>-0.14000000000000001</v>
      </c>
      <c r="L18" s="175">
        <f t="shared" si="3"/>
        <v>11.86</v>
      </c>
      <c r="M18" s="168"/>
      <c r="N18" s="168"/>
      <c r="O18" s="332"/>
      <c r="P18" s="330"/>
      <c r="Q18" s="330"/>
      <c r="R18" s="192" t="s">
        <v>147</v>
      </c>
      <c r="S18" s="123">
        <f>'WLAN 5 GHz 802.11ax Ant1'!S18</f>
        <v>0</v>
      </c>
      <c r="T18" s="123">
        <f t="shared" si="1"/>
        <v>0</v>
      </c>
      <c r="U18" s="277">
        <v>11.5</v>
      </c>
      <c r="V18" s="228">
        <v>12.400301696928782</v>
      </c>
      <c r="W18" s="225">
        <v>12</v>
      </c>
      <c r="X18" s="225">
        <v>-0.54</v>
      </c>
      <c r="Y18" s="175">
        <f t="shared" si="4"/>
        <v>11.46</v>
      </c>
      <c r="Z18" s="157"/>
      <c r="AA18" s="168"/>
      <c r="AB18" s="332"/>
      <c r="AC18" s="330"/>
      <c r="AD18" s="330"/>
      <c r="AE18" s="192" t="s">
        <v>147</v>
      </c>
      <c r="AF18" s="123">
        <f>'WLAN 5 GHz 802.11ax Ant1'!AF18</f>
        <v>0</v>
      </c>
      <c r="AG18" s="123">
        <f t="shared" si="2"/>
        <v>0</v>
      </c>
      <c r="AH18" s="277">
        <v>11.5</v>
      </c>
      <c r="AI18" s="228">
        <v>12.392146432038123</v>
      </c>
      <c r="AJ18" s="225">
        <v>12</v>
      </c>
      <c r="AK18" s="210">
        <v>-0.36</v>
      </c>
      <c r="AL18" s="175">
        <f t="shared" si="5"/>
        <v>11.64</v>
      </c>
      <c r="AM18" s="168"/>
      <c r="AP18" s="117"/>
      <c r="AQ18" s="117"/>
    </row>
    <row r="19" spans="1:43" ht="24.9" customHeight="1" thickBot="1" x14ac:dyDescent="0.3">
      <c r="A19" s="168"/>
      <c r="B19" s="333"/>
      <c r="C19" s="331"/>
      <c r="D19" s="331"/>
      <c r="E19" s="194" t="s">
        <v>157</v>
      </c>
      <c r="F19" s="123" t="str">
        <f>'WLAN 5 GHz 802.11ax Ant1'!F19</f>
        <v>X</v>
      </c>
      <c r="G19" s="125">
        <f t="shared" si="0"/>
        <v>0</v>
      </c>
      <c r="H19" s="277">
        <v>14.5</v>
      </c>
      <c r="I19" s="230">
        <v>15.125104250839239</v>
      </c>
      <c r="J19" s="225">
        <v>15</v>
      </c>
      <c r="K19" s="225">
        <v>-0.14000000000000001</v>
      </c>
      <c r="L19" s="176">
        <f t="shared" si="3"/>
        <v>14.86</v>
      </c>
      <c r="M19" s="168"/>
      <c r="N19" s="168"/>
      <c r="O19" s="333"/>
      <c r="P19" s="331"/>
      <c r="Q19" s="331"/>
      <c r="R19" s="194" t="s">
        <v>157</v>
      </c>
      <c r="S19" s="123" t="str">
        <f>'WLAN 5 GHz 802.11ax Ant1'!S19</f>
        <v>X</v>
      </c>
      <c r="T19" s="125">
        <f t="shared" si="1"/>
        <v>0</v>
      </c>
      <c r="U19" s="277">
        <v>14.5</v>
      </c>
      <c r="V19" s="230">
        <v>15.606527824007584</v>
      </c>
      <c r="W19" s="225">
        <v>15</v>
      </c>
      <c r="X19" s="225">
        <v>-0.54</v>
      </c>
      <c r="Y19" s="176">
        <f t="shared" si="4"/>
        <v>14.46</v>
      </c>
      <c r="Z19" s="157"/>
      <c r="AA19" s="168"/>
      <c r="AB19" s="333"/>
      <c r="AC19" s="331"/>
      <c r="AD19" s="331"/>
      <c r="AE19" s="194" t="s">
        <v>157</v>
      </c>
      <c r="AF19" s="123" t="str">
        <f>'WLAN 5 GHz 802.11ax Ant1'!AF19</f>
        <v>X</v>
      </c>
      <c r="AG19" s="125">
        <f t="shared" si="2"/>
        <v>0</v>
      </c>
      <c r="AH19" s="277">
        <v>14.5</v>
      </c>
      <c r="AI19" s="230">
        <v>15.363899592182873</v>
      </c>
      <c r="AJ19" s="225">
        <v>15</v>
      </c>
      <c r="AK19" s="210">
        <v>-0.36</v>
      </c>
      <c r="AL19" s="176">
        <f t="shared" si="5"/>
        <v>14.64</v>
      </c>
      <c r="AM19" s="168"/>
      <c r="AP19" s="117"/>
      <c r="AQ19" s="117"/>
    </row>
    <row r="20" spans="1:43" ht="28.2" thickBot="1" x14ac:dyDescent="0.3">
      <c r="A20" s="174" t="s">
        <v>139</v>
      </c>
      <c r="B20" s="332" t="s">
        <v>160</v>
      </c>
      <c r="C20" s="330">
        <v>5190</v>
      </c>
      <c r="D20" s="330">
        <v>38</v>
      </c>
      <c r="E20" s="123" t="s">
        <v>146</v>
      </c>
      <c r="F20" s="123">
        <f>'WLAN 5 GHz 802.11ax Ant1'!F20</f>
        <v>0</v>
      </c>
      <c r="G20" s="123">
        <f t="shared" ref="G20:G37" si="6">$A$21</f>
        <v>0</v>
      </c>
      <c r="H20" s="277">
        <v>15.5</v>
      </c>
      <c r="I20" s="235">
        <v>16.747251012041847</v>
      </c>
      <c r="J20" s="225">
        <v>10</v>
      </c>
      <c r="K20" s="225">
        <v>-0.14000000000000001</v>
      </c>
      <c r="L20" s="175">
        <f>J20+K20</f>
        <v>9.86</v>
      </c>
      <c r="M20" s="168"/>
      <c r="N20" s="174" t="s">
        <v>139</v>
      </c>
      <c r="O20" s="332" t="s">
        <v>119</v>
      </c>
      <c r="P20" s="330">
        <v>5510</v>
      </c>
      <c r="Q20" s="330">
        <v>102</v>
      </c>
      <c r="R20" s="123" t="s">
        <v>118</v>
      </c>
      <c r="S20" s="123">
        <f>'WLAN 5 GHz 802.11ax Ant1'!S20</f>
        <v>0</v>
      </c>
      <c r="T20" s="123">
        <f t="shared" ref="T20:T37" si="7">$N$21</f>
        <v>0</v>
      </c>
      <c r="U20" s="277">
        <v>15.5</v>
      </c>
      <c r="V20" s="235">
        <v>16.86794730253331</v>
      </c>
      <c r="W20" s="225">
        <v>10</v>
      </c>
      <c r="X20" s="225">
        <v>-0.54</v>
      </c>
      <c r="Y20" s="175">
        <f t="shared" ref="Y20:Y37" si="8">W20+X20</f>
        <v>9.4600000000000009</v>
      </c>
      <c r="Z20" s="196"/>
      <c r="AA20" s="174" t="s">
        <v>139</v>
      </c>
      <c r="AB20" s="332" t="s">
        <v>160</v>
      </c>
      <c r="AC20" s="330">
        <v>5755</v>
      </c>
      <c r="AD20" s="330">
        <v>151</v>
      </c>
      <c r="AE20" s="123" t="s">
        <v>146</v>
      </c>
      <c r="AF20" s="123">
        <f>'WLAN 5 GHz 802.11ax Ant1'!AF20</f>
        <v>0</v>
      </c>
      <c r="AG20" s="123">
        <f t="shared" ref="AG20:AG31" si="9">$AA$21</f>
        <v>0</v>
      </c>
      <c r="AH20" s="277">
        <v>15.5</v>
      </c>
      <c r="AI20" s="225">
        <v>16.680328383030666</v>
      </c>
      <c r="AJ20" s="225">
        <v>10</v>
      </c>
      <c r="AK20" s="210">
        <v>-0.36</v>
      </c>
      <c r="AL20" s="175">
        <f t="shared" ref="AL20:AL31" si="10">AJ20+AK20</f>
        <v>9.64</v>
      </c>
      <c r="AM20" s="168"/>
    </row>
    <row r="21" spans="1:43" ht="24.9" customHeight="1" thickBot="1" x14ac:dyDescent="0.3">
      <c r="A21" s="191">
        <f>'WLAN 5 GHz 802.11ax Ant1'!A21</f>
        <v>0</v>
      </c>
      <c r="B21" s="332"/>
      <c r="C21" s="330"/>
      <c r="D21" s="330"/>
      <c r="E21" s="123" t="s">
        <v>120</v>
      </c>
      <c r="F21" s="123">
        <f>'WLAN 5 GHz 802.11ax Ant1'!F21</f>
        <v>0</v>
      </c>
      <c r="G21" s="123">
        <f t="shared" si="6"/>
        <v>0</v>
      </c>
      <c r="H21" s="277">
        <v>14.5</v>
      </c>
      <c r="I21" s="235">
        <v>15.595467266625937</v>
      </c>
      <c r="J21" s="225">
        <v>12</v>
      </c>
      <c r="K21" s="225">
        <v>-0.14000000000000001</v>
      </c>
      <c r="L21" s="175">
        <f t="shared" ref="L21:L37" si="11">J21+K21</f>
        <v>11.86</v>
      </c>
      <c r="M21" s="190"/>
      <c r="N21" s="191">
        <f>'WLAN 5 GHz 802.11ax Ant1'!N21</f>
        <v>0</v>
      </c>
      <c r="O21" s="332"/>
      <c r="P21" s="330"/>
      <c r="Q21" s="330"/>
      <c r="R21" s="123" t="s">
        <v>120</v>
      </c>
      <c r="S21" s="123">
        <f>'WLAN 5 GHz 802.11ax Ant1'!S21</f>
        <v>0</v>
      </c>
      <c r="T21" s="123">
        <f t="shared" si="7"/>
        <v>0</v>
      </c>
      <c r="U21" s="277">
        <v>14.5</v>
      </c>
      <c r="V21" s="235">
        <v>16.302374737087288</v>
      </c>
      <c r="W21" s="225">
        <v>12</v>
      </c>
      <c r="X21" s="225">
        <v>-0.54</v>
      </c>
      <c r="Y21" s="175">
        <f t="shared" si="8"/>
        <v>11.46</v>
      </c>
      <c r="Z21" s="168"/>
      <c r="AA21" s="191">
        <f>'WLAN 5 GHz 802.11ax Ant1'!AA21</f>
        <v>0</v>
      </c>
      <c r="AB21" s="332"/>
      <c r="AC21" s="330"/>
      <c r="AD21" s="330"/>
      <c r="AE21" s="123" t="s">
        <v>120</v>
      </c>
      <c r="AF21" s="123">
        <f>'WLAN 5 GHz 802.11ax Ant1'!AF21</f>
        <v>0</v>
      </c>
      <c r="AG21" s="123">
        <f t="shared" si="9"/>
        <v>0</v>
      </c>
      <c r="AH21" s="277">
        <v>14.5</v>
      </c>
      <c r="AI21" s="225">
        <v>15.774996456099824</v>
      </c>
      <c r="AJ21" s="225">
        <v>12</v>
      </c>
      <c r="AK21" s="210">
        <v>-0.36</v>
      </c>
      <c r="AL21" s="175">
        <f t="shared" si="10"/>
        <v>11.64</v>
      </c>
      <c r="AM21" s="168"/>
    </row>
    <row r="22" spans="1:43" ht="24.9" customHeight="1" x14ac:dyDescent="0.25">
      <c r="A22" s="168"/>
      <c r="B22" s="332"/>
      <c r="C22" s="330"/>
      <c r="D22" s="330"/>
      <c r="E22" s="123" t="s">
        <v>122</v>
      </c>
      <c r="F22" s="123">
        <f>'WLAN 5 GHz 802.11ax Ant1'!F22</f>
        <v>0</v>
      </c>
      <c r="G22" s="123">
        <f t="shared" si="6"/>
        <v>0</v>
      </c>
      <c r="H22" s="277">
        <v>14.5</v>
      </c>
      <c r="I22" s="235">
        <v>16.592827773937469</v>
      </c>
      <c r="J22" s="225">
        <v>15</v>
      </c>
      <c r="K22" s="225">
        <v>-0.14000000000000001</v>
      </c>
      <c r="L22" s="175">
        <f t="shared" si="11"/>
        <v>14.86</v>
      </c>
      <c r="M22" s="168"/>
      <c r="N22" s="168"/>
      <c r="O22" s="332"/>
      <c r="P22" s="330"/>
      <c r="Q22" s="330"/>
      <c r="R22" s="123" t="s">
        <v>122</v>
      </c>
      <c r="S22" s="123">
        <f>'WLAN 5 GHz 802.11ax Ant1'!S22</f>
        <v>0</v>
      </c>
      <c r="T22" s="123">
        <f t="shared" si="7"/>
        <v>0</v>
      </c>
      <c r="U22" s="277">
        <v>14.5</v>
      </c>
      <c r="V22" s="235">
        <v>16.294963777686188</v>
      </c>
      <c r="W22" s="225">
        <v>15</v>
      </c>
      <c r="X22" s="225">
        <v>-0.54</v>
      </c>
      <c r="Y22" s="175">
        <f t="shared" si="8"/>
        <v>14.46</v>
      </c>
      <c r="Z22" s="168"/>
      <c r="AA22" s="168"/>
      <c r="AB22" s="332"/>
      <c r="AC22" s="330"/>
      <c r="AD22" s="330"/>
      <c r="AE22" s="123" t="s">
        <v>122</v>
      </c>
      <c r="AF22" s="123">
        <f>'WLAN 5 GHz 802.11ax Ant1'!AF22</f>
        <v>0</v>
      </c>
      <c r="AG22" s="123">
        <f t="shared" si="9"/>
        <v>0</v>
      </c>
      <c r="AH22" s="277">
        <v>14.5</v>
      </c>
      <c r="AI22" s="225">
        <v>16.469123051147236</v>
      </c>
      <c r="AJ22" s="225">
        <v>15</v>
      </c>
      <c r="AK22" s="210">
        <v>-0.36</v>
      </c>
      <c r="AL22" s="175">
        <f t="shared" si="10"/>
        <v>14.64</v>
      </c>
      <c r="AM22" s="168"/>
    </row>
    <row r="23" spans="1:43" ht="24.9" customHeight="1" x14ac:dyDescent="0.25">
      <c r="A23" s="168"/>
      <c r="B23" s="332"/>
      <c r="C23" s="330"/>
      <c r="D23" s="330"/>
      <c r="E23" s="123" t="s">
        <v>147</v>
      </c>
      <c r="F23" s="123">
        <f>'WLAN 5 GHz 802.11ax Ant1'!F23</f>
        <v>0</v>
      </c>
      <c r="G23" s="123">
        <f t="shared" si="6"/>
        <v>0</v>
      </c>
      <c r="H23" s="277">
        <v>9.5</v>
      </c>
      <c r="I23" s="235">
        <v>9.7322811147702275</v>
      </c>
      <c r="J23" s="225">
        <v>16</v>
      </c>
      <c r="K23" s="225">
        <v>-0.14000000000000001</v>
      </c>
      <c r="L23" s="175">
        <f t="shared" si="11"/>
        <v>15.86</v>
      </c>
      <c r="M23" s="190"/>
      <c r="N23" s="190"/>
      <c r="O23" s="332"/>
      <c r="P23" s="330"/>
      <c r="Q23" s="330"/>
      <c r="R23" s="123" t="s">
        <v>147</v>
      </c>
      <c r="S23" s="123">
        <f>'WLAN 5 GHz 802.11ax Ant1'!S23</f>
        <v>0</v>
      </c>
      <c r="T23" s="123">
        <f t="shared" si="7"/>
        <v>0</v>
      </c>
      <c r="U23" s="277">
        <v>9.5</v>
      </c>
      <c r="V23" s="235">
        <v>9.8255897306635784</v>
      </c>
      <c r="W23" s="225">
        <v>16</v>
      </c>
      <c r="X23" s="225">
        <v>-0.54</v>
      </c>
      <c r="Y23" s="175">
        <f t="shared" si="8"/>
        <v>15.46</v>
      </c>
      <c r="Z23" s="190"/>
      <c r="AA23" s="168"/>
      <c r="AB23" s="332"/>
      <c r="AC23" s="330"/>
      <c r="AD23" s="330"/>
      <c r="AE23" s="123" t="s">
        <v>147</v>
      </c>
      <c r="AF23" s="123">
        <f>'WLAN 5 GHz 802.11ax Ant1'!AF23</f>
        <v>0</v>
      </c>
      <c r="AG23" s="123">
        <f t="shared" si="9"/>
        <v>0</v>
      </c>
      <c r="AH23" s="277">
        <v>9.5</v>
      </c>
      <c r="AI23" s="225">
        <v>10.100196062059437</v>
      </c>
      <c r="AJ23" s="225">
        <v>16</v>
      </c>
      <c r="AK23" s="210">
        <v>-0.36</v>
      </c>
      <c r="AL23" s="175">
        <f t="shared" si="10"/>
        <v>15.64</v>
      </c>
      <c r="AM23" s="168"/>
    </row>
    <row r="24" spans="1:43" ht="24.9" customHeight="1" x14ac:dyDescent="0.25">
      <c r="A24" s="168"/>
      <c r="B24" s="332"/>
      <c r="C24" s="330"/>
      <c r="D24" s="330"/>
      <c r="E24" s="123" t="s">
        <v>161</v>
      </c>
      <c r="F24" s="123">
        <f>'WLAN 5 GHz 802.11ax Ant1'!F24</f>
        <v>0</v>
      </c>
      <c r="G24" s="123">
        <f t="shared" si="6"/>
        <v>0</v>
      </c>
      <c r="H24" s="277">
        <v>11.5</v>
      </c>
      <c r="I24" s="235">
        <v>11.942109757972821</v>
      </c>
      <c r="J24" s="225">
        <v>15</v>
      </c>
      <c r="K24" s="225">
        <v>-0.14000000000000001</v>
      </c>
      <c r="L24" s="175">
        <f t="shared" si="11"/>
        <v>14.86</v>
      </c>
      <c r="M24" s="190"/>
      <c r="N24" s="190"/>
      <c r="O24" s="332"/>
      <c r="P24" s="330"/>
      <c r="Q24" s="330"/>
      <c r="R24" s="123" t="s">
        <v>161</v>
      </c>
      <c r="S24" s="123">
        <f>'WLAN 5 GHz 802.11ax Ant1'!S24</f>
        <v>0</v>
      </c>
      <c r="T24" s="123">
        <f t="shared" si="7"/>
        <v>0</v>
      </c>
      <c r="U24" s="277">
        <v>11.5</v>
      </c>
      <c r="V24" s="235">
        <v>11.049099190147864</v>
      </c>
      <c r="W24" s="225">
        <v>15</v>
      </c>
      <c r="X24" s="225">
        <v>-0.54</v>
      </c>
      <c r="Y24" s="175">
        <f t="shared" si="8"/>
        <v>14.46</v>
      </c>
      <c r="Z24" s="190"/>
      <c r="AA24" s="168"/>
      <c r="AB24" s="332"/>
      <c r="AC24" s="330"/>
      <c r="AD24" s="330"/>
      <c r="AE24" s="123" t="s">
        <v>161</v>
      </c>
      <c r="AF24" s="123">
        <f>'WLAN 5 GHz 802.11ax Ant1'!AF24</f>
        <v>0</v>
      </c>
      <c r="AG24" s="123">
        <f t="shared" si="9"/>
        <v>0</v>
      </c>
      <c r="AH24" s="277">
        <v>11.5</v>
      </c>
      <c r="AI24" s="235">
        <v>11.341068184388867</v>
      </c>
      <c r="AJ24" s="225">
        <v>15</v>
      </c>
      <c r="AK24" s="210">
        <v>-0.36</v>
      </c>
      <c r="AL24" s="175">
        <f t="shared" si="10"/>
        <v>14.64</v>
      </c>
      <c r="AM24" s="168"/>
    </row>
    <row r="25" spans="1:43" ht="24.9" customHeight="1" x14ac:dyDescent="0.25">
      <c r="A25" s="168"/>
      <c r="B25" s="332"/>
      <c r="C25" s="330"/>
      <c r="D25" s="330"/>
      <c r="E25" s="123" t="s">
        <v>159</v>
      </c>
      <c r="F25" s="123" t="str">
        <f>'WLAN 5 GHz 802.11ax Ant1'!F25</f>
        <v>X</v>
      </c>
      <c r="G25" s="123">
        <f t="shared" si="6"/>
        <v>0</v>
      </c>
      <c r="H25" s="277">
        <v>14.5</v>
      </c>
      <c r="I25" s="235">
        <v>15.495021831081818</v>
      </c>
      <c r="J25" s="225">
        <v>15</v>
      </c>
      <c r="K25" s="225">
        <v>-0.14000000000000001</v>
      </c>
      <c r="L25" s="175">
        <f t="shared" si="11"/>
        <v>14.86</v>
      </c>
      <c r="M25" s="190"/>
      <c r="N25" s="190"/>
      <c r="O25" s="332"/>
      <c r="P25" s="330"/>
      <c r="Q25" s="330"/>
      <c r="R25" s="123" t="s">
        <v>159</v>
      </c>
      <c r="S25" s="123" t="str">
        <f>'WLAN 5 GHz 802.11ax Ant1'!S25</f>
        <v>X</v>
      </c>
      <c r="T25" s="123">
        <f t="shared" si="7"/>
        <v>0</v>
      </c>
      <c r="U25" s="277">
        <v>14.5</v>
      </c>
      <c r="V25" s="235">
        <v>16.07717913469493</v>
      </c>
      <c r="W25" s="225">
        <v>15</v>
      </c>
      <c r="X25" s="225">
        <v>-0.54</v>
      </c>
      <c r="Y25" s="175">
        <f t="shared" si="8"/>
        <v>14.46</v>
      </c>
      <c r="Z25" s="190"/>
      <c r="AA25" s="168"/>
      <c r="AB25" s="332"/>
      <c r="AC25" s="330"/>
      <c r="AD25" s="330"/>
      <c r="AE25" s="123" t="s">
        <v>159</v>
      </c>
      <c r="AF25" s="123" t="str">
        <f>'WLAN 5 GHz 802.11ax Ant1'!AF25</f>
        <v>X</v>
      </c>
      <c r="AG25" s="123">
        <f t="shared" si="9"/>
        <v>0</v>
      </c>
      <c r="AH25" s="277">
        <v>14.5</v>
      </c>
      <c r="AI25" s="225">
        <v>16.022867466436796</v>
      </c>
      <c r="AJ25" s="225">
        <v>15</v>
      </c>
      <c r="AK25" s="210">
        <v>-0.36</v>
      </c>
      <c r="AL25" s="175">
        <f t="shared" si="10"/>
        <v>14.64</v>
      </c>
      <c r="AM25" s="168"/>
    </row>
    <row r="26" spans="1:43" ht="24.9" customHeight="1" x14ac:dyDescent="0.25">
      <c r="A26" s="168"/>
      <c r="B26" s="332"/>
      <c r="C26" s="330">
        <v>5270</v>
      </c>
      <c r="D26" s="330">
        <v>54</v>
      </c>
      <c r="E26" s="123" t="s">
        <v>146</v>
      </c>
      <c r="F26" s="123">
        <f>'WLAN 5 GHz 802.11ax Ant1'!F26</f>
        <v>0</v>
      </c>
      <c r="G26" s="123">
        <f t="shared" si="6"/>
        <v>0</v>
      </c>
      <c r="H26" s="277">
        <v>15.5</v>
      </c>
      <c r="I26" s="235">
        <v>15.827797651182538</v>
      </c>
      <c r="J26" s="225">
        <v>10</v>
      </c>
      <c r="K26" s="225">
        <v>-0.14000000000000001</v>
      </c>
      <c r="L26" s="175">
        <f t="shared" si="11"/>
        <v>9.86</v>
      </c>
      <c r="M26" s="168"/>
      <c r="N26" s="168"/>
      <c r="O26" s="332"/>
      <c r="P26" s="330">
        <v>5590</v>
      </c>
      <c r="Q26" s="330">
        <v>118</v>
      </c>
      <c r="R26" s="123" t="s">
        <v>146</v>
      </c>
      <c r="S26" s="123">
        <f>'WLAN 5 GHz 802.11ax Ant1'!S26</f>
        <v>0</v>
      </c>
      <c r="T26" s="123">
        <f t="shared" si="7"/>
        <v>0</v>
      </c>
      <c r="U26" s="277">
        <v>15.5</v>
      </c>
      <c r="V26" s="235">
        <v>15.407007453038791</v>
      </c>
      <c r="W26" s="225">
        <v>10</v>
      </c>
      <c r="X26" s="225">
        <v>-0.54</v>
      </c>
      <c r="Y26" s="175">
        <f t="shared" si="8"/>
        <v>9.4600000000000009</v>
      </c>
      <c r="Z26" s="190"/>
      <c r="AA26" s="168"/>
      <c r="AB26" s="332"/>
      <c r="AC26" s="330">
        <v>5795</v>
      </c>
      <c r="AD26" s="330">
        <v>159</v>
      </c>
      <c r="AE26" s="123" t="s">
        <v>146</v>
      </c>
      <c r="AF26" s="123">
        <f>'WLAN 5 GHz 802.11ax Ant1'!AF26</f>
        <v>0</v>
      </c>
      <c r="AG26" s="123">
        <f t="shared" si="9"/>
        <v>0</v>
      </c>
      <c r="AH26" s="277">
        <v>15.5</v>
      </c>
      <c r="AI26" s="225">
        <v>15.567285028286566</v>
      </c>
      <c r="AJ26" s="225">
        <v>10</v>
      </c>
      <c r="AK26" s="210">
        <v>-0.36</v>
      </c>
      <c r="AL26" s="175">
        <f t="shared" si="10"/>
        <v>9.64</v>
      </c>
      <c r="AM26" s="168"/>
    </row>
    <row r="27" spans="1:43" ht="24.9" customHeight="1" x14ac:dyDescent="0.25">
      <c r="A27" s="168"/>
      <c r="B27" s="332"/>
      <c r="C27" s="330"/>
      <c r="D27" s="330"/>
      <c r="E27" s="123" t="s">
        <v>120</v>
      </c>
      <c r="F27" s="123">
        <f>'WLAN 5 GHz 802.11ax Ant1'!F27</f>
        <v>0</v>
      </c>
      <c r="G27" s="123">
        <f t="shared" si="6"/>
        <v>0</v>
      </c>
      <c r="H27" s="277">
        <v>14.5</v>
      </c>
      <c r="I27" s="235">
        <v>14.47705065641156</v>
      </c>
      <c r="J27" s="225">
        <v>12</v>
      </c>
      <c r="K27" s="225">
        <v>-0.14000000000000001</v>
      </c>
      <c r="L27" s="175">
        <f t="shared" si="11"/>
        <v>11.86</v>
      </c>
      <c r="M27" s="190"/>
      <c r="N27" s="168"/>
      <c r="O27" s="332"/>
      <c r="P27" s="330"/>
      <c r="Q27" s="330"/>
      <c r="R27" s="123" t="s">
        <v>120</v>
      </c>
      <c r="S27" s="123">
        <f>'WLAN 5 GHz 802.11ax Ant1'!S27</f>
        <v>0</v>
      </c>
      <c r="T27" s="123">
        <f t="shared" si="7"/>
        <v>0</v>
      </c>
      <c r="U27" s="277">
        <v>14.5</v>
      </c>
      <c r="V27" s="235">
        <v>14.56260812189616</v>
      </c>
      <c r="W27" s="225">
        <v>12</v>
      </c>
      <c r="X27" s="225">
        <v>-0.54</v>
      </c>
      <c r="Y27" s="175">
        <f t="shared" si="8"/>
        <v>11.46</v>
      </c>
      <c r="Z27" s="190"/>
      <c r="AA27" s="168"/>
      <c r="AB27" s="332"/>
      <c r="AC27" s="330"/>
      <c r="AD27" s="330"/>
      <c r="AE27" s="123" t="s">
        <v>120</v>
      </c>
      <c r="AF27" s="123">
        <f>'WLAN 5 GHz 802.11ax Ant1'!AF27</f>
        <v>0</v>
      </c>
      <c r="AG27" s="123">
        <f t="shared" si="9"/>
        <v>0</v>
      </c>
      <c r="AH27" s="277">
        <v>14.5</v>
      </c>
      <c r="AI27" s="225">
        <v>14.58924354996577</v>
      </c>
      <c r="AJ27" s="225">
        <v>12</v>
      </c>
      <c r="AK27" s="210">
        <v>-0.36</v>
      </c>
      <c r="AL27" s="175">
        <f t="shared" si="10"/>
        <v>11.64</v>
      </c>
      <c r="AM27" s="168"/>
    </row>
    <row r="28" spans="1:43" ht="24.9" customHeight="1" x14ac:dyDescent="0.25">
      <c r="A28" s="168"/>
      <c r="B28" s="332"/>
      <c r="C28" s="330"/>
      <c r="D28" s="330"/>
      <c r="E28" s="123" t="s">
        <v>122</v>
      </c>
      <c r="F28" s="123">
        <f>'WLAN 5 GHz 802.11ax Ant1'!F28</f>
        <v>0</v>
      </c>
      <c r="G28" s="123">
        <f t="shared" si="6"/>
        <v>0</v>
      </c>
      <c r="H28" s="277">
        <v>14.5</v>
      </c>
      <c r="I28" s="235">
        <v>15.150112603099782</v>
      </c>
      <c r="J28" s="225">
        <v>15</v>
      </c>
      <c r="K28" s="225">
        <v>-0.14000000000000001</v>
      </c>
      <c r="L28" s="175">
        <f t="shared" si="11"/>
        <v>14.86</v>
      </c>
      <c r="M28" s="168"/>
      <c r="N28" s="168"/>
      <c r="O28" s="332"/>
      <c r="P28" s="330"/>
      <c r="Q28" s="330"/>
      <c r="R28" s="123" t="s">
        <v>122</v>
      </c>
      <c r="S28" s="123">
        <f>'WLAN 5 GHz 802.11ax Ant1'!S28</f>
        <v>0</v>
      </c>
      <c r="T28" s="123">
        <f t="shared" si="7"/>
        <v>0</v>
      </c>
      <c r="U28" s="277">
        <v>14.5</v>
      </c>
      <c r="V28" s="235">
        <v>14.592140134799383</v>
      </c>
      <c r="W28" s="225">
        <v>15</v>
      </c>
      <c r="X28" s="225">
        <v>-0.54</v>
      </c>
      <c r="Y28" s="175">
        <f t="shared" si="8"/>
        <v>14.46</v>
      </c>
      <c r="Z28" s="168"/>
      <c r="AA28" s="168"/>
      <c r="AB28" s="332"/>
      <c r="AC28" s="330"/>
      <c r="AD28" s="330"/>
      <c r="AE28" s="123" t="s">
        <v>122</v>
      </c>
      <c r="AF28" s="123">
        <f>'WLAN 5 GHz 802.11ax Ant1'!AF28</f>
        <v>0</v>
      </c>
      <c r="AG28" s="123">
        <f t="shared" si="9"/>
        <v>0</v>
      </c>
      <c r="AH28" s="277">
        <v>14.5</v>
      </c>
      <c r="AI28" s="235">
        <v>15.371135296664837</v>
      </c>
      <c r="AJ28" s="225">
        <v>15</v>
      </c>
      <c r="AK28" s="210">
        <v>-0.36</v>
      </c>
      <c r="AL28" s="175">
        <f t="shared" si="10"/>
        <v>14.64</v>
      </c>
      <c r="AM28" s="168"/>
    </row>
    <row r="29" spans="1:43" ht="24.9" customHeight="1" x14ac:dyDescent="0.25">
      <c r="A29" s="168"/>
      <c r="B29" s="332"/>
      <c r="C29" s="330"/>
      <c r="D29" s="330"/>
      <c r="E29" s="123" t="s">
        <v>147</v>
      </c>
      <c r="F29" s="123">
        <f>'WLAN 5 GHz 802.11ax Ant1'!F29</f>
        <v>0</v>
      </c>
      <c r="G29" s="123">
        <f t="shared" si="6"/>
        <v>0</v>
      </c>
      <c r="H29" s="277">
        <v>9.5</v>
      </c>
      <c r="I29" s="235">
        <v>9.4552656131226858</v>
      </c>
      <c r="J29" s="225">
        <v>16</v>
      </c>
      <c r="K29" s="225">
        <v>-0.14000000000000001</v>
      </c>
      <c r="L29" s="175">
        <f t="shared" si="11"/>
        <v>15.86</v>
      </c>
      <c r="M29" s="168"/>
      <c r="N29" s="168"/>
      <c r="O29" s="332"/>
      <c r="P29" s="330"/>
      <c r="Q29" s="330"/>
      <c r="R29" s="123" t="s">
        <v>147</v>
      </c>
      <c r="S29" s="123">
        <f>'WLAN 5 GHz 802.11ax Ant1'!S29</f>
        <v>0</v>
      </c>
      <c r="T29" s="123">
        <f t="shared" si="7"/>
        <v>0</v>
      </c>
      <c r="U29" s="277">
        <v>9.5</v>
      </c>
      <c r="V29" s="235">
        <v>9.4163122565795003</v>
      </c>
      <c r="W29" s="225">
        <v>16</v>
      </c>
      <c r="X29" s="225">
        <v>-0.54</v>
      </c>
      <c r="Y29" s="175">
        <f t="shared" si="8"/>
        <v>15.46</v>
      </c>
      <c r="Z29" s="168"/>
      <c r="AA29" s="168"/>
      <c r="AB29" s="332"/>
      <c r="AC29" s="330"/>
      <c r="AD29" s="330"/>
      <c r="AE29" s="123" t="s">
        <v>147</v>
      </c>
      <c r="AF29" s="123">
        <f>'WLAN 5 GHz 802.11ax Ant1'!AF29</f>
        <v>0</v>
      </c>
      <c r="AG29" s="123">
        <f t="shared" si="9"/>
        <v>0</v>
      </c>
      <c r="AH29" s="277">
        <v>9.5</v>
      </c>
      <c r="AI29" s="235">
        <v>9.9947980090170958</v>
      </c>
      <c r="AJ29" s="225">
        <v>16</v>
      </c>
      <c r="AK29" s="210">
        <v>-0.36</v>
      </c>
      <c r="AL29" s="175">
        <f t="shared" si="10"/>
        <v>15.64</v>
      </c>
      <c r="AM29" s="168"/>
    </row>
    <row r="30" spans="1:43" ht="24.9" customHeight="1" x14ac:dyDescent="0.25">
      <c r="A30" s="168"/>
      <c r="B30" s="332"/>
      <c r="C30" s="330"/>
      <c r="D30" s="330"/>
      <c r="E30" s="123" t="s">
        <v>161</v>
      </c>
      <c r="F30" s="123">
        <f>'WLAN 5 GHz 802.11ax Ant1'!F30</f>
        <v>0</v>
      </c>
      <c r="G30" s="123">
        <f t="shared" si="6"/>
        <v>0</v>
      </c>
      <c r="H30" s="277">
        <v>11.5</v>
      </c>
      <c r="I30" s="235">
        <v>11.591557653919988</v>
      </c>
      <c r="J30" s="225">
        <v>15</v>
      </c>
      <c r="K30" s="225">
        <v>-0.14000000000000001</v>
      </c>
      <c r="L30" s="175">
        <f t="shared" si="11"/>
        <v>14.86</v>
      </c>
      <c r="M30" s="168"/>
      <c r="N30" s="168"/>
      <c r="O30" s="332"/>
      <c r="P30" s="330"/>
      <c r="Q30" s="330"/>
      <c r="R30" s="123" t="s">
        <v>161</v>
      </c>
      <c r="S30" s="123">
        <f>'WLAN 5 GHz 802.11ax Ant1'!S30</f>
        <v>0</v>
      </c>
      <c r="T30" s="123">
        <f t="shared" si="7"/>
        <v>0</v>
      </c>
      <c r="U30" s="277">
        <v>11.5</v>
      </c>
      <c r="V30" s="235">
        <v>11.553941714122326</v>
      </c>
      <c r="W30" s="225">
        <v>15</v>
      </c>
      <c r="X30" s="225">
        <v>-0.54</v>
      </c>
      <c r="Y30" s="175">
        <f t="shared" si="8"/>
        <v>14.46</v>
      </c>
      <c r="Z30" s="168"/>
      <c r="AA30" s="168"/>
      <c r="AB30" s="332"/>
      <c r="AC30" s="330"/>
      <c r="AD30" s="330"/>
      <c r="AE30" s="123" t="s">
        <v>161</v>
      </c>
      <c r="AF30" s="123">
        <f>'WLAN 5 GHz 802.11ax Ant1'!AF30</f>
        <v>0</v>
      </c>
      <c r="AG30" s="123">
        <f t="shared" si="9"/>
        <v>0</v>
      </c>
      <c r="AH30" s="277">
        <v>11.5</v>
      </c>
      <c r="AI30" s="235">
        <v>11.500928047323303</v>
      </c>
      <c r="AJ30" s="225">
        <v>15</v>
      </c>
      <c r="AK30" s="210">
        <v>-0.36</v>
      </c>
      <c r="AL30" s="175">
        <f t="shared" si="10"/>
        <v>14.64</v>
      </c>
      <c r="AM30" s="168"/>
    </row>
    <row r="31" spans="1:43" ht="24.9" customHeight="1" thickBot="1" x14ac:dyDescent="0.3">
      <c r="A31" s="168"/>
      <c r="B31" s="332"/>
      <c r="C31" s="330"/>
      <c r="D31" s="330"/>
      <c r="E31" s="123" t="s">
        <v>159</v>
      </c>
      <c r="F31" s="123" t="str">
        <f>'WLAN 5 GHz 802.11ax Ant1'!F31</f>
        <v>X</v>
      </c>
      <c r="G31" s="123">
        <f t="shared" si="6"/>
        <v>0</v>
      </c>
      <c r="H31" s="277">
        <v>14.5</v>
      </c>
      <c r="I31" s="235">
        <v>15.702158575393749</v>
      </c>
      <c r="J31" s="225">
        <v>15</v>
      </c>
      <c r="K31" s="225">
        <v>-0.14000000000000001</v>
      </c>
      <c r="L31" s="175">
        <f t="shared" si="11"/>
        <v>14.86</v>
      </c>
      <c r="M31" s="168"/>
      <c r="N31" s="168"/>
      <c r="O31" s="332"/>
      <c r="P31" s="330"/>
      <c r="Q31" s="330"/>
      <c r="R31" s="123" t="s">
        <v>159</v>
      </c>
      <c r="S31" s="123" t="str">
        <f>'WLAN 5 GHz 802.11ax Ant1'!S31</f>
        <v>X</v>
      </c>
      <c r="T31" s="123">
        <f t="shared" si="7"/>
        <v>0</v>
      </c>
      <c r="U31" s="277">
        <v>14.5</v>
      </c>
      <c r="V31" s="235">
        <v>15.375945428870377</v>
      </c>
      <c r="W31" s="225">
        <v>15</v>
      </c>
      <c r="X31" s="225">
        <v>-0.54</v>
      </c>
      <c r="Y31" s="175">
        <f t="shared" si="8"/>
        <v>14.46</v>
      </c>
      <c r="Z31" s="168"/>
      <c r="AA31" s="168"/>
      <c r="AB31" s="333"/>
      <c r="AC31" s="331"/>
      <c r="AD31" s="331"/>
      <c r="AE31" s="125" t="s">
        <v>159</v>
      </c>
      <c r="AF31" s="123" t="str">
        <f>'WLAN 5 GHz 802.11ax Ant1'!AF31</f>
        <v>X</v>
      </c>
      <c r="AG31" s="125">
        <f t="shared" si="9"/>
        <v>0</v>
      </c>
      <c r="AH31" s="277">
        <v>14.5</v>
      </c>
      <c r="AI31" s="242">
        <v>15.557931852306158</v>
      </c>
      <c r="AJ31" s="225">
        <v>15</v>
      </c>
      <c r="AK31" s="210">
        <v>-0.36</v>
      </c>
      <c r="AL31" s="176">
        <f t="shared" si="10"/>
        <v>14.64</v>
      </c>
      <c r="AM31" s="168"/>
    </row>
    <row r="32" spans="1:43" ht="28.2" thickBot="1" x14ac:dyDescent="0.3">
      <c r="A32" s="168"/>
      <c r="B32" s="332"/>
      <c r="C32" s="330">
        <v>5310</v>
      </c>
      <c r="D32" s="330">
        <v>62</v>
      </c>
      <c r="E32" s="123" t="s">
        <v>146</v>
      </c>
      <c r="F32" s="123">
        <f>'WLAN 5 GHz 802.11ax Ant1'!F32</f>
        <v>0</v>
      </c>
      <c r="G32" s="123">
        <f t="shared" si="6"/>
        <v>0</v>
      </c>
      <c r="H32" s="277">
        <v>15.5</v>
      </c>
      <c r="I32" s="235">
        <v>16.241953464871738</v>
      </c>
      <c r="J32" s="225">
        <v>10</v>
      </c>
      <c r="K32" s="225">
        <v>-0.14000000000000001</v>
      </c>
      <c r="L32" s="175">
        <f t="shared" si="11"/>
        <v>9.86</v>
      </c>
      <c r="M32" s="168"/>
      <c r="N32" s="168"/>
      <c r="O32" s="332"/>
      <c r="P32" s="330">
        <v>5670</v>
      </c>
      <c r="Q32" s="330">
        <v>134</v>
      </c>
      <c r="R32" s="123" t="s">
        <v>146</v>
      </c>
      <c r="S32" s="123">
        <f>'WLAN 5 GHz 802.11ax Ant1'!S32</f>
        <v>0</v>
      </c>
      <c r="T32" s="123">
        <f t="shared" si="7"/>
        <v>0</v>
      </c>
      <c r="U32" s="277">
        <v>15.5</v>
      </c>
      <c r="V32" s="235">
        <v>16.360442953884615</v>
      </c>
      <c r="W32" s="225">
        <v>10</v>
      </c>
      <c r="X32" s="225">
        <v>-0.54</v>
      </c>
      <c r="Y32" s="175">
        <f t="shared" si="8"/>
        <v>9.4600000000000009</v>
      </c>
      <c r="Z32" s="168"/>
      <c r="AA32" s="174" t="s">
        <v>139</v>
      </c>
      <c r="AB32" s="278" t="s">
        <v>168</v>
      </c>
      <c r="AC32" s="345">
        <v>5775</v>
      </c>
      <c r="AD32" s="345">
        <v>155</v>
      </c>
      <c r="AE32" s="192" t="s">
        <v>118</v>
      </c>
      <c r="AF32" s="123">
        <f>'WLAN 5 GHz 802.11ax Ant1'!AF32</f>
        <v>0</v>
      </c>
      <c r="AG32" s="193">
        <f t="shared" ref="AG32:AG38" si="12">$AA$33</f>
        <v>0</v>
      </c>
      <c r="AH32" s="277">
        <v>15.5</v>
      </c>
      <c r="AI32" s="236">
        <v>16.490135402845091</v>
      </c>
      <c r="AJ32" s="225">
        <v>10</v>
      </c>
      <c r="AK32" s="210">
        <v>-0.36</v>
      </c>
      <c r="AL32" s="175">
        <f>AJ32+AK32</f>
        <v>9.64</v>
      </c>
      <c r="AM32" s="185"/>
    </row>
    <row r="33" spans="1:39" ht="24.9" customHeight="1" thickBot="1" x14ac:dyDescent="0.3">
      <c r="A33" s="168"/>
      <c r="B33" s="332"/>
      <c r="C33" s="330"/>
      <c r="D33" s="330"/>
      <c r="E33" s="123" t="s">
        <v>120</v>
      </c>
      <c r="F33" s="123">
        <f>'WLAN 5 GHz 802.11ax Ant1'!F33</f>
        <v>0</v>
      </c>
      <c r="G33" s="123">
        <f t="shared" si="6"/>
        <v>0</v>
      </c>
      <c r="H33" s="277">
        <v>14.5</v>
      </c>
      <c r="I33" s="235">
        <v>14.190623103410957</v>
      </c>
      <c r="J33" s="225">
        <v>12</v>
      </c>
      <c r="K33" s="225">
        <v>-0.14000000000000001</v>
      </c>
      <c r="L33" s="175">
        <f t="shared" si="11"/>
        <v>11.86</v>
      </c>
      <c r="M33" s="168"/>
      <c r="N33" s="168"/>
      <c r="O33" s="332"/>
      <c r="P33" s="330"/>
      <c r="Q33" s="330"/>
      <c r="R33" s="123" t="s">
        <v>120</v>
      </c>
      <c r="S33" s="123">
        <f>'WLAN 5 GHz 802.11ax Ant1'!S33</f>
        <v>0</v>
      </c>
      <c r="T33" s="123">
        <f t="shared" si="7"/>
        <v>0</v>
      </c>
      <c r="U33" s="277">
        <v>14.5</v>
      </c>
      <c r="V33" s="235">
        <v>14.354412923212218</v>
      </c>
      <c r="W33" s="225">
        <v>12</v>
      </c>
      <c r="X33" s="225">
        <v>-0.54</v>
      </c>
      <c r="Y33" s="175">
        <f t="shared" si="8"/>
        <v>11.46</v>
      </c>
      <c r="Z33" s="168"/>
      <c r="AA33" s="191">
        <f>'WLAN 5 GHz 802.11ax Ant1'!AA33</f>
        <v>0</v>
      </c>
      <c r="AB33" s="348"/>
      <c r="AC33" s="346"/>
      <c r="AD33" s="346"/>
      <c r="AE33" s="192" t="s">
        <v>121</v>
      </c>
      <c r="AF33" s="123">
        <f>'WLAN 5 GHz 802.11ax Ant1'!AF33</f>
        <v>0</v>
      </c>
      <c r="AG33" s="193">
        <f t="shared" si="12"/>
        <v>0</v>
      </c>
      <c r="AH33" s="277">
        <v>14.5</v>
      </c>
      <c r="AI33" s="236">
        <v>13.916459337251823</v>
      </c>
      <c r="AJ33" s="225">
        <v>12</v>
      </c>
      <c r="AK33" s="210">
        <v>-0.36</v>
      </c>
      <c r="AL33" s="175">
        <f>AJ33+AK33</f>
        <v>11.64</v>
      </c>
      <c r="AM33" s="185"/>
    </row>
    <row r="34" spans="1:39" ht="24.9" customHeight="1" x14ac:dyDescent="0.25">
      <c r="A34" s="168"/>
      <c r="B34" s="332"/>
      <c r="C34" s="330"/>
      <c r="D34" s="330"/>
      <c r="E34" s="123" t="s">
        <v>122</v>
      </c>
      <c r="F34" s="123">
        <f>'WLAN 5 GHz 802.11ax Ant1'!F34</f>
        <v>0</v>
      </c>
      <c r="G34" s="123">
        <f t="shared" si="6"/>
        <v>0</v>
      </c>
      <c r="H34" s="277">
        <v>14.5</v>
      </c>
      <c r="I34" s="235">
        <v>14.72375593492216</v>
      </c>
      <c r="J34" s="225">
        <v>15</v>
      </c>
      <c r="K34" s="225">
        <v>-0.14000000000000001</v>
      </c>
      <c r="L34" s="175">
        <f t="shared" si="11"/>
        <v>14.86</v>
      </c>
      <c r="M34" s="168"/>
      <c r="N34" s="168"/>
      <c r="O34" s="332"/>
      <c r="P34" s="330"/>
      <c r="Q34" s="330"/>
      <c r="R34" s="123" t="s">
        <v>122</v>
      </c>
      <c r="S34" s="123">
        <f>'WLAN 5 GHz 802.11ax Ant1'!S34</f>
        <v>0</v>
      </c>
      <c r="T34" s="123">
        <f t="shared" si="7"/>
        <v>0</v>
      </c>
      <c r="U34" s="277">
        <v>14.5</v>
      </c>
      <c r="V34" s="235">
        <v>14.353685765939151</v>
      </c>
      <c r="W34" s="225">
        <v>15</v>
      </c>
      <c r="X34" s="225">
        <v>-0.54</v>
      </c>
      <c r="Y34" s="175">
        <f t="shared" si="8"/>
        <v>14.46</v>
      </c>
      <c r="Z34" s="168"/>
      <c r="AA34" s="168"/>
      <c r="AB34" s="348"/>
      <c r="AC34" s="346"/>
      <c r="AD34" s="346"/>
      <c r="AE34" s="192" t="s">
        <v>123</v>
      </c>
      <c r="AF34" s="123">
        <f>'WLAN 5 GHz 802.11ax Ant1'!AF34</f>
        <v>0</v>
      </c>
      <c r="AG34" s="193">
        <f t="shared" si="12"/>
        <v>0</v>
      </c>
      <c r="AH34" s="277">
        <v>14.5</v>
      </c>
      <c r="AI34" s="236">
        <v>14.251370065372809</v>
      </c>
      <c r="AJ34" s="225">
        <v>15</v>
      </c>
      <c r="AK34" s="210">
        <v>-0.36</v>
      </c>
      <c r="AL34" s="175">
        <f>AJ34+AK34</f>
        <v>14.64</v>
      </c>
      <c r="AM34" s="185"/>
    </row>
    <row r="35" spans="1:39" ht="24.9" customHeight="1" x14ac:dyDescent="0.25">
      <c r="A35" s="168"/>
      <c r="B35" s="332"/>
      <c r="C35" s="330"/>
      <c r="D35" s="330"/>
      <c r="E35" s="123" t="s">
        <v>147</v>
      </c>
      <c r="F35" s="123">
        <f>'WLAN 5 GHz 802.11ax Ant1'!F35</f>
        <v>0</v>
      </c>
      <c r="G35" s="123">
        <f t="shared" si="6"/>
        <v>0</v>
      </c>
      <c r="H35" s="277">
        <v>9.5</v>
      </c>
      <c r="I35" s="235">
        <v>9.3524484190697379</v>
      </c>
      <c r="J35" s="225">
        <v>16</v>
      </c>
      <c r="K35" s="225">
        <v>-0.14000000000000001</v>
      </c>
      <c r="L35" s="175">
        <f t="shared" si="11"/>
        <v>15.86</v>
      </c>
      <c r="M35" s="168"/>
      <c r="N35" s="168"/>
      <c r="O35" s="332"/>
      <c r="P35" s="330"/>
      <c r="Q35" s="330"/>
      <c r="R35" s="123" t="s">
        <v>147</v>
      </c>
      <c r="S35" s="123">
        <f>'WLAN 5 GHz 802.11ax Ant1'!S35</f>
        <v>0</v>
      </c>
      <c r="T35" s="123">
        <f t="shared" si="7"/>
        <v>0</v>
      </c>
      <c r="U35" s="277">
        <v>9.5</v>
      </c>
      <c r="V35" s="235">
        <v>9.6626552850121001</v>
      </c>
      <c r="W35" s="225">
        <v>16</v>
      </c>
      <c r="X35" s="225">
        <v>-0.54</v>
      </c>
      <c r="Y35" s="175">
        <f t="shared" si="8"/>
        <v>15.46</v>
      </c>
      <c r="Z35" s="168"/>
      <c r="AA35" s="168"/>
      <c r="AB35" s="348"/>
      <c r="AC35" s="346"/>
      <c r="AD35" s="346"/>
      <c r="AE35" s="192" t="s">
        <v>147</v>
      </c>
      <c r="AF35" s="123">
        <f>'WLAN 5 GHz 802.11ax Ant1'!AF35</f>
        <v>0</v>
      </c>
      <c r="AG35" s="193">
        <f t="shared" si="12"/>
        <v>0</v>
      </c>
      <c r="AH35" s="277">
        <v>9.5</v>
      </c>
      <c r="AI35" s="236">
        <v>9.3683946780400866</v>
      </c>
      <c r="AJ35" s="225">
        <v>16</v>
      </c>
      <c r="AK35" s="210">
        <v>-0.36</v>
      </c>
      <c r="AL35" s="175">
        <f>AJ35+AK35</f>
        <v>15.64</v>
      </c>
      <c r="AM35" s="185"/>
    </row>
    <row r="36" spans="1:39" ht="24.9" customHeight="1" x14ac:dyDescent="0.25">
      <c r="A36" s="168"/>
      <c r="B36" s="332"/>
      <c r="C36" s="330"/>
      <c r="D36" s="330"/>
      <c r="E36" s="123" t="s">
        <v>161</v>
      </c>
      <c r="F36" s="123">
        <f>'WLAN 5 GHz 802.11ax Ant1'!F36</f>
        <v>0</v>
      </c>
      <c r="G36" s="123">
        <f t="shared" si="6"/>
        <v>0</v>
      </c>
      <c r="H36" s="277">
        <v>11.5</v>
      </c>
      <c r="I36" s="235">
        <v>11.107120961144776</v>
      </c>
      <c r="J36" s="225">
        <v>15</v>
      </c>
      <c r="K36" s="225">
        <v>-0.14000000000000001</v>
      </c>
      <c r="L36" s="175">
        <f t="shared" si="11"/>
        <v>14.86</v>
      </c>
      <c r="M36" s="168"/>
      <c r="N36" s="168"/>
      <c r="O36" s="332"/>
      <c r="P36" s="330"/>
      <c r="Q36" s="330"/>
      <c r="R36" s="123" t="s">
        <v>161</v>
      </c>
      <c r="S36" s="123">
        <f>'WLAN 5 GHz 802.11ax Ant1'!S36</f>
        <v>0</v>
      </c>
      <c r="T36" s="123">
        <f t="shared" si="7"/>
        <v>0</v>
      </c>
      <c r="U36" s="277">
        <v>11.5</v>
      </c>
      <c r="V36" s="235">
        <v>11.158669218215861</v>
      </c>
      <c r="W36" s="225">
        <v>15</v>
      </c>
      <c r="X36" s="225">
        <v>-0.54</v>
      </c>
      <c r="Y36" s="175">
        <f t="shared" si="8"/>
        <v>14.46</v>
      </c>
      <c r="Z36" s="168"/>
      <c r="AA36" s="168"/>
      <c r="AB36" s="348"/>
      <c r="AC36" s="346"/>
      <c r="AD36" s="346"/>
      <c r="AE36" s="192" t="s">
        <v>161</v>
      </c>
      <c r="AF36" s="123">
        <f>'WLAN 5 GHz 802.11ax Ant1'!AF36</f>
        <v>0</v>
      </c>
      <c r="AG36" s="193">
        <f t="shared" si="12"/>
        <v>0</v>
      </c>
      <c r="AH36" s="277">
        <v>11.5</v>
      </c>
      <c r="AI36" s="236">
        <v>10.935671934107505</v>
      </c>
      <c r="AJ36" s="225">
        <v>15</v>
      </c>
      <c r="AK36" s="210">
        <v>-0.36</v>
      </c>
      <c r="AL36" s="175">
        <f>AJ36+AK36</f>
        <v>14.64</v>
      </c>
      <c r="AM36" s="185"/>
    </row>
    <row r="37" spans="1:39" ht="24.9" customHeight="1" thickBot="1" x14ac:dyDescent="0.3">
      <c r="A37" s="168"/>
      <c r="B37" s="333"/>
      <c r="C37" s="331"/>
      <c r="D37" s="331"/>
      <c r="E37" s="125" t="s">
        <v>159</v>
      </c>
      <c r="F37" s="123" t="str">
        <f>'WLAN 5 GHz 802.11ax Ant1'!F37</f>
        <v>X</v>
      </c>
      <c r="G37" s="125">
        <f t="shared" si="6"/>
        <v>0</v>
      </c>
      <c r="H37" s="277">
        <v>14.5</v>
      </c>
      <c r="I37" s="242">
        <v>15.505916900524976</v>
      </c>
      <c r="J37" s="225">
        <v>15</v>
      </c>
      <c r="K37" s="225">
        <v>-0.14000000000000001</v>
      </c>
      <c r="L37" s="176">
        <f t="shared" si="11"/>
        <v>14.86</v>
      </c>
      <c r="M37" s="168"/>
      <c r="N37" s="168"/>
      <c r="O37" s="333"/>
      <c r="P37" s="331"/>
      <c r="Q37" s="331"/>
      <c r="R37" s="125" t="s">
        <v>159</v>
      </c>
      <c r="S37" s="123" t="str">
        <f>'WLAN 5 GHz 802.11ax Ant1'!S37</f>
        <v>X</v>
      </c>
      <c r="T37" s="125">
        <f t="shared" si="7"/>
        <v>0</v>
      </c>
      <c r="U37" s="277">
        <v>14.5</v>
      </c>
      <c r="V37" s="242">
        <v>15.539670656543491</v>
      </c>
      <c r="W37" s="225">
        <v>15</v>
      </c>
      <c r="X37" s="225">
        <v>-0.54</v>
      </c>
      <c r="Y37" s="176">
        <f t="shared" si="8"/>
        <v>14.46</v>
      </c>
      <c r="Z37" s="168"/>
      <c r="AA37" s="168"/>
      <c r="AB37" s="348"/>
      <c r="AC37" s="346"/>
      <c r="AD37" s="346"/>
      <c r="AE37" s="197" t="s">
        <v>186</v>
      </c>
      <c r="AF37" s="123">
        <f>'WLAN 5 GHz 802.11ax Ant1'!AF37</f>
        <v>0</v>
      </c>
      <c r="AG37" s="193">
        <f t="shared" si="12"/>
        <v>0</v>
      </c>
      <c r="AH37" s="277">
        <v>14.5</v>
      </c>
      <c r="AI37" s="244">
        <v>15.876954217102533</v>
      </c>
      <c r="AJ37" s="225">
        <v>15</v>
      </c>
      <c r="AK37" s="210">
        <v>-0.36</v>
      </c>
      <c r="AL37" s="175">
        <f t="shared" ref="AL37:AL38" si="13">AJ37+AK37</f>
        <v>14.64</v>
      </c>
      <c r="AM37" s="185"/>
    </row>
    <row r="38" spans="1:39" ht="28.2" thickBot="1" x14ac:dyDescent="0.3">
      <c r="A38" s="174" t="s">
        <v>139</v>
      </c>
      <c r="B38" s="332" t="s">
        <v>166</v>
      </c>
      <c r="C38" s="330">
        <v>5210</v>
      </c>
      <c r="D38" s="330">
        <v>42</v>
      </c>
      <c r="E38" s="192" t="s">
        <v>146</v>
      </c>
      <c r="F38" s="123">
        <f>'WLAN 5 GHz 802.11ax Ant1'!F38</f>
        <v>0</v>
      </c>
      <c r="G38" s="192">
        <f t="shared" ref="G38:G51" si="14">$A$39</f>
        <v>0</v>
      </c>
      <c r="H38" s="277">
        <v>15.5</v>
      </c>
      <c r="I38" s="236">
        <v>16.057463913965893</v>
      </c>
      <c r="J38" s="225">
        <v>10</v>
      </c>
      <c r="K38" s="225">
        <v>-0.14000000000000001</v>
      </c>
      <c r="L38" s="175">
        <f t="shared" ref="L38:L51" si="15">J38+K38</f>
        <v>9.86</v>
      </c>
      <c r="M38" s="168"/>
      <c r="N38" s="174" t="s">
        <v>139</v>
      </c>
      <c r="O38" s="332" t="s">
        <v>167</v>
      </c>
      <c r="P38" s="330">
        <v>5530</v>
      </c>
      <c r="Q38" s="330">
        <v>106</v>
      </c>
      <c r="R38" s="192" t="s">
        <v>118</v>
      </c>
      <c r="S38" s="123">
        <f>'WLAN 5 GHz 802.11ax Ant1'!S38</f>
        <v>0</v>
      </c>
      <c r="T38" s="192">
        <f t="shared" ref="T38:T51" si="16">$N$39</f>
        <v>0</v>
      </c>
      <c r="U38" s="277">
        <v>15.5</v>
      </c>
      <c r="V38" s="228">
        <v>15.645466350858531</v>
      </c>
      <c r="W38" s="225">
        <v>10</v>
      </c>
      <c r="X38" s="225">
        <v>-0.54</v>
      </c>
      <c r="Y38" s="175">
        <f t="shared" ref="Y38:Y51" si="17">W38+X38</f>
        <v>9.4600000000000009</v>
      </c>
      <c r="Z38" s="168"/>
      <c r="AA38" s="168"/>
      <c r="AB38" s="349"/>
      <c r="AC38" s="347"/>
      <c r="AD38" s="347"/>
      <c r="AE38" s="194" t="s">
        <v>125</v>
      </c>
      <c r="AF38" s="125" t="str">
        <f>'WLAN 5 GHz 802.11ax Ant1'!AF38</f>
        <v>X</v>
      </c>
      <c r="AG38" s="195">
        <f t="shared" si="12"/>
        <v>0</v>
      </c>
      <c r="AH38" s="277">
        <v>15.5</v>
      </c>
      <c r="AI38" s="237">
        <v>16.434019605610974</v>
      </c>
      <c r="AJ38" s="225">
        <v>10</v>
      </c>
      <c r="AK38" s="210">
        <v>-0.36</v>
      </c>
      <c r="AL38" s="176">
        <f t="shared" si="13"/>
        <v>9.64</v>
      </c>
      <c r="AM38" s="168"/>
    </row>
    <row r="39" spans="1:39" ht="24.9" customHeight="1" thickBot="1" x14ac:dyDescent="0.3">
      <c r="A39" s="191">
        <f>'WLAN 5 GHz 802.11ax Ant1'!A39</f>
        <v>0</v>
      </c>
      <c r="B39" s="332"/>
      <c r="C39" s="330"/>
      <c r="D39" s="330"/>
      <c r="E39" s="192" t="s">
        <v>121</v>
      </c>
      <c r="F39" s="123">
        <f>'WLAN 5 GHz 802.11ax Ant1'!F39</f>
        <v>0</v>
      </c>
      <c r="G39" s="192">
        <f t="shared" si="14"/>
        <v>0</v>
      </c>
      <c r="H39" s="277">
        <v>14.5</v>
      </c>
      <c r="I39" s="236">
        <v>14.451788952109606</v>
      </c>
      <c r="J39" s="225">
        <v>12</v>
      </c>
      <c r="K39" s="225">
        <v>-0.14000000000000001</v>
      </c>
      <c r="L39" s="175">
        <f t="shared" si="15"/>
        <v>11.86</v>
      </c>
      <c r="M39" s="190"/>
      <c r="N39" s="191">
        <f>'WLAN 5 GHz 802.11ax Ant1'!N39</f>
        <v>0</v>
      </c>
      <c r="O39" s="332"/>
      <c r="P39" s="330"/>
      <c r="Q39" s="330"/>
      <c r="R39" s="192" t="s">
        <v>121</v>
      </c>
      <c r="S39" s="123">
        <f>'WLAN 5 GHz 802.11ax Ant1'!S39</f>
        <v>0</v>
      </c>
      <c r="T39" s="192">
        <f t="shared" si="16"/>
        <v>0</v>
      </c>
      <c r="U39" s="277">
        <v>14.5</v>
      </c>
      <c r="V39" s="236">
        <v>14.891628305531931</v>
      </c>
      <c r="W39" s="225">
        <v>12</v>
      </c>
      <c r="X39" s="225">
        <v>-0.54</v>
      </c>
      <c r="Y39" s="175">
        <f t="shared" si="17"/>
        <v>11.46</v>
      </c>
      <c r="Z39" s="168"/>
      <c r="AA39" s="187"/>
      <c r="AB39" s="168"/>
      <c r="AC39" s="168"/>
      <c r="AD39" s="168"/>
      <c r="AE39" s="168"/>
      <c r="AF39" s="168"/>
      <c r="AG39" s="168"/>
      <c r="AH39" s="168"/>
      <c r="AI39" s="185"/>
      <c r="AJ39" s="168"/>
      <c r="AK39" s="168"/>
      <c r="AL39" s="185"/>
      <c r="AM39" s="168"/>
    </row>
    <row r="40" spans="1:39" ht="24.9" customHeight="1" x14ac:dyDescent="0.25">
      <c r="A40" s="168"/>
      <c r="B40" s="332"/>
      <c r="C40" s="330"/>
      <c r="D40" s="330"/>
      <c r="E40" s="192" t="s">
        <v>123</v>
      </c>
      <c r="F40" s="123">
        <f>'WLAN 5 GHz 802.11ax Ant1'!F40</f>
        <v>0</v>
      </c>
      <c r="G40" s="192">
        <f t="shared" si="14"/>
        <v>0</v>
      </c>
      <c r="H40" s="277">
        <v>14.5</v>
      </c>
      <c r="I40" s="236">
        <v>14.367011336319928</v>
      </c>
      <c r="J40" s="225">
        <v>15</v>
      </c>
      <c r="K40" s="225">
        <v>-0.14000000000000001</v>
      </c>
      <c r="L40" s="175">
        <f t="shared" si="15"/>
        <v>14.86</v>
      </c>
      <c r="M40" s="168"/>
      <c r="N40" s="168"/>
      <c r="O40" s="332"/>
      <c r="P40" s="330"/>
      <c r="Q40" s="330"/>
      <c r="R40" s="192" t="s">
        <v>123</v>
      </c>
      <c r="S40" s="123">
        <f>'WLAN 5 GHz 802.11ax Ant1'!S40</f>
        <v>0</v>
      </c>
      <c r="T40" s="192">
        <f t="shared" si="16"/>
        <v>0</v>
      </c>
      <c r="U40" s="277">
        <v>14.5</v>
      </c>
      <c r="V40" s="236">
        <v>14.735224279136959</v>
      </c>
      <c r="W40" s="225">
        <v>15</v>
      </c>
      <c r="X40" s="225">
        <v>-0.54</v>
      </c>
      <c r="Y40" s="175">
        <f t="shared" si="17"/>
        <v>14.46</v>
      </c>
      <c r="Z40" s="168"/>
      <c r="AA40" s="196"/>
      <c r="AB40" s="168"/>
      <c r="AC40" s="168"/>
      <c r="AD40" s="168"/>
      <c r="AE40" s="168"/>
      <c r="AF40" s="168"/>
      <c r="AG40" s="168"/>
      <c r="AH40" s="168"/>
      <c r="AI40" s="198"/>
      <c r="AJ40" s="168"/>
      <c r="AK40" s="168"/>
      <c r="AL40" s="198"/>
      <c r="AM40" s="168"/>
    </row>
    <row r="41" spans="1:39" ht="24.9" customHeight="1" x14ac:dyDescent="0.25">
      <c r="A41" s="168"/>
      <c r="B41" s="332"/>
      <c r="C41" s="330"/>
      <c r="D41" s="330"/>
      <c r="E41" s="192" t="s">
        <v>147</v>
      </c>
      <c r="F41" s="123">
        <f>'WLAN 5 GHz 802.11ax Ant1'!F41</f>
        <v>0</v>
      </c>
      <c r="G41" s="192">
        <f t="shared" si="14"/>
        <v>0</v>
      </c>
      <c r="H41" s="277">
        <v>9.5</v>
      </c>
      <c r="I41" s="236">
        <v>9.8101496209734247</v>
      </c>
      <c r="J41" s="225">
        <v>16</v>
      </c>
      <c r="K41" s="225">
        <v>-0.14000000000000001</v>
      </c>
      <c r="L41" s="175">
        <f t="shared" si="15"/>
        <v>15.86</v>
      </c>
      <c r="M41" s="190"/>
      <c r="N41" s="190"/>
      <c r="O41" s="332"/>
      <c r="P41" s="330"/>
      <c r="Q41" s="330"/>
      <c r="R41" s="192" t="s">
        <v>147</v>
      </c>
      <c r="S41" s="123">
        <f>'WLAN 5 GHz 802.11ax Ant1'!S41</f>
        <v>0</v>
      </c>
      <c r="T41" s="192">
        <f t="shared" si="16"/>
        <v>0</v>
      </c>
      <c r="U41" s="277">
        <v>9.5</v>
      </c>
      <c r="V41" s="236">
        <v>9.8241931306306096</v>
      </c>
      <c r="W41" s="225">
        <v>16</v>
      </c>
      <c r="X41" s="225">
        <v>-0.54</v>
      </c>
      <c r="Y41" s="175">
        <f t="shared" si="17"/>
        <v>15.46</v>
      </c>
      <c r="Z41" s="168"/>
      <c r="AA41" s="190"/>
      <c r="AB41" s="168"/>
      <c r="AC41" s="168"/>
      <c r="AD41" s="168"/>
      <c r="AE41" s="168"/>
      <c r="AF41" s="168"/>
      <c r="AG41" s="168"/>
      <c r="AH41" s="168"/>
      <c r="AI41" s="198"/>
      <c r="AJ41" s="168"/>
      <c r="AK41" s="168"/>
      <c r="AL41" s="198"/>
      <c r="AM41" s="168"/>
    </row>
    <row r="42" spans="1:39" ht="24.9" customHeight="1" x14ac:dyDescent="0.25">
      <c r="A42" s="168"/>
      <c r="B42" s="332"/>
      <c r="C42" s="330"/>
      <c r="D42" s="330"/>
      <c r="E42" s="192" t="s">
        <v>161</v>
      </c>
      <c r="F42" s="123">
        <f>'WLAN 5 GHz 802.11ax Ant1'!F42</f>
        <v>0</v>
      </c>
      <c r="G42" s="192">
        <f t="shared" si="14"/>
        <v>0</v>
      </c>
      <c r="H42" s="277">
        <v>11.5</v>
      </c>
      <c r="I42" s="236">
        <v>11.931159668412757</v>
      </c>
      <c r="J42" s="225">
        <v>15</v>
      </c>
      <c r="K42" s="225">
        <v>-0.14000000000000001</v>
      </c>
      <c r="L42" s="175">
        <f t="shared" si="15"/>
        <v>14.86</v>
      </c>
      <c r="M42" s="190"/>
      <c r="N42" s="190"/>
      <c r="O42" s="332"/>
      <c r="P42" s="330"/>
      <c r="Q42" s="330"/>
      <c r="R42" s="192" t="s">
        <v>161</v>
      </c>
      <c r="S42" s="123">
        <f>'WLAN 5 GHz 802.11ax Ant1'!S42</f>
        <v>0</v>
      </c>
      <c r="T42" s="192">
        <f t="shared" si="16"/>
        <v>0</v>
      </c>
      <c r="U42" s="277">
        <v>11.5</v>
      </c>
      <c r="V42" s="236">
        <v>11.878570907140983</v>
      </c>
      <c r="W42" s="225">
        <v>15</v>
      </c>
      <c r="X42" s="225">
        <v>-0.54</v>
      </c>
      <c r="Y42" s="175">
        <f t="shared" si="17"/>
        <v>14.46</v>
      </c>
      <c r="Z42" s="190"/>
      <c r="AA42" s="190"/>
      <c r="AB42" s="168"/>
      <c r="AC42" s="168"/>
      <c r="AD42" s="168"/>
      <c r="AE42" s="168"/>
      <c r="AF42" s="168"/>
      <c r="AG42" s="168"/>
      <c r="AH42" s="168"/>
      <c r="AI42" s="198"/>
      <c r="AJ42" s="168"/>
      <c r="AK42" s="168"/>
      <c r="AL42" s="198"/>
      <c r="AM42" s="168"/>
    </row>
    <row r="43" spans="1:39" ht="24.9" customHeight="1" x14ac:dyDescent="0.25">
      <c r="A43" s="168"/>
      <c r="B43" s="332"/>
      <c r="C43" s="330"/>
      <c r="D43" s="330"/>
      <c r="E43" s="192" t="s">
        <v>169</v>
      </c>
      <c r="F43" s="123">
        <f>'WLAN 5 GHz 802.11ax Ant1'!F43</f>
        <v>0</v>
      </c>
      <c r="G43" s="192">
        <f t="shared" si="14"/>
        <v>0</v>
      </c>
      <c r="H43" s="277">
        <v>14.5</v>
      </c>
      <c r="I43" s="236">
        <v>15.785739372091836</v>
      </c>
      <c r="J43" s="225">
        <v>15</v>
      </c>
      <c r="K43" s="225">
        <v>-0.14000000000000001</v>
      </c>
      <c r="L43" s="175">
        <f t="shared" si="15"/>
        <v>14.86</v>
      </c>
      <c r="M43" s="190"/>
      <c r="N43" s="190"/>
      <c r="O43" s="332"/>
      <c r="P43" s="330"/>
      <c r="Q43" s="330"/>
      <c r="R43" s="192" t="s">
        <v>169</v>
      </c>
      <c r="S43" s="123">
        <f>'WLAN 5 GHz 802.11ax Ant1'!S43</f>
        <v>0</v>
      </c>
      <c r="T43" s="192">
        <f t="shared" si="16"/>
        <v>0</v>
      </c>
      <c r="U43" s="277">
        <v>14.5</v>
      </c>
      <c r="V43" s="236">
        <v>15.730530396543145</v>
      </c>
      <c r="W43" s="225">
        <v>15</v>
      </c>
      <c r="X43" s="225">
        <v>-0.54</v>
      </c>
      <c r="Y43" s="175">
        <f t="shared" si="17"/>
        <v>14.46</v>
      </c>
      <c r="Z43" s="190"/>
      <c r="AA43" s="199"/>
      <c r="AB43" s="168"/>
      <c r="AC43" s="168"/>
      <c r="AD43" s="168"/>
      <c r="AE43" s="168"/>
      <c r="AF43" s="168"/>
      <c r="AG43" s="168"/>
      <c r="AH43" s="168"/>
      <c r="AI43" s="198"/>
      <c r="AJ43" s="168"/>
      <c r="AK43" s="168"/>
      <c r="AL43" s="198"/>
      <c r="AM43" s="168"/>
    </row>
    <row r="44" spans="1:39" ht="24.9" customHeight="1" x14ac:dyDescent="0.25">
      <c r="A44" s="168"/>
      <c r="B44" s="332"/>
      <c r="C44" s="330"/>
      <c r="D44" s="330"/>
      <c r="E44" s="192" t="s">
        <v>125</v>
      </c>
      <c r="F44" s="123" t="str">
        <f>'WLAN 5 GHz 802.11ax Ant1'!F44</f>
        <v>X</v>
      </c>
      <c r="G44" s="192">
        <f t="shared" si="14"/>
        <v>0</v>
      </c>
      <c r="H44" s="277">
        <v>15.5</v>
      </c>
      <c r="I44" s="236">
        <v>15.469982775100572</v>
      </c>
      <c r="J44" s="225">
        <v>10</v>
      </c>
      <c r="K44" s="225">
        <v>-0.14000000000000001</v>
      </c>
      <c r="L44" s="175">
        <f t="shared" si="15"/>
        <v>9.86</v>
      </c>
      <c r="M44" s="168"/>
      <c r="N44" s="168"/>
      <c r="O44" s="332"/>
      <c r="P44" s="330"/>
      <c r="Q44" s="330"/>
      <c r="R44" s="192" t="s">
        <v>125</v>
      </c>
      <c r="S44" s="123" t="str">
        <f>'WLAN 5 GHz 802.11ax Ant1'!S44</f>
        <v>X</v>
      </c>
      <c r="T44" s="192">
        <f t="shared" si="16"/>
        <v>0</v>
      </c>
      <c r="U44" s="277">
        <v>15.5</v>
      </c>
      <c r="V44" s="236">
        <v>15.994643059088174</v>
      </c>
      <c r="W44" s="225">
        <v>10</v>
      </c>
      <c r="X44" s="225">
        <v>-0.54</v>
      </c>
      <c r="Y44" s="175">
        <f t="shared" si="17"/>
        <v>9.4600000000000009</v>
      </c>
      <c r="Z44" s="190"/>
      <c r="AA44" s="168"/>
      <c r="AB44" s="168"/>
      <c r="AC44" s="168"/>
      <c r="AD44" s="168"/>
      <c r="AE44" s="168"/>
      <c r="AF44" s="168"/>
      <c r="AG44" s="168"/>
      <c r="AH44" s="168"/>
      <c r="AI44" s="198"/>
      <c r="AJ44" s="168"/>
      <c r="AK44" s="168"/>
      <c r="AL44" s="198"/>
      <c r="AM44" s="168"/>
    </row>
    <row r="45" spans="1:39" ht="24.9" customHeight="1" x14ac:dyDescent="0.25">
      <c r="A45" s="168"/>
      <c r="B45" s="332"/>
      <c r="C45" s="330">
        <v>5290</v>
      </c>
      <c r="D45" s="330">
        <v>58</v>
      </c>
      <c r="E45" s="192" t="s">
        <v>118</v>
      </c>
      <c r="F45" s="123">
        <f>'WLAN 5 GHz 802.11ax Ant1'!F45</f>
        <v>0</v>
      </c>
      <c r="G45" s="192">
        <f t="shared" si="14"/>
        <v>0</v>
      </c>
      <c r="H45" s="277">
        <v>14.5</v>
      </c>
      <c r="I45" s="236">
        <v>15.95718995458137</v>
      </c>
      <c r="J45" s="225">
        <v>12</v>
      </c>
      <c r="K45" s="225">
        <v>-0.14000000000000001</v>
      </c>
      <c r="L45" s="175">
        <f t="shared" si="15"/>
        <v>11.86</v>
      </c>
      <c r="M45" s="190"/>
      <c r="N45" s="168"/>
      <c r="O45" s="332"/>
      <c r="P45" s="330">
        <v>5610</v>
      </c>
      <c r="Q45" s="330">
        <v>122</v>
      </c>
      <c r="R45" s="192" t="s">
        <v>146</v>
      </c>
      <c r="S45" s="123">
        <f>'WLAN 5 GHz 802.11ax Ant1'!S45</f>
        <v>0</v>
      </c>
      <c r="T45" s="192">
        <f t="shared" si="16"/>
        <v>0</v>
      </c>
      <c r="U45" s="277">
        <v>14.5</v>
      </c>
      <c r="V45" s="236">
        <v>15.964945992716922</v>
      </c>
      <c r="W45" s="225">
        <v>12</v>
      </c>
      <c r="X45" s="225">
        <v>-0.54</v>
      </c>
      <c r="Y45" s="175">
        <f t="shared" si="17"/>
        <v>11.46</v>
      </c>
      <c r="Z45" s="196"/>
      <c r="AA45" s="168"/>
      <c r="AB45" s="168"/>
      <c r="AC45" s="168"/>
      <c r="AD45" s="168"/>
      <c r="AE45" s="168"/>
      <c r="AF45" s="168"/>
      <c r="AG45" s="168"/>
      <c r="AH45" s="168"/>
      <c r="AI45" s="198"/>
      <c r="AJ45" s="168"/>
      <c r="AK45" s="168"/>
      <c r="AL45" s="198"/>
      <c r="AM45" s="168"/>
    </row>
    <row r="46" spans="1:39" ht="24.9" customHeight="1" x14ac:dyDescent="0.25">
      <c r="A46" s="168"/>
      <c r="B46" s="332"/>
      <c r="C46" s="330"/>
      <c r="D46" s="330"/>
      <c r="E46" s="192" t="s">
        <v>120</v>
      </c>
      <c r="F46" s="123">
        <f>'WLAN 5 GHz 802.11ax Ant1'!F46</f>
        <v>0</v>
      </c>
      <c r="G46" s="192">
        <f t="shared" si="14"/>
        <v>0</v>
      </c>
      <c r="H46" s="277">
        <v>14.5</v>
      </c>
      <c r="I46" s="236">
        <v>15.130910601076321</v>
      </c>
      <c r="J46" s="225">
        <v>15</v>
      </c>
      <c r="K46" s="225">
        <v>-0.14000000000000001</v>
      </c>
      <c r="L46" s="175">
        <f t="shared" si="15"/>
        <v>14.86</v>
      </c>
      <c r="M46" s="168"/>
      <c r="N46" s="168"/>
      <c r="O46" s="332"/>
      <c r="P46" s="330"/>
      <c r="Q46" s="330"/>
      <c r="R46" s="192" t="s">
        <v>121</v>
      </c>
      <c r="S46" s="123">
        <f>'WLAN 5 GHz 802.11ax Ant1'!S46</f>
        <v>0</v>
      </c>
      <c r="T46" s="192">
        <f t="shared" si="16"/>
        <v>0</v>
      </c>
      <c r="U46" s="277">
        <v>14.5</v>
      </c>
      <c r="V46" s="236">
        <v>15.12659366573156</v>
      </c>
      <c r="W46" s="225">
        <v>15</v>
      </c>
      <c r="X46" s="225">
        <v>-0.54</v>
      </c>
      <c r="Y46" s="175">
        <f t="shared" si="17"/>
        <v>14.46</v>
      </c>
      <c r="Z46" s="190"/>
      <c r="AA46" s="168"/>
      <c r="AB46" s="168"/>
      <c r="AC46" s="168"/>
      <c r="AD46" s="168"/>
      <c r="AE46" s="168"/>
      <c r="AF46" s="168"/>
      <c r="AG46" s="168"/>
      <c r="AH46" s="185"/>
      <c r="AI46" s="185"/>
      <c r="AJ46" s="185"/>
      <c r="AK46" s="185"/>
      <c r="AL46" s="185"/>
      <c r="AM46" s="185"/>
    </row>
    <row r="47" spans="1:39" ht="24.9" customHeight="1" x14ac:dyDescent="0.25">
      <c r="A47" s="168"/>
      <c r="B47" s="332"/>
      <c r="C47" s="330"/>
      <c r="D47" s="330"/>
      <c r="E47" s="192" t="s">
        <v>123</v>
      </c>
      <c r="F47" s="123">
        <f>'WLAN 5 GHz 802.11ax Ant1'!F47</f>
        <v>0</v>
      </c>
      <c r="G47" s="192">
        <f t="shared" si="14"/>
        <v>0</v>
      </c>
      <c r="H47" s="277">
        <v>9.5</v>
      </c>
      <c r="I47" s="236">
        <v>10.226999286298106</v>
      </c>
      <c r="J47" s="225">
        <v>16</v>
      </c>
      <c r="K47" s="225">
        <v>-0.14000000000000001</v>
      </c>
      <c r="L47" s="175">
        <f t="shared" si="15"/>
        <v>15.86</v>
      </c>
      <c r="M47" s="168"/>
      <c r="N47" s="168"/>
      <c r="O47" s="332"/>
      <c r="P47" s="330"/>
      <c r="Q47" s="330"/>
      <c r="R47" s="192" t="s">
        <v>122</v>
      </c>
      <c r="S47" s="123">
        <f>'WLAN 5 GHz 802.11ax Ant1'!S47</f>
        <v>0</v>
      </c>
      <c r="T47" s="192">
        <f t="shared" si="16"/>
        <v>0</v>
      </c>
      <c r="U47" s="277">
        <v>9.5</v>
      </c>
      <c r="V47" s="236">
        <v>10.673465802390348</v>
      </c>
      <c r="W47" s="225">
        <v>16</v>
      </c>
      <c r="X47" s="225">
        <v>-0.54</v>
      </c>
      <c r="Y47" s="175">
        <f t="shared" si="17"/>
        <v>15.46</v>
      </c>
      <c r="Z47" s="168"/>
      <c r="AA47" s="168"/>
      <c r="AB47" s="168"/>
      <c r="AC47" s="168"/>
      <c r="AD47" s="168"/>
      <c r="AE47" s="168"/>
      <c r="AF47" s="168"/>
      <c r="AG47" s="168"/>
      <c r="AH47" s="185"/>
      <c r="AI47" s="185"/>
      <c r="AJ47" s="200"/>
      <c r="AK47" s="185"/>
      <c r="AL47" s="185"/>
      <c r="AM47" s="200"/>
    </row>
    <row r="48" spans="1:39" ht="24.9" customHeight="1" x14ac:dyDescent="0.25">
      <c r="A48" s="168"/>
      <c r="B48" s="332"/>
      <c r="C48" s="330"/>
      <c r="D48" s="330"/>
      <c r="E48" s="192" t="s">
        <v>147</v>
      </c>
      <c r="F48" s="123">
        <f>'WLAN 5 GHz 802.11ax Ant1'!F48</f>
        <v>0</v>
      </c>
      <c r="G48" s="192">
        <f t="shared" si="14"/>
        <v>0</v>
      </c>
      <c r="H48" s="277">
        <v>11.5</v>
      </c>
      <c r="I48" s="236">
        <v>12.591402271305409</v>
      </c>
      <c r="J48" s="225">
        <v>15</v>
      </c>
      <c r="K48" s="225">
        <v>-0.14000000000000001</v>
      </c>
      <c r="L48" s="175">
        <f t="shared" si="15"/>
        <v>14.86</v>
      </c>
      <c r="M48" s="168"/>
      <c r="N48" s="168"/>
      <c r="O48" s="332"/>
      <c r="P48" s="330"/>
      <c r="Q48" s="330"/>
      <c r="R48" s="192" t="s">
        <v>147</v>
      </c>
      <c r="S48" s="123">
        <f>'WLAN 5 GHz 802.11ax Ant1'!S48</f>
        <v>0</v>
      </c>
      <c r="T48" s="192">
        <f t="shared" si="16"/>
        <v>0</v>
      </c>
      <c r="U48" s="277">
        <v>11.5</v>
      </c>
      <c r="V48" s="236">
        <v>12.680461253258791</v>
      </c>
      <c r="W48" s="225">
        <v>15</v>
      </c>
      <c r="X48" s="225">
        <v>-0.54</v>
      </c>
      <c r="Y48" s="175">
        <f t="shared" si="17"/>
        <v>14.46</v>
      </c>
      <c r="Z48" s="168"/>
      <c r="AA48" s="168"/>
      <c r="AB48" s="168"/>
      <c r="AC48" s="168"/>
      <c r="AD48" s="168"/>
      <c r="AE48" s="168"/>
      <c r="AF48" s="168"/>
      <c r="AG48" s="168"/>
      <c r="AH48" s="185"/>
      <c r="AI48" s="185"/>
      <c r="AJ48" s="200"/>
      <c r="AK48" s="185"/>
      <c r="AL48" s="185"/>
      <c r="AM48" s="200"/>
    </row>
    <row r="49" spans="1:39" ht="24.9" customHeight="1" x14ac:dyDescent="0.25">
      <c r="A49" s="168"/>
      <c r="B49" s="332"/>
      <c r="C49" s="330"/>
      <c r="D49" s="330"/>
      <c r="E49" s="192" t="s">
        <v>161</v>
      </c>
      <c r="F49" s="123">
        <f>'WLAN 5 GHz 802.11ax Ant1'!F49</f>
        <v>0</v>
      </c>
      <c r="G49" s="192">
        <f t="shared" si="14"/>
        <v>0</v>
      </c>
      <c r="H49" s="277">
        <v>14.5</v>
      </c>
      <c r="I49" s="236">
        <v>15.732088339822379</v>
      </c>
      <c r="J49" s="225">
        <v>15</v>
      </c>
      <c r="K49" s="225">
        <v>-0.14000000000000001</v>
      </c>
      <c r="L49" s="175">
        <f t="shared" si="15"/>
        <v>14.86</v>
      </c>
      <c r="M49" s="168"/>
      <c r="N49" s="168"/>
      <c r="O49" s="332"/>
      <c r="P49" s="330"/>
      <c r="Q49" s="330"/>
      <c r="R49" s="192" t="s">
        <v>161</v>
      </c>
      <c r="S49" s="123">
        <f>'WLAN 5 GHz 802.11ax Ant1'!S49</f>
        <v>0</v>
      </c>
      <c r="T49" s="192">
        <f t="shared" si="16"/>
        <v>0</v>
      </c>
      <c r="U49" s="277">
        <v>14.5</v>
      </c>
      <c r="V49" s="236">
        <v>16.005802001714784</v>
      </c>
      <c r="W49" s="225">
        <v>15</v>
      </c>
      <c r="X49" s="225">
        <v>-0.54</v>
      </c>
      <c r="Y49" s="175">
        <f t="shared" si="17"/>
        <v>14.46</v>
      </c>
      <c r="Z49" s="168"/>
      <c r="AA49" s="168"/>
      <c r="AB49" s="168"/>
      <c r="AC49" s="168"/>
      <c r="AD49" s="168"/>
      <c r="AE49" s="168"/>
      <c r="AF49" s="168"/>
      <c r="AG49" s="168"/>
      <c r="AH49" s="185"/>
      <c r="AI49" s="185"/>
      <c r="AJ49" s="200"/>
      <c r="AK49" s="185"/>
      <c r="AL49" s="185"/>
      <c r="AM49" s="200"/>
    </row>
    <row r="50" spans="1:39" ht="24.9" customHeight="1" x14ac:dyDescent="0.25">
      <c r="A50" s="168"/>
      <c r="B50" s="332"/>
      <c r="C50" s="330"/>
      <c r="D50" s="330"/>
      <c r="E50" s="192" t="s">
        <v>169</v>
      </c>
      <c r="F50" s="123">
        <f>'WLAN 5 GHz 802.11ax Ant1'!F50</f>
        <v>0</v>
      </c>
      <c r="G50" s="192">
        <f t="shared" si="14"/>
        <v>0</v>
      </c>
      <c r="H50" s="277">
        <v>15.5</v>
      </c>
      <c r="I50" s="236">
        <v>16.873928931087889</v>
      </c>
      <c r="J50" s="225">
        <v>10</v>
      </c>
      <c r="K50" s="225">
        <v>-0.14000000000000001</v>
      </c>
      <c r="L50" s="175">
        <f t="shared" si="15"/>
        <v>9.86</v>
      </c>
      <c r="M50" s="168"/>
      <c r="N50" s="168"/>
      <c r="O50" s="332"/>
      <c r="P50" s="330"/>
      <c r="Q50" s="330"/>
      <c r="R50" s="192" t="s">
        <v>169</v>
      </c>
      <c r="S50" s="123">
        <f>'WLAN 5 GHz 802.11ax Ant1'!S50</f>
        <v>0</v>
      </c>
      <c r="T50" s="192">
        <f t="shared" si="16"/>
        <v>0</v>
      </c>
      <c r="U50" s="277">
        <v>15.5</v>
      </c>
      <c r="V50" s="236">
        <v>16.552878299588833</v>
      </c>
      <c r="W50" s="225">
        <v>10</v>
      </c>
      <c r="X50" s="225">
        <v>-0.54</v>
      </c>
      <c r="Y50" s="175">
        <f t="shared" si="17"/>
        <v>9.4600000000000009</v>
      </c>
      <c r="Z50" s="168"/>
      <c r="AA50" s="168"/>
      <c r="AB50" s="168"/>
      <c r="AC50" s="168"/>
      <c r="AD50" s="168"/>
      <c r="AE50" s="168"/>
      <c r="AF50" s="168"/>
      <c r="AG50" s="168"/>
      <c r="AH50" s="185"/>
      <c r="AI50" s="185"/>
      <c r="AJ50" s="200"/>
      <c r="AK50" s="185"/>
      <c r="AL50" s="185"/>
      <c r="AM50" s="200"/>
    </row>
    <row r="51" spans="1:39" ht="24.9" customHeight="1" thickBot="1" x14ac:dyDescent="0.3">
      <c r="A51" s="168"/>
      <c r="B51" s="333"/>
      <c r="C51" s="331"/>
      <c r="D51" s="331"/>
      <c r="E51" s="194" t="s">
        <v>159</v>
      </c>
      <c r="F51" s="123" t="str">
        <f>'WLAN 5 GHz 802.11ax Ant1'!F51</f>
        <v>X</v>
      </c>
      <c r="G51" s="194">
        <f t="shared" si="14"/>
        <v>0</v>
      </c>
      <c r="H51" s="277">
        <v>14.5</v>
      </c>
      <c r="I51" s="237">
        <v>15.90547801330035</v>
      </c>
      <c r="J51" s="225">
        <v>12</v>
      </c>
      <c r="K51" s="225">
        <v>-0.14000000000000001</v>
      </c>
      <c r="L51" s="176">
        <f t="shared" si="15"/>
        <v>11.86</v>
      </c>
      <c r="M51" s="168"/>
      <c r="N51" s="168"/>
      <c r="O51" s="333"/>
      <c r="P51" s="331"/>
      <c r="Q51" s="331"/>
      <c r="R51" s="194" t="s">
        <v>159</v>
      </c>
      <c r="S51" s="123" t="str">
        <f>'WLAN 5 GHz 802.11ax Ant1'!S51</f>
        <v>X</v>
      </c>
      <c r="T51" s="194">
        <f t="shared" si="16"/>
        <v>0</v>
      </c>
      <c r="U51" s="277">
        <v>14.5</v>
      </c>
      <c r="V51" s="237">
        <v>15.955780832946528</v>
      </c>
      <c r="W51" s="225">
        <v>12</v>
      </c>
      <c r="X51" s="225">
        <v>-0.54</v>
      </c>
      <c r="Y51" s="176">
        <f t="shared" si="17"/>
        <v>11.46</v>
      </c>
      <c r="Z51" s="168"/>
      <c r="AA51" s="168"/>
      <c r="AB51" s="168"/>
      <c r="AC51" s="168"/>
      <c r="AD51" s="168"/>
      <c r="AE51" s="168"/>
      <c r="AF51" s="168"/>
      <c r="AG51" s="168"/>
      <c r="AH51" s="185"/>
      <c r="AI51" s="185"/>
      <c r="AJ51" s="200"/>
      <c r="AK51" s="185"/>
      <c r="AL51" s="185"/>
      <c r="AM51" s="200"/>
    </row>
    <row r="52" spans="1:39" ht="28.2" thickBot="1" x14ac:dyDescent="0.3">
      <c r="A52" s="174" t="s">
        <v>139</v>
      </c>
      <c r="B52" s="332" t="s">
        <v>170</v>
      </c>
      <c r="C52" s="330">
        <v>5250</v>
      </c>
      <c r="D52" s="330">
        <v>50</v>
      </c>
      <c r="E52" s="192" t="s">
        <v>118</v>
      </c>
      <c r="F52" s="123">
        <f>'WLAN 5 GHz 802.11ax Ant1'!F52</f>
        <v>0</v>
      </c>
      <c r="G52" s="192">
        <f t="shared" ref="G52:G59" si="18">$A$53</f>
        <v>0</v>
      </c>
      <c r="H52" s="277">
        <v>14.5</v>
      </c>
      <c r="I52" s="241">
        <v>16.094497977133607</v>
      </c>
      <c r="J52" s="225">
        <v>15</v>
      </c>
      <c r="K52" s="225">
        <v>-0.14000000000000001</v>
      </c>
      <c r="L52" s="175">
        <f t="shared" ref="L52:L59" si="19">J52+K52</f>
        <v>14.86</v>
      </c>
      <c r="M52" s="168"/>
      <c r="N52" s="174" t="s">
        <v>139</v>
      </c>
      <c r="O52" s="332" t="s">
        <v>170</v>
      </c>
      <c r="P52" s="330">
        <v>5570</v>
      </c>
      <c r="Q52" s="330">
        <v>114</v>
      </c>
      <c r="R52" s="192" t="s">
        <v>118</v>
      </c>
      <c r="S52" s="123">
        <f>'WLAN 5 GHz 802.11ax Ant1'!S52</f>
        <v>0</v>
      </c>
      <c r="T52" s="192">
        <f t="shared" ref="T52:T59" si="20">$N$53</f>
        <v>0</v>
      </c>
      <c r="U52" s="277">
        <v>14.5</v>
      </c>
      <c r="V52" s="236">
        <v>15.384198510516823</v>
      </c>
      <c r="W52" s="225">
        <v>15</v>
      </c>
      <c r="X52" s="225">
        <v>-0.54</v>
      </c>
      <c r="Y52" s="175">
        <f t="shared" ref="Y52:Y59" si="21">W52+X52</f>
        <v>14.46</v>
      </c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200"/>
      <c r="AK52" s="168"/>
      <c r="AL52" s="168"/>
      <c r="AM52" s="200"/>
    </row>
    <row r="53" spans="1:39" ht="24.9" customHeight="1" thickBot="1" x14ac:dyDescent="0.3">
      <c r="A53" s="191">
        <f>'WLAN 5 GHz 802.11ax Ant1'!A53</f>
        <v>0</v>
      </c>
      <c r="B53" s="332"/>
      <c r="C53" s="330"/>
      <c r="D53" s="330"/>
      <c r="E53" s="192" t="s">
        <v>121</v>
      </c>
      <c r="F53" s="123">
        <f>'WLAN 5 GHz 802.11ax Ant1'!F53</f>
        <v>0</v>
      </c>
      <c r="G53" s="192">
        <f t="shared" si="18"/>
        <v>0</v>
      </c>
      <c r="H53" s="277">
        <v>9.5</v>
      </c>
      <c r="I53" s="241">
        <v>9.6542148315070584</v>
      </c>
      <c r="J53" s="225">
        <v>16</v>
      </c>
      <c r="K53" s="225">
        <v>-0.14000000000000001</v>
      </c>
      <c r="L53" s="175">
        <f t="shared" si="19"/>
        <v>15.86</v>
      </c>
      <c r="M53" s="190"/>
      <c r="N53" s="191">
        <f>'WLAN 5 GHz 802.11ax Ant1'!N53</f>
        <v>0</v>
      </c>
      <c r="O53" s="332"/>
      <c r="P53" s="330"/>
      <c r="Q53" s="330"/>
      <c r="R53" s="192" t="s">
        <v>121</v>
      </c>
      <c r="S53" s="123">
        <f>'WLAN 5 GHz 802.11ax Ant1'!S53</f>
        <v>0</v>
      </c>
      <c r="T53" s="192">
        <f t="shared" si="20"/>
        <v>0</v>
      </c>
      <c r="U53" s="277">
        <v>9.5</v>
      </c>
      <c r="V53" s="236">
        <v>10.213522871462185</v>
      </c>
      <c r="W53" s="225">
        <v>16</v>
      </c>
      <c r="X53" s="225">
        <v>-0.54</v>
      </c>
      <c r="Y53" s="175">
        <f t="shared" si="21"/>
        <v>15.46</v>
      </c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</row>
    <row r="54" spans="1:39" ht="24.9" customHeight="1" x14ac:dyDescent="0.25">
      <c r="A54" s="168"/>
      <c r="B54" s="332"/>
      <c r="C54" s="330"/>
      <c r="D54" s="330"/>
      <c r="E54" s="192" t="s">
        <v>123</v>
      </c>
      <c r="F54" s="123">
        <f>'WLAN 5 GHz 802.11ax Ant1'!F54</f>
        <v>0</v>
      </c>
      <c r="G54" s="192">
        <f t="shared" si="18"/>
        <v>0</v>
      </c>
      <c r="H54" s="277">
        <v>11.5</v>
      </c>
      <c r="I54" s="236">
        <v>11.662865958327295</v>
      </c>
      <c r="J54" s="225">
        <v>15</v>
      </c>
      <c r="K54" s="225">
        <v>-0.14000000000000001</v>
      </c>
      <c r="L54" s="175">
        <f t="shared" si="19"/>
        <v>14.86</v>
      </c>
      <c r="M54" s="168"/>
      <c r="N54" s="168"/>
      <c r="O54" s="332"/>
      <c r="P54" s="330"/>
      <c r="Q54" s="330"/>
      <c r="R54" s="192" t="s">
        <v>123</v>
      </c>
      <c r="S54" s="123">
        <f>'WLAN 5 GHz 802.11ax Ant1'!S54</f>
        <v>0</v>
      </c>
      <c r="T54" s="192">
        <f t="shared" si="20"/>
        <v>0</v>
      </c>
      <c r="U54" s="277">
        <v>11.5</v>
      </c>
      <c r="V54" s="236">
        <v>11.762097722921515</v>
      </c>
      <c r="W54" s="225">
        <v>15</v>
      </c>
      <c r="X54" s="225">
        <v>-0.54</v>
      </c>
      <c r="Y54" s="175">
        <f t="shared" si="21"/>
        <v>14.46</v>
      </c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</row>
    <row r="55" spans="1:39" ht="24.9" customHeight="1" x14ac:dyDescent="0.25">
      <c r="A55" s="168"/>
      <c r="B55" s="332"/>
      <c r="C55" s="330"/>
      <c r="D55" s="330"/>
      <c r="E55" s="192" t="s">
        <v>147</v>
      </c>
      <c r="F55" s="123">
        <f>'WLAN 5 GHz 802.11ax Ant1'!F55</f>
        <v>0</v>
      </c>
      <c r="G55" s="192">
        <f t="shared" si="18"/>
        <v>0</v>
      </c>
      <c r="H55" s="277">
        <v>14.5</v>
      </c>
      <c r="I55" s="236">
        <v>14.976024358765571</v>
      </c>
      <c r="J55" s="225">
        <v>15</v>
      </c>
      <c r="K55" s="225">
        <v>-0.14000000000000001</v>
      </c>
      <c r="L55" s="175">
        <f t="shared" si="19"/>
        <v>14.86</v>
      </c>
      <c r="M55" s="190"/>
      <c r="N55" s="190"/>
      <c r="O55" s="332"/>
      <c r="P55" s="330"/>
      <c r="Q55" s="330"/>
      <c r="R55" s="192" t="s">
        <v>147</v>
      </c>
      <c r="S55" s="123">
        <f>'WLAN 5 GHz 802.11ax Ant1'!S55</f>
        <v>0</v>
      </c>
      <c r="T55" s="192">
        <f t="shared" si="20"/>
        <v>0</v>
      </c>
      <c r="U55" s="277">
        <v>14.5</v>
      </c>
      <c r="V55" s="236">
        <v>15.144261122259367</v>
      </c>
      <c r="W55" s="225">
        <v>15</v>
      </c>
      <c r="X55" s="225">
        <v>-0.54</v>
      </c>
      <c r="Y55" s="175">
        <f t="shared" si="21"/>
        <v>14.46</v>
      </c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</row>
    <row r="56" spans="1:39" ht="24.9" customHeight="1" x14ac:dyDescent="0.25">
      <c r="A56" s="168"/>
      <c r="B56" s="332"/>
      <c r="C56" s="330"/>
      <c r="D56" s="330"/>
      <c r="E56" s="192" t="s">
        <v>161</v>
      </c>
      <c r="F56" s="123">
        <f>'WLAN 5 GHz 802.11ax Ant1'!F56</f>
        <v>0</v>
      </c>
      <c r="G56" s="192">
        <f t="shared" si="18"/>
        <v>0</v>
      </c>
      <c r="H56" s="277">
        <v>15.5</v>
      </c>
      <c r="I56" s="236">
        <v>16.144654636747159</v>
      </c>
      <c r="J56" s="225">
        <v>15</v>
      </c>
      <c r="K56" s="225">
        <v>-0.14000000000000001</v>
      </c>
      <c r="L56" s="175">
        <f t="shared" si="19"/>
        <v>14.86</v>
      </c>
      <c r="M56" s="190"/>
      <c r="N56" s="190"/>
      <c r="O56" s="332"/>
      <c r="P56" s="330"/>
      <c r="Q56" s="330"/>
      <c r="R56" s="192" t="s">
        <v>161</v>
      </c>
      <c r="S56" s="123">
        <f>'WLAN 5 GHz 802.11ax Ant1'!S56</f>
        <v>0</v>
      </c>
      <c r="T56" s="192">
        <f t="shared" si="20"/>
        <v>0</v>
      </c>
      <c r="U56" s="277">
        <v>15.5</v>
      </c>
      <c r="V56" s="236">
        <v>15.482876631921723</v>
      </c>
      <c r="W56" s="225">
        <v>15</v>
      </c>
      <c r="X56" s="225">
        <v>-0.54</v>
      </c>
      <c r="Y56" s="175">
        <f t="shared" si="21"/>
        <v>14.46</v>
      </c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</row>
    <row r="57" spans="1:39" ht="24.9" customHeight="1" x14ac:dyDescent="0.25">
      <c r="A57" s="168"/>
      <c r="B57" s="332"/>
      <c r="C57" s="330"/>
      <c r="D57" s="330"/>
      <c r="E57" s="192" t="s">
        <v>169</v>
      </c>
      <c r="F57" s="123">
        <f>'WLAN 5 GHz 802.11ax Ant1'!F57</f>
        <v>0</v>
      </c>
      <c r="G57" s="192">
        <f t="shared" si="18"/>
        <v>0</v>
      </c>
      <c r="H57" s="277">
        <v>14.5</v>
      </c>
      <c r="I57" s="236">
        <v>15.204022964068677</v>
      </c>
      <c r="J57" s="225">
        <v>15</v>
      </c>
      <c r="K57" s="225">
        <v>-0.14000000000000001</v>
      </c>
      <c r="L57" s="175">
        <f t="shared" si="19"/>
        <v>14.86</v>
      </c>
      <c r="M57" s="190"/>
      <c r="N57" s="190"/>
      <c r="O57" s="332"/>
      <c r="P57" s="330"/>
      <c r="Q57" s="330"/>
      <c r="R57" s="192" t="s">
        <v>169</v>
      </c>
      <c r="S57" s="123">
        <f>'WLAN 5 GHz 802.11ax Ant1'!S57</f>
        <v>0</v>
      </c>
      <c r="T57" s="192">
        <f t="shared" si="20"/>
        <v>0</v>
      </c>
      <c r="U57" s="277">
        <v>14.5</v>
      </c>
      <c r="V57" s="236">
        <v>15.434110123018266</v>
      </c>
      <c r="W57" s="225">
        <v>15</v>
      </c>
      <c r="X57" s="225">
        <v>-0.54</v>
      </c>
      <c r="Y57" s="175">
        <f t="shared" si="21"/>
        <v>14.46</v>
      </c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</row>
    <row r="58" spans="1:39" ht="24.9" customHeight="1" x14ac:dyDescent="0.25">
      <c r="A58" s="168"/>
      <c r="B58" s="332"/>
      <c r="C58" s="330"/>
      <c r="D58" s="330"/>
      <c r="E58" s="192" t="s">
        <v>172</v>
      </c>
      <c r="F58" s="123">
        <f>'WLAN 5 GHz 802.11ax Ant1'!F58</f>
        <v>0</v>
      </c>
      <c r="G58" s="192">
        <f t="shared" si="18"/>
        <v>0</v>
      </c>
      <c r="H58" s="277">
        <v>14.5</v>
      </c>
      <c r="I58" s="236">
        <v>14.73741216839654</v>
      </c>
      <c r="J58" s="225">
        <v>15</v>
      </c>
      <c r="K58" s="225">
        <v>-0.14000000000000001</v>
      </c>
      <c r="L58" s="175">
        <f t="shared" si="19"/>
        <v>14.86</v>
      </c>
      <c r="M58" s="190"/>
      <c r="N58" s="190"/>
      <c r="O58" s="332"/>
      <c r="P58" s="330"/>
      <c r="Q58" s="330"/>
      <c r="R58" s="192" t="s">
        <v>172</v>
      </c>
      <c r="S58" s="123">
        <f>'WLAN 5 GHz 802.11ax Ant1'!S58</f>
        <v>0</v>
      </c>
      <c r="T58" s="192">
        <f t="shared" si="20"/>
        <v>0</v>
      </c>
      <c r="U58" s="277">
        <v>14.5</v>
      </c>
      <c r="V58" s="236">
        <v>15.399164921181645</v>
      </c>
      <c r="W58" s="225">
        <v>15</v>
      </c>
      <c r="X58" s="225">
        <v>-0.54</v>
      </c>
      <c r="Y58" s="175">
        <f t="shared" si="21"/>
        <v>14.46</v>
      </c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</row>
    <row r="59" spans="1:39" ht="24.9" customHeight="1" thickBot="1" x14ac:dyDescent="0.3">
      <c r="A59" s="168"/>
      <c r="B59" s="333"/>
      <c r="C59" s="331"/>
      <c r="D59" s="331"/>
      <c r="E59" s="194" t="s">
        <v>125</v>
      </c>
      <c r="F59" s="125" t="str">
        <f>'WLAN 5 GHz 802.11ax Ant1'!F59</f>
        <v>X</v>
      </c>
      <c r="G59" s="194">
        <f t="shared" si="18"/>
        <v>0</v>
      </c>
      <c r="H59" s="224">
        <v>14.5</v>
      </c>
      <c r="I59" s="237">
        <v>15.649849230432986</v>
      </c>
      <c r="J59" s="225">
        <v>15</v>
      </c>
      <c r="K59" s="225">
        <v>-0.14000000000000001</v>
      </c>
      <c r="L59" s="176">
        <f t="shared" si="19"/>
        <v>14.86</v>
      </c>
      <c r="M59" s="168"/>
      <c r="N59" s="168"/>
      <c r="O59" s="333"/>
      <c r="P59" s="331"/>
      <c r="Q59" s="331"/>
      <c r="R59" s="194" t="s">
        <v>125</v>
      </c>
      <c r="S59" s="125" t="str">
        <f>'WLAN 5 GHz 802.11ax Ant1'!S59</f>
        <v>X</v>
      </c>
      <c r="T59" s="194">
        <f t="shared" si="20"/>
        <v>0</v>
      </c>
      <c r="U59" s="224">
        <v>14.5</v>
      </c>
      <c r="V59" s="237">
        <v>15.60260297942356</v>
      </c>
      <c r="W59" s="225">
        <v>15</v>
      </c>
      <c r="X59" s="225">
        <v>-0.54</v>
      </c>
      <c r="Y59" s="176">
        <f t="shared" si="21"/>
        <v>14.46</v>
      </c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</row>
    <row r="60" spans="1:39" ht="24.9" customHeight="1" x14ac:dyDescent="0.25">
      <c r="A60" s="168"/>
      <c r="B60" s="168"/>
      <c r="C60" s="168"/>
      <c r="D60" s="168"/>
      <c r="E60" s="168"/>
      <c r="F60" s="168"/>
      <c r="G60" s="168"/>
      <c r="H60" s="168"/>
      <c r="I60" s="185"/>
      <c r="J60" s="185"/>
      <c r="K60" s="185"/>
      <c r="L60" s="185"/>
      <c r="M60" s="168"/>
      <c r="N60" s="168"/>
      <c r="O60" s="168"/>
      <c r="P60" s="168"/>
      <c r="Q60" s="168"/>
      <c r="R60" s="168"/>
      <c r="S60" s="168"/>
      <c r="T60" s="168"/>
      <c r="U60" s="168"/>
      <c r="V60" s="185"/>
      <c r="W60" s="185"/>
      <c r="X60" s="185"/>
      <c r="Y60" s="185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</row>
    <row r="61" spans="1:39" ht="24.9" customHeight="1" x14ac:dyDescent="0.25">
      <c r="A61" s="168"/>
      <c r="B61" s="168"/>
      <c r="C61" s="168"/>
      <c r="D61" s="168"/>
      <c r="E61" s="168"/>
      <c r="F61" s="168"/>
      <c r="G61" s="168"/>
      <c r="H61" s="168"/>
      <c r="I61" s="185"/>
      <c r="J61" s="185"/>
      <c r="K61" s="185"/>
      <c r="L61" s="185"/>
      <c r="M61" s="168"/>
      <c r="N61" s="168"/>
      <c r="O61" s="168"/>
      <c r="P61" s="168"/>
      <c r="Q61" s="168"/>
      <c r="R61" s="168"/>
      <c r="S61" s="168"/>
      <c r="T61" s="168"/>
      <c r="U61" s="168"/>
      <c r="V61" s="185"/>
      <c r="W61" s="185"/>
      <c r="X61" s="185"/>
      <c r="Y61" s="185"/>
      <c r="Z61" s="168"/>
      <c r="AA61" s="168"/>
      <c r="AB61" s="168"/>
      <c r="AC61" s="168"/>
      <c r="AD61" s="168"/>
      <c r="AE61" s="168"/>
      <c r="AF61" s="168"/>
      <c r="AG61" s="168"/>
      <c r="AH61" s="168"/>
      <c r="AI61" s="185"/>
      <c r="AJ61" s="185"/>
      <c r="AK61" s="185"/>
      <c r="AL61" s="185"/>
      <c r="AM61" s="168"/>
    </row>
    <row r="62" spans="1:39" ht="9.9" customHeight="1" x14ac:dyDescent="0.25">
      <c r="A62" s="168"/>
      <c r="B62" s="168"/>
      <c r="C62" s="168"/>
      <c r="D62" s="168"/>
      <c r="E62" s="168"/>
      <c r="F62" s="168"/>
      <c r="G62" s="168"/>
      <c r="H62" s="168"/>
      <c r="I62" s="185"/>
      <c r="J62" s="185"/>
      <c r="K62" s="185"/>
      <c r="L62" s="185"/>
      <c r="M62" s="168"/>
      <c r="N62" s="168"/>
      <c r="O62" s="168"/>
      <c r="P62" s="168"/>
      <c r="Q62" s="168"/>
      <c r="R62" s="168"/>
      <c r="S62" s="168"/>
      <c r="T62" s="168"/>
      <c r="U62" s="168"/>
      <c r="V62" s="185"/>
      <c r="W62" s="185"/>
      <c r="X62" s="185"/>
      <c r="Y62" s="185"/>
      <c r="Z62" s="185"/>
      <c r="AA62" s="168"/>
      <c r="AB62" s="168"/>
      <c r="AC62" s="168"/>
      <c r="AD62" s="168"/>
      <c r="AE62" s="168"/>
      <c r="AF62" s="168"/>
      <c r="AG62" s="168"/>
      <c r="AH62" s="168"/>
      <c r="AI62" s="185"/>
      <c r="AJ62" s="185"/>
      <c r="AK62" s="185"/>
      <c r="AL62" s="185"/>
      <c r="AM62" s="168"/>
    </row>
  </sheetData>
  <mergeCells count="63">
    <mergeCell ref="Q52:Q59"/>
    <mergeCell ref="B38:B51"/>
    <mergeCell ref="C38:C44"/>
    <mergeCell ref="D38:D44"/>
    <mergeCell ref="O38:O51"/>
    <mergeCell ref="P38:P44"/>
    <mergeCell ref="Q38:Q44"/>
    <mergeCell ref="B52:B59"/>
    <mergeCell ref="C52:C59"/>
    <mergeCell ref="D52:D59"/>
    <mergeCell ref="O52:O59"/>
    <mergeCell ref="P52:P59"/>
    <mergeCell ref="AD20:AD25"/>
    <mergeCell ref="AD26:AD31"/>
    <mergeCell ref="C45:C51"/>
    <mergeCell ref="D45:D51"/>
    <mergeCell ref="P45:P51"/>
    <mergeCell ref="C32:C37"/>
    <mergeCell ref="D32:D37"/>
    <mergeCell ref="P32:P37"/>
    <mergeCell ref="AB32:AB38"/>
    <mergeCell ref="AC32:AC38"/>
    <mergeCell ref="AD32:AD38"/>
    <mergeCell ref="Q45:Q51"/>
    <mergeCell ref="Q26:Q31"/>
    <mergeCell ref="AC26:AC31"/>
    <mergeCell ref="Q32:Q37"/>
    <mergeCell ref="Q20:Q25"/>
    <mergeCell ref="AB20:AB31"/>
    <mergeCell ref="AC20:AC25"/>
    <mergeCell ref="D15:D19"/>
    <mergeCell ref="P15:P19"/>
    <mergeCell ref="Q15:Q19"/>
    <mergeCell ref="AC15:AC19"/>
    <mergeCell ref="AD15:AD19"/>
    <mergeCell ref="AB5:AB19"/>
    <mergeCell ref="AC5:AC9"/>
    <mergeCell ref="AD5:AD9"/>
    <mergeCell ref="AD10:AD14"/>
    <mergeCell ref="B20:B37"/>
    <mergeCell ref="C20:C25"/>
    <mergeCell ref="D20:D25"/>
    <mergeCell ref="O20:O37"/>
    <mergeCell ref="P20:P25"/>
    <mergeCell ref="C26:C31"/>
    <mergeCell ref="D26:D31"/>
    <mergeCell ref="P26:P31"/>
    <mergeCell ref="C15:C19"/>
    <mergeCell ref="B2:AL2"/>
    <mergeCell ref="B3:L3"/>
    <mergeCell ref="O3:Y3"/>
    <mergeCell ref="AB3:AL3"/>
    <mergeCell ref="B5:B19"/>
    <mergeCell ref="C5:C9"/>
    <mergeCell ref="D5:D9"/>
    <mergeCell ref="O5:O19"/>
    <mergeCell ref="P5:P9"/>
    <mergeCell ref="Q5:Q9"/>
    <mergeCell ref="C10:C14"/>
    <mergeCell ref="D10:D14"/>
    <mergeCell ref="P10:P14"/>
    <mergeCell ref="Q10:Q14"/>
    <mergeCell ref="AC10:AC14"/>
  </mergeCells>
  <phoneticPr fontId="6" type="noConversion"/>
  <pageMargins left="0.15748031496062992" right="0.15748031496062992" top="0" bottom="0" header="0.31496062992125984" footer="0.31496062992125984"/>
  <pageSetup paperSize="9" scale="2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62"/>
  <sheetViews>
    <sheetView tabSelected="1" view="pageBreakPreview" topLeftCell="AF1" zoomScale="70" zoomScaleNormal="115" zoomScaleSheetLayoutView="70" workbookViewId="0">
      <pane ySplit="4" topLeftCell="A5" activePane="bottomLeft" state="frozen"/>
      <selection pane="bottomLeft" sqref="A1:AZ1"/>
    </sheetView>
  </sheetViews>
  <sheetFormatPr defaultColWidth="8.796875" defaultRowHeight="13.8" x14ac:dyDescent="0.25"/>
  <cols>
    <col min="1" max="1" width="8.796875" style="115"/>
    <col min="2" max="4" width="8.796875" style="115" customWidth="1"/>
    <col min="5" max="5" width="13.69921875" style="115" customWidth="1"/>
    <col min="6" max="9" width="8.796875" style="115" customWidth="1"/>
    <col min="10" max="10" width="10.09765625" style="115" bestFit="1" customWidth="1"/>
    <col min="11" max="12" width="10.09765625" style="116" bestFit="1" customWidth="1"/>
    <col min="13" max="16" width="12.3984375" style="116" customWidth="1"/>
    <col min="17" max="18" width="8.796875" style="115" customWidth="1"/>
    <col min="19" max="26" width="8.796875" style="115"/>
    <col min="27" max="28" width="10.09765625" style="115" bestFit="1" customWidth="1"/>
    <col min="29" max="29" width="10.09765625" style="116" bestFit="1" customWidth="1"/>
    <col min="30" max="34" width="12.3984375" style="116" customWidth="1"/>
    <col min="35" max="43" width="8.796875" style="115"/>
    <col min="44" max="45" width="10.09765625" style="115" bestFit="1" customWidth="1"/>
    <col min="46" max="46" width="10.09765625" style="116" bestFit="1" customWidth="1"/>
    <col min="47" max="50" width="12.3984375" style="116" customWidth="1"/>
    <col min="51" max="52" width="8.796875" style="115" customWidth="1"/>
    <col min="53" max="16384" width="8.796875" style="115"/>
  </cols>
  <sheetData>
    <row r="1" spans="1:52" ht="22.2" customHeight="1" thickBot="1" x14ac:dyDescent="0.3">
      <c r="A1" s="168">
        <v>1</v>
      </c>
      <c r="B1" s="118">
        <v>2</v>
      </c>
      <c r="C1" s="118">
        <v>3</v>
      </c>
      <c r="D1" s="168">
        <v>4</v>
      </c>
      <c r="E1" s="118">
        <v>5</v>
      </c>
      <c r="F1" s="118">
        <v>6</v>
      </c>
      <c r="G1" s="168">
        <v>7</v>
      </c>
      <c r="H1" s="118">
        <v>8</v>
      </c>
      <c r="I1" s="118">
        <v>9</v>
      </c>
      <c r="J1" s="168">
        <v>10</v>
      </c>
      <c r="K1" s="118">
        <v>11</v>
      </c>
      <c r="L1" s="118">
        <v>12</v>
      </c>
      <c r="M1" s="168">
        <v>13</v>
      </c>
      <c r="N1" s="118">
        <v>14</v>
      </c>
      <c r="O1" s="118">
        <v>15</v>
      </c>
      <c r="P1" s="168">
        <v>16</v>
      </c>
      <c r="Q1" s="118">
        <v>17</v>
      </c>
      <c r="R1" s="118">
        <v>18</v>
      </c>
      <c r="S1" s="168">
        <v>19</v>
      </c>
      <c r="T1" s="118">
        <v>20</v>
      </c>
      <c r="U1" s="118">
        <v>21</v>
      </c>
      <c r="V1" s="168">
        <v>22</v>
      </c>
      <c r="W1" s="118">
        <v>23</v>
      </c>
      <c r="X1" s="118">
        <v>24</v>
      </c>
      <c r="Y1" s="168">
        <v>25</v>
      </c>
      <c r="Z1" s="118">
        <v>26</v>
      </c>
      <c r="AA1" s="118">
        <v>27</v>
      </c>
      <c r="AB1" s="168">
        <v>28</v>
      </c>
      <c r="AC1" s="118">
        <v>29</v>
      </c>
      <c r="AD1" s="118">
        <v>30</v>
      </c>
      <c r="AE1" s="168">
        <v>31</v>
      </c>
      <c r="AF1" s="168">
        <v>32</v>
      </c>
      <c r="AG1" s="118">
        <v>33</v>
      </c>
      <c r="AH1" s="118">
        <v>34</v>
      </c>
      <c r="AI1" s="168">
        <v>35</v>
      </c>
      <c r="AJ1" s="118">
        <v>36</v>
      </c>
      <c r="AK1" s="118">
        <v>37</v>
      </c>
      <c r="AL1" s="168">
        <v>38</v>
      </c>
      <c r="AM1" s="118">
        <v>39</v>
      </c>
      <c r="AN1" s="118">
        <v>40</v>
      </c>
      <c r="AO1" s="168">
        <v>41</v>
      </c>
      <c r="AP1" s="118">
        <v>42</v>
      </c>
      <c r="AQ1" s="118">
        <v>43</v>
      </c>
      <c r="AR1" s="168">
        <v>44</v>
      </c>
      <c r="AS1" s="118">
        <v>45</v>
      </c>
      <c r="AT1" s="118">
        <v>46</v>
      </c>
      <c r="AU1" s="168">
        <v>47</v>
      </c>
      <c r="AV1" s="118">
        <v>48</v>
      </c>
      <c r="AW1" s="118">
        <v>49</v>
      </c>
      <c r="AX1" s="168">
        <v>50</v>
      </c>
      <c r="AY1" s="118">
        <v>51</v>
      </c>
      <c r="AZ1" s="118">
        <v>52</v>
      </c>
    </row>
    <row r="2" spans="1:52" ht="24.9" customHeight="1" thickBot="1" x14ac:dyDescent="0.3">
      <c r="A2" s="168"/>
      <c r="B2" s="289" t="s">
        <v>130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0"/>
      <c r="AP2" s="290"/>
      <c r="AQ2" s="290"/>
      <c r="AR2" s="290"/>
      <c r="AS2" s="290"/>
      <c r="AT2" s="290"/>
      <c r="AU2" s="290"/>
      <c r="AV2" s="290"/>
      <c r="AW2" s="290"/>
      <c r="AX2" s="291"/>
      <c r="AY2" s="168"/>
      <c r="AZ2" s="168"/>
    </row>
    <row r="3" spans="1:52" ht="24.9" customHeight="1" thickBot="1" x14ac:dyDescent="0.3">
      <c r="A3" s="168"/>
      <c r="B3" s="350" t="s">
        <v>163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2"/>
      <c r="Q3" s="118"/>
      <c r="R3" s="118"/>
      <c r="S3" s="350" t="s">
        <v>187</v>
      </c>
      <c r="T3" s="351"/>
      <c r="U3" s="351"/>
      <c r="V3" s="351"/>
      <c r="W3" s="351"/>
      <c r="X3" s="351"/>
      <c r="Y3" s="351"/>
      <c r="Z3" s="351"/>
      <c r="AA3" s="351"/>
      <c r="AB3" s="351"/>
      <c r="AC3" s="351"/>
      <c r="AD3" s="351"/>
      <c r="AE3" s="351"/>
      <c r="AF3" s="351"/>
      <c r="AG3" s="352"/>
      <c r="AH3" s="186"/>
      <c r="AI3" s="187"/>
      <c r="AJ3" s="350" t="s">
        <v>165</v>
      </c>
      <c r="AK3" s="351"/>
      <c r="AL3" s="351"/>
      <c r="AM3" s="351"/>
      <c r="AN3" s="351"/>
      <c r="AO3" s="351"/>
      <c r="AP3" s="351"/>
      <c r="AQ3" s="351"/>
      <c r="AR3" s="351"/>
      <c r="AS3" s="351"/>
      <c r="AT3" s="351"/>
      <c r="AU3" s="351"/>
      <c r="AV3" s="351"/>
      <c r="AW3" s="351"/>
      <c r="AX3" s="352"/>
      <c r="AY3" s="168"/>
      <c r="AZ3" s="168"/>
    </row>
    <row r="4" spans="1:52" ht="40.799999999999997" thickBot="1" x14ac:dyDescent="0.3">
      <c r="A4" s="168"/>
      <c r="B4" s="178" t="s">
        <v>0</v>
      </c>
      <c r="C4" s="179" t="s">
        <v>111</v>
      </c>
      <c r="D4" s="180" t="s">
        <v>112</v>
      </c>
      <c r="E4" s="180" t="s">
        <v>113</v>
      </c>
      <c r="F4" s="179" t="s">
        <v>114</v>
      </c>
      <c r="G4" s="180" t="s">
        <v>115</v>
      </c>
      <c r="H4" s="179" t="s">
        <v>95</v>
      </c>
      <c r="I4" s="179" t="s">
        <v>96</v>
      </c>
      <c r="J4" s="179" t="s">
        <v>177</v>
      </c>
      <c r="K4" s="179" t="s">
        <v>178</v>
      </c>
      <c r="L4" s="179" t="s">
        <v>175</v>
      </c>
      <c r="M4" s="179" t="s">
        <v>179</v>
      </c>
      <c r="N4" s="179" t="s">
        <v>175</v>
      </c>
      <c r="O4" s="179" t="s">
        <v>176</v>
      </c>
      <c r="P4" s="201" t="s">
        <v>4</v>
      </c>
      <c r="Q4" s="118"/>
      <c r="R4" s="168"/>
      <c r="S4" s="178" t="s">
        <v>0</v>
      </c>
      <c r="T4" s="179" t="s">
        <v>111</v>
      </c>
      <c r="U4" s="180" t="s">
        <v>112</v>
      </c>
      <c r="V4" s="180" t="s">
        <v>113</v>
      </c>
      <c r="W4" s="179" t="s">
        <v>114</v>
      </c>
      <c r="X4" s="180" t="s">
        <v>115</v>
      </c>
      <c r="Y4" s="179" t="s">
        <v>95</v>
      </c>
      <c r="Z4" s="179" t="s">
        <v>96</v>
      </c>
      <c r="AA4" s="179" t="s">
        <v>177</v>
      </c>
      <c r="AB4" s="179" t="s">
        <v>178</v>
      </c>
      <c r="AC4" s="179" t="s">
        <v>175</v>
      </c>
      <c r="AD4" s="179" t="s">
        <v>179</v>
      </c>
      <c r="AE4" s="179" t="s">
        <v>175</v>
      </c>
      <c r="AF4" s="179" t="s">
        <v>176</v>
      </c>
      <c r="AG4" s="201" t="s">
        <v>4</v>
      </c>
      <c r="AH4" s="188"/>
      <c r="AI4" s="168"/>
      <c r="AJ4" s="178" t="s">
        <v>0</v>
      </c>
      <c r="AK4" s="179" t="s">
        <v>111</v>
      </c>
      <c r="AL4" s="180" t="s">
        <v>112</v>
      </c>
      <c r="AM4" s="180" t="s">
        <v>113</v>
      </c>
      <c r="AN4" s="179" t="s">
        <v>114</v>
      </c>
      <c r="AO4" s="180" t="s">
        <v>115</v>
      </c>
      <c r="AP4" s="179" t="s">
        <v>95</v>
      </c>
      <c r="AQ4" s="179" t="s">
        <v>96</v>
      </c>
      <c r="AR4" s="179" t="s">
        <v>177</v>
      </c>
      <c r="AS4" s="179" t="s">
        <v>178</v>
      </c>
      <c r="AT4" s="179" t="s">
        <v>175</v>
      </c>
      <c r="AU4" s="179" t="s">
        <v>179</v>
      </c>
      <c r="AV4" s="179" t="s">
        <v>175</v>
      </c>
      <c r="AW4" s="179" t="s">
        <v>176</v>
      </c>
      <c r="AX4" s="201" t="s">
        <v>4</v>
      </c>
      <c r="AY4" s="168"/>
      <c r="AZ4" s="168"/>
    </row>
    <row r="5" spans="1:52" ht="28.2" thickBot="1" x14ac:dyDescent="0.3">
      <c r="A5" s="189" t="s">
        <v>139</v>
      </c>
      <c r="B5" s="337" t="s">
        <v>145</v>
      </c>
      <c r="C5" s="338">
        <v>5180</v>
      </c>
      <c r="D5" s="338">
        <v>36</v>
      </c>
      <c r="E5" s="181" t="s">
        <v>118</v>
      </c>
      <c r="F5" s="181">
        <f>'WLAN 5 GHz 802.11ax Ant1'!F5</f>
        <v>0</v>
      </c>
      <c r="G5" s="181">
        <f t="shared" ref="G5:G19" si="0">$A$6</f>
        <v>0</v>
      </c>
      <c r="H5" s="277">
        <v>9.5</v>
      </c>
      <c r="I5" s="277">
        <v>9.5</v>
      </c>
      <c r="J5" s="232">
        <v>9.4873275582208461</v>
      </c>
      <c r="K5" s="233">
        <v>9.2302906998723575</v>
      </c>
      <c r="L5" s="225">
        <v>10</v>
      </c>
      <c r="M5" s="210">
        <f>10*LOG10((10^(J5/10))+(10^(K5/10)))</f>
        <v>12.37101039657064</v>
      </c>
      <c r="N5" s="263">
        <f>10*LOG10((10^(L5/10))*2)</f>
        <v>13.010299956639813</v>
      </c>
      <c r="O5" s="234">
        <v>-0.21</v>
      </c>
      <c r="P5" s="182">
        <f>O5+N5</f>
        <v>12.800299956639812</v>
      </c>
      <c r="Q5" s="190"/>
      <c r="R5" s="189" t="s">
        <v>139</v>
      </c>
      <c r="S5" s="337" t="s">
        <v>145</v>
      </c>
      <c r="T5" s="338">
        <v>5500</v>
      </c>
      <c r="U5" s="338">
        <v>100</v>
      </c>
      <c r="V5" s="181" t="s">
        <v>118</v>
      </c>
      <c r="W5" s="181">
        <f>'WLAN 5 GHz 802.11ax Ant1'!S5</f>
        <v>0</v>
      </c>
      <c r="X5" s="181">
        <f t="shared" ref="X5:X19" si="1">$R$6</f>
        <v>0</v>
      </c>
      <c r="Y5" s="277">
        <v>9.5</v>
      </c>
      <c r="Z5" s="277">
        <v>9.5</v>
      </c>
      <c r="AA5" s="232">
        <v>9.3889956053133918</v>
      </c>
      <c r="AB5" s="233">
        <v>9.3445768265126432</v>
      </c>
      <c r="AC5" s="225">
        <v>10</v>
      </c>
      <c r="AD5" s="210">
        <f>10*LOG10((10^(AA5/10))+(10^(AB5/10)))</f>
        <v>12.377142960613485</v>
      </c>
      <c r="AE5" s="263">
        <f>10*LOG10((10^(AC5/10))*2)</f>
        <v>13.010299956639813</v>
      </c>
      <c r="AF5" s="234">
        <v>-0.47</v>
      </c>
      <c r="AG5" s="182">
        <f>AF5+AE5</f>
        <v>12.540299956639812</v>
      </c>
      <c r="AH5" s="157"/>
      <c r="AI5" s="189" t="s">
        <v>139</v>
      </c>
      <c r="AJ5" s="337" t="s">
        <v>145</v>
      </c>
      <c r="AK5" s="338">
        <v>5745</v>
      </c>
      <c r="AL5" s="338">
        <v>149</v>
      </c>
      <c r="AM5" s="181" t="s">
        <v>118</v>
      </c>
      <c r="AN5" s="181">
        <f>'WLAN 5 GHz 802.11ax Ant1'!AF5</f>
        <v>0</v>
      </c>
      <c r="AO5" s="181">
        <f t="shared" ref="AO5:AO19" si="2">$AI$6</f>
        <v>0</v>
      </c>
      <c r="AP5" s="277">
        <v>9.5</v>
      </c>
      <c r="AQ5" s="277">
        <v>9.5</v>
      </c>
      <c r="AR5" s="232">
        <v>9.2610095535893961</v>
      </c>
      <c r="AS5" s="233">
        <v>9.4560308413729839</v>
      </c>
      <c r="AT5" s="225">
        <v>10</v>
      </c>
      <c r="AU5" s="210">
        <f>10*LOG10((10^(AR5/10))+(10^(AS5/10)))</f>
        <v>12.369914748605099</v>
      </c>
      <c r="AV5" s="263">
        <f>10*LOG10((10^(AT5/10))*2)</f>
        <v>13.010299956639813</v>
      </c>
      <c r="AW5" s="234">
        <v>-0.31</v>
      </c>
      <c r="AX5" s="182">
        <f>AW5+AV5</f>
        <v>12.700299956639812</v>
      </c>
      <c r="AY5" s="168"/>
      <c r="AZ5" s="168"/>
    </row>
    <row r="6" spans="1:52" ht="24.9" customHeight="1" thickBot="1" x14ac:dyDescent="0.3">
      <c r="A6" s="240"/>
      <c r="B6" s="332"/>
      <c r="C6" s="330"/>
      <c r="D6" s="330"/>
      <c r="E6" s="123" t="s">
        <v>121</v>
      </c>
      <c r="F6" s="123">
        <f>'WLAN 5 GHz 802.11ax Ant1'!F6</f>
        <v>0</v>
      </c>
      <c r="G6" s="123">
        <f t="shared" si="0"/>
        <v>0</v>
      </c>
      <c r="H6" s="277">
        <v>11.5</v>
      </c>
      <c r="I6" s="277">
        <v>11.5</v>
      </c>
      <c r="J6" s="210">
        <v>11.171882547524971</v>
      </c>
      <c r="K6" s="235">
        <v>11.266940313346259</v>
      </c>
      <c r="L6" s="225">
        <v>12</v>
      </c>
      <c r="M6" s="210">
        <f t="shared" ref="M6:M59" si="3">10*LOG10((10^(J6/10))+(10^(K6/10)))</f>
        <v>14.229971458261357</v>
      </c>
      <c r="N6" s="263">
        <f t="shared" ref="N6:N59" si="4">10*LOG10((10^(L6/10))*2)</f>
        <v>15.010299956639813</v>
      </c>
      <c r="O6" s="234">
        <v>-0.21</v>
      </c>
      <c r="P6" s="175">
        <f t="shared" ref="P6:P19" si="5">O6+N6</f>
        <v>14.800299956639812</v>
      </c>
      <c r="Q6" s="168"/>
      <c r="R6" s="240"/>
      <c r="S6" s="332"/>
      <c r="T6" s="330"/>
      <c r="U6" s="330"/>
      <c r="V6" s="123" t="s">
        <v>121</v>
      </c>
      <c r="W6" s="123">
        <f>'WLAN 5 GHz 802.11ax Ant1'!S6</f>
        <v>0</v>
      </c>
      <c r="X6" s="123">
        <f t="shared" si="1"/>
        <v>0</v>
      </c>
      <c r="Y6" s="277">
        <v>11.5</v>
      </c>
      <c r="Z6" s="277">
        <v>11.5</v>
      </c>
      <c r="AA6" s="210">
        <v>11.990662545082843</v>
      </c>
      <c r="AB6" s="235">
        <v>11.389991148611355</v>
      </c>
      <c r="AC6" s="225">
        <v>12</v>
      </c>
      <c r="AD6" s="210">
        <f t="shared" ref="AD6:AD59" si="6">10*LOG10((10^(AA6/10))+(10^(AB6/10)))</f>
        <v>14.711003371738876</v>
      </c>
      <c r="AE6" s="263">
        <f t="shared" ref="AE6:AE59" si="7">10*LOG10((10^(AC6/10))*2)</f>
        <v>15.010299956639813</v>
      </c>
      <c r="AF6" s="234">
        <v>-0.47</v>
      </c>
      <c r="AG6" s="175">
        <f t="shared" ref="AG6:AG19" si="8">AF6+AE6</f>
        <v>14.540299956639812</v>
      </c>
      <c r="AH6" s="157"/>
      <c r="AI6" s="240"/>
      <c r="AJ6" s="332"/>
      <c r="AK6" s="330"/>
      <c r="AL6" s="330"/>
      <c r="AM6" s="123" t="s">
        <v>121</v>
      </c>
      <c r="AN6" s="123">
        <f>'WLAN 5 GHz 802.11ax Ant1'!AF6</f>
        <v>0</v>
      </c>
      <c r="AO6" s="123">
        <f t="shared" si="2"/>
        <v>0</v>
      </c>
      <c r="AP6" s="277">
        <v>11.5</v>
      </c>
      <c r="AQ6" s="277">
        <v>11.5</v>
      </c>
      <c r="AR6" s="210">
        <v>11.977464179396874</v>
      </c>
      <c r="AS6" s="235">
        <v>11.054726067471801</v>
      </c>
      <c r="AT6" s="225">
        <v>12</v>
      </c>
      <c r="AU6" s="210">
        <f t="shared" ref="AU6:AU38" si="9">10*LOG10((10^(AR6/10))+(10^(AS6/10)))</f>
        <v>14.550855697698443</v>
      </c>
      <c r="AV6" s="263">
        <f t="shared" ref="AV6:AV38" si="10">10*LOG10((10^(AT6/10))*2)</f>
        <v>15.010299956639813</v>
      </c>
      <c r="AW6" s="234">
        <v>-0.31</v>
      </c>
      <c r="AX6" s="175">
        <f t="shared" ref="AX6:AX19" si="11">AW6+AV6</f>
        <v>14.700299956639812</v>
      </c>
      <c r="AY6" s="168"/>
      <c r="AZ6" s="168"/>
    </row>
    <row r="7" spans="1:52" ht="24.9" customHeight="1" thickBot="1" x14ac:dyDescent="0.3">
      <c r="A7" s="168"/>
      <c r="B7" s="332"/>
      <c r="C7" s="330"/>
      <c r="D7" s="330"/>
      <c r="E7" s="123" t="s">
        <v>123</v>
      </c>
      <c r="F7" s="123">
        <f>'WLAN 5 GHz 802.11ax Ant1'!F7</f>
        <v>0</v>
      </c>
      <c r="G7" s="123">
        <f t="shared" si="0"/>
        <v>0</v>
      </c>
      <c r="H7" s="277">
        <v>14.5</v>
      </c>
      <c r="I7" s="277">
        <v>14.5</v>
      </c>
      <c r="J7" s="210">
        <v>14.310107123999003</v>
      </c>
      <c r="K7" s="235">
        <v>14.281570560040434</v>
      </c>
      <c r="L7" s="225">
        <v>15</v>
      </c>
      <c r="M7" s="210">
        <f t="shared" si="3"/>
        <v>17.306162237076652</v>
      </c>
      <c r="N7" s="263">
        <f t="shared" si="4"/>
        <v>18.010299956639813</v>
      </c>
      <c r="O7" s="234">
        <v>-0.21</v>
      </c>
      <c r="P7" s="175">
        <f t="shared" si="5"/>
        <v>17.800299956639812</v>
      </c>
      <c r="Q7" s="168"/>
      <c r="R7" s="168"/>
      <c r="S7" s="332"/>
      <c r="T7" s="330"/>
      <c r="U7" s="330"/>
      <c r="V7" s="123" t="s">
        <v>123</v>
      </c>
      <c r="W7" s="123">
        <f>'WLAN 5 GHz 802.11ax Ant1'!S7</f>
        <v>0</v>
      </c>
      <c r="X7" s="123">
        <f t="shared" si="1"/>
        <v>0</v>
      </c>
      <c r="Y7" s="277">
        <v>14.5</v>
      </c>
      <c r="Z7" s="277">
        <v>14.5</v>
      </c>
      <c r="AA7" s="210">
        <v>14.98816957421495</v>
      </c>
      <c r="AB7" s="235">
        <v>14.960280519583241</v>
      </c>
      <c r="AC7" s="225">
        <v>15</v>
      </c>
      <c r="AD7" s="210">
        <f t="shared" si="6"/>
        <v>17.98454739036583</v>
      </c>
      <c r="AE7" s="263">
        <f t="shared" si="7"/>
        <v>18.010299956639813</v>
      </c>
      <c r="AF7" s="234">
        <v>-0.47</v>
      </c>
      <c r="AG7" s="175">
        <f t="shared" si="8"/>
        <v>17.540299956639814</v>
      </c>
      <c r="AH7" s="157"/>
      <c r="AI7" s="168"/>
      <c r="AJ7" s="332"/>
      <c r="AK7" s="330"/>
      <c r="AL7" s="330"/>
      <c r="AM7" s="123" t="s">
        <v>123</v>
      </c>
      <c r="AN7" s="123">
        <f>'WLAN 5 GHz 802.11ax Ant1'!AF7</f>
        <v>0</v>
      </c>
      <c r="AO7" s="123">
        <f t="shared" si="2"/>
        <v>0</v>
      </c>
      <c r="AP7" s="277">
        <v>14.5</v>
      </c>
      <c r="AQ7" s="277">
        <v>14.5</v>
      </c>
      <c r="AR7" s="210">
        <v>14.506830422393271</v>
      </c>
      <c r="AS7" s="235">
        <v>14.826025878568538</v>
      </c>
      <c r="AT7" s="225">
        <v>15</v>
      </c>
      <c r="AU7" s="210">
        <f t="shared" si="9"/>
        <v>17.679659954619314</v>
      </c>
      <c r="AV7" s="263">
        <f t="shared" si="10"/>
        <v>18.010299956639813</v>
      </c>
      <c r="AW7" s="234">
        <v>-0.31</v>
      </c>
      <c r="AX7" s="175">
        <f t="shared" si="11"/>
        <v>17.700299956639814</v>
      </c>
      <c r="AY7" s="168"/>
      <c r="AZ7" s="168"/>
    </row>
    <row r="8" spans="1:52" ht="24.9" customHeight="1" thickBot="1" x14ac:dyDescent="0.3">
      <c r="A8" s="168"/>
      <c r="B8" s="332"/>
      <c r="C8" s="330"/>
      <c r="D8" s="330"/>
      <c r="E8" s="192" t="s">
        <v>147</v>
      </c>
      <c r="F8" s="123">
        <f>'WLAN 5 GHz 802.11ax Ant1'!F8</f>
        <v>0</v>
      </c>
      <c r="G8" s="123">
        <f t="shared" si="0"/>
        <v>0</v>
      </c>
      <c r="H8" s="277">
        <v>15.5</v>
      </c>
      <c r="I8" s="277">
        <v>15.5</v>
      </c>
      <c r="J8" s="220">
        <v>15.670296280881891</v>
      </c>
      <c r="K8" s="236">
        <v>15.765939318591913</v>
      </c>
      <c r="L8" s="225">
        <v>16</v>
      </c>
      <c r="M8" s="210">
        <f t="shared" si="3"/>
        <v>18.728681039880005</v>
      </c>
      <c r="N8" s="263">
        <f t="shared" si="4"/>
        <v>19.010299956639816</v>
      </c>
      <c r="O8" s="234">
        <v>-0.21</v>
      </c>
      <c r="P8" s="175">
        <f t="shared" si="5"/>
        <v>18.800299956639815</v>
      </c>
      <c r="Q8" s="168"/>
      <c r="R8" s="168"/>
      <c r="S8" s="332"/>
      <c r="T8" s="330"/>
      <c r="U8" s="330"/>
      <c r="V8" s="192" t="s">
        <v>147</v>
      </c>
      <c r="W8" s="123">
        <f>'WLAN 5 GHz 802.11ax Ant1'!S8</f>
        <v>0</v>
      </c>
      <c r="X8" s="123">
        <f t="shared" si="1"/>
        <v>0</v>
      </c>
      <c r="Y8" s="277">
        <v>15.5</v>
      </c>
      <c r="Z8" s="277">
        <v>15.5</v>
      </c>
      <c r="AA8" s="220">
        <v>16.031943711977078</v>
      </c>
      <c r="AB8" s="236">
        <v>16.052921441553774</v>
      </c>
      <c r="AC8" s="225">
        <v>16</v>
      </c>
      <c r="AD8" s="210">
        <f t="shared" si="6"/>
        <v>19.052745199485766</v>
      </c>
      <c r="AE8" s="263">
        <f t="shared" si="7"/>
        <v>19.010299956639816</v>
      </c>
      <c r="AF8" s="234">
        <v>-0.47</v>
      </c>
      <c r="AG8" s="175">
        <f t="shared" si="8"/>
        <v>18.540299956639817</v>
      </c>
      <c r="AH8" s="157"/>
      <c r="AI8" s="168"/>
      <c r="AJ8" s="332"/>
      <c r="AK8" s="330"/>
      <c r="AL8" s="330"/>
      <c r="AM8" s="192" t="s">
        <v>147</v>
      </c>
      <c r="AN8" s="123">
        <f>'WLAN 5 GHz 802.11ax Ant1'!AF8</f>
        <v>0</v>
      </c>
      <c r="AO8" s="123">
        <f t="shared" si="2"/>
        <v>0</v>
      </c>
      <c r="AP8" s="277">
        <v>15.5</v>
      </c>
      <c r="AQ8" s="277">
        <v>15.5</v>
      </c>
      <c r="AR8" s="220">
        <v>16.349885073894193</v>
      </c>
      <c r="AS8" s="236">
        <v>16.198308854651426</v>
      </c>
      <c r="AT8" s="225">
        <v>16</v>
      </c>
      <c r="AU8" s="210">
        <f t="shared" si="9"/>
        <v>19.285058171088735</v>
      </c>
      <c r="AV8" s="263">
        <f t="shared" si="10"/>
        <v>19.010299956639816</v>
      </c>
      <c r="AW8" s="234">
        <v>-0.31</v>
      </c>
      <c r="AX8" s="175">
        <f t="shared" si="11"/>
        <v>18.700299956639817</v>
      </c>
      <c r="AY8" s="168"/>
      <c r="AZ8" s="168"/>
    </row>
    <row r="9" spans="1:52" ht="24.9" customHeight="1" thickBot="1" x14ac:dyDescent="0.3">
      <c r="A9" s="168"/>
      <c r="B9" s="332"/>
      <c r="C9" s="330"/>
      <c r="D9" s="330"/>
      <c r="E9" s="192" t="s">
        <v>159</v>
      </c>
      <c r="F9" s="123" t="str">
        <f>'WLAN 5 GHz 802.11ax Ant1'!F9</f>
        <v>X</v>
      </c>
      <c r="G9" s="123">
        <f t="shared" si="0"/>
        <v>0</v>
      </c>
      <c r="H9" s="277">
        <v>14.5</v>
      </c>
      <c r="I9" s="277">
        <v>14.5</v>
      </c>
      <c r="J9" s="220">
        <v>14.833752445937737</v>
      </c>
      <c r="K9" s="236">
        <v>14.792434471375037</v>
      </c>
      <c r="L9" s="225">
        <v>15</v>
      </c>
      <c r="M9" s="210">
        <f t="shared" si="3"/>
        <v>17.82344255155785</v>
      </c>
      <c r="N9" s="263">
        <f t="shared" si="4"/>
        <v>18.010299956639813</v>
      </c>
      <c r="O9" s="234">
        <v>-0.21</v>
      </c>
      <c r="P9" s="175">
        <f t="shared" si="5"/>
        <v>17.800299956639812</v>
      </c>
      <c r="Q9" s="168"/>
      <c r="R9" s="168"/>
      <c r="S9" s="332"/>
      <c r="T9" s="330"/>
      <c r="U9" s="330"/>
      <c r="V9" s="192" t="s">
        <v>159</v>
      </c>
      <c r="W9" s="123" t="str">
        <f>'WLAN 5 GHz 802.11ax Ant1'!S9</f>
        <v>X</v>
      </c>
      <c r="X9" s="123">
        <f t="shared" si="1"/>
        <v>0</v>
      </c>
      <c r="Y9" s="277">
        <v>14.5</v>
      </c>
      <c r="Z9" s="277">
        <v>14.5</v>
      </c>
      <c r="AA9" s="220">
        <v>15.248633645993847</v>
      </c>
      <c r="AB9" s="236">
        <v>15.0202571610041</v>
      </c>
      <c r="AC9" s="225">
        <v>15</v>
      </c>
      <c r="AD9" s="210">
        <f t="shared" si="6"/>
        <v>18.146246352347191</v>
      </c>
      <c r="AE9" s="263">
        <f t="shared" si="7"/>
        <v>18.010299956639813</v>
      </c>
      <c r="AF9" s="234">
        <v>-0.47</v>
      </c>
      <c r="AG9" s="175">
        <f t="shared" si="8"/>
        <v>17.540299956639814</v>
      </c>
      <c r="AH9" s="157"/>
      <c r="AI9" s="168"/>
      <c r="AJ9" s="332"/>
      <c r="AK9" s="330"/>
      <c r="AL9" s="330"/>
      <c r="AM9" s="192" t="s">
        <v>159</v>
      </c>
      <c r="AN9" s="123" t="str">
        <f>'WLAN 5 GHz 802.11ax Ant1'!AF9</f>
        <v>X</v>
      </c>
      <c r="AO9" s="123">
        <f t="shared" si="2"/>
        <v>0</v>
      </c>
      <c r="AP9" s="277">
        <v>14.5</v>
      </c>
      <c r="AQ9" s="277">
        <v>14.5</v>
      </c>
      <c r="AR9" s="220">
        <v>15.308986307121954</v>
      </c>
      <c r="AS9" s="236">
        <v>14.849124122591078</v>
      </c>
      <c r="AT9" s="225">
        <v>15</v>
      </c>
      <c r="AU9" s="210">
        <f t="shared" si="9"/>
        <v>18.095439018899157</v>
      </c>
      <c r="AV9" s="263">
        <f t="shared" si="10"/>
        <v>18.010299956639813</v>
      </c>
      <c r="AW9" s="234">
        <v>-0.31</v>
      </c>
      <c r="AX9" s="175">
        <f t="shared" si="11"/>
        <v>17.700299956639814</v>
      </c>
      <c r="AY9" s="168"/>
      <c r="AZ9" s="168"/>
    </row>
    <row r="10" spans="1:52" ht="24.9" customHeight="1" thickBot="1" x14ac:dyDescent="0.3">
      <c r="A10" s="168"/>
      <c r="B10" s="332"/>
      <c r="C10" s="330">
        <v>5260</v>
      </c>
      <c r="D10" s="330">
        <v>52</v>
      </c>
      <c r="E10" s="192" t="s">
        <v>146</v>
      </c>
      <c r="F10" s="123">
        <f>'WLAN 5 GHz 802.11ax Ant1'!F10</f>
        <v>0</v>
      </c>
      <c r="G10" s="123">
        <f t="shared" si="0"/>
        <v>0</v>
      </c>
      <c r="H10" s="277">
        <v>14.5</v>
      </c>
      <c r="I10" s="277">
        <v>14.5</v>
      </c>
      <c r="J10" s="220">
        <v>14.953976726400318</v>
      </c>
      <c r="K10" s="236">
        <v>15.669136836953268</v>
      </c>
      <c r="L10" s="225">
        <v>15</v>
      </c>
      <c r="M10" s="210">
        <f t="shared" si="3"/>
        <v>18.33656096475142</v>
      </c>
      <c r="N10" s="263">
        <f t="shared" si="4"/>
        <v>18.010299956639813</v>
      </c>
      <c r="O10" s="234">
        <v>-0.21</v>
      </c>
      <c r="P10" s="175">
        <f t="shared" si="5"/>
        <v>17.800299956639812</v>
      </c>
      <c r="Q10" s="190"/>
      <c r="R10" s="190"/>
      <c r="S10" s="332"/>
      <c r="T10" s="330">
        <v>5600</v>
      </c>
      <c r="U10" s="330">
        <v>120</v>
      </c>
      <c r="V10" s="192" t="s">
        <v>118</v>
      </c>
      <c r="W10" s="123">
        <f>'WLAN 5 GHz 802.11ax Ant1'!S10</f>
        <v>0</v>
      </c>
      <c r="X10" s="123">
        <f t="shared" si="1"/>
        <v>0</v>
      </c>
      <c r="Y10" s="277">
        <v>14.5</v>
      </c>
      <c r="Z10" s="277">
        <v>14.5</v>
      </c>
      <c r="AA10" s="220">
        <v>15.68241662951872</v>
      </c>
      <c r="AB10" s="236">
        <v>15.352344501169702</v>
      </c>
      <c r="AC10" s="225">
        <v>15</v>
      </c>
      <c r="AD10" s="210">
        <f t="shared" si="6"/>
        <v>18.530815531843814</v>
      </c>
      <c r="AE10" s="263">
        <f t="shared" si="7"/>
        <v>18.010299956639813</v>
      </c>
      <c r="AF10" s="234">
        <v>-0.47</v>
      </c>
      <c r="AG10" s="175">
        <f t="shared" si="8"/>
        <v>17.540299956639814</v>
      </c>
      <c r="AH10" s="157"/>
      <c r="AI10" s="168"/>
      <c r="AJ10" s="332"/>
      <c r="AK10" s="330">
        <v>5785</v>
      </c>
      <c r="AL10" s="330">
        <v>157</v>
      </c>
      <c r="AM10" s="192" t="s">
        <v>118</v>
      </c>
      <c r="AN10" s="123">
        <f>'WLAN 5 GHz 802.11ax Ant1'!AF10</f>
        <v>0</v>
      </c>
      <c r="AO10" s="123">
        <f t="shared" si="2"/>
        <v>0</v>
      </c>
      <c r="AP10" s="277">
        <v>14.5</v>
      </c>
      <c r="AQ10" s="277">
        <v>14.5</v>
      </c>
      <c r="AR10" s="220">
        <v>15.510559142021348</v>
      </c>
      <c r="AS10" s="236">
        <v>15.384560563052506</v>
      </c>
      <c r="AT10" s="225">
        <v>15</v>
      </c>
      <c r="AU10" s="210">
        <f t="shared" si="9"/>
        <v>18.458316730857078</v>
      </c>
      <c r="AV10" s="263">
        <f t="shared" si="10"/>
        <v>18.010299956639813</v>
      </c>
      <c r="AW10" s="234">
        <v>-0.31</v>
      </c>
      <c r="AX10" s="175">
        <f t="shared" si="11"/>
        <v>17.700299956639814</v>
      </c>
      <c r="AY10" s="168"/>
      <c r="AZ10" s="168"/>
    </row>
    <row r="11" spans="1:52" ht="24.9" customHeight="1" thickBot="1" x14ac:dyDescent="0.3">
      <c r="A11" s="168"/>
      <c r="B11" s="332"/>
      <c r="C11" s="330"/>
      <c r="D11" s="330"/>
      <c r="E11" s="192" t="s">
        <v>181</v>
      </c>
      <c r="F11" s="123">
        <f>'WLAN 5 GHz 802.11ax Ant1'!F11</f>
        <v>0</v>
      </c>
      <c r="G11" s="123">
        <f t="shared" si="0"/>
        <v>0</v>
      </c>
      <c r="H11" s="277">
        <v>9.5</v>
      </c>
      <c r="I11" s="277">
        <v>9.5</v>
      </c>
      <c r="J11" s="220">
        <v>10.010945291451618</v>
      </c>
      <c r="K11" s="236">
        <v>9.5094249546627037</v>
      </c>
      <c r="L11" s="225">
        <v>10</v>
      </c>
      <c r="M11" s="210">
        <f t="shared" si="3"/>
        <v>12.777720464486737</v>
      </c>
      <c r="N11" s="263">
        <f t="shared" si="4"/>
        <v>13.010299956639813</v>
      </c>
      <c r="O11" s="234">
        <v>-0.21</v>
      </c>
      <c r="P11" s="175">
        <f t="shared" si="5"/>
        <v>12.800299956639812</v>
      </c>
      <c r="Q11" s="168"/>
      <c r="R11" s="168"/>
      <c r="S11" s="332"/>
      <c r="T11" s="330"/>
      <c r="U11" s="330"/>
      <c r="V11" s="192" t="s">
        <v>181</v>
      </c>
      <c r="W11" s="123">
        <f>'WLAN 5 GHz 802.11ax Ant1'!S11</f>
        <v>0</v>
      </c>
      <c r="X11" s="123">
        <f t="shared" si="1"/>
        <v>0</v>
      </c>
      <c r="Y11" s="277">
        <v>9.5</v>
      </c>
      <c r="Z11" s="277">
        <v>9.5</v>
      </c>
      <c r="AA11" s="220">
        <v>10.096314218906649</v>
      </c>
      <c r="AB11" s="236">
        <v>9.6994963108415071</v>
      </c>
      <c r="AC11" s="225">
        <v>10</v>
      </c>
      <c r="AD11" s="210">
        <f t="shared" si="6"/>
        <v>12.912735837082188</v>
      </c>
      <c r="AE11" s="263">
        <f t="shared" si="7"/>
        <v>13.010299956639813</v>
      </c>
      <c r="AF11" s="234">
        <v>-0.47</v>
      </c>
      <c r="AG11" s="175">
        <f t="shared" si="8"/>
        <v>12.540299956639812</v>
      </c>
      <c r="AH11" s="157"/>
      <c r="AI11" s="168"/>
      <c r="AJ11" s="332"/>
      <c r="AK11" s="330"/>
      <c r="AL11" s="330"/>
      <c r="AM11" s="192" t="s">
        <v>181</v>
      </c>
      <c r="AN11" s="123">
        <f>'WLAN 5 GHz 802.11ax Ant1'!AF11</f>
        <v>0</v>
      </c>
      <c r="AO11" s="123">
        <f t="shared" si="2"/>
        <v>0</v>
      </c>
      <c r="AP11" s="277">
        <v>9.5</v>
      </c>
      <c r="AQ11" s="277">
        <v>9.5</v>
      </c>
      <c r="AR11" s="220">
        <v>9.799738045455344</v>
      </c>
      <c r="AS11" s="236">
        <v>9.6663423173083061</v>
      </c>
      <c r="AT11" s="225">
        <v>10</v>
      </c>
      <c r="AU11" s="210">
        <f t="shared" si="9"/>
        <v>12.743852282475839</v>
      </c>
      <c r="AV11" s="263">
        <f t="shared" si="10"/>
        <v>13.010299956639813</v>
      </c>
      <c r="AW11" s="234">
        <v>-0.31</v>
      </c>
      <c r="AX11" s="175">
        <f t="shared" si="11"/>
        <v>12.700299956639812</v>
      </c>
      <c r="AY11" s="168"/>
      <c r="AZ11" s="168"/>
    </row>
    <row r="12" spans="1:52" ht="24.9" customHeight="1" thickBot="1" x14ac:dyDescent="0.3">
      <c r="A12" s="168"/>
      <c r="B12" s="332"/>
      <c r="C12" s="330"/>
      <c r="D12" s="330"/>
      <c r="E12" s="192" t="s">
        <v>182</v>
      </c>
      <c r="F12" s="123">
        <f>'WLAN 5 GHz 802.11ax Ant1'!F12</f>
        <v>0</v>
      </c>
      <c r="G12" s="123">
        <f t="shared" si="0"/>
        <v>0</v>
      </c>
      <c r="H12" s="277">
        <v>11.5</v>
      </c>
      <c r="I12" s="277">
        <v>11.5</v>
      </c>
      <c r="J12" s="220">
        <v>12.180562370748227</v>
      </c>
      <c r="K12" s="236">
        <v>11.369115250084633</v>
      </c>
      <c r="L12" s="225">
        <v>12</v>
      </c>
      <c r="M12" s="210">
        <f t="shared" si="3"/>
        <v>14.804062875887954</v>
      </c>
      <c r="N12" s="263">
        <f t="shared" si="4"/>
        <v>15.010299956639813</v>
      </c>
      <c r="O12" s="234">
        <v>-0.21</v>
      </c>
      <c r="P12" s="175">
        <f t="shared" si="5"/>
        <v>14.800299956639812</v>
      </c>
      <c r="Q12" s="168"/>
      <c r="R12" s="168"/>
      <c r="S12" s="332"/>
      <c r="T12" s="330"/>
      <c r="U12" s="330"/>
      <c r="V12" s="192" t="s">
        <v>182</v>
      </c>
      <c r="W12" s="123">
        <f>'WLAN 5 GHz 802.11ax Ant1'!S12</f>
        <v>0</v>
      </c>
      <c r="X12" s="123">
        <f t="shared" si="1"/>
        <v>0</v>
      </c>
      <c r="Y12" s="277">
        <v>11.5</v>
      </c>
      <c r="Z12" s="277">
        <v>11.5</v>
      </c>
      <c r="AA12" s="220">
        <v>11.962816801983855</v>
      </c>
      <c r="AB12" s="236">
        <v>11.601305196018478</v>
      </c>
      <c r="AC12" s="225">
        <v>12</v>
      </c>
      <c r="AD12" s="210">
        <f t="shared" si="6"/>
        <v>14.796121449159045</v>
      </c>
      <c r="AE12" s="263">
        <f t="shared" si="7"/>
        <v>15.010299956639813</v>
      </c>
      <c r="AF12" s="234">
        <v>-0.47</v>
      </c>
      <c r="AG12" s="175">
        <f t="shared" si="8"/>
        <v>14.540299956639812</v>
      </c>
      <c r="AH12" s="157"/>
      <c r="AI12" s="168"/>
      <c r="AJ12" s="332"/>
      <c r="AK12" s="330"/>
      <c r="AL12" s="330"/>
      <c r="AM12" s="192" t="s">
        <v>182</v>
      </c>
      <c r="AN12" s="123">
        <f>'WLAN 5 GHz 802.11ax Ant1'!AF12</f>
        <v>0</v>
      </c>
      <c r="AO12" s="123">
        <f t="shared" si="2"/>
        <v>0</v>
      </c>
      <c r="AP12" s="277">
        <v>11.5</v>
      </c>
      <c r="AQ12" s="277">
        <v>11.5</v>
      </c>
      <c r="AR12" s="220">
        <v>11.900650347850597</v>
      </c>
      <c r="AS12" s="236">
        <v>11.955634133012563</v>
      </c>
      <c r="AT12" s="225">
        <v>12</v>
      </c>
      <c r="AU12" s="210">
        <f t="shared" si="9"/>
        <v>14.93852921165959</v>
      </c>
      <c r="AV12" s="263">
        <f t="shared" si="10"/>
        <v>15.010299956639813</v>
      </c>
      <c r="AW12" s="234">
        <v>-0.31</v>
      </c>
      <c r="AX12" s="175">
        <f t="shared" si="11"/>
        <v>14.700299956639812</v>
      </c>
      <c r="AY12" s="168"/>
      <c r="AZ12" s="168"/>
    </row>
    <row r="13" spans="1:52" ht="24.9" customHeight="1" thickBot="1" x14ac:dyDescent="0.3">
      <c r="A13" s="168"/>
      <c r="B13" s="332"/>
      <c r="C13" s="330"/>
      <c r="D13" s="330"/>
      <c r="E13" s="192" t="s">
        <v>147</v>
      </c>
      <c r="F13" s="123">
        <f>'WLAN 5 GHz 802.11ax Ant1'!F13</f>
        <v>0</v>
      </c>
      <c r="G13" s="123">
        <f t="shared" si="0"/>
        <v>0</v>
      </c>
      <c r="H13" s="277">
        <v>14.5</v>
      </c>
      <c r="I13" s="277">
        <v>14.5</v>
      </c>
      <c r="J13" s="220">
        <v>14.619757131031182</v>
      </c>
      <c r="K13" s="236">
        <v>14.329097985946152</v>
      </c>
      <c r="L13" s="225">
        <v>15</v>
      </c>
      <c r="M13" s="210">
        <f t="shared" si="3"/>
        <v>17.487158670127926</v>
      </c>
      <c r="N13" s="263">
        <f t="shared" si="4"/>
        <v>18.010299956639813</v>
      </c>
      <c r="O13" s="234">
        <v>-0.21</v>
      </c>
      <c r="P13" s="175">
        <f t="shared" si="5"/>
        <v>17.800299956639812</v>
      </c>
      <c r="Q13" s="190"/>
      <c r="R13" s="190"/>
      <c r="S13" s="332"/>
      <c r="T13" s="330"/>
      <c r="U13" s="330"/>
      <c r="V13" s="192" t="s">
        <v>147</v>
      </c>
      <c r="W13" s="123">
        <f>'WLAN 5 GHz 802.11ax Ant1'!S13</f>
        <v>0</v>
      </c>
      <c r="X13" s="123">
        <f t="shared" si="1"/>
        <v>0</v>
      </c>
      <c r="Y13" s="277">
        <v>14.5</v>
      </c>
      <c r="Z13" s="277">
        <v>14.5</v>
      </c>
      <c r="AA13" s="220">
        <v>14.59241833187925</v>
      </c>
      <c r="AB13" s="236">
        <v>14.684477643298118</v>
      </c>
      <c r="AC13" s="225">
        <v>15</v>
      </c>
      <c r="AD13" s="210">
        <f t="shared" si="6"/>
        <v>17.64899186737593</v>
      </c>
      <c r="AE13" s="263">
        <f t="shared" si="7"/>
        <v>18.010299956639813</v>
      </c>
      <c r="AF13" s="234">
        <v>-0.47</v>
      </c>
      <c r="AG13" s="175">
        <f t="shared" si="8"/>
        <v>17.540299956639814</v>
      </c>
      <c r="AH13" s="157"/>
      <c r="AI13" s="168"/>
      <c r="AJ13" s="332"/>
      <c r="AK13" s="330"/>
      <c r="AL13" s="330"/>
      <c r="AM13" s="192" t="s">
        <v>147</v>
      </c>
      <c r="AN13" s="123">
        <f>'WLAN 5 GHz 802.11ax Ant1'!AF13</f>
        <v>0</v>
      </c>
      <c r="AO13" s="123">
        <f t="shared" si="2"/>
        <v>0</v>
      </c>
      <c r="AP13" s="277">
        <v>14.5</v>
      </c>
      <c r="AQ13" s="277">
        <v>14.5</v>
      </c>
      <c r="AR13" s="220">
        <v>14.407886171588675</v>
      </c>
      <c r="AS13" s="236">
        <v>14.944295084639755</v>
      </c>
      <c r="AT13" s="225">
        <v>15</v>
      </c>
      <c r="AU13" s="210">
        <f t="shared" si="9"/>
        <v>17.694666991196897</v>
      </c>
      <c r="AV13" s="263">
        <f t="shared" si="10"/>
        <v>18.010299956639813</v>
      </c>
      <c r="AW13" s="234">
        <v>-0.31</v>
      </c>
      <c r="AX13" s="175">
        <f t="shared" si="11"/>
        <v>17.700299956639814</v>
      </c>
      <c r="AY13" s="168"/>
      <c r="AZ13" s="168"/>
    </row>
    <row r="14" spans="1:52" ht="24.9" customHeight="1" thickBot="1" x14ac:dyDescent="0.3">
      <c r="A14" s="168"/>
      <c r="B14" s="332"/>
      <c r="C14" s="330"/>
      <c r="D14" s="330"/>
      <c r="E14" s="192" t="s">
        <v>183</v>
      </c>
      <c r="F14" s="123" t="str">
        <f>'WLAN 5 GHz 802.11ax Ant1'!F14</f>
        <v>X</v>
      </c>
      <c r="G14" s="123">
        <f t="shared" si="0"/>
        <v>0</v>
      </c>
      <c r="H14" s="277">
        <v>15.5</v>
      </c>
      <c r="I14" s="277">
        <v>15.5</v>
      </c>
      <c r="J14" s="220">
        <v>15.94296705020138</v>
      </c>
      <c r="K14" s="236">
        <v>16.619276376845207</v>
      </c>
      <c r="L14" s="225">
        <v>16</v>
      </c>
      <c r="M14" s="210">
        <f t="shared" si="3"/>
        <v>19.304573255673688</v>
      </c>
      <c r="N14" s="263">
        <f t="shared" si="4"/>
        <v>19.010299956639816</v>
      </c>
      <c r="O14" s="234">
        <v>-0.21</v>
      </c>
      <c r="P14" s="175">
        <f t="shared" si="5"/>
        <v>18.800299956639815</v>
      </c>
      <c r="Q14" s="190"/>
      <c r="R14" s="190"/>
      <c r="S14" s="332"/>
      <c r="T14" s="330"/>
      <c r="U14" s="330"/>
      <c r="V14" s="192" t="s">
        <v>183</v>
      </c>
      <c r="W14" s="123" t="str">
        <f>'WLAN 5 GHz 802.11ax Ant1'!S14</f>
        <v>X</v>
      </c>
      <c r="X14" s="123">
        <f t="shared" si="1"/>
        <v>0</v>
      </c>
      <c r="Y14" s="277">
        <v>15.5</v>
      </c>
      <c r="Z14" s="277">
        <v>15.5</v>
      </c>
      <c r="AA14" s="220">
        <v>16.414868171726724</v>
      </c>
      <c r="AB14" s="236">
        <v>16.769614631085787</v>
      </c>
      <c r="AC14" s="225">
        <v>16</v>
      </c>
      <c r="AD14" s="210">
        <f t="shared" si="6"/>
        <v>19.606162463234359</v>
      </c>
      <c r="AE14" s="263">
        <f t="shared" si="7"/>
        <v>19.010299956639816</v>
      </c>
      <c r="AF14" s="234">
        <v>-0.47</v>
      </c>
      <c r="AG14" s="175">
        <f t="shared" si="8"/>
        <v>18.540299956639817</v>
      </c>
      <c r="AH14" s="157"/>
      <c r="AI14" s="168"/>
      <c r="AJ14" s="332"/>
      <c r="AK14" s="330"/>
      <c r="AL14" s="330"/>
      <c r="AM14" s="192" t="s">
        <v>183</v>
      </c>
      <c r="AN14" s="123" t="str">
        <f>'WLAN 5 GHz 802.11ax Ant1'!AF14</f>
        <v>X</v>
      </c>
      <c r="AO14" s="123">
        <f t="shared" si="2"/>
        <v>0</v>
      </c>
      <c r="AP14" s="277">
        <v>15.5</v>
      </c>
      <c r="AQ14" s="277">
        <v>15.5</v>
      </c>
      <c r="AR14" s="220">
        <v>15.857124738071937</v>
      </c>
      <c r="AS14" s="236">
        <v>16.342938529314111</v>
      </c>
      <c r="AT14" s="225">
        <v>16</v>
      </c>
      <c r="AU14" s="210">
        <f t="shared" si="9"/>
        <v>19.117121110378662</v>
      </c>
      <c r="AV14" s="263">
        <f t="shared" si="10"/>
        <v>19.010299956639816</v>
      </c>
      <c r="AW14" s="234">
        <v>-0.31</v>
      </c>
      <c r="AX14" s="175">
        <f t="shared" si="11"/>
        <v>18.700299956639817</v>
      </c>
      <c r="AY14" s="168"/>
      <c r="AZ14" s="168"/>
    </row>
    <row r="15" spans="1:52" ht="24.9" customHeight="1" thickBot="1" x14ac:dyDescent="0.3">
      <c r="A15" s="168"/>
      <c r="B15" s="332"/>
      <c r="C15" s="330">
        <v>5320</v>
      </c>
      <c r="D15" s="330">
        <v>64</v>
      </c>
      <c r="E15" s="192" t="s">
        <v>184</v>
      </c>
      <c r="F15" s="123">
        <f>'WLAN 5 GHz 802.11ax Ant1'!F15</f>
        <v>0</v>
      </c>
      <c r="G15" s="123">
        <f t="shared" si="0"/>
        <v>0</v>
      </c>
      <c r="H15" s="277">
        <v>14.5</v>
      </c>
      <c r="I15" s="277">
        <v>14.5</v>
      </c>
      <c r="J15" s="220">
        <v>15.889590266903211</v>
      </c>
      <c r="K15" s="236">
        <v>15.533735430821238</v>
      </c>
      <c r="L15" s="225">
        <v>15</v>
      </c>
      <c r="M15" s="210">
        <f t="shared" si="3"/>
        <v>18.725606567406178</v>
      </c>
      <c r="N15" s="263">
        <f t="shared" si="4"/>
        <v>18.010299956639813</v>
      </c>
      <c r="O15" s="234">
        <v>-0.21</v>
      </c>
      <c r="P15" s="175">
        <f t="shared" si="5"/>
        <v>17.800299956639812</v>
      </c>
      <c r="Q15" s="168"/>
      <c r="R15" s="168"/>
      <c r="S15" s="332"/>
      <c r="T15" s="330">
        <v>5700</v>
      </c>
      <c r="U15" s="330">
        <v>140</v>
      </c>
      <c r="V15" s="192" t="s">
        <v>184</v>
      </c>
      <c r="W15" s="123">
        <f>'WLAN 5 GHz 802.11ax Ant1'!S15</f>
        <v>0</v>
      </c>
      <c r="X15" s="123">
        <f t="shared" si="1"/>
        <v>0</v>
      </c>
      <c r="Y15" s="277">
        <v>14.5</v>
      </c>
      <c r="Z15" s="277">
        <v>14.5</v>
      </c>
      <c r="AA15" s="220">
        <v>15.874722993241988</v>
      </c>
      <c r="AB15" s="236">
        <v>15.638347943330269</v>
      </c>
      <c r="AC15" s="225">
        <v>15</v>
      </c>
      <c r="AD15" s="210">
        <f t="shared" si="6"/>
        <v>18.768443385406769</v>
      </c>
      <c r="AE15" s="263">
        <f t="shared" si="7"/>
        <v>18.010299956639813</v>
      </c>
      <c r="AF15" s="234">
        <v>-0.47</v>
      </c>
      <c r="AG15" s="175">
        <f t="shared" si="8"/>
        <v>17.540299956639814</v>
      </c>
      <c r="AH15" s="157"/>
      <c r="AI15" s="168"/>
      <c r="AJ15" s="332"/>
      <c r="AK15" s="330">
        <v>5825</v>
      </c>
      <c r="AL15" s="330">
        <v>165</v>
      </c>
      <c r="AM15" s="192" t="s">
        <v>184</v>
      </c>
      <c r="AN15" s="123">
        <f>'WLAN 5 GHz 802.11ax Ant1'!AF15</f>
        <v>0</v>
      </c>
      <c r="AO15" s="123">
        <f t="shared" si="2"/>
        <v>0</v>
      </c>
      <c r="AP15" s="277">
        <v>14.5</v>
      </c>
      <c r="AQ15" s="277">
        <v>14.5</v>
      </c>
      <c r="AR15" s="220">
        <v>15.455914770088697</v>
      </c>
      <c r="AS15" s="236">
        <v>15.957866353075788</v>
      </c>
      <c r="AT15" s="225">
        <v>15</v>
      </c>
      <c r="AU15" s="210">
        <f t="shared" si="9"/>
        <v>18.724438344534594</v>
      </c>
      <c r="AV15" s="263">
        <f t="shared" si="10"/>
        <v>18.010299956639813</v>
      </c>
      <c r="AW15" s="234">
        <v>-0.31</v>
      </c>
      <c r="AX15" s="175">
        <f t="shared" si="11"/>
        <v>17.700299956639814</v>
      </c>
      <c r="AY15" s="168"/>
      <c r="AZ15" s="168"/>
    </row>
    <row r="16" spans="1:52" ht="24.9" customHeight="1" thickBot="1" x14ac:dyDescent="0.3">
      <c r="A16" s="168"/>
      <c r="B16" s="332"/>
      <c r="C16" s="330"/>
      <c r="D16" s="330"/>
      <c r="E16" s="192" t="s">
        <v>181</v>
      </c>
      <c r="F16" s="123">
        <f>'WLAN 5 GHz 802.11ax Ant1'!F16</f>
        <v>0</v>
      </c>
      <c r="G16" s="123">
        <f t="shared" si="0"/>
        <v>0</v>
      </c>
      <c r="H16" s="277">
        <v>14.5</v>
      </c>
      <c r="I16" s="277">
        <v>14.5</v>
      </c>
      <c r="J16" s="220">
        <v>15.277294049106185</v>
      </c>
      <c r="K16" s="236">
        <v>15.28478041632059</v>
      </c>
      <c r="L16" s="225">
        <v>15</v>
      </c>
      <c r="M16" s="210">
        <f t="shared" si="3"/>
        <v>18.291338802477746</v>
      </c>
      <c r="N16" s="263">
        <f t="shared" si="4"/>
        <v>18.010299956639813</v>
      </c>
      <c r="O16" s="234">
        <v>-0.21</v>
      </c>
      <c r="P16" s="175">
        <f t="shared" si="5"/>
        <v>17.800299956639812</v>
      </c>
      <c r="Q16" s="190"/>
      <c r="R16" s="168"/>
      <c r="S16" s="332"/>
      <c r="T16" s="330"/>
      <c r="U16" s="330"/>
      <c r="V16" s="192" t="s">
        <v>181</v>
      </c>
      <c r="W16" s="123">
        <f>'WLAN 5 GHz 802.11ax Ant1'!S16</f>
        <v>0</v>
      </c>
      <c r="X16" s="123">
        <f t="shared" si="1"/>
        <v>0</v>
      </c>
      <c r="Y16" s="277">
        <v>14.5</v>
      </c>
      <c r="Z16" s="277">
        <v>14.5</v>
      </c>
      <c r="AA16" s="220">
        <v>15.737170856429088</v>
      </c>
      <c r="AB16" s="236">
        <v>15.563575073007248</v>
      </c>
      <c r="AC16" s="225">
        <v>15</v>
      </c>
      <c r="AD16" s="210">
        <f t="shared" si="6"/>
        <v>18.661540232919581</v>
      </c>
      <c r="AE16" s="263">
        <f t="shared" si="7"/>
        <v>18.010299956639813</v>
      </c>
      <c r="AF16" s="234">
        <v>-0.47</v>
      </c>
      <c r="AG16" s="175">
        <f t="shared" si="8"/>
        <v>17.540299956639814</v>
      </c>
      <c r="AH16" s="157"/>
      <c r="AI16" s="168"/>
      <c r="AJ16" s="332"/>
      <c r="AK16" s="330"/>
      <c r="AL16" s="330"/>
      <c r="AM16" s="192" t="s">
        <v>181</v>
      </c>
      <c r="AN16" s="123">
        <f>'WLAN 5 GHz 802.11ax Ant1'!AF16</f>
        <v>0</v>
      </c>
      <c r="AO16" s="123">
        <f t="shared" si="2"/>
        <v>0</v>
      </c>
      <c r="AP16" s="277">
        <v>14.5</v>
      </c>
      <c r="AQ16" s="277">
        <v>14.5</v>
      </c>
      <c r="AR16" s="220">
        <v>15.332068874573558</v>
      </c>
      <c r="AS16" s="236">
        <v>15.952007934006627</v>
      </c>
      <c r="AT16" s="225">
        <v>15</v>
      </c>
      <c r="AU16" s="210">
        <f t="shared" si="9"/>
        <v>18.663390728525158</v>
      </c>
      <c r="AV16" s="263">
        <f t="shared" si="10"/>
        <v>18.010299956639813</v>
      </c>
      <c r="AW16" s="234">
        <v>-0.31</v>
      </c>
      <c r="AX16" s="175">
        <f t="shared" si="11"/>
        <v>17.700299956639814</v>
      </c>
      <c r="AY16" s="168"/>
      <c r="AZ16" s="168"/>
    </row>
    <row r="17" spans="1:55" ht="24.9" customHeight="1" thickBot="1" x14ac:dyDescent="0.3">
      <c r="A17" s="168"/>
      <c r="B17" s="332"/>
      <c r="C17" s="330"/>
      <c r="D17" s="330"/>
      <c r="E17" s="192" t="s">
        <v>182</v>
      </c>
      <c r="F17" s="123">
        <f>'WLAN 5 GHz 802.11ax Ant1'!F17</f>
        <v>0</v>
      </c>
      <c r="G17" s="123">
        <f t="shared" si="0"/>
        <v>0</v>
      </c>
      <c r="H17" s="277">
        <v>9.5</v>
      </c>
      <c r="I17" s="277">
        <v>9.5</v>
      </c>
      <c r="J17" s="220">
        <v>10.184678086533294</v>
      </c>
      <c r="K17" s="236">
        <v>10.612901231601457</v>
      </c>
      <c r="L17" s="225">
        <v>10</v>
      </c>
      <c r="M17" s="210">
        <f t="shared" si="3"/>
        <v>13.414365437551552</v>
      </c>
      <c r="N17" s="263">
        <f t="shared" si="4"/>
        <v>13.010299956639813</v>
      </c>
      <c r="O17" s="234">
        <v>-0.21</v>
      </c>
      <c r="P17" s="175">
        <f t="shared" si="5"/>
        <v>12.800299956639812</v>
      </c>
      <c r="Q17" s="168"/>
      <c r="R17" s="168"/>
      <c r="S17" s="332"/>
      <c r="T17" s="330"/>
      <c r="U17" s="330"/>
      <c r="V17" s="192" t="s">
        <v>182</v>
      </c>
      <c r="W17" s="123">
        <f>'WLAN 5 GHz 802.11ax Ant1'!S17</f>
        <v>0</v>
      </c>
      <c r="X17" s="123">
        <f t="shared" si="1"/>
        <v>0</v>
      </c>
      <c r="Y17" s="277">
        <v>9.5</v>
      </c>
      <c r="Z17" s="277">
        <v>9.5</v>
      </c>
      <c r="AA17" s="220">
        <v>10.352340294040303</v>
      </c>
      <c r="AB17" s="236">
        <v>10.155965601431177</v>
      </c>
      <c r="AC17" s="225">
        <v>10</v>
      </c>
      <c r="AD17" s="210">
        <f t="shared" si="6"/>
        <v>13.265562742767152</v>
      </c>
      <c r="AE17" s="263">
        <f t="shared" si="7"/>
        <v>13.010299956639813</v>
      </c>
      <c r="AF17" s="234">
        <v>-0.47</v>
      </c>
      <c r="AG17" s="175">
        <f t="shared" si="8"/>
        <v>12.540299956639812</v>
      </c>
      <c r="AH17" s="157"/>
      <c r="AI17" s="168"/>
      <c r="AJ17" s="332"/>
      <c r="AK17" s="330"/>
      <c r="AL17" s="330"/>
      <c r="AM17" s="192" t="s">
        <v>182</v>
      </c>
      <c r="AN17" s="123">
        <f>'WLAN 5 GHz 802.11ax Ant1'!AF17</f>
        <v>0</v>
      </c>
      <c r="AO17" s="123">
        <f t="shared" si="2"/>
        <v>0</v>
      </c>
      <c r="AP17" s="277">
        <v>9.5</v>
      </c>
      <c r="AQ17" s="277">
        <v>9.5</v>
      </c>
      <c r="AR17" s="220">
        <v>10.399707704330041</v>
      </c>
      <c r="AS17" s="236">
        <v>10.485174963385985</v>
      </c>
      <c r="AT17" s="225">
        <v>10</v>
      </c>
      <c r="AU17" s="210">
        <f t="shared" si="9"/>
        <v>13.452951531900943</v>
      </c>
      <c r="AV17" s="263">
        <f t="shared" si="10"/>
        <v>13.010299956639813</v>
      </c>
      <c r="AW17" s="234">
        <v>-0.31</v>
      </c>
      <c r="AX17" s="175">
        <f t="shared" si="11"/>
        <v>12.700299956639812</v>
      </c>
      <c r="AY17" s="168"/>
      <c r="AZ17" s="168"/>
    </row>
    <row r="18" spans="1:55" ht="24.9" customHeight="1" thickBot="1" x14ac:dyDescent="0.3">
      <c r="A18" s="168"/>
      <c r="B18" s="332"/>
      <c r="C18" s="330"/>
      <c r="D18" s="330"/>
      <c r="E18" s="192" t="s">
        <v>147</v>
      </c>
      <c r="F18" s="123">
        <f>'WLAN 5 GHz 802.11ax Ant1'!F18</f>
        <v>0</v>
      </c>
      <c r="G18" s="123">
        <f t="shared" si="0"/>
        <v>0</v>
      </c>
      <c r="H18" s="277">
        <v>11.5</v>
      </c>
      <c r="I18" s="277">
        <v>11.5</v>
      </c>
      <c r="J18" s="220">
        <v>12.319942888459233</v>
      </c>
      <c r="K18" s="236">
        <v>11.752651103491939</v>
      </c>
      <c r="L18" s="225">
        <v>12</v>
      </c>
      <c r="M18" s="210">
        <f t="shared" si="3"/>
        <v>15.055853098152278</v>
      </c>
      <c r="N18" s="263">
        <f t="shared" si="4"/>
        <v>15.010299956639813</v>
      </c>
      <c r="O18" s="234">
        <v>-0.21</v>
      </c>
      <c r="P18" s="175">
        <f t="shared" si="5"/>
        <v>14.800299956639812</v>
      </c>
      <c r="Q18" s="168"/>
      <c r="R18" s="168"/>
      <c r="S18" s="332"/>
      <c r="T18" s="330"/>
      <c r="U18" s="330"/>
      <c r="V18" s="192" t="s">
        <v>147</v>
      </c>
      <c r="W18" s="123">
        <f>'WLAN 5 GHz 802.11ax Ant1'!S18</f>
        <v>0</v>
      </c>
      <c r="X18" s="123">
        <f t="shared" si="1"/>
        <v>0</v>
      </c>
      <c r="Y18" s="277">
        <v>11.5</v>
      </c>
      <c r="Z18" s="277">
        <v>11.5</v>
      </c>
      <c r="AA18" s="220">
        <v>12.02843149163248</v>
      </c>
      <c r="AB18" s="236">
        <v>11.847419943560734</v>
      </c>
      <c r="AC18" s="225">
        <v>12</v>
      </c>
      <c r="AD18" s="210">
        <f t="shared" si="6"/>
        <v>14.949168663686962</v>
      </c>
      <c r="AE18" s="263">
        <f t="shared" si="7"/>
        <v>15.010299956639813</v>
      </c>
      <c r="AF18" s="234">
        <v>-0.47</v>
      </c>
      <c r="AG18" s="175">
        <f t="shared" si="8"/>
        <v>14.540299956639812</v>
      </c>
      <c r="AH18" s="157"/>
      <c r="AI18" s="168"/>
      <c r="AJ18" s="332"/>
      <c r="AK18" s="330"/>
      <c r="AL18" s="330"/>
      <c r="AM18" s="192" t="s">
        <v>147</v>
      </c>
      <c r="AN18" s="123">
        <f>'WLAN 5 GHz 802.11ax Ant1'!AF18</f>
        <v>0</v>
      </c>
      <c r="AO18" s="123">
        <f t="shared" si="2"/>
        <v>0</v>
      </c>
      <c r="AP18" s="277">
        <v>11.5</v>
      </c>
      <c r="AQ18" s="277">
        <v>11.5</v>
      </c>
      <c r="AR18" s="220">
        <v>11.607327629809435</v>
      </c>
      <c r="AS18" s="236">
        <v>12.279170683507099</v>
      </c>
      <c r="AT18" s="225">
        <v>12</v>
      </c>
      <c r="AU18" s="210">
        <f t="shared" si="9"/>
        <v>14.966527741353211</v>
      </c>
      <c r="AV18" s="263">
        <f t="shared" si="10"/>
        <v>15.010299956639813</v>
      </c>
      <c r="AW18" s="234">
        <v>-0.31</v>
      </c>
      <c r="AX18" s="175">
        <f t="shared" si="11"/>
        <v>14.700299956639812</v>
      </c>
      <c r="AY18" s="168"/>
      <c r="AZ18" s="168"/>
    </row>
    <row r="19" spans="1:55" ht="24.9" customHeight="1" thickBot="1" x14ac:dyDescent="0.3">
      <c r="A19" s="168"/>
      <c r="B19" s="333"/>
      <c r="C19" s="331"/>
      <c r="D19" s="331"/>
      <c r="E19" s="194" t="s">
        <v>183</v>
      </c>
      <c r="F19" s="125" t="str">
        <f>'WLAN 5 GHz 802.11ax Ant1'!F19</f>
        <v>X</v>
      </c>
      <c r="G19" s="125">
        <f t="shared" si="0"/>
        <v>0</v>
      </c>
      <c r="H19" s="277">
        <v>14.5</v>
      </c>
      <c r="I19" s="277">
        <v>14.5</v>
      </c>
      <c r="J19" s="223">
        <v>15.536491021906272</v>
      </c>
      <c r="K19" s="237">
        <v>15.333146315811549</v>
      </c>
      <c r="L19" s="225">
        <v>15</v>
      </c>
      <c r="M19" s="210">
        <f t="shared" si="3"/>
        <v>18.446308638690557</v>
      </c>
      <c r="N19" s="263">
        <f t="shared" si="4"/>
        <v>18.010299956639813</v>
      </c>
      <c r="O19" s="234">
        <v>-0.21</v>
      </c>
      <c r="P19" s="176">
        <f t="shared" si="5"/>
        <v>17.800299956639812</v>
      </c>
      <c r="Q19" s="168"/>
      <c r="R19" s="168"/>
      <c r="S19" s="333"/>
      <c r="T19" s="331"/>
      <c r="U19" s="331"/>
      <c r="V19" s="194" t="s">
        <v>183</v>
      </c>
      <c r="W19" s="125" t="str">
        <f>'WLAN 5 GHz 802.11ax Ant1'!S19</f>
        <v>X</v>
      </c>
      <c r="X19" s="125">
        <f t="shared" si="1"/>
        <v>0</v>
      </c>
      <c r="Y19" s="277">
        <v>14.5</v>
      </c>
      <c r="Z19" s="277">
        <v>14.5</v>
      </c>
      <c r="AA19" s="223">
        <v>15.368916587126803</v>
      </c>
      <c r="AB19" s="237">
        <v>15.194273070920643</v>
      </c>
      <c r="AC19" s="225">
        <v>15</v>
      </c>
      <c r="AD19" s="210">
        <f t="shared" si="6"/>
        <v>18.292772597383443</v>
      </c>
      <c r="AE19" s="263">
        <f t="shared" si="7"/>
        <v>18.010299956639813</v>
      </c>
      <c r="AF19" s="234">
        <v>-0.47</v>
      </c>
      <c r="AG19" s="176">
        <f t="shared" si="8"/>
        <v>17.540299956639814</v>
      </c>
      <c r="AH19" s="157"/>
      <c r="AI19" s="168"/>
      <c r="AJ19" s="333"/>
      <c r="AK19" s="331"/>
      <c r="AL19" s="331"/>
      <c r="AM19" s="194" t="s">
        <v>183</v>
      </c>
      <c r="AN19" s="125" t="str">
        <f>'WLAN 5 GHz 802.11ax Ant1'!AF19</f>
        <v>X</v>
      </c>
      <c r="AO19" s="125">
        <f t="shared" si="2"/>
        <v>0</v>
      </c>
      <c r="AP19" s="277">
        <v>14.5</v>
      </c>
      <c r="AQ19" s="277">
        <v>14.5</v>
      </c>
      <c r="AR19" s="223">
        <v>15.330460990192995</v>
      </c>
      <c r="AS19" s="237">
        <v>15.609366420000688</v>
      </c>
      <c r="AT19" s="225">
        <v>15</v>
      </c>
      <c r="AU19" s="210">
        <f t="shared" si="9"/>
        <v>18.482452202584465</v>
      </c>
      <c r="AV19" s="263">
        <f t="shared" si="10"/>
        <v>18.010299956639813</v>
      </c>
      <c r="AW19" s="234">
        <v>-0.31</v>
      </c>
      <c r="AX19" s="176">
        <f t="shared" si="11"/>
        <v>17.700299956639814</v>
      </c>
      <c r="AY19" s="168"/>
      <c r="AZ19" s="168"/>
    </row>
    <row r="20" spans="1:55" ht="28.2" thickBot="1" x14ac:dyDescent="0.3">
      <c r="A20" s="189" t="s">
        <v>139</v>
      </c>
      <c r="B20" s="339" t="s">
        <v>119</v>
      </c>
      <c r="C20" s="340">
        <v>5190</v>
      </c>
      <c r="D20" s="340">
        <v>38</v>
      </c>
      <c r="E20" s="183" t="s">
        <v>118</v>
      </c>
      <c r="F20" s="183">
        <f>'WLAN 5 GHz 802.11ax Ant1'!F20</f>
        <v>0</v>
      </c>
      <c r="G20" s="183">
        <f t="shared" ref="G20:G37" si="12">$A$21</f>
        <v>0</v>
      </c>
      <c r="H20" s="277">
        <v>15.5</v>
      </c>
      <c r="I20" s="277">
        <v>15.5</v>
      </c>
      <c r="J20" s="238">
        <v>16.719813211574767</v>
      </c>
      <c r="K20" s="239">
        <v>16.9657994486919</v>
      </c>
      <c r="L20" s="225">
        <v>10</v>
      </c>
      <c r="M20" s="210">
        <f t="shared" si="3"/>
        <v>19.85484764962392</v>
      </c>
      <c r="N20" s="263">
        <f t="shared" si="4"/>
        <v>13.010299956639813</v>
      </c>
      <c r="O20" s="234">
        <v>-0.21</v>
      </c>
      <c r="P20" s="184">
        <f>O20+N20</f>
        <v>12.800299956639812</v>
      </c>
      <c r="Q20" s="190"/>
      <c r="R20" s="189" t="s">
        <v>139</v>
      </c>
      <c r="S20" s="337" t="s">
        <v>160</v>
      </c>
      <c r="T20" s="338">
        <v>5510</v>
      </c>
      <c r="U20" s="338">
        <v>102</v>
      </c>
      <c r="V20" s="181" t="s">
        <v>146</v>
      </c>
      <c r="W20" s="181">
        <f>'WLAN 5 GHz 802.11ax Ant1'!S20</f>
        <v>0</v>
      </c>
      <c r="X20" s="181">
        <f t="shared" ref="X20:X37" si="13">$R$21</f>
        <v>0</v>
      </c>
      <c r="Y20" s="277">
        <v>15.5</v>
      </c>
      <c r="Z20" s="277">
        <v>15.5</v>
      </c>
      <c r="AA20" s="232">
        <v>16.183358738558962</v>
      </c>
      <c r="AB20" s="233">
        <v>16.412029389836448</v>
      </c>
      <c r="AC20" s="225">
        <v>10</v>
      </c>
      <c r="AD20" s="210">
        <f t="shared" si="6"/>
        <v>19.309498881873751</v>
      </c>
      <c r="AE20" s="263">
        <f t="shared" si="7"/>
        <v>13.010299956639813</v>
      </c>
      <c r="AF20" s="234">
        <v>-0.47</v>
      </c>
      <c r="AG20" s="182">
        <f>AF20+AE20</f>
        <v>12.540299956639812</v>
      </c>
      <c r="AH20" s="157"/>
      <c r="AI20" s="189" t="s">
        <v>139</v>
      </c>
      <c r="AJ20" s="337" t="s">
        <v>160</v>
      </c>
      <c r="AK20" s="338">
        <v>5755</v>
      </c>
      <c r="AL20" s="338">
        <v>151</v>
      </c>
      <c r="AM20" s="181" t="s">
        <v>146</v>
      </c>
      <c r="AN20" s="181">
        <f>'WLAN 5 GHz 802.11ax Ant1'!AF20</f>
        <v>0</v>
      </c>
      <c r="AO20" s="181">
        <f t="shared" ref="AO20:AO31" si="14">$AI$21</f>
        <v>0</v>
      </c>
      <c r="AP20" s="277">
        <v>15.5</v>
      </c>
      <c r="AQ20" s="277">
        <v>15.5</v>
      </c>
      <c r="AR20" s="232">
        <v>16.999315345770125</v>
      </c>
      <c r="AS20" s="233">
        <v>16.804578953927418</v>
      </c>
      <c r="AT20" s="225">
        <v>10</v>
      </c>
      <c r="AU20" s="210">
        <f t="shared" si="9"/>
        <v>19.913338505509778</v>
      </c>
      <c r="AV20" s="263">
        <f t="shared" si="10"/>
        <v>13.010299956639813</v>
      </c>
      <c r="AW20" s="234">
        <v>-0.31</v>
      </c>
      <c r="AX20" s="182">
        <f>AW20+AV20</f>
        <v>12.700299956639812</v>
      </c>
      <c r="AY20" s="168"/>
      <c r="AZ20" s="168"/>
    </row>
    <row r="21" spans="1:55" ht="24.9" customHeight="1" thickBot="1" x14ac:dyDescent="0.3">
      <c r="A21" s="240"/>
      <c r="B21" s="332"/>
      <c r="C21" s="330"/>
      <c r="D21" s="330"/>
      <c r="E21" s="123" t="s">
        <v>120</v>
      </c>
      <c r="F21" s="123">
        <f>'WLAN 5 GHz 802.11ax Ant1'!F21</f>
        <v>0</v>
      </c>
      <c r="G21" s="123">
        <f t="shared" si="12"/>
        <v>0</v>
      </c>
      <c r="H21" s="277">
        <v>14.5</v>
      </c>
      <c r="I21" s="277">
        <v>14.5</v>
      </c>
      <c r="J21" s="210">
        <v>15.93739420298958</v>
      </c>
      <c r="K21" s="235">
        <v>15.701762830381213</v>
      </c>
      <c r="L21" s="225">
        <v>12</v>
      </c>
      <c r="M21" s="210">
        <f t="shared" si="3"/>
        <v>18.831476333110476</v>
      </c>
      <c r="N21" s="263">
        <f t="shared" si="4"/>
        <v>15.010299956639813</v>
      </c>
      <c r="O21" s="234">
        <v>-0.21</v>
      </c>
      <c r="P21" s="175">
        <f t="shared" ref="P21:P37" si="15">O21+N21</f>
        <v>14.800299956639812</v>
      </c>
      <c r="Q21" s="168"/>
      <c r="R21" s="240"/>
      <c r="S21" s="332"/>
      <c r="T21" s="330"/>
      <c r="U21" s="330"/>
      <c r="V21" s="123" t="s">
        <v>121</v>
      </c>
      <c r="W21" s="123">
        <f>'WLAN 5 GHz 802.11ax Ant1'!S21</f>
        <v>0</v>
      </c>
      <c r="X21" s="123">
        <f t="shared" si="13"/>
        <v>0</v>
      </c>
      <c r="Y21" s="277">
        <v>14.5</v>
      </c>
      <c r="Z21" s="277">
        <v>14.5</v>
      </c>
      <c r="AA21" s="210">
        <v>15.849088327450845</v>
      </c>
      <c r="AB21" s="235">
        <v>16.027721204370643</v>
      </c>
      <c r="AC21" s="225">
        <v>12</v>
      </c>
      <c r="AD21" s="210">
        <f t="shared" si="6"/>
        <v>18.9496230929451</v>
      </c>
      <c r="AE21" s="263">
        <f t="shared" si="7"/>
        <v>15.010299956639813</v>
      </c>
      <c r="AF21" s="234">
        <v>-0.47</v>
      </c>
      <c r="AG21" s="175">
        <f t="shared" ref="AG21:AG37" si="16">AF21+AE21</f>
        <v>14.540299956639812</v>
      </c>
      <c r="AH21" s="157"/>
      <c r="AI21" s="240"/>
      <c r="AJ21" s="332"/>
      <c r="AK21" s="330"/>
      <c r="AL21" s="330"/>
      <c r="AM21" s="123" t="s">
        <v>121</v>
      </c>
      <c r="AN21" s="123">
        <f>'WLAN 5 GHz 802.11ax Ant1'!AF21</f>
        <v>0</v>
      </c>
      <c r="AO21" s="123">
        <f t="shared" si="14"/>
        <v>0</v>
      </c>
      <c r="AP21" s="277">
        <v>14.5</v>
      </c>
      <c r="AQ21" s="277">
        <v>14.5</v>
      </c>
      <c r="AR21" s="210">
        <v>16.295598387868218</v>
      </c>
      <c r="AS21" s="235">
        <v>16.34526390020012</v>
      </c>
      <c r="AT21" s="225">
        <v>12</v>
      </c>
      <c r="AU21" s="210">
        <f t="shared" si="9"/>
        <v>19.330802096558596</v>
      </c>
      <c r="AV21" s="263">
        <f t="shared" si="10"/>
        <v>15.010299956639813</v>
      </c>
      <c r="AW21" s="234">
        <v>-0.31</v>
      </c>
      <c r="AX21" s="175">
        <f t="shared" ref="AX21:AX31" si="17">AW21+AV21</f>
        <v>14.700299956639812</v>
      </c>
      <c r="AY21" s="168"/>
      <c r="AZ21" s="168"/>
    </row>
    <row r="22" spans="1:55" ht="24.9" customHeight="1" thickBot="1" x14ac:dyDescent="0.3">
      <c r="A22" s="168"/>
      <c r="B22" s="332"/>
      <c r="C22" s="330"/>
      <c r="D22" s="330"/>
      <c r="E22" s="123" t="s">
        <v>122</v>
      </c>
      <c r="F22" s="123">
        <f>'WLAN 5 GHz 802.11ax Ant1'!F22</f>
        <v>0</v>
      </c>
      <c r="G22" s="123">
        <f t="shared" si="12"/>
        <v>0</v>
      </c>
      <c r="H22" s="277">
        <v>14.5</v>
      </c>
      <c r="I22" s="277">
        <v>14.5</v>
      </c>
      <c r="J22" s="210">
        <v>16.430359264341817</v>
      </c>
      <c r="K22" s="235">
        <v>16.575113588405305</v>
      </c>
      <c r="L22" s="225">
        <v>15</v>
      </c>
      <c r="M22" s="210">
        <f t="shared" si="3"/>
        <v>19.513639454354848</v>
      </c>
      <c r="N22" s="263">
        <f t="shared" si="4"/>
        <v>18.010299956639813</v>
      </c>
      <c r="O22" s="234">
        <v>-0.21</v>
      </c>
      <c r="P22" s="175">
        <f t="shared" si="15"/>
        <v>17.800299956639812</v>
      </c>
      <c r="Q22" s="168"/>
      <c r="R22" s="168"/>
      <c r="S22" s="332"/>
      <c r="T22" s="330"/>
      <c r="U22" s="330"/>
      <c r="V22" s="123" t="s">
        <v>123</v>
      </c>
      <c r="W22" s="123">
        <f>'WLAN 5 GHz 802.11ax Ant1'!S22</f>
        <v>0</v>
      </c>
      <c r="X22" s="123">
        <f t="shared" si="13"/>
        <v>0</v>
      </c>
      <c r="Y22" s="277">
        <v>14.5</v>
      </c>
      <c r="Z22" s="277">
        <v>14.5</v>
      </c>
      <c r="AA22" s="210">
        <v>15.793763416184607</v>
      </c>
      <c r="AB22" s="235">
        <v>16.299092331951528</v>
      </c>
      <c r="AC22" s="225">
        <v>15</v>
      </c>
      <c r="AD22" s="210">
        <f t="shared" si="6"/>
        <v>19.064073462602764</v>
      </c>
      <c r="AE22" s="263">
        <f t="shared" si="7"/>
        <v>18.010299956639813</v>
      </c>
      <c r="AF22" s="234">
        <v>-0.47</v>
      </c>
      <c r="AG22" s="175">
        <f t="shared" si="16"/>
        <v>17.540299956639814</v>
      </c>
      <c r="AH22" s="157"/>
      <c r="AI22" s="168"/>
      <c r="AJ22" s="332"/>
      <c r="AK22" s="330"/>
      <c r="AL22" s="330"/>
      <c r="AM22" s="123" t="s">
        <v>123</v>
      </c>
      <c r="AN22" s="123">
        <f>'WLAN 5 GHz 802.11ax Ant1'!AF22</f>
        <v>0</v>
      </c>
      <c r="AO22" s="123">
        <f t="shared" si="14"/>
        <v>0</v>
      </c>
      <c r="AP22" s="277">
        <v>14.5</v>
      </c>
      <c r="AQ22" s="277">
        <v>14.5</v>
      </c>
      <c r="AR22" s="210">
        <v>16.402516627178752</v>
      </c>
      <c r="AS22" s="235">
        <v>15.91829941653803</v>
      </c>
      <c r="AT22" s="225">
        <v>15</v>
      </c>
      <c r="AU22" s="210">
        <f t="shared" si="9"/>
        <v>19.177452968706788</v>
      </c>
      <c r="AV22" s="263">
        <f t="shared" si="10"/>
        <v>18.010299956639813</v>
      </c>
      <c r="AW22" s="234">
        <v>-0.31</v>
      </c>
      <c r="AX22" s="175">
        <f t="shared" si="17"/>
        <v>17.700299956639814</v>
      </c>
      <c r="AY22" s="168"/>
      <c r="AZ22" s="168"/>
    </row>
    <row r="23" spans="1:55" ht="24.9" customHeight="1" thickBot="1" x14ac:dyDescent="0.3">
      <c r="A23" s="168"/>
      <c r="B23" s="332"/>
      <c r="C23" s="330"/>
      <c r="D23" s="330"/>
      <c r="E23" s="192" t="s">
        <v>147</v>
      </c>
      <c r="F23" s="123">
        <f>'WLAN 5 GHz 802.11ax Ant1'!F23</f>
        <v>0</v>
      </c>
      <c r="G23" s="123">
        <f t="shared" si="12"/>
        <v>0</v>
      </c>
      <c r="H23" s="277">
        <v>9.5</v>
      </c>
      <c r="I23" s="277">
        <v>9.5</v>
      </c>
      <c r="J23" s="220">
        <v>10.112682230780159</v>
      </c>
      <c r="K23" s="236">
        <v>9.7588327763210767</v>
      </c>
      <c r="L23" s="225">
        <v>16</v>
      </c>
      <c r="M23" s="210">
        <f t="shared" si="3"/>
        <v>12.949660281076552</v>
      </c>
      <c r="N23" s="263">
        <f t="shared" si="4"/>
        <v>19.010299956639816</v>
      </c>
      <c r="O23" s="234">
        <v>-0.21</v>
      </c>
      <c r="P23" s="175">
        <f t="shared" si="15"/>
        <v>18.800299956639815</v>
      </c>
      <c r="Q23" s="168"/>
      <c r="R23" s="168"/>
      <c r="S23" s="332"/>
      <c r="T23" s="330"/>
      <c r="U23" s="330"/>
      <c r="V23" s="192" t="s">
        <v>147</v>
      </c>
      <c r="W23" s="123">
        <f>'WLAN 5 GHz 802.11ax Ant1'!S23</f>
        <v>0</v>
      </c>
      <c r="X23" s="123">
        <f t="shared" si="13"/>
        <v>0</v>
      </c>
      <c r="Y23" s="277">
        <v>9.5</v>
      </c>
      <c r="Z23" s="277">
        <v>9.5</v>
      </c>
      <c r="AA23" s="220">
        <v>10.017248744495621</v>
      </c>
      <c r="AB23" s="236">
        <v>10.511463157366427</v>
      </c>
      <c r="AC23" s="225">
        <v>16</v>
      </c>
      <c r="AD23" s="210">
        <f t="shared" si="6"/>
        <v>13.28168213689038</v>
      </c>
      <c r="AE23" s="263">
        <f t="shared" si="7"/>
        <v>19.010299956639816</v>
      </c>
      <c r="AF23" s="234">
        <v>-0.47</v>
      </c>
      <c r="AG23" s="175">
        <f t="shared" si="16"/>
        <v>18.540299956639817</v>
      </c>
      <c r="AH23" s="157"/>
      <c r="AI23" s="168"/>
      <c r="AJ23" s="332"/>
      <c r="AK23" s="330"/>
      <c r="AL23" s="330"/>
      <c r="AM23" s="192" t="s">
        <v>147</v>
      </c>
      <c r="AN23" s="123">
        <f>'WLAN 5 GHz 802.11ax Ant1'!AF23</f>
        <v>0</v>
      </c>
      <c r="AO23" s="123">
        <f t="shared" si="14"/>
        <v>0</v>
      </c>
      <c r="AP23" s="277">
        <v>9.5</v>
      </c>
      <c r="AQ23" s="277">
        <v>9.5</v>
      </c>
      <c r="AR23" s="220">
        <v>10.369113896583125</v>
      </c>
      <c r="AS23" s="236">
        <v>10.510556662015542</v>
      </c>
      <c r="AT23" s="225">
        <v>16</v>
      </c>
      <c r="AU23" s="210">
        <f t="shared" si="9"/>
        <v>13.450711031067923</v>
      </c>
      <c r="AV23" s="263">
        <f t="shared" si="10"/>
        <v>19.010299956639816</v>
      </c>
      <c r="AW23" s="234">
        <v>-0.31</v>
      </c>
      <c r="AX23" s="175">
        <f t="shared" si="17"/>
        <v>18.700299956639817</v>
      </c>
      <c r="AY23" s="168"/>
      <c r="AZ23" s="168"/>
    </row>
    <row r="24" spans="1:55" ht="24.9" customHeight="1" thickBot="1" x14ac:dyDescent="0.3">
      <c r="A24" s="168"/>
      <c r="B24" s="332"/>
      <c r="C24" s="330"/>
      <c r="D24" s="330"/>
      <c r="E24" s="192" t="s">
        <v>128</v>
      </c>
      <c r="F24" s="123">
        <f>'WLAN 5 GHz 802.11ax Ant1'!F24</f>
        <v>0</v>
      </c>
      <c r="G24" s="123">
        <f t="shared" si="12"/>
        <v>0</v>
      </c>
      <c r="H24" s="277">
        <v>11.5</v>
      </c>
      <c r="I24" s="277">
        <v>11.5</v>
      </c>
      <c r="J24" s="220">
        <v>11.703965366076167</v>
      </c>
      <c r="K24" s="236">
        <v>11.190247037858141</v>
      </c>
      <c r="L24" s="225">
        <v>15</v>
      </c>
      <c r="M24" s="210">
        <f t="shared" si="3"/>
        <v>14.464997574598883</v>
      </c>
      <c r="N24" s="263">
        <f t="shared" si="4"/>
        <v>18.010299956639813</v>
      </c>
      <c r="O24" s="234">
        <v>-0.21</v>
      </c>
      <c r="P24" s="175">
        <f t="shared" si="15"/>
        <v>17.800299956639812</v>
      </c>
      <c r="Q24" s="168"/>
      <c r="R24" s="168"/>
      <c r="S24" s="332"/>
      <c r="T24" s="330"/>
      <c r="U24" s="330"/>
      <c r="V24" s="192" t="s">
        <v>128</v>
      </c>
      <c r="W24" s="123">
        <f>'WLAN 5 GHz 802.11ax Ant1'!S24</f>
        <v>0</v>
      </c>
      <c r="X24" s="123">
        <f t="shared" si="13"/>
        <v>0</v>
      </c>
      <c r="Y24" s="277">
        <v>11.5</v>
      </c>
      <c r="Z24" s="277">
        <v>11.5</v>
      </c>
      <c r="AA24" s="220">
        <v>11.319200250446602</v>
      </c>
      <c r="AB24" s="236">
        <v>11.735296945175664</v>
      </c>
      <c r="AC24" s="225">
        <v>15</v>
      </c>
      <c r="AD24" s="210">
        <f t="shared" si="6"/>
        <v>14.542529917496353</v>
      </c>
      <c r="AE24" s="263">
        <f t="shared" si="7"/>
        <v>18.010299956639813</v>
      </c>
      <c r="AF24" s="234">
        <v>-0.47</v>
      </c>
      <c r="AG24" s="175">
        <f t="shared" si="16"/>
        <v>17.540299956639814</v>
      </c>
      <c r="AH24" s="157"/>
      <c r="AI24" s="168"/>
      <c r="AJ24" s="332"/>
      <c r="AK24" s="330"/>
      <c r="AL24" s="330"/>
      <c r="AM24" s="192" t="s">
        <v>128</v>
      </c>
      <c r="AN24" s="123">
        <f>'WLAN 5 GHz 802.11ax Ant1'!AF24</f>
        <v>0</v>
      </c>
      <c r="AO24" s="123">
        <f t="shared" si="14"/>
        <v>0</v>
      </c>
      <c r="AP24" s="277">
        <v>11.5</v>
      </c>
      <c r="AQ24" s="277">
        <v>11.5</v>
      </c>
      <c r="AR24" s="220">
        <v>11.379235860873631</v>
      </c>
      <c r="AS24" s="236">
        <v>11.897820360441578</v>
      </c>
      <c r="AT24" s="225">
        <v>15</v>
      </c>
      <c r="AU24" s="210">
        <f t="shared" si="9"/>
        <v>14.656563897332848</v>
      </c>
      <c r="AV24" s="263">
        <f t="shared" si="10"/>
        <v>18.010299956639813</v>
      </c>
      <c r="AW24" s="234">
        <v>-0.31</v>
      </c>
      <c r="AX24" s="175">
        <f t="shared" si="17"/>
        <v>17.700299956639814</v>
      </c>
      <c r="AY24" s="168"/>
      <c r="AZ24" s="168"/>
    </row>
    <row r="25" spans="1:55" ht="24.9" customHeight="1" thickBot="1" x14ac:dyDescent="0.3">
      <c r="A25" s="168"/>
      <c r="B25" s="332"/>
      <c r="C25" s="330"/>
      <c r="D25" s="330"/>
      <c r="E25" s="192" t="s">
        <v>125</v>
      </c>
      <c r="F25" s="123" t="str">
        <f>'WLAN 5 GHz 802.11ax Ant1'!F25</f>
        <v>X</v>
      </c>
      <c r="G25" s="123">
        <f t="shared" si="12"/>
        <v>0</v>
      </c>
      <c r="H25" s="277">
        <v>14.5</v>
      </c>
      <c r="I25" s="277">
        <v>14.5</v>
      </c>
      <c r="J25" s="220">
        <v>15.960556209570591</v>
      </c>
      <c r="K25" s="236">
        <v>15.239656865025589</v>
      </c>
      <c r="L25" s="225">
        <v>15</v>
      </c>
      <c r="M25" s="210">
        <f t="shared" si="3"/>
        <v>18.625347401883385</v>
      </c>
      <c r="N25" s="263">
        <f t="shared" si="4"/>
        <v>18.010299956639813</v>
      </c>
      <c r="O25" s="234">
        <v>-0.21</v>
      </c>
      <c r="P25" s="175">
        <f t="shared" si="15"/>
        <v>17.800299956639812</v>
      </c>
      <c r="Q25" s="168"/>
      <c r="R25" s="168"/>
      <c r="S25" s="332"/>
      <c r="T25" s="330"/>
      <c r="U25" s="330"/>
      <c r="V25" s="192" t="s">
        <v>125</v>
      </c>
      <c r="W25" s="123" t="str">
        <f>'WLAN 5 GHz 802.11ax Ant1'!S25</f>
        <v>X</v>
      </c>
      <c r="X25" s="123">
        <f t="shared" si="13"/>
        <v>0</v>
      </c>
      <c r="Y25" s="277">
        <v>14.5</v>
      </c>
      <c r="Z25" s="277">
        <v>14.5</v>
      </c>
      <c r="AA25" s="220">
        <v>15.649466858726861</v>
      </c>
      <c r="AB25" s="236">
        <v>15.556606948247046</v>
      </c>
      <c r="AC25" s="225">
        <v>15</v>
      </c>
      <c r="AD25" s="210">
        <f t="shared" si="6"/>
        <v>18.613585044224138</v>
      </c>
      <c r="AE25" s="263">
        <f t="shared" si="7"/>
        <v>18.010299956639813</v>
      </c>
      <c r="AF25" s="234">
        <v>-0.47</v>
      </c>
      <c r="AG25" s="175">
        <f t="shared" si="16"/>
        <v>17.540299956639814</v>
      </c>
      <c r="AH25" s="157"/>
      <c r="AI25" s="168"/>
      <c r="AJ25" s="332"/>
      <c r="AK25" s="330"/>
      <c r="AL25" s="330"/>
      <c r="AM25" s="192" t="s">
        <v>125</v>
      </c>
      <c r="AN25" s="123" t="str">
        <f>'WLAN 5 GHz 802.11ax Ant1'!AF25</f>
        <v>X</v>
      </c>
      <c r="AO25" s="123">
        <f t="shared" si="14"/>
        <v>0</v>
      </c>
      <c r="AP25" s="277">
        <v>14.5</v>
      </c>
      <c r="AQ25" s="277">
        <v>14.5</v>
      </c>
      <c r="AR25" s="220">
        <v>15.524408197873612</v>
      </c>
      <c r="AS25" s="236">
        <v>15.696788045094438</v>
      </c>
      <c r="AT25" s="225">
        <v>15</v>
      </c>
      <c r="AU25" s="210">
        <f t="shared" si="9"/>
        <v>18.621753283018801</v>
      </c>
      <c r="AV25" s="263">
        <f t="shared" si="10"/>
        <v>18.010299956639813</v>
      </c>
      <c r="AW25" s="234">
        <v>-0.31</v>
      </c>
      <c r="AX25" s="175">
        <f t="shared" si="17"/>
        <v>17.700299956639814</v>
      </c>
      <c r="AY25" s="168"/>
      <c r="AZ25" s="168"/>
    </row>
    <row r="26" spans="1:55" ht="24.9" customHeight="1" thickBot="1" x14ac:dyDescent="0.3">
      <c r="A26" s="168"/>
      <c r="B26" s="332"/>
      <c r="C26" s="330">
        <v>5270</v>
      </c>
      <c r="D26" s="330">
        <v>54</v>
      </c>
      <c r="E26" s="192" t="s">
        <v>118</v>
      </c>
      <c r="F26" s="123">
        <f>'WLAN 5 GHz 802.11ax Ant1'!F26</f>
        <v>0</v>
      </c>
      <c r="G26" s="123">
        <f t="shared" si="12"/>
        <v>0</v>
      </c>
      <c r="H26" s="277">
        <v>15.5</v>
      </c>
      <c r="I26" s="277">
        <v>15.5</v>
      </c>
      <c r="J26" s="220">
        <v>16.156272718858155</v>
      </c>
      <c r="K26" s="236">
        <v>15.898597671258624</v>
      </c>
      <c r="L26" s="225">
        <v>10</v>
      </c>
      <c r="M26" s="210">
        <f t="shared" si="3"/>
        <v>19.039645914334894</v>
      </c>
      <c r="N26" s="263">
        <f t="shared" si="4"/>
        <v>13.010299956639813</v>
      </c>
      <c r="O26" s="234">
        <v>-0.21</v>
      </c>
      <c r="P26" s="175">
        <f t="shared" si="15"/>
        <v>12.800299956639812</v>
      </c>
      <c r="Q26" s="190"/>
      <c r="R26" s="190"/>
      <c r="S26" s="332"/>
      <c r="T26" s="330">
        <v>5590</v>
      </c>
      <c r="U26" s="330">
        <v>118</v>
      </c>
      <c r="V26" s="192" t="s">
        <v>146</v>
      </c>
      <c r="W26" s="123">
        <f>'WLAN 5 GHz 802.11ax Ant1'!S26</f>
        <v>0</v>
      </c>
      <c r="X26" s="123">
        <f t="shared" si="13"/>
        <v>0</v>
      </c>
      <c r="Y26" s="277">
        <v>15.5</v>
      </c>
      <c r="Z26" s="277">
        <v>15.5</v>
      </c>
      <c r="AA26" s="220">
        <v>15.367067349300688</v>
      </c>
      <c r="AB26" s="236">
        <v>16.096543990967294</v>
      </c>
      <c r="AC26" s="225">
        <v>10</v>
      </c>
      <c r="AD26" s="210">
        <f t="shared" si="6"/>
        <v>18.757403765815631</v>
      </c>
      <c r="AE26" s="263">
        <f t="shared" si="7"/>
        <v>13.010299956639813</v>
      </c>
      <c r="AF26" s="234">
        <v>-0.47</v>
      </c>
      <c r="AG26" s="175">
        <f t="shared" si="16"/>
        <v>12.540299956639812</v>
      </c>
      <c r="AH26" s="157"/>
      <c r="AI26" s="168"/>
      <c r="AJ26" s="332"/>
      <c r="AK26" s="330">
        <v>5795</v>
      </c>
      <c r="AL26" s="330">
        <v>159</v>
      </c>
      <c r="AM26" s="192" t="s">
        <v>146</v>
      </c>
      <c r="AN26" s="123">
        <f>'WLAN 5 GHz 802.11ax Ant1'!AF26</f>
        <v>0</v>
      </c>
      <c r="AO26" s="123">
        <f t="shared" si="14"/>
        <v>0</v>
      </c>
      <c r="AP26" s="277">
        <v>15.5</v>
      </c>
      <c r="AQ26" s="277">
        <v>15.5</v>
      </c>
      <c r="AR26" s="220">
        <v>15.581162522296687</v>
      </c>
      <c r="AS26" s="236">
        <v>16.191063591884081</v>
      </c>
      <c r="AT26" s="225">
        <v>10</v>
      </c>
      <c r="AU26" s="210">
        <f t="shared" si="9"/>
        <v>18.907110652602597</v>
      </c>
      <c r="AV26" s="263">
        <f t="shared" si="10"/>
        <v>13.010299956639813</v>
      </c>
      <c r="AW26" s="234">
        <v>-0.31</v>
      </c>
      <c r="AX26" s="175">
        <f t="shared" si="17"/>
        <v>12.700299956639812</v>
      </c>
      <c r="AY26" s="168"/>
      <c r="AZ26" s="168"/>
    </row>
    <row r="27" spans="1:55" s="116" customFormat="1" ht="24.9" customHeight="1" thickBot="1" x14ac:dyDescent="0.3">
      <c r="A27" s="168"/>
      <c r="B27" s="332"/>
      <c r="C27" s="330"/>
      <c r="D27" s="330"/>
      <c r="E27" s="192" t="s">
        <v>121</v>
      </c>
      <c r="F27" s="123">
        <f>'WLAN 5 GHz 802.11ax Ant1'!F27</f>
        <v>0</v>
      </c>
      <c r="G27" s="123">
        <f t="shared" si="12"/>
        <v>0</v>
      </c>
      <c r="H27" s="277">
        <v>14.5</v>
      </c>
      <c r="I27" s="277">
        <v>14.5</v>
      </c>
      <c r="J27" s="220">
        <v>14.92117000913033</v>
      </c>
      <c r="K27" s="236">
        <v>14.250502453827169</v>
      </c>
      <c r="L27" s="225">
        <v>12</v>
      </c>
      <c r="M27" s="210">
        <f t="shared" si="3"/>
        <v>17.609069484465852</v>
      </c>
      <c r="N27" s="263">
        <f t="shared" si="4"/>
        <v>15.010299956639813</v>
      </c>
      <c r="O27" s="234">
        <v>-0.21</v>
      </c>
      <c r="P27" s="175">
        <f t="shared" si="15"/>
        <v>14.800299956639812</v>
      </c>
      <c r="Q27" s="168"/>
      <c r="R27" s="168"/>
      <c r="S27" s="332"/>
      <c r="T27" s="330"/>
      <c r="U27" s="330"/>
      <c r="V27" s="192" t="s">
        <v>120</v>
      </c>
      <c r="W27" s="123">
        <f>'WLAN 5 GHz 802.11ax Ant1'!S27</f>
        <v>0</v>
      </c>
      <c r="X27" s="123">
        <f t="shared" si="13"/>
        <v>0</v>
      </c>
      <c r="Y27" s="277">
        <v>14.5</v>
      </c>
      <c r="Z27" s="277">
        <v>14.5</v>
      </c>
      <c r="AA27" s="220">
        <v>14.080434463303023</v>
      </c>
      <c r="AB27" s="236">
        <v>14.874405247305123</v>
      </c>
      <c r="AC27" s="225">
        <v>12</v>
      </c>
      <c r="AD27" s="210">
        <f t="shared" si="6"/>
        <v>17.505838671871125</v>
      </c>
      <c r="AE27" s="263">
        <f t="shared" si="7"/>
        <v>15.010299956639813</v>
      </c>
      <c r="AF27" s="234">
        <v>-0.47</v>
      </c>
      <c r="AG27" s="175">
        <f t="shared" si="16"/>
        <v>14.540299956639812</v>
      </c>
      <c r="AH27" s="157"/>
      <c r="AI27" s="168"/>
      <c r="AJ27" s="332"/>
      <c r="AK27" s="330"/>
      <c r="AL27" s="330"/>
      <c r="AM27" s="192" t="s">
        <v>120</v>
      </c>
      <c r="AN27" s="123">
        <f>'WLAN 5 GHz 802.11ax Ant1'!AF27</f>
        <v>0</v>
      </c>
      <c r="AO27" s="123">
        <f t="shared" si="14"/>
        <v>0</v>
      </c>
      <c r="AP27" s="277">
        <v>14.5</v>
      </c>
      <c r="AQ27" s="277">
        <v>14.5</v>
      </c>
      <c r="AR27" s="220">
        <v>14.367910109179936</v>
      </c>
      <c r="AS27" s="236">
        <v>14.182228891625815</v>
      </c>
      <c r="AT27" s="225">
        <v>12</v>
      </c>
      <c r="AU27" s="210">
        <f t="shared" si="9"/>
        <v>17.286361724108158</v>
      </c>
      <c r="AV27" s="263">
        <f t="shared" si="10"/>
        <v>15.010299956639813</v>
      </c>
      <c r="AW27" s="234">
        <v>-0.31</v>
      </c>
      <c r="AX27" s="175">
        <f t="shared" si="17"/>
        <v>14.700299956639812</v>
      </c>
      <c r="AY27" s="168"/>
      <c r="AZ27" s="168"/>
      <c r="BA27" s="115"/>
      <c r="BB27" s="115"/>
      <c r="BC27" s="115"/>
    </row>
    <row r="28" spans="1:55" s="116" customFormat="1" ht="24.9" customHeight="1" thickBot="1" x14ac:dyDescent="0.3">
      <c r="A28" s="168"/>
      <c r="B28" s="332"/>
      <c r="C28" s="330"/>
      <c r="D28" s="330"/>
      <c r="E28" s="192" t="s">
        <v>122</v>
      </c>
      <c r="F28" s="123">
        <f>'WLAN 5 GHz 802.11ax Ant1'!F28</f>
        <v>0</v>
      </c>
      <c r="G28" s="123">
        <f t="shared" si="12"/>
        <v>0</v>
      </c>
      <c r="H28" s="277">
        <v>14.5</v>
      </c>
      <c r="I28" s="277">
        <v>14.5</v>
      </c>
      <c r="J28" s="220">
        <v>15.304514775411667</v>
      </c>
      <c r="K28" s="236">
        <v>14.777157490125806</v>
      </c>
      <c r="L28" s="225">
        <v>15</v>
      </c>
      <c r="M28" s="210">
        <f t="shared" si="3"/>
        <v>18.059135702167719</v>
      </c>
      <c r="N28" s="263">
        <f t="shared" si="4"/>
        <v>18.010299956639813</v>
      </c>
      <c r="O28" s="234">
        <v>-0.21</v>
      </c>
      <c r="P28" s="175">
        <f t="shared" si="15"/>
        <v>17.800299956639812</v>
      </c>
      <c r="Q28" s="168"/>
      <c r="R28" s="168"/>
      <c r="S28" s="332"/>
      <c r="T28" s="330"/>
      <c r="U28" s="330"/>
      <c r="V28" s="192" t="s">
        <v>122</v>
      </c>
      <c r="W28" s="123">
        <f>'WLAN 5 GHz 802.11ax Ant1'!S28</f>
        <v>0</v>
      </c>
      <c r="X28" s="123">
        <f t="shared" si="13"/>
        <v>0</v>
      </c>
      <c r="Y28" s="277">
        <v>14.5</v>
      </c>
      <c r="Z28" s="277">
        <v>14.5</v>
      </c>
      <c r="AA28" s="220">
        <v>14.836449124234644</v>
      </c>
      <c r="AB28" s="236">
        <v>14.815014919918163</v>
      </c>
      <c r="AC28" s="225">
        <v>15</v>
      </c>
      <c r="AD28" s="210">
        <f t="shared" si="6"/>
        <v>17.83604520202055</v>
      </c>
      <c r="AE28" s="263">
        <f t="shared" si="7"/>
        <v>18.010299956639813</v>
      </c>
      <c r="AF28" s="234">
        <v>-0.47</v>
      </c>
      <c r="AG28" s="175">
        <f t="shared" si="16"/>
        <v>17.540299956639814</v>
      </c>
      <c r="AH28" s="157"/>
      <c r="AI28" s="168"/>
      <c r="AJ28" s="332"/>
      <c r="AK28" s="330"/>
      <c r="AL28" s="330"/>
      <c r="AM28" s="192" t="s">
        <v>122</v>
      </c>
      <c r="AN28" s="123">
        <f>'WLAN 5 GHz 802.11ax Ant1'!AF28</f>
        <v>0</v>
      </c>
      <c r="AO28" s="123">
        <f t="shared" si="14"/>
        <v>0</v>
      </c>
      <c r="AP28" s="277">
        <v>14.5</v>
      </c>
      <c r="AQ28" s="277">
        <v>14.5</v>
      </c>
      <c r="AR28" s="220">
        <v>14.41410819006072</v>
      </c>
      <c r="AS28" s="236">
        <v>14.586435719832776</v>
      </c>
      <c r="AT28" s="225">
        <v>15</v>
      </c>
      <c r="AU28" s="210">
        <f t="shared" si="9"/>
        <v>17.511426597483332</v>
      </c>
      <c r="AV28" s="263">
        <f t="shared" si="10"/>
        <v>18.010299956639813</v>
      </c>
      <c r="AW28" s="234">
        <v>-0.31</v>
      </c>
      <c r="AX28" s="175">
        <f t="shared" si="17"/>
        <v>17.700299956639814</v>
      </c>
      <c r="AY28" s="168"/>
      <c r="AZ28" s="168"/>
      <c r="BA28" s="115"/>
      <c r="BB28" s="115"/>
      <c r="BC28" s="115"/>
    </row>
    <row r="29" spans="1:55" s="116" customFormat="1" ht="24.9" customHeight="1" thickBot="1" x14ac:dyDescent="0.3">
      <c r="A29" s="168"/>
      <c r="B29" s="332"/>
      <c r="C29" s="330"/>
      <c r="D29" s="330"/>
      <c r="E29" s="192" t="s">
        <v>147</v>
      </c>
      <c r="F29" s="123">
        <f>'WLAN 5 GHz 802.11ax Ant1'!F29</f>
        <v>0</v>
      </c>
      <c r="G29" s="123">
        <f t="shared" si="12"/>
        <v>0</v>
      </c>
      <c r="H29" s="277">
        <v>9.5</v>
      </c>
      <c r="I29" s="277">
        <v>9.5</v>
      </c>
      <c r="J29" s="220">
        <v>9.5879603465123893</v>
      </c>
      <c r="K29" s="236">
        <v>9.9980700688303354</v>
      </c>
      <c r="L29" s="225">
        <v>16</v>
      </c>
      <c r="M29" s="210">
        <f t="shared" si="3"/>
        <v>12.808154263616201</v>
      </c>
      <c r="N29" s="263">
        <f t="shared" si="4"/>
        <v>19.010299956639816</v>
      </c>
      <c r="O29" s="234">
        <v>-0.21</v>
      </c>
      <c r="P29" s="175">
        <f t="shared" si="15"/>
        <v>18.800299956639815</v>
      </c>
      <c r="Q29" s="190"/>
      <c r="R29" s="190"/>
      <c r="S29" s="332"/>
      <c r="T29" s="330"/>
      <c r="U29" s="330"/>
      <c r="V29" s="192" t="s">
        <v>147</v>
      </c>
      <c r="W29" s="123">
        <f>'WLAN 5 GHz 802.11ax Ant1'!S29</f>
        <v>0</v>
      </c>
      <c r="X29" s="123">
        <f t="shared" si="13"/>
        <v>0</v>
      </c>
      <c r="Y29" s="277">
        <v>9.5</v>
      </c>
      <c r="Z29" s="277">
        <v>9.5</v>
      </c>
      <c r="AA29" s="220">
        <v>9.9758251810845469</v>
      </c>
      <c r="AB29" s="236">
        <v>9.5695865860638154</v>
      </c>
      <c r="AC29" s="225">
        <v>16</v>
      </c>
      <c r="AD29" s="210">
        <f t="shared" si="6"/>
        <v>12.78775404888634</v>
      </c>
      <c r="AE29" s="263">
        <f t="shared" si="7"/>
        <v>19.010299956639816</v>
      </c>
      <c r="AF29" s="234">
        <v>-0.47</v>
      </c>
      <c r="AG29" s="175">
        <f t="shared" si="16"/>
        <v>18.540299956639817</v>
      </c>
      <c r="AH29" s="157"/>
      <c r="AI29" s="168"/>
      <c r="AJ29" s="332"/>
      <c r="AK29" s="330"/>
      <c r="AL29" s="330"/>
      <c r="AM29" s="192" t="s">
        <v>147</v>
      </c>
      <c r="AN29" s="123">
        <f>'WLAN 5 GHz 802.11ax Ant1'!AF29</f>
        <v>0</v>
      </c>
      <c r="AO29" s="123">
        <f t="shared" si="14"/>
        <v>0</v>
      </c>
      <c r="AP29" s="277">
        <v>9.5</v>
      </c>
      <c r="AQ29" s="277">
        <v>9.5</v>
      </c>
      <c r="AR29" s="220">
        <v>9.7023081254233503</v>
      </c>
      <c r="AS29" s="236">
        <v>9.3350347990772367</v>
      </c>
      <c r="AT29" s="225">
        <v>16</v>
      </c>
      <c r="AU29" s="210">
        <f t="shared" si="9"/>
        <v>12.532852700068402</v>
      </c>
      <c r="AV29" s="263">
        <f t="shared" si="10"/>
        <v>19.010299956639816</v>
      </c>
      <c r="AW29" s="234">
        <v>-0.31</v>
      </c>
      <c r="AX29" s="175">
        <f t="shared" si="17"/>
        <v>18.700299956639817</v>
      </c>
      <c r="AY29" s="168"/>
      <c r="AZ29" s="168"/>
      <c r="BA29" s="115"/>
      <c r="BB29" s="115"/>
      <c r="BC29" s="115"/>
    </row>
    <row r="30" spans="1:55" s="116" customFormat="1" ht="24.9" customHeight="1" thickBot="1" x14ac:dyDescent="0.3">
      <c r="A30" s="168"/>
      <c r="B30" s="332"/>
      <c r="C30" s="330"/>
      <c r="D30" s="330"/>
      <c r="E30" s="192" t="s">
        <v>127</v>
      </c>
      <c r="F30" s="123">
        <f>'WLAN 5 GHz 802.11ax Ant1'!F30</f>
        <v>0</v>
      </c>
      <c r="G30" s="123">
        <f t="shared" si="12"/>
        <v>0</v>
      </c>
      <c r="H30" s="277">
        <v>11.5</v>
      </c>
      <c r="I30" s="277">
        <v>11.5</v>
      </c>
      <c r="J30" s="220">
        <v>11.57505339955676</v>
      </c>
      <c r="K30" s="236">
        <v>11.777815939323538</v>
      </c>
      <c r="L30" s="225">
        <v>15</v>
      </c>
      <c r="M30" s="210">
        <f t="shared" si="3"/>
        <v>14.687917835740013</v>
      </c>
      <c r="N30" s="263">
        <f t="shared" si="4"/>
        <v>18.010299956639813</v>
      </c>
      <c r="O30" s="234">
        <v>-0.21</v>
      </c>
      <c r="P30" s="175">
        <f t="shared" si="15"/>
        <v>17.800299956639812</v>
      </c>
      <c r="Q30" s="190"/>
      <c r="R30" s="190"/>
      <c r="S30" s="332"/>
      <c r="T30" s="330"/>
      <c r="U30" s="330"/>
      <c r="V30" s="192" t="s">
        <v>127</v>
      </c>
      <c r="W30" s="123">
        <f>'WLAN 5 GHz 802.11ax Ant1'!S30</f>
        <v>0</v>
      </c>
      <c r="X30" s="123">
        <f t="shared" si="13"/>
        <v>0</v>
      </c>
      <c r="Y30" s="277">
        <v>11.5</v>
      </c>
      <c r="Z30" s="277">
        <v>11.5</v>
      </c>
      <c r="AA30" s="220">
        <v>11.614883127226157</v>
      </c>
      <c r="AB30" s="236">
        <v>11.736103991587289</v>
      </c>
      <c r="AC30" s="225">
        <v>15</v>
      </c>
      <c r="AD30" s="210">
        <f t="shared" si="6"/>
        <v>14.686216443967021</v>
      </c>
      <c r="AE30" s="263">
        <f t="shared" si="7"/>
        <v>18.010299956639813</v>
      </c>
      <c r="AF30" s="234">
        <v>-0.47</v>
      </c>
      <c r="AG30" s="175">
        <f t="shared" si="16"/>
        <v>17.540299956639814</v>
      </c>
      <c r="AH30" s="157"/>
      <c r="AI30" s="168"/>
      <c r="AJ30" s="332"/>
      <c r="AK30" s="330"/>
      <c r="AL30" s="330"/>
      <c r="AM30" s="192" t="s">
        <v>127</v>
      </c>
      <c r="AN30" s="123">
        <f>'WLAN 5 GHz 802.11ax Ant1'!AF30</f>
        <v>0</v>
      </c>
      <c r="AO30" s="123">
        <f t="shared" si="14"/>
        <v>0</v>
      </c>
      <c r="AP30" s="277">
        <v>11.5</v>
      </c>
      <c r="AQ30" s="277">
        <v>11.5</v>
      </c>
      <c r="AR30" s="220">
        <v>11.736063522021798</v>
      </c>
      <c r="AS30" s="236">
        <v>11.869178688585087</v>
      </c>
      <c r="AT30" s="225">
        <v>15</v>
      </c>
      <c r="AU30" s="210">
        <f t="shared" si="9"/>
        <v>14.813431054434441</v>
      </c>
      <c r="AV30" s="263">
        <f t="shared" si="10"/>
        <v>18.010299956639813</v>
      </c>
      <c r="AW30" s="234">
        <v>-0.31</v>
      </c>
      <c r="AX30" s="175">
        <f t="shared" si="17"/>
        <v>17.700299956639814</v>
      </c>
      <c r="AY30" s="168"/>
      <c r="AZ30" s="168"/>
      <c r="BA30" s="115"/>
      <c r="BB30" s="115"/>
      <c r="BC30" s="115"/>
    </row>
    <row r="31" spans="1:55" s="116" customFormat="1" ht="24.9" customHeight="1" thickBot="1" x14ac:dyDescent="0.3">
      <c r="A31" s="168"/>
      <c r="B31" s="332"/>
      <c r="C31" s="330"/>
      <c r="D31" s="330"/>
      <c r="E31" s="192" t="s">
        <v>159</v>
      </c>
      <c r="F31" s="123" t="str">
        <f>'WLAN 5 GHz 802.11ax Ant1'!F31</f>
        <v>X</v>
      </c>
      <c r="G31" s="123">
        <f t="shared" si="12"/>
        <v>0</v>
      </c>
      <c r="H31" s="277">
        <v>14.5</v>
      </c>
      <c r="I31" s="277">
        <v>14.5</v>
      </c>
      <c r="J31" s="220">
        <v>15.130596735038074</v>
      </c>
      <c r="K31" s="236">
        <v>15.372764942074427</v>
      </c>
      <c r="L31" s="225">
        <v>15</v>
      </c>
      <c r="M31" s="210">
        <f t="shared" si="3"/>
        <v>18.263668528022045</v>
      </c>
      <c r="N31" s="263">
        <f t="shared" si="4"/>
        <v>18.010299956639813</v>
      </c>
      <c r="O31" s="234">
        <v>-0.21</v>
      </c>
      <c r="P31" s="175">
        <f t="shared" si="15"/>
        <v>17.800299956639812</v>
      </c>
      <c r="Q31" s="190"/>
      <c r="R31" s="190"/>
      <c r="S31" s="332"/>
      <c r="T31" s="330"/>
      <c r="U31" s="330"/>
      <c r="V31" s="192" t="s">
        <v>159</v>
      </c>
      <c r="W31" s="123" t="str">
        <f>'WLAN 5 GHz 802.11ax Ant1'!S31</f>
        <v>X</v>
      </c>
      <c r="X31" s="123">
        <f t="shared" si="13"/>
        <v>0</v>
      </c>
      <c r="Y31" s="277">
        <v>14.5</v>
      </c>
      <c r="Z31" s="277">
        <v>14.5</v>
      </c>
      <c r="AA31" s="220">
        <v>16.002418602616398</v>
      </c>
      <c r="AB31" s="236">
        <v>15.313670627237356</v>
      </c>
      <c r="AC31" s="225">
        <v>15</v>
      </c>
      <c r="AD31" s="210">
        <f t="shared" si="6"/>
        <v>18.681983861984929</v>
      </c>
      <c r="AE31" s="263">
        <f t="shared" si="7"/>
        <v>18.010299956639813</v>
      </c>
      <c r="AF31" s="234">
        <v>-0.47</v>
      </c>
      <c r="AG31" s="175">
        <f t="shared" si="16"/>
        <v>17.540299956639814</v>
      </c>
      <c r="AH31" s="157"/>
      <c r="AI31" s="168"/>
      <c r="AJ31" s="333"/>
      <c r="AK31" s="331"/>
      <c r="AL31" s="331"/>
      <c r="AM31" s="194" t="s">
        <v>159</v>
      </c>
      <c r="AN31" s="125" t="str">
        <f>'WLAN 5 GHz 802.11ax Ant1'!AF31</f>
        <v>X</v>
      </c>
      <c r="AO31" s="125">
        <f t="shared" si="14"/>
        <v>0</v>
      </c>
      <c r="AP31" s="277">
        <v>14.5</v>
      </c>
      <c r="AQ31" s="277">
        <v>14.5</v>
      </c>
      <c r="AR31" s="223">
        <v>15.90236491399601</v>
      </c>
      <c r="AS31" s="237">
        <v>15.64716739407506</v>
      </c>
      <c r="AT31" s="225">
        <v>15</v>
      </c>
      <c r="AU31" s="210">
        <f t="shared" si="9"/>
        <v>18.786940311515391</v>
      </c>
      <c r="AV31" s="263">
        <f t="shared" si="10"/>
        <v>18.010299956639813</v>
      </c>
      <c r="AW31" s="234">
        <v>-0.31</v>
      </c>
      <c r="AX31" s="176">
        <f t="shared" si="17"/>
        <v>17.700299956639814</v>
      </c>
      <c r="AY31" s="168"/>
      <c r="AZ31" s="168"/>
      <c r="BA31" s="115"/>
      <c r="BB31" s="115"/>
      <c r="BC31" s="115"/>
    </row>
    <row r="32" spans="1:55" s="116" customFormat="1" ht="28.2" thickBot="1" x14ac:dyDescent="0.3">
      <c r="A32" s="168"/>
      <c r="B32" s="332"/>
      <c r="C32" s="330">
        <v>5310</v>
      </c>
      <c r="D32" s="330">
        <v>62</v>
      </c>
      <c r="E32" s="192" t="s">
        <v>146</v>
      </c>
      <c r="F32" s="123">
        <f>'WLAN 5 GHz 802.11ax Ant1'!F32</f>
        <v>0</v>
      </c>
      <c r="G32" s="123">
        <f t="shared" si="12"/>
        <v>0</v>
      </c>
      <c r="H32" s="277">
        <v>15.5</v>
      </c>
      <c r="I32" s="277">
        <v>15.5</v>
      </c>
      <c r="J32" s="220">
        <v>15.893329560188203</v>
      </c>
      <c r="K32" s="236">
        <v>15.99456344982732</v>
      </c>
      <c r="L32" s="225">
        <v>10</v>
      </c>
      <c r="M32" s="210">
        <f t="shared" si="3"/>
        <v>18.95454142476672</v>
      </c>
      <c r="N32" s="263">
        <f t="shared" si="4"/>
        <v>13.010299956639813</v>
      </c>
      <c r="O32" s="234">
        <v>-0.21</v>
      </c>
      <c r="P32" s="175">
        <f t="shared" si="15"/>
        <v>12.800299956639812</v>
      </c>
      <c r="Q32" s="168"/>
      <c r="R32" s="168"/>
      <c r="S32" s="332"/>
      <c r="T32" s="330">
        <v>5670</v>
      </c>
      <c r="U32" s="330">
        <v>134</v>
      </c>
      <c r="V32" s="192" t="s">
        <v>118</v>
      </c>
      <c r="W32" s="123">
        <f>'WLAN 5 GHz 802.11ax Ant1'!S32</f>
        <v>0</v>
      </c>
      <c r="X32" s="123">
        <f t="shared" si="13"/>
        <v>0</v>
      </c>
      <c r="Y32" s="277">
        <v>15.5</v>
      </c>
      <c r="Z32" s="277">
        <v>15.5</v>
      </c>
      <c r="AA32" s="220">
        <v>16.10574085403228</v>
      </c>
      <c r="AB32" s="236">
        <v>16.235164316223212</v>
      </c>
      <c r="AC32" s="225">
        <v>10</v>
      </c>
      <c r="AD32" s="210">
        <f t="shared" si="6"/>
        <v>19.181234640132573</v>
      </c>
      <c r="AE32" s="263">
        <f t="shared" si="7"/>
        <v>13.010299956639813</v>
      </c>
      <c r="AF32" s="234">
        <v>-0.47</v>
      </c>
      <c r="AG32" s="175">
        <f t="shared" si="16"/>
        <v>12.540299956639812</v>
      </c>
      <c r="AH32" s="157"/>
      <c r="AI32" s="189" t="s">
        <v>139</v>
      </c>
      <c r="AJ32" s="348" t="s">
        <v>167</v>
      </c>
      <c r="AK32" s="340">
        <v>5775</v>
      </c>
      <c r="AL32" s="340">
        <v>155</v>
      </c>
      <c r="AM32" s="202" t="s">
        <v>118</v>
      </c>
      <c r="AN32" s="183">
        <f>'WLAN 5 GHz 802.11ax Ant1'!AF32</f>
        <v>0</v>
      </c>
      <c r="AO32" s="203">
        <f t="shared" ref="AO32:AO38" si="18">$AI$33</f>
        <v>0</v>
      </c>
      <c r="AP32" s="277">
        <v>15.5</v>
      </c>
      <c r="AQ32" s="277">
        <v>15.5</v>
      </c>
      <c r="AR32" s="238">
        <v>16.690010473045632</v>
      </c>
      <c r="AS32" s="239">
        <v>16.050829444903282</v>
      </c>
      <c r="AT32" s="225">
        <v>10</v>
      </c>
      <c r="AU32" s="210">
        <f t="shared" si="9"/>
        <v>19.392468400780093</v>
      </c>
      <c r="AV32" s="263">
        <f t="shared" si="10"/>
        <v>13.010299956639813</v>
      </c>
      <c r="AW32" s="234">
        <v>-0.31</v>
      </c>
      <c r="AX32" s="184">
        <f>AW32+AV32</f>
        <v>12.700299956639812</v>
      </c>
      <c r="AY32" s="168"/>
      <c r="AZ32" s="168"/>
      <c r="BA32" s="115"/>
      <c r="BB32" s="115"/>
      <c r="BC32" s="115"/>
    </row>
    <row r="33" spans="1:55" s="116" customFormat="1" ht="24.9" customHeight="1" thickBot="1" x14ac:dyDescent="0.3">
      <c r="A33" s="168"/>
      <c r="B33" s="332"/>
      <c r="C33" s="330"/>
      <c r="D33" s="330"/>
      <c r="E33" s="192" t="s">
        <v>121</v>
      </c>
      <c r="F33" s="123">
        <f>'WLAN 5 GHz 802.11ax Ant1'!F33</f>
        <v>0</v>
      </c>
      <c r="G33" s="123">
        <f t="shared" si="12"/>
        <v>0</v>
      </c>
      <c r="H33" s="277">
        <v>14.5</v>
      </c>
      <c r="I33" s="277">
        <v>14.5</v>
      </c>
      <c r="J33" s="220">
        <v>14.842448497576843</v>
      </c>
      <c r="K33" s="236">
        <v>14.102416540046734</v>
      </c>
      <c r="L33" s="225">
        <v>12</v>
      </c>
      <c r="M33" s="210">
        <f t="shared" si="3"/>
        <v>17.498475998726278</v>
      </c>
      <c r="N33" s="263">
        <f t="shared" si="4"/>
        <v>15.010299956639813</v>
      </c>
      <c r="O33" s="234">
        <v>-0.21</v>
      </c>
      <c r="P33" s="175">
        <f t="shared" si="15"/>
        <v>14.800299956639812</v>
      </c>
      <c r="Q33" s="190"/>
      <c r="R33" s="168"/>
      <c r="S33" s="332"/>
      <c r="T33" s="330"/>
      <c r="U33" s="330"/>
      <c r="V33" s="192" t="s">
        <v>120</v>
      </c>
      <c r="W33" s="123">
        <f>'WLAN 5 GHz 802.11ax Ant1'!S33</f>
        <v>0</v>
      </c>
      <c r="X33" s="123">
        <f t="shared" si="13"/>
        <v>0</v>
      </c>
      <c r="Y33" s="277">
        <v>14.5</v>
      </c>
      <c r="Z33" s="277">
        <v>14.5</v>
      </c>
      <c r="AA33" s="220">
        <v>14.424486131709536</v>
      </c>
      <c r="AB33" s="236">
        <v>14.108917256937762</v>
      </c>
      <c r="AC33" s="225">
        <v>12</v>
      </c>
      <c r="AD33" s="210">
        <f t="shared" si="6"/>
        <v>17.27986727034391</v>
      </c>
      <c r="AE33" s="263">
        <f t="shared" si="7"/>
        <v>15.010299956639813</v>
      </c>
      <c r="AF33" s="234">
        <v>-0.47</v>
      </c>
      <c r="AG33" s="175">
        <f t="shared" si="16"/>
        <v>14.540299956639812</v>
      </c>
      <c r="AH33" s="157"/>
      <c r="AI33" s="240"/>
      <c r="AJ33" s="348"/>
      <c r="AK33" s="330"/>
      <c r="AL33" s="330"/>
      <c r="AM33" s="192" t="s">
        <v>121</v>
      </c>
      <c r="AN33" s="123">
        <f>'WLAN 5 GHz 802.11ax Ant1'!AF33</f>
        <v>0</v>
      </c>
      <c r="AO33" s="204">
        <f t="shared" si="18"/>
        <v>0</v>
      </c>
      <c r="AP33" s="277">
        <v>14.5</v>
      </c>
      <c r="AQ33" s="277">
        <v>14.5</v>
      </c>
      <c r="AR33" s="210">
        <v>14.534058071868607</v>
      </c>
      <c r="AS33" s="235">
        <v>14.783182964657742</v>
      </c>
      <c r="AT33" s="225">
        <v>12</v>
      </c>
      <c r="AU33" s="210">
        <f t="shared" si="9"/>
        <v>17.670706552882937</v>
      </c>
      <c r="AV33" s="263">
        <f t="shared" si="10"/>
        <v>15.010299956639813</v>
      </c>
      <c r="AW33" s="234">
        <v>-0.31</v>
      </c>
      <c r="AX33" s="175">
        <f t="shared" ref="AX33:AX38" si="19">AW33+AV33</f>
        <v>14.700299956639812</v>
      </c>
      <c r="AY33" s="168"/>
      <c r="AZ33" s="168"/>
      <c r="BA33" s="115"/>
      <c r="BB33" s="115"/>
      <c r="BC33" s="115"/>
    </row>
    <row r="34" spans="1:55" s="116" customFormat="1" ht="24.9" customHeight="1" thickBot="1" x14ac:dyDescent="0.3">
      <c r="A34" s="168"/>
      <c r="B34" s="332"/>
      <c r="C34" s="330"/>
      <c r="D34" s="330"/>
      <c r="E34" s="192" t="s">
        <v>122</v>
      </c>
      <c r="F34" s="123">
        <f>'WLAN 5 GHz 802.11ax Ant1'!F34</f>
        <v>0</v>
      </c>
      <c r="G34" s="123">
        <f t="shared" si="12"/>
        <v>0</v>
      </c>
      <c r="H34" s="277">
        <v>14.5</v>
      </c>
      <c r="I34" s="277">
        <v>14.5</v>
      </c>
      <c r="J34" s="220">
        <v>14.83401024422272</v>
      </c>
      <c r="K34" s="236">
        <v>14.286082393233926</v>
      </c>
      <c r="L34" s="225">
        <v>15</v>
      </c>
      <c r="M34" s="210">
        <f t="shared" si="3"/>
        <v>17.578981718425982</v>
      </c>
      <c r="N34" s="263">
        <f t="shared" si="4"/>
        <v>18.010299956639813</v>
      </c>
      <c r="O34" s="234">
        <v>-0.21</v>
      </c>
      <c r="P34" s="175">
        <f t="shared" si="15"/>
        <v>17.800299956639812</v>
      </c>
      <c r="Q34" s="168"/>
      <c r="R34" s="168"/>
      <c r="S34" s="332"/>
      <c r="T34" s="330"/>
      <c r="U34" s="330"/>
      <c r="V34" s="192" t="s">
        <v>123</v>
      </c>
      <c r="W34" s="123">
        <f>'WLAN 5 GHz 802.11ax Ant1'!S34</f>
        <v>0</v>
      </c>
      <c r="X34" s="123">
        <f t="shared" si="13"/>
        <v>0</v>
      </c>
      <c r="Y34" s="277">
        <v>14.5</v>
      </c>
      <c r="Z34" s="277">
        <v>14.5</v>
      </c>
      <c r="AA34" s="220">
        <v>14.26654368376089</v>
      </c>
      <c r="AB34" s="236">
        <v>14.426040783176827</v>
      </c>
      <c r="AC34" s="225">
        <v>15</v>
      </c>
      <c r="AD34" s="210">
        <f t="shared" si="6"/>
        <v>17.357324351587099</v>
      </c>
      <c r="AE34" s="263">
        <f t="shared" si="7"/>
        <v>18.010299956639813</v>
      </c>
      <c r="AF34" s="234">
        <v>-0.47</v>
      </c>
      <c r="AG34" s="175">
        <f t="shared" si="16"/>
        <v>17.540299956639814</v>
      </c>
      <c r="AH34" s="157"/>
      <c r="AI34" s="187"/>
      <c r="AJ34" s="348"/>
      <c r="AK34" s="330"/>
      <c r="AL34" s="330"/>
      <c r="AM34" s="192" t="s">
        <v>123</v>
      </c>
      <c r="AN34" s="123">
        <f>'WLAN 5 GHz 802.11ax Ant1'!AF34</f>
        <v>0</v>
      </c>
      <c r="AO34" s="204">
        <f t="shared" si="18"/>
        <v>0</v>
      </c>
      <c r="AP34" s="277">
        <v>14.5</v>
      </c>
      <c r="AQ34" s="277">
        <v>14.5</v>
      </c>
      <c r="AR34" s="210">
        <v>14.160350829098466</v>
      </c>
      <c r="AS34" s="235">
        <v>14.843771233830362</v>
      </c>
      <c r="AT34" s="225">
        <v>15</v>
      </c>
      <c r="AU34" s="210">
        <f t="shared" si="9"/>
        <v>17.52579030699167</v>
      </c>
      <c r="AV34" s="263">
        <f t="shared" si="10"/>
        <v>18.010299956639813</v>
      </c>
      <c r="AW34" s="234">
        <v>-0.31</v>
      </c>
      <c r="AX34" s="175">
        <f t="shared" si="19"/>
        <v>17.700299956639814</v>
      </c>
      <c r="AY34" s="168"/>
      <c r="AZ34" s="168"/>
      <c r="BA34" s="115"/>
      <c r="BB34" s="115"/>
      <c r="BC34" s="115"/>
    </row>
    <row r="35" spans="1:55" s="116" customFormat="1" ht="24.9" customHeight="1" thickBot="1" x14ac:dyDescent="0.3">
      <c r="A35" s="168"/>
      <c r="B35" s="332"/>
      <c r="C35" s="330"/>
      <c r="D35" s="330"/>
      <c r="E35" s="192" t="s">
        <v>147</v>
      </c>
      <c r="F35" s="123">
        <f>'WLAN 5 GHz 802.11ax Ant1'!F35</f>
        <v>0</v>
      </c>
      <c r="G35" s="123">
        <f t="shared" si="12"/>
        <v>0</v>
      </c>
      <c r="H35" s="277">
        <v>9.5</v>
      </c>
      <c r="I35" s="277">
        <v>9.5</v>
      </c>
      <c r="J35" s="220">
        <v>10.07903102090812</v>
      </c>
      <c r="K35" s="236">
        <v>9.5404336180280591</v>
      </c>
      <c r="L35" s="225">
        <v>16</v>
      </c>
      <c r="M35" s="210">
        <f t="shared" si="3"/>
        <v>12.828376310680451</v>
      </c>
      <c r="N35" s="263">
        <f t="shared" si="4"/>
        <v>19.010299956639816</v>
      </c>
      <c r="O35" s="234">
        <v>-0.21</v>
      </c>
      <c r="P35" s="175">
        <f t="shared" si="15"/>
        <v>18.800299956639815</v>
      </c>
      <c r="Q35" s="168"/>
      <c r="R35" s="168"/>
      <c r="S35" s="332"/>
      <c r="T35" s="330"/>
      <c r="U35" s="330"/>
      <c r="V35" s="192" t="s">
        <v>147</v>
      </c>
      <c r="W35" s="123">
        <f>'WLAN 5 GHz 802.11ax Ant1'!S35</f>
        <v>0</v>
      </c>
      <c r="X35" s="123">
        <f t="shared" si="13"/>
        <v>0</v>
      </c>
      <c r="Y35" s="277">
        <v>9.5</v>
      </c>
      <c r="Z35" s="277">
        <v>9.5</v>
      </c>
      <c r="AA35" s="220">
        <v>9.7563079316909853</v>
      </c>
      <c r="AB35" s="236">
        <v>9.2764682108491812</v>
      </c>
      <c r="AC35" s="225">
        <v>16</v>
      </c>
      <c r="AD35" s="210">
        <f t="shared" si="6"/>
        <v>12.533311676999368</v>
      </c>
      <c r="AE35" s="263">
        <f t="shared" si="7"/>
        <v>19.010299956639816</v>
      </c>
      <c r="AF35" s="234">
        <v>-0.47</v>
      </c>
      <c r="AG35" s="175">
        <f t="shared" si="16"/>
        <v>18.540299956639817</v>
      </c>
      <c r="AH35" s="157"/>
      <c r="AI35" s="187"/>
      <c r="AJ35" s="348"/>
      <c r="AK35" s="330"/>
      <c r="AL35" s="330"/>
      <c r="AM35" s="192" t="s">
        <v>147</v>
      </c>
      <c r="AN35" s="123">
        <f>'WLAN 5 GHz 802.11ax Ant1'!AF35</f>
        <v>0</v>
      </c>
      <c r="AO35" s="204">
        <f t="shared" si="18"/>
        <v>0</v>
      </c>
      <c r="AP35" s="277">
        <v>9.5</v>
      </c>
      <c r="AQ35" s="277">
        <v>9.5</v>
      </c>
      <c r="AR35" s="220">
        <v>9.1203231450075055</v>
      </c>
      <c r="AS35" s="236">
        <v>9.5110559042560929</v>
      </c>
      <c r="AT35" s="225">
        <v>16</v>
      </c>
      <c r="AU35" s="210">
        <f t="shared" si="9"/>
        <v>12.330382255970529</v>
      </c>
      <c r="AV35" s="263">
        <f t="shared" si="10"/>
        <v>19.010299956639816</v>
      </c>
      <c r="AW35" s="234">
        <v>-0.31</v>
      </c>
      <c r="AX35" s="175">
        <f t="shared" si="19"/>
        <v>18.700299956639817</v>
      </c>
      <c r="AY35" s="168"/>
      <c r="AZ35" s="168"/>
      <c r="BA35" s="115"/>
      <c r="BB35" s="115"/>
      <c r="BC35" s="115"/>
    </row>
    <row r="36" spans="1:55" s="116" customFormat="1" ht="24.9" customHeight="1" thickBot="1" x14ac:dyDescent="0.3">
      <c r="A36" s="168"/>
      <c r="B36" s="278"/>
      <c r="C36" s="330"/>
      <c r="D36" s="330"/>
      <c r="E36" s="192" t="s">
        <v>127</v>
      </c>
      <c r="F36" s="123">
        <f>'WLAN 5 GHz 802.11ax Ant1'!F36</f>
        <v>0</v>
      </c>
      <c r="G36" s="123">
        <f t="shared" si="12"/>
        <v>0</v>
      </c>
      <c r="H36" s="277">
        <v>11.5</v>
      </c>
      <c r="I36" s="277">
        <v>11.5</v>
      </c>
      <c r="J36" s="243">
        <v>11.835670056158525</v>
      </c>
      <c r="K36" s="244">
        <v>11.534352705002412</v>
      </c>
      <c r="L36" s="225">
        <v>15</v>
      </c>
      <c r="M36" s="210">
        <f t="shared" si="3"/>
        <v>14.697924021281697</v>
      </c>
      <c r="N36" s="263">
        <f t="shared" si="4"/>
        <v>18.010299956639813</v>
      </c>
      <c r="O36" s="234">
        <v>-0.21</v>
      </c>
      <c r="P36" s="175">
        <f t="shared" si="15"/>
        <v>17.800299956639812</v>
      </c>
      <c r="Q36" s="168"/>
      <c r="R36" s="168"/>
      <c r="S36" s="332"/>
      <c r="T36" s="330"/>
      <c r="U36" s="330"/>
      <c r="V36" s="192" t="s">
        <v>128</v>
      </c>
      <c r="W36" s="123">
        <f>'WLAN 5 GHz 802.11ax Ant1'!S36</f>
        <v>0</v>
      </c>
      <c r="X36" s="123">
        <f t="shared" si="13"/>
        <v>0</v>
      </c>
      <c r="Y36" s="277">
        <v>11.5</v>
      </c>
      <c r="Z36" s="277">
        <v>11.5</v>
      </c>
      <c r="AA36" s="220">
        <v>11.479570709459699</v>
      </c>
      <c r="AB36" s="236">
        <v>11.562344549327634</v>
      </c>
      <c r="AC36" s="225">
        <v>15</v>
      </c>
      <c r="AD36" s="210">
        <f t="shared" si="6"/>
        <v>14.531454785317353</v>
      </c>
      <c r="AE36" s="263">
        <f t="shared" si="7"/>
        <v>18.010299956639813</v>
      </c>
      <c r="AF36" s="234">
        <v>-0.47</v>
      </c>
      <c r="AG36" s="175">
        <f t="shared" si="16"/>
        <v>17.540299956639814</v>
      </c>
      <c r="AH36" s="157"/>
      <c r="AI36" s="187"/>
      <c r="AJ36" s="348"/>
      <c r="AK36" s="330"/>
      <c r="AL36" s="330"/>
      <c r="AM36" s="192" t="s">
        <v>161</v>
      </c>
      <c r="AN36" s="123">
        <f>'WLAN 5 GHz 802.11ax Ant1'!AF36</f>
        <v>0</v>
      </c>
      <c r="AO36" s="204">
        <f t="shared" si="18"/>
        <v>0</v>
      </c>
      <c r="AP36" s="277">
        <v>11.5</v>
      </c>
      <c r="AQ36" s="277">
        <v>11.5</v>
      </c>
      <c r="AR36" s="220">
        <v>11.023190448536475</v>
      </c>
      <c r="AS36" s="236">
        <v>11.253899336743491</v>
      </c>
      <c r="AT36" s="225">
        <v>15</v>
      </c>
      <c r="AU36" s="210">
        <f t="shared" si="9"/>
        <v>14.150376653616746</v>
      </c>
      <c r="AV36" s="263">
        <f t="shared" si="10"/>
        <v>18.010299956639813</v>
      </c>
      <c r="AW36" s="234">
        <v>-0.31</v>
      </c>
      <c r="AX36" s="175">
        <f t="shared" si="19"/>
        <v>17.700299956639814</v>
      </c>
      <c r="AY36" s="168"/>
      <c r="AZ36" s="168"/>
      <c r="BA36" s="115"/>
      <c r="BB36" s="115"/>
      <c r="BC36" s="115"/>
    </row>
    <row r="37" spans="1:55" s="116" customFormat="1" ht="24.9" customHeight="1" thickBot="1" x14ac:dyDescent="0.3">
      <c r="A37" s="168"/>
      <c r="B37" s="278"/>
      <c r="C37" s="345"/>
      <c r="D37" s="345"/>
      <c r="E37" s="197" t="s">
        <v>125</v>
      </c>
      <c r="F37" s="205" t="str">
        <f>'WLAN 5 GHz 802.11ax Ant1'!F37</f>
        <v>X</v>
      </c>
      <c r="G37" s="205">
        <f t="shared" si="12"/>
        <v>0</v>
      </c>
      <c r="H37" s="277">
        <v>14.5</v>
      </c>
      <c r="I37" s="277">
        <v>14.5</v>
      </c>
      <c r="J37" s="243">
        <v>15.83991179339208</v>
      </c>
      <c r="K37" s="244">
        <v>15.839940189562244</v>
      </c>
      <c r="L37" s="225">
        <v>15</v>
      </c>
      <c r="M37" s="210">
        <f t="shared" si="3"/>
        <v>18.850225948140185</v>
      </c>
      <c r="N37" s="263">
        <f t="shared" si="4"/>
        <v>18.010299956639813</v>
      </c>
      <c r="O37" s="234">
        <v>-0.21</v>
      </c>
      <c r="P37" s="206">
        <f t="shared" si="15"/>
        <v>17.800299956639812</v>
      </c>
      <c r="Q37" s="168"/>
      <c r="R37" s="168"/>
      <c r="S37" s="333"/>
      <c r="T37" s="331"/>
      <c r="U37" s="331"/>
      <c r="V37" s="194" t="s">
        <v>159</v>
      </c>
      <c r="W37" s="125" t="str">
        <f>'WLAN 5 GHz 802.11ax Ant1'!S37</f>
        <v>X</v>
      </c>
      <c r="X37" s="125">
        <f t="shared" si="13"/>
        <v>0</v>
      </c>
      <c r="Y37" s="277">
        <v>14.5</v>
      </c>
      <c r="Z37" s="277">
        <v>14.5</v>
      </c>
      <c r="AA37" s="223">
        <v>16.085635107549237</v>
      </c>
      <c r="AB37" s="237">
        <v>15.39137465467536</v>
      </c>
      <c r="AC37" s="225">
        <v>15</v>
      </c>
      <c r="AD37" s="210">
        <f t="shared" si="6"/>
        <v>18.762663096426589</v>
      </c>
      <c r="AE37" s="263">
        <f t="shared" si="7"/>
        <v>18.010299956639813</v>
      </c>
      <c r="AF37" s="234">
        <v>-0.47</v>
      </c>
      <c r="AG37" s="176">
        <f t="shared" si="16"/>
        <v>17.540299956639814</v>
      </c>
      <c r="AH37" s="157"/>
      <c r="AI37" s="187"/>
      <c r="AJ37" s="348"/>
      <c r="AK37" s="330"/>
      <c r="AL37" s="330"/>
      <c r="AM37" s="192" t="s">
        <v>169</v>
      </c>
      <c r="AN37" s="123">
        <f>'WLAN 5 GHz 802.11ax Ant1'!AF37</f>
        <v>0</v>
      </c>
      <c r="AO37" s="204">
        <f t="shared" si="18"/>
        <v>0</v>
      </c>
      <c r="AP37" s="277">
        <v>14.5</v>
      </c>
      <c r="AQ37" s="277">
        <v>14.5</v>
      </c>
      <c r="AR37" s="220">
        <v>16.211309858882771</v>
      </c>
      <c r="AS37" s="236">
        <v>16.083821425423814</v>
      </c>
      <c r="AT37" s="225">
        <v>15</v>
      </c>
      <c r="AU37" s="210">
        <f t="shared" si="9"/>
        <v>19.15833338959499</v>
      </c>
      <c r="AV37" s="263">
        <f t="shared" si="10"/>
        <v>18.010299956639813</v>
      </c>
      <c r="AW37" s="234">
        <v>-0.31</v>
      </c>
      <c r="AX37" s="175">
        <f t="shared" si="19"/>
        <v>17.700299956639814</v>
      </c>
      <c r="AY37" s="168"/>
      <c r="AZ37" s="168"/>
      <c r="BA37" s="115"/>
      <c r="BB37" s="115"/>
      <c r="BC37" s="115"/>
    </row>
    <row r="38" spans="1:55" s="116" customFormat="1" ht="28.2" thickBot="1" x14ac:dyDescent="0.3">
      <c r="A38" s="189" t="s">
        <v>139</v>
      </c>
      <c r="B38" s="337" t="s">
        <v>167</v>
      </c>
      <c r="C38" s="338">
        <v>5210</v>
      </c>
      <c r="D38" s="338">
        <v>42</v>
      </c>
      <c r="E38" s="207" t="s">
        <v>118</v>
      </c>
      <c r="F38" s="181">
        <f>'WLAN 5 GHz 802.11ax Ant1'!F38</f>
        <v>0</v>
      </c>
      <c r="G38" s="181">
        <f t="shared" ref="G38:G51" si="20">$A$39</f>
        <v>0</v>
      </c>
      <c r="H38" s="277">
        <v>15.5</v>
      </c>
      <c r="I38" s="277">
        <v>15.5</v>
      </c>
      <c r="J38" s="232">
        <v>16.087288004470729</v>
      </c>
      <c r="K38" s="234">
        <v>16.386638742055101</v>
      </c>
      <c r="L38" s="225">
        <v>10</v>
      </c>
      <c r="M38" s="210">
        <f t="shared" si="3"/>
        <v>19.249842027478298</v>
      </c>
      <c r="N38" s="263">
        <f t="shared" si="4"/>
        <v>13.010299956639813</v>
      </c>
      <c r="O38" s="234">
        <v>-0.21</v>
      </c>
      <c r="P38" s="182">
        <f>O38+N38</f>
        <v>12.800299956639812</v>
      </c>
      <c r="Q38" s="118"/>
      <c r="R38" s="189" t="s">
        <v>139</v>
      </c>
      <c r="S38" s="348" t="s">
        <v>167</v>
      </c>
      <c r="T38" s="340">
        <v>5530</v>
      </c>
      <c r="U38" s="340">
        <v>106</v>
      </c>
      <c r="V38" s="183" t="s">
        <v>118</v>
      </c>
      <c r="W38" s="183">
        <f>'WLAN 5 GHz 802.11ax Ant1'!S38</f>
        <v>0</v>
      </c>
      <c r="X38" s="183">
        <f t="shared" ref="X38:X51" si="21">$R$39</f>
        <v>0</v>
      </c>
      <c r="Y38" s="277">
        <v>15.5</v>
      </c>
      <c r="Z38" s="277">
        <v>15.5</v>
      </c>
      <c r="AA38" s="238">
        <v>16.175384038939796</v>
      </c>
      <c r="AB38" s="239">
        <v>16.511198585062278</v>
      </c>
      <c r="AC38" s="225">
        <v>10</v>
      </c>
      <c r="AD38" s="210">
        <f t="shared" si="6"/>
        <v>19.35683628242133</v>
      </c>
      <c r="AE38" s="263">
        <f t="shared" si="7"/>
        <v>13.010299956639813</v>
      </c>
      <c r="AF38" s="234">
        <v>-0.47</v>
      </c>
      <c r="AG38" s="184">
        <f>AF38+AE38</f>
        <v>12.540299956639812</v>
      </c>
      <c r="AH38" s="188"/>
      <c r="AI38" s="187"/>
      <c r="AJ38" s="349"/>
      <c r="AK38" s="331"/>
      <c r="AL38" s="331"/>
      <c r="AM38" s="194" t="s">
        <v>125</v>
      </c>
      <c r="AN38" s="125" t="str">
        <f>'WLAN 5 GHz 802.11ax Ant1'!AF38</f>
        <v>X</v>
      </c>
      <c r="AO38" s="208">
        <f t="shared" si="18"/>
        <v>0</v>
      </c>
      <c r="AP38" s="277">
        <v>15.5</v>
      </c>
      <c r="AQ38" s="277">
        <v>15.5</v>
      </c>
      <c r="AR38" s="223">
        <v>15.804131868371297</v>
      </c>
      <c r="AS38" s="237">
        <v>15.850500178757047</v>
      </c>
      <c r="AT38" s="225">
        <v>10</v>
      </c>
      <c r="AU38" s="210">
        <f t="shared" si="9"/>
        <v>18.837677862466077</v>
      </c>
      <c r="AV38" s="263">
        <f t="shared" si="10"/>
        <v>13.010299956639813</v>
      </c>
      <c r="AW38" s="234">
        <v>-0.31</v>
      </c>
      <c r="AX38" s="176">
        <f t="shared" si="19"/>
        <v>12.700299956639812</v>
      </c>
      <c r="AY38" s="168"/>
      <c r="AZ38" s="168"/>
      <c r="BA38" s="115"/>
      <c r="BB38" s="115"/>
      <c r="BC38" s="115"/>
    </row>
    <row r="39" spans="1:55" s="116" customFormat="1" ht="24.9" customHeight="1" thickBot="1" x14ac:dyDescent="0.3">
      <c r="A39" s="240"/>
      <c r="B39" s="332"/>
      <c r="C39" s="330"/>
      <c r="D39" s="330"/>
      <c r="E39" s="192" t="s">
        <v>121</v>
      </c>
      <c r="F39" s="123">
        <f>'WLAN 5 GHz 802.11ax Ant1'!F39</f>
        <v>0</v>
      </c>
      <c r="G39" s="123">
        <f t="shared" si="20"/>
        <v>0</v>
      </c>
      <c r="H39" s="277">
        <v>14.5</v>
      </c>
      <c r="I39" s="277">
        <v>14.5</v>
      </c>
      <c r="J39" s="210">
        <v>14.33951728292231</v>
      </c>
      <c r="K39" s="235">
        <v>14.651928964312539</v>
      </c>
      <c r="L39" s="225">
        <v>12</v>
      </c>
      <c r="M39" s="210">
        <f t="shared" si="3"/>
        <v>17.508831659054245</v>
      </c>
      <c r="N39" s="263">
        <f t="shared" si="4"/>
        <v>15.010299956639813</v>
      </c>
      <c r="O39" s="234">
        <v>-0.21</v>
      </c>
      <c r="P39" s="175">
        <f t="shared" ref="P39:P51" si="22">O39+N39</f>
        <v>14.800299956639812</v>
      </c>
      <c r="Q39" s="190"/>
      <c r="R39" s="240"/>
      <c r="S39" s="348"/>
      <c r="T39" s="330"/>
      <c r="U39" s="330"/>
      <c r="V39" s="123" t="s">
        <v>121</v>
      </c>
      <c r="W39" s="123">
        <f>'WLAN 5 GHz 802.11ax Ant1'!S39</f>
        <v>0</v>
      </c>
      <c r="X39" s="123">
        <f t="shared" si="21"/>
        <v>0</v>
      </c>
      <c r="Y39" s="277">
        <v>14.5</v>
      </c>
      <c r="Z39" s="277">
        <v>14.5</v>
      </c>
      <c r="AA39" s="210">
        <v>14.869773386860007</v>
      </c>
      <c r="AB39" s="235">
        <v>14.455124724546796</v>
      </c>
      <c r="AC39" s="225">
        <v>12</v>
      </c>
      <c r="AD39" s="210">
        <f t="shared" si="6"/>
        <v>17.677695778183104</v>
      </c>
      <c r="AE39" s="263">
        <f t="shared" si="7"/>
        <v>15.010299956639813</v>
      </c>
      <c r="AF39" s="234">
        <v>-0.47</v>
      </c>
      <c r="AG39" s="175">
        <f t="shared" ref="AG39:AG51" si="23">AF39+AE39</f>
        <v>14.540299956639812</v>
      </c>
      <c r="AH39" s="157"/>
      <c r="AI39" s="187"/>
      <c r="AJ39" s="168"/>
      <c r="AK39" s="168"/>
      <c r="AL39" s="168"/>
      <c r="AM39" s="168"/>
      <c r="AN39" s="168"/>
      <c r="AO39" s="168"/>
      <c r="AP39" s="185"/>
      <c r="AQ39" s="185"/>
      <c r="AR39" s="168"/>
      <c r="AS39" s="168"/>
      <c r="AT39" s="185"/>
      <c r="AU39" s="185"/>
      <c r="AV39" s="168"/>
      <c r="AW39" s="168"/>
      <c r="AX39" s="185"/>
      <c r="AY39" s="168"/>
      <c r="AZ39" s="168"/>
      <c r="BA39" s="115"/>
      <c r="BB39" s="115"/>
      <c r="BC39" s="115"/>
    </row>
    <row r="40" spans="1:55" s="116" customFormat="1" ht="24.9" customHeight="1" thickBot="1" x14ac:dyDescent="0.3">
      <c r="A40" s="168"/>
      <c r="B40" s="332"/>
      <c r="C40" s="330"/>
      <c r="D40" s="330"/>
      <c r="E40" s="192" t="s">
        <v>123</v>
      </c>
      <c r="F40" s="123">
        <f>'WLAN 5 GHz 802.11ax Ant1'!F40</f>
        <v>0</v>
      </c>
      <c r="G40" s="123">
        <f t="shared" si="20"/>
        <v>0</v>
      </c>
      <c r="H40" s="277">
        <v>14.5</v>
      </c>
      <c r="I40" s="277">
        <v>14.5</v>
      </c>
      <c r="J40" s="210">
        <v>14.670861931202388</v>
      </c>
      <c r="K40" s="225">
        <v>14.284907866764486</v>
      </c>
      <c r="L40" s="225">
        <v>15</v>
      </c>
      <c r="M40" s="210">
        <f t="shared" si="3"/>
        <v>17.492470874472851</v>
      </c>
      <c r="N40" s="263">
        <f t="shared" si="4"/>
        <v>18.010299956639813</v>
      </c>
      <c r="O40" s="234">
        <v>-0.21</v>
      </c>
      <c r="P40" s="175">
        <f t="shared" si="22"/>
        <v>17.800299956639812</v>
      </c>
      <c r="Q40" s="168"/>
      <c r="R40" s="168"/>
      <c r="S40" s="348"/>
      <c r="T40" s="330"/>
      <c r="U40" s="330"/>
      <c r="V40" s="123" t="s">
        <v>123</v>
      </c>
      <c r="W40" s="123">
        <f>'WLAN 5 GHz 802.11ax Ant1'!S40</f>
        <v>0</v>
      </c>
      <c r="X40" s="123">
        <f t="shared" si="21"/>
        <v>0</v>
      </c>
      <c r="Y40" s="277">
        <v>14.5</v>
      </c>
      <c r="Z40" s="277">
        <v>14.5</v>
      </c>
      <c r="AA40" s="210">
        <v>15.086273343157639</v>
      </c>
      <c r="AB40" s="235">
        <v>14.905908662185515</v>
      </c>
      <c r="AC40" s="225">
        <v>15</v>
      </c>
      <c r="AD40" s="210">
        <f t="shared" si="6"/>
        <v>18.007327221509776</v>
      </c>
      <c r="AE40" s="263">
        <f t="shared" si="7"/>
        <v>18.010299956639813</v>
      </c>
      <c r="AF40" s="234">
        <v>-0.47</v>
      </c>
      <c r="AG40" s="175">
        <f t="shared" si="23"/>
        <v>17.540299956639814</v>
      </c>
      <c r="AH40" s="157"/>
      <c r="AI40" s="187"/>
      <c r="AJ40" s="168"/>
      <c r="AK40" s="168"/>
      <c r="AL40" s="168"/>
      <c r="AM40" s="168"/>
      <c r="AN40" s="168"/>
      <c r="AO40" s="168"/>
      <c r="AP40" s="185"/>
      <c r="AQ40" s="185"/>
      <c r="AR40" s="168"/>
      <c r="AS40" s="168"/>
      <c r="AT40" s="185"/>
      <c r="AU40" s="185"/>
      <c r="AV40" s="168"/>
      <c r="AW40" s="168"/>
      <c r="AX40" s="185"/>
      <c r="AY40" s="168"/>
      <c r="AZ40" s="168"/>
      <c r="BA40" s="115"/>
      <c r="BB40" s="115"/>
      <c r="BC40" s="115"/>
    </row>
    <row r="41" spans="1:55" s="116" customFormat="1" ht="24.9" customHeight="1" thickBot="1" x14ac:dyDescent="0.3">
      <c r="A41" s="168"/>
      <c r="B41" s="332"/>
      <c r="C41" s="330"/>
      <c r="D41" s="330"/>
      <c r="E41" s="192" t="s">
        <v>147</v>
      </c>
      <c r="F41" s="123">
        <f>'WLAN 5 GHz 802.11ax Ant1'!F41</f>
        <v>0</v>
      </c>
      <c r="G41" s="123">
        <f t="shared" si="20"/>
        <v>0</v>
      </c>
      <c r="H41" s="277">
        <v>9.5</v>
      </c>
      <c r="I41" s="277">
        <v>9.5</v>
      </c>
      <c r="J41" s="220">
        <v>9.7191646381403274</v>
      </c>
      <c r="K41" s="241">
        <v>9.3160971587779748</v>
      </c>
      <c r="L41" s="225">
        <v>16</v>
      </c>
      <c r="M41" s="210">
        <f t="shared" si="3"/>
        <v>12.532605250144881</v>
      </c>
      <c r="N41" s="263">
        <f t="shared" si="4"/>
        <v>19.010299956639816</v>
      </c>
      <c r="O41" s="234">
        <v>-0.21</v>
      </c>
      <c r="P41" s="175">
        <f t="shared" si="22"/>
        <v>18.800299956639815</v>
      </c>
      <c r="Q41" s="168"/>
      <c r="R41" s="168"/>
      <c r="S41" s="348"/>
      <c r="T41" s="330"/>
      <c r="U41" s="330"/>
      <c r="V41" s="192" t="s">
        <v>147</v>
      </c>
      <c r="W41" s="123">
        <f>'WLAN 5 GHz 802.11ax Ant1'!S41</f>
        <v>0</v>
      </c>
      <c r="X41" s="123">
        <f t="shared" si="21"/>
        <v>0</v>
      </c>
      <c r="Y41" s="277">
        <v>9.5</v>
      </c>
      <c r="Z41" s="277">
        <v>9.5</v>
      </c>
      <c r="AA41" s="220">
        <v>9.3452877652227624</v>
      </c>
      <c r="AB41" s="236">
        <v>9.4392655121683173</v>
      </c>
      <c r="AC41" s="225">
        <v>16</v>
      </c>
      <c r="AD41" s="210">
        <f t="shared" si="6"/>
        <v>12.402830790500746</v>
      </c>
      <c r="AE41" s="263">
        <f t="shared" si="7"/>
        <v>19.010299956639816</v>
      </c>
      <c r="AF41" s="234">
        <v>-0.47</v>
      </c>
      <c r="AG41" s="175">
        <f t="shared" si="23"/>
        <v>18.540299956639817</v>
      </c>
      <c r="AH41" s="157"/>
      <c r="AI41" s="187"/>
      <c r="AJ41" s="168"/>
      <c r="AK41" s="168"/>
      <c r="AL41" s="168"/>
      <c r="AM41" s="168"/>
      <c r="AN41" s="168"/>
      <c r="AO41" s="168"/>
      <c r="AP41" s="185"/>
      <c r="AQ41" s="185"/>
      <c r="AR41" s="168"/>
      <c r="AS41" s="168"/>
      <c r="AT41" s="185"/>
      <c r="AU41" s="185"/>
      <c r="AV41" s="168"/>
      <c r="AW41" s="168"/>
      <c r="AX41" s="185"/>
      <c r="AY41" s="168"/>
      <c r="AZ41" s="168"/>
      <c r="BA41" s="115"/>
      <c r="BB41" s="115"/>
      <c r="BC41" s="115"/>
    </row>
    <row r="42" spans="1:55" s="116" customFormat="1" ht="24.9" customHeight="1" thickBot="1" x14ac:dyDescent="0.3">
      <c r="A42" s="168"/>
      <c r="B42" s="332"/>
      <c r="C42" s="330"/>
      <c r="D42" s="330"/>
      <c r="E42" s="192" t="s">
        <v>161</v>
      </c>
      <c r="F42" s="123">
        <f>'WLAN 5 GHz 802.11ax Ant1'!F42</f>
        <v>0</v>
      </c>
      <c r="G42" s="123">
        <f t="shared" si="20"/>
        <v>0</v>
      </c>
      <c r="H42" s="277">
        <v>11.5</v>
      </c>
      <c r="I42" s="277">
        <v>11.5</v>
      </c>
      <c r="J42" s="220">
        <v>11.295692405101136</v>
      </c>
      <c r="K42" s="241">
        <v>11.901589718365228</v>
      </c>
      <c r="L42" s="225">
        <v>15</v>
      </c>
      <c r="M42" s="210">
        <f t="shared" si="3"/>
        <v>14.61949878014579</v>
      </c>
      <c r="N42" s="263">
        <f t="shared" si="4"/>
        <v>18.010299956639813</v>
      </c>
      <c r="O42" s="234">
        <v>-0.21</v>
      </c>
      <c r="P42" s="175">
        <f t="shared" si="22"/>
        <v>17.800299956639812</v>
      </c>
      <c r="Q42" s="168"/>
      <c r="R42" s="168"/>
      <c r="S42" s="348"/>
      <c r="T42" s="330"/>
      <c r="U42" s="330"/>
      <c r="V42" s="192" t="s">
        <v>161</v>
      </c>
      <c r="W42" s="123">
        <f>'WLAN 5 GHz 802.11ax Ant1'!S42</f>
        <v>0</v>
      </c>
      <c r="X42" s="123">
        <f t="shared" si="21"/>
        <v>0</v>
      </c>
      <c r="Y42" s="277">
        <v>11.5</v>
      </c>
      <c r="Z42" s="277">
        <v>11.5</v>
      </c>
      <c r="AA42" s="220">
        <v>11.869643001294689</v>
      </c>
      <c r="AB42" s="236">
        <v>11.231837186030193</v>
      </c>
      <c r="AC42" s="225">
        <v>15</v>
      </c>
      <c r="AD42" s="210">
        <f t="shared" si="6"/>
        <v>14.572738080865941</v>
      </c>
      <c r="AE42" s="263">
        <f t="shared" si="7"/>
        <v>18.010299956639813</v>
      </c>
      <c r="AF42" s="234">
        <v>-0.47</v>
      </c>
      <c r="AG42" s="175">
        <f t="shared" si="23"/>
        <v>17.540299956639814</v>
      </c>
      <c r="AH42" s="157"/>
      <c r="AI42" s="187"/>
      <c r="AJ42" s="168"/>
      <c r="AK42" s="168"/>
      <c r="AL42" s="168"/>
      <c r="AM42" s="168"/>
      <c r="AN42" s="168"/>
      <c r="AO42" s="168"/>
      <c r="AP42" s="185"/>
      <c r="AQ42" s="185"/>
      <c r="AR42" s="168"/>
      <c r="AS42" s="168"/>
      <c r="AT42" s="185"/>
      <c r="AU42" s="185"/>
      <c r="AV42" s="168"/>
      <c r="AW42" s="168"/>
      <c r="AX42" s="185"/>
      <c r="AY42" s="168"/>
      <c r="AZ42" s="168"/>
      <c r="BA42" s="115"/>
      <c r="BB42" s="115"/>
      <c r="BC42" s="115"/>
    </row>
    <row r="43" spans="1:55" s="116" customFormat="1" ht="24.9" customHeight="1" thickBot="1" x14ac:dyDescent="0.3">
      <c r="A43" s="168"/>
      <c r="B43" s="332"/>
      <c r="C43" s="330"/>
      <c r="D43" s="330"/>
      <c r="E43" s="192" t="s">
        <v>169</v>
      </c>
      <c r="F43" s="123">
        <f>'WLAN 5 GHz 802.11ax Ant1'!F43</f>
        <v>0</v>
      </c>
      <c r="G43" s="123">
        <f t="shared" si="20"/>
        <v>0</v>
      </c>
      <c r="H43" s="277">
        <v>14.5</v>
      </c>
      <c r="I43" s="277">
        <v>14.5</v>
      </c>
      <c r="J43" s="220">
        <v>14.999277812624136</v>
      </c>
      <c r="K43" s="236">
        <v>15.784520595201045</v>
      </c>
      <c r="L43" s="225">
        <v>15</v>
      </c>
      <c r="M43" s="210">
        <f t="shared" si="3"/>
        <v>18.419922392227427</v>
      </c>
      <c r="N43" s="263">
        <f t="shared" si="4"/>
        <v>18.010299956639813</v>
      </c>
      <c r="O43" s="234">
        <v>-0.21</v>
      </c>
      <c r="P43" s="175">
        <f t="shared" si="22"/>
        <v>17.800299956639812</v>
      </c>
      <c r="Q43" s="168"/>
      <c r="R43" s="168"/>
      <c r="S43" s="348"/>
      <c r="T43" s="330"/>
      <c r="U43" s="330"/>
      <c r="V43" s="192" t="s">
        <v>169</v>
      </c>
      <c r="W43" s="123">
        <f>'WLAN 5 GHz 802.11ax Ant1'!S43</f>
        <v>0</v>
      </c>
      <c r="X43" s="123">
        <f t="shared" si="21"/>
        <v>0</v>
      </c>
      <c r="Y43" s="277">
        <v>14.5</v>
      </c>
      <c r="Z43" s="277">
        <v>14.5</v>
      </c>
      <c r="AA43" s="220">
        <v>15.617438652007113</v>
      </c>
      <c r="AB43" s="236">
        <v>15.020551475402316</v>
      </c>
      <c r="AC43" s="225">
        <v>15</v>
      </c>
      <c r="AD43" s="210">
        <f t="shared" si="6"/>
        <v>18.339541358424345</v>
      </c>
      <c r="AE43" s="263">
        <f t="shared" si="7"/>
        <v>18.010299956639813</v>
      </c>
      <c r="AF43" s="234">
        <v>-0.47</v>
      </c>
      <c r="AG43" s="175">
        <f t="shared" si="23"/>
        <v>17.540299956639814</v>
      </c>
      <c r="AH43" s="157"/>
      <c r="AI43" s="187"/>
      <c r="AJ43" s="168"/>
      <c r="AK43" s="168"/>
      <c r="AL43" s="168"/>
      <c r="AM43" s="168"/>
      <c r="AN43" s="168"/>
      <c r="AO43" s="168"/>
      <c r="AP43" s="185"/>
      <c r="AQ43" s="185"/>
      <c r="AR43" s="168"/>
      <c r="AS43" s="168"/>
      <c r="AT43" s="185"/>
      <c r="AU43" s="185"/>
      <c r="AV43" s="168"/>
      <c r="AW43" s="168"/>
      <c r="AX43" s="185"/>
      <c r="AY43" s="168"/>
      <c r="AZ43" s="168"/>
      <c r="BA43" s="115"/>
      <c r="BB43" s="115"/>
      <c r="BC43" s="115"/>
    </row>
    <row r="44" spans="1:55" s="116" customFormat="1" ht="24.9" customHeight="1" thickBot="1" x14ac:dyDescent="0.3">
      <c r="A44" s="168"/>
      <c r="B44" s="332"/>
      <c r="C44" s="330"/>
      <c r="D44" s="330"/>
      <c r="E44" s="192" t="s">
        <v>125</v>
      </c>
      <c r="F44" s="123" t="str">
        <f>'WLAN 5 GHz 802.11ax Ant1'!F44</f>
        <v>X</v>
      </c>
      <c r="G44" s="123">
        <f t="shared" si="20"/>
        <v>0</v>
      </c>
      <c r="H44" s="277">
        <v>15.5</v>
      </c>
      <c r="I44" s="277">
        <v>15.5</v>
      </c>
      <c r="J44" s="220">
        <v>15.639975196950534</v>
      </c>
      <c r="K44" s="236">
        <v>15.953917314303132</v>
      </c>
      <c r="L44" s="225">
        <v>10</v>
      </c>
      <c r="M44" s="210">
        <f t="shared" si="3"/>
        <v>18.810082369677762</v>
      </c>
      <c r="N44" s="263">
        <f t="shared" si="4"/>
        <v>13.010299956639813</v>
      </c>
      <c r="O44" s="234">
        <v>-0.21</v>
      </c>
      <c r="P44" s="175">
        <f t="shared" si="22"/>
        <v>12.800299956639812</v>
      </c>
      <c r="Q44" s="168"/>
      <c r="R44" s="168"/>
      <c r="S44" s="348"/>
      <c r="T44" s="330"/>
      <c r="U44" s="330"/>
      <c r="V44" s="192" t="s">
        <v>125</v>
      </c>
      <c r="W44" s="123" t="str">
        <f>'WLAN 5 GHz 802.11ax Ant1'!S44</f>
        <v>X</v>
      </c>
      <c r="X44" s="123">
        <f t="shared" si="21"/>
        <v>0</v>
      </c>
      <c r="Y44" s="277">
        <v>15.5</v>
      </c>
      <c r="Z44" s="277">
        <v>15.5</v>
      </c>
      <c r="AA44" s="220">
        <v>15.858974769402117</v>
      </c>
      <c r="AB44" s="236">
        <v>15.5297733316863</v>
      </c>
      <c r="AC44" s="225">
        <v>10</v>
      </c>
      <c r="AD44" s="210">
        <f t="shared" si="6"/>
        <v>18.707792503251945</v>
      </c>
      <c r="AE44" s="263">
        <f t="shared" si="7"/>
        <v>13.010299956639813</v>
      </c>
      <c r="AF44" s="234">
        <v>-0.47</v>
      </c>
      <c r="AG44" s="175">
        <f t="shared" si="23"/>
        <v>12.540299956639812</v>
      </c>
      <c r="AH44" s="157"/>
      <c r="AI44" s="187"/>
      <c r="AJ44" s="168"/>
      <c r="AK44" s="168"/>
      <c r="AL44" s="168"/>
      <c r="AM44" s="168"/>
      <c r="AN44" s="168"/>
      <c r="AO44" s="168"/>
      <c r="AP44" s="185"/>
      <c r="AQ44" s="185"/>
      <c r="AR44" s="168"/>
      <c r="AS44" s="168"/>
      <c r="AT44" s="185"/>
      <c r="AU44" s="185"/>
      <c r="AV44" s="168"/>
      <c r="AW44" s="168"/>
      <c r="AX44" s="185"/>
      <c r="AY44" s="168"/>
      <c r="AZ44" s="168"/>
      <c r="BA44" s="115"/>
      <c r="BB44" s="115"/>
      <c r="BC44" s="115"/>
    </row>
    <row r="45" spans="1:55" ht="24.9" customHeight="1" thickBot="1" x14ac:dyDescent="0.3">
      <c r="A45" s="168"/>
      <c r="B45" s="332"/>
      <c r="C45" s="330">
        <v>5290</v>
      </c>
      <c r="D45" s="330">
        <v>58</v>
      </c>
      <c r="E45" s="192" t="str">
        <f>E38</f>
        <v>26T</v>
      </c>
      <c r="F45" s="123">
        <f>'WLAN 5 GHz 802.11ax Ant1'!F45</f>
        <v>0</v>
      </c>
      <c r="G45" s="123">
        <f t="shared" si="20"/>
        <v>0</v>
      </c>
      <c r="H45" s="277">
        <v>14.5</v>
      </c>
      <c r="I45" s="277">
        <v>14.5</v>
      </c>
      <c r="J45" s="220">
        <v>16.015124077853507</v>
      </c>
      <c r="K45" s="236">
        <v>15.655289195100025</v>
      </c>
      <c r="L45" s="225">
        <v>12</v>
      </c>
      <c r="M45" s="210">
        <f t="shared" si="3"/>
        <v>18.849232294466841</v>
      </c>
      <c r="N45" s="263">
        <f t="shared" si="4"/>
        <v>15.010299956639813</v>
      </c>
      <c r="O45" s="234">
        <v>-0.21</v>
      </c>
      <c r="P45" s="175">
        <f t="shared" si="22"/>
        <v>14.800299956639812</v>
      </c>
      <c r="Q45" s="168"/>
      <c r="R45" s="190"/>
      <c r="S45" s="348"/>
      <c r="T45" s="330">
        <v>5610</v>
      </c>
      <c r="U45" s="330">
        <v>122</v>
      </c>
      <c r="V45" s="192" t="str">
        <f>V38</f>
        <v>26T</v>
      </c>
      <c r="W45" s="123">
        <f>'WLAN 5 GHz 802.11ax Ant1'!S45</f>
        <v>0</v>
      </c>
      <c r="X45" s="123">
        <f t="shared" si="21"/>
        <v>0</v>
      </c>
      <c r="Y45" s="277">
        <v>14.5</v>
      </c>
      <c r="Z45" s="277">
        <v>14.5</v>
      </c>
      <c r="AA45" s="220">
        <v>15.779045156116462</v>
      </c>
      <c r="AB45" s="236">
        <v>15.191599549269728</v>
      </c>
      <c r="AC45" s="225">
        <v>12</v>
      </c>
      <c r="AD45" s="210">
        <f t="shared" si="6"/>
        <v>18.505547302455131</v>
      </c>
      <c r="AE45" s="263">
        <f t="shared" si="7"/>
        <v>15.010299956639813</v>
      </c>
      <c r="AF45" s="234">
        <v>-0.47</v>
      </c>
      <c r="AG45" s="175">
        <f t="shared" si="23"/>
        <v>14.540299956639812</v>
      </c>
      <c r="AH45" s="157"/>
      <c r="AI45" s="187"/>
      <c r="AJ45" s="168"/>
      <c r="AK45" s="168"/>
      <c r="AL45" s="168"/>
      <c r="AM45" s="168"/>
      <c r="AN45" s="168"/>
      <c r="AO45" s="168"/>
      <c r="AP45" s="185"/>
      <c r="AQ45" s="185"/>
      <c r="AR45" s="168"/>
      <c r="AS45" s="168"/>
      <c r="AT45" s="185"/>
      <c r="AU45" s="185"/>
      <c r="AV45" s="168"/>
      <c r="AW45" s="168"/>
      <c r="AX45" s="185"/>
      <c r="AY45" s="168"/>
      <c r="AZ45" s="168"/>
    </row>
    <row r="46" spans="1:55" ht="24.9" customHeight="1" thickBot="1" x14ac:dyDescent="0.3">
      <c r="A46" s="168"/>
      <c r="B46" s="332"/>
      <c r="C46" s="330"/>
      <c r="D46" s="330"/>
      <c r="E46" s="192" t="str">
        <f t="shared" ref="E46:E51" si="24">E39</f>
        <v>52T</v>
      </c>
      <c r="F46" s="123">
        <f>'WLAN 5 GHz 802.11ax Ant1'!F46</f>
        <v>0</v>
      </c>
      <c r="G46" s="123">
        <f t="shared" si="20"/>
        <v>0</v>
      </c>
      <c r="H46" s="277">
        <v>14.5</v>
      </c>
      <c r="I46" s="277">
        <v>14.5</v>
      </c>
      <c r="J46" s="220">
        <v>15.199890221495185</v>
      </c>
      <c r="K46" s="236">
        <v>15.638336279830655</v>
      </c>
      <c r="L46" s="225">
        <v>15</v>
      </c>
      <c r="M46" s="210">
        <f t="shared" si="3"/>
        <v>18.434943825722989</v>
      </c>
      <c r="N46" s="263">
        <f t="shared" si="4"/>
        <v>18.010299956639813</v>
      </c>
      <c r="O46" s="234">
        <v>-0.21</v>
      </c>
      <c r="P46" s="175">
        <f t="shared" si="22"/>
        <v>17.800299956639812</v>
      </c>
      <c r="Q46" s="190"/>
      <c r="R46" s="168"/>
      <c r="S46" s="348"/>
      <c r="T46" s="330"/>
      <c r="U46" s="330"/>
      <c r="V46" s="192" t="str">
        <f t="shared" ref="V46:V51" si="25">V39</f>
        <v>52T</v>
      </c>
      <c r="W46" s="123">
        <f>'WLAN 5 GHz 802.11ax Ant1'!S46</f>
        <v>0</v>
      </c>
      <c r="X46" s="123">
        <f t="shared" si="21"/>
        <v>0</v>
      </c>
      <c r="Y46" s="277">
        <v>14.5</v>
      </c>
      <c r="Z46" s="277">
        <v>14.5</v>
      </c>
      <c r="AA46" s="220">
        <v>15.038247045540048</v>
      </c>
      <c r="AB46" s="236">
        <v>15.073909637490864</v>
      </c>
      <c r="AC46" s="225">
        <v>15</v>
      </c>
      <c r="AD46" s="210">
        <f t="shared" si="6"/>
        <v>18.066414903987955</v>
      </c>
      <c r="AE46" s="263">
        <f t="shared" si="7"/>
        <v>18.010299956639813</v>
      </c>
      <c r="AF46" s="234">
        <v>-0.47</v>
      </c>
      <c r="AG46" s="175">
        <f t="shared" si="23"/>
        <v>17.540299956639814</v>
      </c>
      <c r="AH46" s="157"/>
      <c r="AI46" s="168"/>
      <c r="AJ46" s="168"/>
      <c r="AK46" s="168"/>
      <c r="AL46" s="168"/>
      <c r="AM46" s="168"/>
      <c r="AN46" s="168"/>
      <c r="AO46" s="168"/>
      <c r="AP46" s="185"/>
      <c r="AQ46" s="185"/>
      <c r="AR46" s="168"/>
      <c r="AS46" s="168"/>
      <c r="AT46" s="185"/>
      <c r="AU46" s="185"/>
      <c r="AV46" s="168"/>
      <c r="AW46" s="168"/>
      <c r="AX46" s="185"/>
      <c r="AY46" s="168"/>
      <c r="AZ46" s="168"/>
    </row>
    <row r="47" spans="1:55" ht="24.9" customHeight="1" thickBot="1" x14ac:dyDescent="0.3">
      <c r="A47" s="168"/>
      <c r="B47" s="332"/>
      <c r="C47" s="330"/>
      <c r="D47" s="330"/>
      <c r="E47" s="192" t="str">
        <f t="shared" si="24"/>
        <v>106T</v>
      </c>
      <c r="F47" s="123">
        <f>'WLAN 5 GHz 802.11ax Ant1'!F47</f>
        <v>0</v>
      </c>
      <c r="G47" s="123">
        <f t="shared" si="20"/>
        <v>0</v>
      </c>
      <c r="H47" s="277">
        <v>9.5</v>
      </c>
      <c r="I47" s="277">
        <v>9.5</v>
      </c>
      <c r="J47" s="220">
        <v>9.9677299405360689</v>
      </c>
      <c r="K47" s="236">
        <v>9.8456836489604704</v>
      </c>
      <c r="L47" s="225">
        <v>16</v>
      </c>
      <c r="M47" s="210">
        <f t="shared" si="3"/>
        <v>12.917435458400135</v>
      </c>
      <c r="N47" s="263">
        <f t="shared" si="4"/>
        <v>19.010299956639816</v>
      </c>
      <c r="O47" s="234">
        <v>-0.21</v>
      </c>
      <c r="P47" s="175">
        <f t="shared" si="22"/>
        <v>18.800299956639815</v>
      </c>
      <c r="Q47" s="190"/>
      <c r="R47" s="168"/>
      <c r="S47" s="348"/>
      <c r="T47" s="330"/>
      <c r="U47" s="330"/>
      <c r="V47" s="192" t="str">
        <f t="shared" si="25"/>
        <v>106T</v>
      </c>
      <c r="W47" s="123">
        <f>'WLAN 5 GHz 802.11ax Ant1'!S47</f>
        <v>0</v>
      </c>
      <c r="X47" s="123">
        <f t="shared" si="21"/>
        <v>0</v>
      </c>
      <c r="Y47" s="277">
        <v>9.5</v>
      </c>
      <c r="Z47" s="277">
        <v>9.5</v>
      </c>
      <c r="AA47" s="220">
        <v>10.435056099581361</v>
      </c>
      <c r="AB47" s="236">
        <v>10.452500706493877</v>
      </c>
      <c r="AC47" s="225">
        <v>16</v>
      </c>
      <c r="AD47" s="210">
        <f t="shared" si="6"/>
        <v>13.454087118541477</v>
      </c>
      <c r="AE47" s="263">
        <f t="shared" si="7"/>
        <v>19.010299956639816</v>
      </c>
      <c r="AF47" s="234">
        <v>-0.47</v>
      </c>
      <c r="AG47" s="175">
        <f t="shared" si="23"/>
        <v>18.540299956639817</v>
      </c>
      <c r="AH47" s="157"/>
      <c r="AI47" s="168"/>
      <c r="AJ47" s="168"/>
      <c r="AK47" s="168"/>
      <c r="AL47" s="168"/>
      <c r="AM47" s="168"/>
      <c r="AN47" s="168"/>
      <c r="AO47" s="168"/>
      <c r="AP47" s="185"/>
      <c r="AQ47" s="185"/>
      <c r="AR47" s="168"/>
      <c r="AS47" s="168"/>
      <c r="AT47" s="185"/>
      <c r="AU47" s="185"/>
      <c r="AV47" s="168"/>
      <c r="AW47" s="168"/>
      <c r="AX47" s="185"/>
      <c r="AY47" s="168"/>
      <c r="AZ47" s="168"/>
    </row>
    <row r="48" spans="1:55" ht="24.9" customHeight="1" thickBot="1" x14ac:dyDescent="0.3">
      <c r="A48" s="168"/>
      <c r="B48" s="332"/>
      <c r="C48" s="330"/>
      <c r="D48" s="330"/>
      <c r="E48" s="192" t="str">
        <f t="shared" si="24"/>
        <v>242T</v>
      </c>
      <c r="F48" s="123">
        <f>'WLAN 5 GHz 802.11ax Ant1'!F48</f>
        <v>0</v>
      </c>
      <c r="G48" s="123">
        <f t="shared" si="20"/>
        <v>0</v>
      </c>
      <c r="H48" s="277">
        <v>11.5</v>
      </c>
      <c r="I48" s="277">
        <v>11.5</v>
      </c>
      <c r="J48" s="220">
        <v>12.723133736094038</v>
      </c>
      <c r="K48" s="236">
        <v>12.28238369137325</v>
      </c>
      <c r="L48" s="225">
        <v>15</v>
      </c>
      <c r="M48" s="210">
        <f t="shared" si="3"/>
        <v>15.518647542126626</v>
      </c>
      <c r="N48" s="263">
        <f t="shared" si="4"/>
        <v>18.010299956639813</v>
      </c>
      <c r="O48" s="234">
        <v>-0.21</v>
      </c>
      <c r="P48" s="175">
        <f t="shared" si="22"/>
        <v>17.800299956639812</v>
      </c>
      <c r="Q48" s="190"/>
      <c r="R48" s="190"/>
      <c r="S48" s="348"/>
      <c r="T48" s="330"/>
      <c r="U48" s="330"/>
      <c r="V48" s="192" t="str">
        <f t="shared" si="25"/>
        <v>242T</v>
      </c>
      <c r="W48" s="123">
        <f>'WLAN 5 GHz 802.11ax Ant1'!S48</f>
        <v>0</v>
      </c>
      <c r="X48" s="123">
        <f t="shared" si="21"/>
        <v>0</v>
      </c>
      <c r="Y48" s="277">
        <v>11.5</v>
      </c>
      <c r="Z48" s="277">
        <v>11.5</v>
      </c>
      <c r="AA48" s="220">
        <v>12.481546718775538</v>
      </c>
      <c r="AB48" s="236">
        <v>12.714504752225711</v>
      </c>
      <c r="AC48" s="225">
        <v>15</v>
      </c>
      <c r="AD48" s="210">
        <f t="shared" si="6"/>
        <v>15.609887505109675</v>
      </c>
      <c r="AE48" s="263">
        <f t="shared" si="7"/>
        <v>18.010299956639813</v>
      </c>
      <c r="AF48" s="234">
        <v>-0.47</v>
      </c>
      <c r="AG48" s="175">
        <f t="shared" si="23"/>
        <v>17.540299956639814</v>
      </c>
      <c r="AH48" s="157"/>
      <c r="AI48" s="168"/>
      <c r="AJ48" s="168"/>
      <c r="AK48" s="168"/>
      <c r="AL48" s="168"/>
      <c r="AM48" s="168"/>
      <c r="AN48" s="168"/>
      <c r="AO48" s="168"/>
      <c r="AP48" s="185"/>
      <c r="AQ48" s="185"/>
      <c r="AR48" s="168"/>
      <c r="AS48" s="168"/>
      <c r="AT48" s="185"/>
      <c r="AU48" s="185"/>
      <c r="AV48" s="168"/>
      <c r="AW48" s="168"/>
      <c r="AX48" s="185"/>
      <c r="AY48" s="168"/>
      <c r="AZ48" s="168"/>
    </row>
    <row r="49" spans="1:52" ht="24.9" customHeight="1" thickBot="1" x14ac:dyDescent="0.3">
      <c r="A49" s="168"/>
      <c r="B49" s="332"/>
      <c r="C49" s="330"/>
      <c r="D49" s="330"/>
      <c r="E49" s="192" t="str">
        <f t="shared" si="24"/>
        <v>484T</v>
      </c>
      <c r="F49" s="123">
        <f>'WLAN 5 GHz 802.11ax Ant1'!F49</f>
        <v>0</v>
      </c>
      <c r="G49" s="123">
        <f t="shared" si="20"/>
        <v>0</v>
      </c>
      <c r="H49" s="277">
        <v>14.5</v>
      </c>
      <c r="I49" s="277">
        <v>14.5</v>
      </c>
      <c r="J49" s="220">
        <v>16.307710838230669</v>
      </c>
      <c r="K49" s="236">
        <v>16.281400521571374</v>
      </c>
      <c r="L49" s="225">
        <v>15</v>
      </c>
      <c r="M49" s="210">
        <f t="shared" si="3"/>
        <v>19.304875560570871</v>
      </c>
      <c r="N49" s="263">
        <f t="shared" si="4"/>
        <v>18.010299956639813</v>
      </c>
      <c r="O49" s="234">
        <v>-0.21</v>
      </c>
      <c r="P49" s="175">
        <f t="shared" si="22"/>
        <v>17.800299956639812</v>
      </c>
      <c r="Q49" s="190"/>
      <c r="R49" s="190"/>
      <c r="S49" s="348"/>
      <c r="T49" s="330"/>
      <c r="U49" s="330"/>
      <c r="V49" s="192" t="str">
        <f t="shared" si="25"/>
        <v>484T</v>
      </c>
      <c r="W49" s="123">
        <f>'WLAN 5 GHz 802.11ax Ant1'!S49</f>
        <v>0</v>
      </c>
      <c r="X49" s="123">
        <f t="shared" si="21"/>
        <v>0</v>
      </c>
      <c r="Y49" s="277">
        <v>14.5</v>
      </c>
      <c r="Z49" s="277">
        <v>14.5</v>
      </c>
      <c r="AA49" s="220">
        <v>15.532733687659617</v>
      </c>
      <c r="AB49" s="236">
        <v>15.447370249427495</v>
      </c>
      <c r="AC49" s="225">
        <v>15</v>
      </c>
      <c r="AD49" s="210">
        <f t="shared" si="6"/>
        <v>18.500561656126049</v>
      </c>
      <c r="AE49" s="263">
        <f t="shared" si="7"/>
        <v>18.010299956639813</v>
      </c>
      <c r="AF49" s="234">
        <v>-0.47</v>
      </c>
      <c r="AG49" s="175">
        <f t="shared" si="23"/>
        <v>17.540299956639814</v>
      </c>
      <c r="AH49" s="157"/>
      <c r="AI49" s="168"/>
      <c r="AJ49" s="168"/>
      <c r="AK49" s="168"/>
      <c r="AL49" s="168"/>
      <c r="AM49" s="168"/>
      <c r="AN49" s="168"/>
      <c r="AO49" s="168"/>
      <c r="AP49" s="185"/>
      <c r="AQ49" s="185"/>
      <c r="AR49" s="168"/>
      <c r="AS49" s="168"/>
      <c r="AT49" s="185"/>
      <c r="AU49" s="185"/>
      <c r="AV49" s="168"/>
      <c r="AW49" s="168"/>
      <c r="AX49" s="185"/>
      <c r="AY49" s="168"/>
      <c r="AZ49" s="168"/>
    </row>
    <row r="50" spans="1:52" ht="24.9" customHeight="1" thickBot="1" x14ac:dyDescent="0.3">
      <c r="A50" s="168"/>
      <c r="B50" s="332"/>
      <c r="C50" s="330"/>
      <c r="D50" s="330"/>
      <c r="E50" s="192" t="str">
        <f t="shared" si="24"/>
        <v>996T</v>
      </c>
      <c r="F50" s="123">
        <f>'WLAN 5 GHz 802.11ax Ant1'!F50</f>
        <v>0</v>
      </c>
      <c r="G50" s="123">
        <f t="shared" si="20"/>
        <v>0</v>
      </c>
      <c r="H50" s="277">
        <v>15.5</v>
      </c>
      <c r="I50" s="277">
        <v>15.5</v>
      </c>
      <c r="J50" s="220">
        <v>16.944993418939099</v>
      </c>
      <c r="K50" s="236">
        <v>17.154863905273629</v>
      </c>
      <c r="L50" s="225">
        <v>10</v>
      </c>
      <c r="M50" s="210">
        <f t="shared" si="3"/>
        <v>20.06149623029199</v>
      </c>
      <c r="N50" s="263">
        <f t="shared" si="4"/>
        <v>13.010299956639813</v>
      </c>
      <c r="O50" s="234">
        <v>-0.21</v>
      </c>
      <c r="P50" s="175">
        <f t="shared" si="22"/>
        <v>12.800299956639812</v>
      </c>
      <c r="Q50" s="190"/>
      <c r="R50" s="190"/>
      <c r="S50" s="348"/>
      <c r="T50" s="330"/>
      <c r="U50" s="330"/>
      <c r="V50" s="192" t="str">
        <f t="shared" si="25"/>
        <v>996T</v>
      </c>
      <c r="W50" s="123">
        <f>'WLAN 5 GHz 802.11ax Ant1'!S50</f>
        <v>0</v>
      </c>
      <c r="X50" s="123">
        <f t="shared" si="21"/>
        <v>0</v>
      </c>
      <c r="Y50" s="277">
        <v>15.5</v>
      </c>
      <c r="Z50" s="277">
        <v>15.5</v>
      </c>
      <c r="AA50" s="220">
        <v>16.229528277727749</v>
      </c>
      <c r="AB50" s="236">
        <v>16.285641729222707</v>
      </c>
      <c r="AC50" s="225">
        <v>10</v>
      </c>
      <c r="AD50" s="210">
        <f t="shared" si="6"/>
        <v>19.267975586915171</v>
      </c>
      <c r="AE50" s="263">
        <f t="shared" si="7"/>
        <v>13.010299956639813</v>
      </c>
      <c r="AF50" s="234">
        <v>-0.47</v>
      </c>
      <c r="AG50" s="175">
        <f t="shared" si="23"/>
        <v>12.540299956639812</v>
      </c>
      <c r="AH50" s="157"/>
      <c r="AI50" s="168"/>
      <c r="AJ50" s="168"/>
      <c r="AK50" s="168"/>
      <c r="AL50" s="168"/>
      <c r="AM50" s="168"/>
      <c r="AN50" s="168"/>
      <c r="AO50" s="168"/>
      <c r="AP50" s="185"/>
      <c r="AQ50" s="185"/>
      <c r="AR50" s="168"/>
      <c r="AS50" s="168"/>
      <c r="AT50" s="185"/>
      <c r="AU50" s="185"/>
      <c r="AV50" s="168"/>
      <c r="AW50" s="168"/>
      <c r="AX50" s="185"/>
      <c r="AY50" s="168"/>
      <c r="AZ50" s="168"/>
    </row>
    <row r="51" spans="1:52" ht="24.9" customHeight="1" thickBot="1" x14ac:dyDescent="0.3">
      <c r="A51" s="168"/>
      <c r="B51" s="333"/>
      <c r="C51" s="331"/>
      <c r="D51" s="331"/>
      <c r="E51" s="194" t="str">
        <f t="shared" si="24"/>
        <v>SU</v>
      </c>
      <c r="F51" s="125" t="str">
        <f>'WLAN 5 GHz 802.11ax Ant1'!F51</f>
        <v>X</v>
      </c>
      <c r="G51" s="125">
        <f t="shared" si="20"/>
        <v>0</v>
      </c>
      <c r="H51" s="277">
        <v>14.5</v>
      </c>
      <c r="I51" s="277">
        <v>14.5</v>
      </c>
      <c r="J51" s="223">
        <v>15.430617967971852</v>
      </c>
      <c r="K51" s="237">
        <v>15.912058927069133</v>
      </c>
      <c r="L51" s="225">
        <v>12</v>
      </c>
      <c r="M51" s="210">
        <f t="shared" si="3"/>
        <v>18.688306310956996</v>
      </c>
      <c r="N51" s="263">
        <f t="shared" si="4"/>
        <v>15.010299956639813</v>
      </c>
      <c r="O51" s="234">
        <v>-0.21</v>
      </c>
      <c r="P51" s="176">
        <f t="shared" si="22"/>
        <v>14.800299956639812</v>
      </c>
      <c r="Q51" s="190"/>
      <c r="R51" s="190"/>
      <c r="S51" s="349"/>
      <c r="T51" s="331"/>
      <c r="U51" s="331"/>
      <c r="V51" s="194" t="str">
        <f t="shared" si="25"/>
        <v>SU</v>
      </c>
      <c r="W51" s="125" t="str">
        <f>'WLAN 5 GHz 802.11ax Ant1'!S51</f>
        <v>X</v>
      </c>
      <c r="X51" s="125">
        <f t="shared" si="21"/>
        <v>0</v>
      </c>
      <c r="Y51" s="277">
        <v>14.5</v>
      </c>
      <c r="Z51" s="277">
        <v>14.5</v>
      </c>
      <c r="AA51" s="223">
        <v>15.433812487126081</v>
      </c>
      <c r="AB51" s="237">
        <v>15.375520628843041</v>
      </c>
      <c r="AC51" s="225">
        <v>12</v>
      </c>
      <c r="AD51" s="210">
        <f t="shared" si="6"/>
        <v>18.415064314486493</v>
      </c>
      <c r="AE51" s="263">
        <f t="shared" si="7"/>
        <v>15.010299956639813</v>
      </c>
      <c r="AF51" s="234">
        <v>-0.47</v>
      </c>
      <c r="AG51" s="176">
        <f t="shared" si="23"/>
        <v>14.540299956639812</v>
      </c>
      <c r="AH51" s="157"/>
      <c r="AI51" s="168"/>
      <c r="AJ51" s="168"/>
      <c r="AK51" s="168"/>
      <c r="AL51" s="168"/>
      <c r="AM51" s="168"/>
      <c r="AN51" s="168"/>
      <c r="AO51" s="168"/>
      <c r="AP51" s="185"/>
      <c r="AQ51" s="185"/>
      <c r="AR51" s="168"/>
      <c r="AS51" s="168"/>
      <c r="AT51" s="185"/>
      <c r="AU51" s="185"/>
      <c r="AV51" s="168"/>
      <c r="AW51" s="168"/>
      <c r="AX51" s="185"/>
      <c r="AY51" s="168"/>
      <c r="AZ51" s="168"/>
    </row>
    <row r="52" spans="1:52" ht="28.2" thickBot="1" x14ac:dyDescent="0.3">
      <c r="A52" s="189" t="s">
        <v>139</v>
      </c>
      <c r="B52" s="339" t="s">
        <v>171</v>
      </c>
      <c r="C52" s="340">
        <v>5250</v>
      </c>
      <c r="D52" s="340">
        <v>50</v>
      </c>
      <c r="E52" s="202" t="s">
        <v>146</v>
      </c>
      <c r="F52" s="183">
        <f>'WLAN 5 GHz 802.11ax Ant1'!F52</f>
        <v>0</v>
      </c>
      <c r="G52" s="183">
        <f t="shared" ref="G52:G59" si="26">$A$53</f>
        <v>0</v>
      </c>
      <c r="H52" s="277">
        <v>14.5</v>
      </c>
      <c r="I52" s="277">
        <v>14.5</v>
      </c>
      <c r="J52" s="238">
        <v>15.83418751473968</v>
      </c>
      <c r="K52" s="239">
        <v>15.444231324832483</v>
      </c>
      <c r="L52" s="225">
        <v>15</v>
      </c>
      <c r="M52" s="210">
        <f t="shared" si="3"/>
        <v>18.653884713322761</v>
      </c>
      <c r="N52" s="263">
        <f t="shared" si="4"/>
        <v>18.010299956639813</v>
      </c>
      <c r="O52" s="234">
        <v>-0.21</v>
      </c>
      <c r="P52" s="184">
        <f>O52+N52</f>
        <v>17.800299956639812</v>
      </c>
      <c r="Q52" s="190"/>
      <c r="R52" s="189" t="s">
        <v>139</v>
      </c>
      <c r="S52" s="332" t="s">
        <v>171</v>
      </c>
      <c r="T52" s="330">
        <v>5570</v>
      </c>
      <c r="U52" s="330">
        <v>114</v>
      </c>
      <c r="V52" s="192" t="s">
        <v>146</v>
      </c>
      <c r="W52" s="123">
        <f>'WLAN 5 GHz 802.11ax Ant1'!S52</f>
        <v>0</v>
      </c>
      <c r="X52" s="123">
        <f t="shared" ref="X52:X59" si="27">$R$53</f>
        <v>0</v>
      </c>
      <c r="Y52" s="277">
        <v>14.5</v>
      </c>
      <c r="Z52" s="277">
        <v>14.5</v>
      </c>
      <c r="AA52" s="210">
        <v>15.608545673484681</v>
      </c>
      <c r="AB52" s="211">
        <v>15.515662214310066</v>
      </c>
      <c r="AC52" s="225">
        <v>15</v>
      </c>
      <c r="AD52" s="210">
        <f t="shared" si="6"/>
        <v>18.572652210524005</v>
      </c>
      <c r="AE52" s="263">
        <f t="shared" si="7"/>
        <v>18.010299956639813</v>
      </c>
      <c r="AF52" s="234">
        <v>-0.47</v>
      </c>
      <c r="AG52" s="175">
        <f>AF52+AE52</f>
        <v>17.540299956639814</v>
      </c>
      <c r="AH52" s="157"/>
      <c r="AI52" s="168"/>
      <c r="AJ52" s="168"/>
      <c r="AK52" s="168"/>
      <c r="AL52" s="168"/>
      <c r="AM52" s="168"/>
      <c r="AN52" s="168"/>
      <c r="AO52" s="168"/>
      <c r="AP52" s="185"/>
      <c r="AQ52" s="185"/>
      <c r="AR52" s="168"/>
      <c r="AS52" s="168"/>
      <c r="AT52" s="185"/>
      <c r="AU52" s="185"/>
      <c r="AV52" s="168"/>
      <c r="AW52" s="168"/>
      <c r="AX52" s="185"/>
      <c r="AY52" s="168"/>
      <c r="AZ52" s="168"/>
    </row>
    <row r="53" spans="1:52" ht="24.9" customHeight="1" thickBot="1" x14ac:dyDescent="0.3">
      <c r="A53" s="240"/>
      <c r="B53" s="332"/>
      <c r="C53" s="330"/>
      <c r="D53" s="330"/>
      <c r="E53" s="192" t="s">
        <v>120</v>
      </c>
      <c r="F53" s="123">
        <f>'WLAN 5 GHz 802.11ax Ant1'!F53</f>
        <v>0</v>
      </c>
      <c r="G53" s="123">
        <f t="shared" si="26"/>
        <v>0</v>
      </c>
      <c r="H53" s="277">
        <v>9.5</v>
      </c>
      <c r="I53" s="277">
        <v>9.5</v>
      </c>
      <c r="J53" s="210">
        <v>9.6657759648782733</v>
      </c>
      <c r="K53" s="235">
        <v>9.8685791865037302</v>
      </c>
      <c r="L53" s="225">
        <v>16</v>
      </c>
      <c r="M53" s="210">
        <f t="shared" si="3"/>
        <v>12.77866121678886</v>
      </c>
      <c r="N53" s="263">
        <f t="shared" si="4"/>
        <v>19.010299956639816</v>
      </c>
      <c r="O53" s="234">
        <v>-0.21</v>
      </c>
      <c r="P53" s="175">
        <f t="shared" ref="P53:P59" si="28">O53+N53</f>
        <v>18.800299956639815</v>
      </c>
      <c r="Q53" s="118"/>
      <c r="R53" s="191"/>
      <c r="S53" s="332"/>
      <c r="T53" s="330"/>
      <c r="U53" s="330"/>
      <c r="V53" s="192" t="s">
        <v>120</v>
      </c>
      <c r="W53" s="123">
        <f>'WLAN 5 GHz 802.11ax Ant1'!S53</f>
        <v>0</v>
      </c>
      <c r="X53" s="123">
        <f t="shared" si="27"/>
        <v>0</v>
      </c>
      <c r="Y53" s="277">
        <v>9.5</v>
      </c>
      <c r="Z53" s="277">
        <v>9.5</v>
      </c>
      <c r="AA53" s="210">
        <v>9.7426468675866875</v>
      </c>
      <c r="AB53" s="211">
        <v>9.6863313389809917</v>
      </c>
      <c r="AC53" s="225">
        <v>16</v>
      </c>
      <c r="AD53" s="210">
        <f t="shared" si="6"/>
        <v>12.724880340629348</v>
      </c>
      <c r="AE53" s="263">
        <f t="shared" si="7"/>
        <v>19.010299956639816</v>
      </c>
      <c r="AF53" s="234">
        <v>-0.47</v>
      </c>
      <c r="AG53" s="175">
        <f t="shared" ref="AG53:AG59" si="29">AF53+AE53</f>
        <v>18.540299956639817</v>
      </c>
      <c r="AH53" s="185"/>
      <c r="AI53" s="168"/>
      <c r="AJ53" s="168"/>
      <c r="AK53" s="168"/>
      <c r="AL53" s="168"/>
      <c r="AM53" s="168"/>
      <c r="AN53" s="168"/>
      <c r="AO53" s="168"/>
      <c r="AP53" s="185"/>
      <c r="AQ53" s="185"/>
      <c r="AR53" s="168"/>
      <c r="AS53" s="168"/>
      <c r="AT53" s="185"/>
      <c r="AU53" s="185"/>
      <c r="AV53" s="168"/>
      <c r="AW53" s="168"/>
      <c r="AX53" s="185"/>
      <c r="AY53" s="168"/>
      <c r="AZ53" s="168"/>
    </row>
    <row r="54" spans="1:52" ht="24.9" customHeight="1" thickBot="1" x14ac:dyDescent="0.3">
      <c r="A54" s="168"/>
      <c r="B54" s="332"/>
      <c r="C54" s="330"/>
      <c r="D54" s="330"/>
      <c r="E54" s="192" t="s">
        <v>123</v>
      </c>
      <c r="F54" s="123">
        <f>'WLAN 5 GHz 802.11ax Ant1'!F54</f>
        <v>0</v>
      </c>
      <c r="G54" s="123">
        <f t="shared" si="26"/>
        <v>0</v>
      </c>
      <c r="H54" s="277">
        <v>11.5</v>
      </c>
      <c r="I54" s="277">
        <v>11.5</v>
      </c>
      <c r="J54" s="210">
        <v>11.330671609640511</v>
      </c>
      <c r="K54" s="235">
        <v>11.35046537935469</v>
      </c>
      <c r="L54" s="225">
        <v>15</v>
      </c>
      <c r="M54" s="210">
        <f t="shared" si="3"/>
        <v>14.350879727845866</v>
      </c>
      <c r="N54" s="263">
        <f t="shared" si="4"/>
        <v>18.010299956639813</v>
      </c>
      <c r="O54" s="234">
        <v>-0.21</v>
      </c>
      <c r="P54" s="175">
        <f t="shared" si="28"/>
        <v>17.800299956639812</v>
      </c>
      <c r="Q54" s="190"/>
      <c r="R54" s="168"/>
      <c r="S54" s="332"/>
      <c r="T54" s="330"/>
      <c r="U54" s="330"/>
      <c r="V54" s="192" t="s">
        <v>123</v>
      </c>
      <c r="W54" s="123">
        <f>'WLAN 5 GHz 802.11ax Ant1'!S54</f>
        <v>0</v>
      </c>
      <c r="X54" s="123">
        <f t="shared" si="27"/>
        <v>0</v>
      </c>
      <c r="Y54" s="277">
        <v>11.5</v>
      </c>
      <c r="Z54" s="277">
        <v>11.5</v>
      </c>
      <c r="AA54" s="210">
        <v>12.216785687806835</v>
      </c>
      <c r="AB54" s="211">
        <v>11.774581430684245</v>
      </c>
      <c r="AC54" s="225">
        <v>15</v>
      </c>
      <c r="AD54" s="210">
        <f t="shared" si="6"/>
        <v>15.011609312426877</v>
      </c>
      <c r="AE54" s="263">
        <f t="shared" si="7"/>
        <v>18.010299956639813</v>
      </c>
      <c r="AF54" s="234">
        <v>-0.47</v>
      </c>
      <c r="AG54" s="175">
        <f t="shared" si="29"/>
        <v>17.540299956639814</v>
      </c>
      <c r="AH54" s="185"/>
      <c r="AI54" s="168"/>
      <c r="AJ54" s="168"/>
      <c r="AK54" s="168"/>
      <c r="AL54" s="168"/>
      <c r="AM54" s="168"/>
      <c r="AN54" s="168"/>
      <c r="AO54" s="168"/>
      <c r="AP54" s="185"/>
      <c r="AQ54" s="185"/>
      <c r="AR54" s="168"/>
      <c r="AS54" s="168"/>
      <c r="AT54" s="185"/>
      <c r="AU54" s="185"/>
      <c r="AV54" s="168"/>
      <c r="AW54" s="168"/>
      <c r="AX54" s="185"/>
      <c r="AY54" s="168"/>
      <c r="AZ54" s="168"/>
    </row>
    <row r="55" spans="1:52" ht="24.9" customHeight="1" thickBot="1" x14ac:dyDescent="0.3">
      <c r="A55" s="168"/>
      <c r="B55" s="332"/>
      <c r="C55" s="330"/>
      <c r="D55" s="330"/>
      <c r="E55" s="192" t="s">
        <v>147</v>
      </c>
      <c r="F55" s="123">
        <f>'WLAN 5 GHz 802.11ax Ant1'!F55</f>
        <v>0</v>
      </c>
      <c r="G55" s="123">
        <f t="shared" si="26"/>
        <v>0</v>
      </c>
      <c r="H55" s="277">
        <v>14.5</v>
      </c>
      <c r="I55" s="277">
        <v>14.5</v>
      </c>
      <c r="J55" s="220">
        <v>14.610468525655127</v>
      </c>
      <c r="K55" s="236">
        <v>15.349055681964506</v>
      </c>
      <c r="L55" s="225">
        <v>15</v>
      </c>
      <c r="M55" s="210">
        <f t="shared" si="3"/>
        <v>18.005744243819255</v>
      </c>
      <c r="N55" s="263">
        <f t="shared" si="4"/>
        <v>18.010299956639813</v>
      </c>
      <c r="O55" s="234">
        <v>-0.21</v>
      </c>
      <c r="P55" s="175">
        <f t="shared" si="28"/>
        <v>17.800299956639812</v>
      </c>
      <c r="Q55" s="168"/>
      <c r="R55" s="168"/>
      <c r="S55" s="332"/>
      <c r="T55" s="330"/>
      <c r="U55" s="330"/>
      <c r="V55" s="192" t="s">
        <v>147</v>
      </c>
      <c r="W55" s="123">
        <f>'WLAN 5 GHz 802.11ax Ant1'!S55</f>
        <v>0</v>
      </c>
      <c r="X55" s="123">
        <f t="shared" si="27"/>
        <v>0</v>
      </c>
      <c r="Y55" s="277">
        <v>14.5</v>
      </c>
      <c r="Z55" s="277">
        <v>14.5</v>
      </c>
      <c r="AA55" s="220">
        <v>14.981713510382734</v>
      </c>
      <c r="AB55" s="228">
        <v>14.825387708193915</v>
      </c>
      <c r="AC55" s="225">
        <v>15</v>
      </c>
      <c r="AD55" s="210">
        <f t="shared" si="6"/>
        <v>17.914553903129754</v>
      </c>
      <c r="AE55" s="263">
        <f t="shared" si="7"/>
        <v>18.010299956639813</v>
      </c>
      <c r="AF55" s="234">
        <v>-0.47</v>
      </c>
      <c r="AG55" s="175">
        <f t="shared" si="29"/>
        <v>17.540299956639814</v>
      </c>
      <c r="AH55" s="185"/>
      <c r="AI55" s="168"/>
      <c r="AJ55" s="168"/>
      <c r="AK55" s="168"/>
      <c r="AL55" s="168"/>
      <c r="AM55" s="168"/>
      <c r="AN55" s="168"/>
      <c r="AO55" s="168"/>
      <c r="AP55" s="185"/>
      <c r="AQ55" s="185"/>
      <c r="AR55" s="168"/>
      <c r="AS55" s="168"/>
      <c r="AT55" s="185"/>
      <c r="AU55" s="185"/>
      <c r="AV55" s="168"/>
      <c r="AW55" s="168"/>
      <c r="AX55" s="185"/>
      <c r="AY55" s="168"/>
      <c r="AZ55" s="168"/>
    </row>
    <row r="56" spans="1:52" ht="24.9" customHeight="1" thickBot="1" x14ac:dyDescent="0.3">
      <c r="A56" s="168"/>
      <c r="B56" s="332"/>
      <c r="C56" s="330"/>
      <c r="D56" s="330"/>
      <c r="E56" s="192" t="s">
        <v>161</v>
      </c>
      <c r="F56" s="123">
        <f>'WLAN 5 GHz 802.11ax Ant1'!F56</f>
        <v>0</v>
      </c>
      <c r="G56" s="123">
        <f t="shared" si="26"/>
        <v>0</v>
      </c>
      <c r="H56" s="277">
        <v>15.5</v>
      </c>
      <c r="I56" s="277">
        <v>15.5</v>
      </c>
      <c r="J56" s="220">
        <v>16.144392177488523</v>
      </c>
      <c r="K56" s="236">
        <v>15.736079789665375</v>
      </c>
      <c r="L56" s="225">
        <v>15</v>
      </c>
      <c r="M56" s="210">
        <f t="shared" si="3"/>
        <v>18.955332732659596</v>
      </c>
      <c r="N56" s="263">
        <f t="shared" si="4"/>
        <v>18.010299956639813</v>
      </c>
      <c r="O56" s="234">
        <v>-0.21</v>
      </c>
      <c r="P56" s="175">
        <f t="shared" si="28"/>
        <v>17.800299956639812</v>
      </c>
      <c r="Q56" s="168"/>
      <c r="R56" s="168"/>
      <c r="S56" s="332"/>
      <c r="T56" s="330"/>
      <c r="U56" s="330"/>
      <c r="V56" s="192" t="s">
        <v>161</v>
      </c>
      <c r="W56" s="123">
        <f>'WLAN 5 GHz 802.11ax Ant1'!S56</f>
        <v>0</v>
      </c>
      <c r="X56" s="123">
        <f t="shared" si="27"/>
        <v>0</v>
      </c>
      <c r="Y56" s="277">
        <v>15.5</v>
      </c>
      <c r="Z56" s="277">
        <v>15.5</v>
      </c>
      <c r="AA56" s="220">
        <v>15.596518151548327</v>
      </c>
      <c r="AB56" s="228">
        <v>15.484820558737637</v>
      </c>
      <c r="AC56" s="225">
        <v>15</v>
      </c>
      <c r="AD56" s="210">
        <f t="shared" si="6"/>
        <v>18.551328400169357</v>
      </c>
      <c r="AE56" s="263">
        <f t="shared" si="7"/>
        <v>18.010299956639813</v>
      </c>
      <c r="AF56" s="234">
        <v>-0.47</v>
      </c>
      <c r="AG56" s="175">
        <f t="shared" si="29"/>
        <v>17.540299956639814</v>
      </c>
      <c r="AH56" s="185"/>
      <c r="AI56" s="168"/>
      <c r="AJ56" s="168"/>
      <c r="AK56" s="168"/>
      <c r="AL56" s="168"/>
      <c r="AM56" s="168"/>
      <c r="AN56" s="168"/>
      <c r="AO56" s="168"/>
      <c r="AP56" s="185"/>
      <c r="AQ56" s="185"/>
      <c r="AR56" s="168"/>
      <c r="AS56" s="168"/>
      <c r="AT56" s="185"/>
      <c r="AU56" s="185"/>
      <c r="AV56" s="168"/>
      <c r="AW56" s="168"/>
      <c r="AX56" s="185"/>
      <c r="AY56" s="168"/>
      <c r="AZ56" s="168"/>
    </row>
    <row r="57" spans="1:52" ht="24.9" customHeight="1" thickBot="1" x14ac:dyDescent="0.3">
      <c r="A57" s="168"/>
      <c r="B57" s="332"/>
      <c r="C57" s="330"/>
      <c r="D57" s="330"/>
      <c r="E57" s="192" t="s">
        <v>169</v>
      </c>
      <c r="F57" s="123">
        <f>'WLAN 5 GHz 802.11ax Ant1'!F57</f>
        <v>0</v>
      </c>
      <c r="G57" s="123">
        <f t="shared" si="26"/>
        <v>0</v>
      </c>
      <c r="H57" s="277">
        <v>14.5</v>
      </c>
      <c r="I57" s="277">
        <v>14.5</v>
      </c>
      <c r="J57" s="220">
        <v>15.171451498853841</v>
      </c>
      <c r="K57" s="236">
        <v>15.275909096845218</v>
      </c>
      <c r="L57" s="225">
        <v>15</v>
      </c>
      <c r="M57" s="210">
        <f t="shared" si="3"/>
        <v>18.234294301962546</v>
      </c>
      <c r="N57" s="263">
        <f t="shared" si="4"/>
        <v>18.010299956639813</v>
      </c>
      <c r="O57" s="234">
        <v>-0.21</v>
      </c>
      <c r="P57" s="175">
        <f t="shared" si="28"/>
        <v>17.800299956639812</v>
      </c>
      <c r="Q57" s="168"/>
      <c r="R57" s="168"/>
      <c r="S57" s="332"/>
      <c r="T57" s="330"/>
      <c r="U57" s="330"/>
      <c r="V57" s="192" t="s">
        <v>169</v>
      </c>
      <c r="W57" s="123">
        <f>'WLAN 5 GHz 802.11ax Ant1'!S57</f>
        <v>0</v>
      </c>
      <c r="X57" s="123">
        <f t="shared" si="27"/>
        <v>0</v>
      </c>
      <c r="Y57" s="277">
        <v>14.5</v>
      </c>
      <c r="Z57" s="277">
        <v>14.5</v>
      </c>
      <c r="AA57" s="220">
        <v>15.31047218494953</v>
      </c>
      <c r="AB57" s="228">
        <v>14.995355836396264</v>
      </c>
      <c r="AC57" s="225">
        <v>15</v>
      </c>
      <c r="AD57" s="210">
        <f t="shared" si="6"/>
        <v>18.166071375782003</v>
      </c>
      <c r="AE57" s="263">
        <f t="shared" si="7"/>
        <v>18.010299956639813</v>
      </c>
      <c r="AF57" s="234">
        <v>-0.47</v>
      </c>
      <c r="AG57" s="175">
        <f t="shared" si="29"/>
        <v>17.540299956639814</v>
      </c>
      <c r="AH57" s="185"/>
      <c r="AI57" s="168"/>
      <c r="AJ57" s="168"/>
      <c r="AK57" s="168"/>
      <c r="AL57" s="168"/>
      <c r="AM57" s="168"/>
      <c r="AN57" s="168"/>
      <c r="AO57" s="168"/>
      <c r="AP57" s="185"/>
      <c r="AQ57" s="185"/>
      <c r="AR57" s="168"/>
      <c r="AS57" s="168"/>
      <c r="AT57" s="185"/>
      <c r="AU57" s="185"/>
      <c r="AV57" s="168"/>
      <c r="AW57" s="168"/>
      <c r="AX57" s="185"/>
      <c r="AY57" s="168"/>
      <c r="AZ57" s="168"/>
    </row>
    <row r="58" spans="1:52" ht="24.9" customHeight="1" thickBot="1" x14ac:dyDescent="0.3">
      <c r="A58" s="168"/>
      <c r="B58" s="332"/>
      <c r="C58" s="330"/>
      <c r="D58" s="330"/>
      <c r="E58" s="192" t="s">
        <v>188</v>
      </c>
      <c r="F58" s="123">
        <f>'WLAN 5 GHz 802.11ax Ant1'!F58</f>
        <v>0</v>
      </c>
      <c r="G58" s="123">
        <f t="shared" si="26"/>
        <v>0</v>
      </c>
      <c r="H58" s="277">
        <v>14.5</v>
      </c>
      <c r="I58" s="277">
        <v>14.5</v>
      </c>
      <c r="J58" s="220">
        <v>14.696770751017151</v>
      </c>
      <c r="K58" s="236">
        <v>14.873010428566813</v>
      </c>
      <c r="L58" s="225">
        <v>15</v>
      </c>
      <c r="M58" s="210">
        <f t="shared" si="3"/>
        <v>17.796084475960562</v>
      </c>
      <c r="N58" s="263">
        <f t="shared" si="4"/>
        <v>18.010299956639813</v>
      </c>
      <c r="O58" s="234">
        <v>-0.21</v>
      </c>
      <c r="P58" s="175">
        <f t="shared" si="28"/>
        <v>17.800299956639812</v>
      </c>
      <c r="Q58" s="168"/>
      <c r="R58" s="168"/>
      <c r="S58" s="332"/>
      <c r="T58" s="330"/>
      <c r="U58" s="330"/>
      <c r="V58" s="192" t="s">
        <v>172</v>
      </c>
      <c r="W58" s="123">
        <f>'WLAN 5 GHz 802.11ax Ant1'!S58</f>
        <v>0</v>
      </c>
      <c r="X58" s="123">
        <f t="shared" si="27"/>
        <v>0</v>
      </c>
      <c r="Y58" s="277">
        <v>14.5</v>
      </c>
      <c r="Z58" s="277">
        <v>14.5</v>
      </c>
      <c r="AA58" s="220">
        <v>15.449739348773685</v>
      </c>
      <c r="AB58" s="228">
        <v>14.992245270726528</v>
      </c>
      <c r="AC58" s="225">
        <v>15</v>
      </c>
      <c r="AD58" s="210">
        <f t="shared" si="6"/>
        <v>18.237313645228248</v>
      </c>
      <c r="AE58" s="263">
        <f t="shared" si="7"/>
        <v>18.010299956639813</v>
      </c>
      <c r="AF58" s="234">
        <v>-0.47</v>
      </c>
      <c r="AG58" s="175">
        <f t="shared" si="29"/>
        <v>17.540299956639814</v>
      </c>
      <c r="AH58" s="185"/>
      <c r="AI58" s="168"/>
      <c r="AJ58" s="168"/>
      <c r="AK58" s="168"/>
      <c r="AL58" s="168"/>
      <c r="AM58" s="168"/>
      <c r="AN58" s="168"/>
      <c r="AO58" s="168"/>
      <c r="AP58" s="185"/>
      <c r="AQ58" s="185"/>
      <c r="AR58" s="168"/>
      <c r="AS58" s="168"/>
      <c r="AT58" s="185"/>
      <c r="AU58" s="185"/>
      <c r="AV58" s="168"/>
      <c r="AW58" s="168"/>
      <c r="AX58" s="185"/>
      <c r="AY58" s="168"/>
      <c r="AZ58" s="168"/>
    </row>
    <row r="59" spans="1:52" ht="24.9" customHeight="1" thickBot="1" x14ac:dyDescent="0.3">
      <c r="A59" s="168"/>
      <c r="B59" s="333"/>
      <c r="C59" s="331"/>
      <c r="D59" s="331"/>
      <c r="E59" s="194" t="s">
        <v>125</v>
      </c>
      <c r="F59" s="125" t="str">
        <f>'WLAN 5 GHz 802.11ax Ant1'!F59</f>
        <v>X</v>
      </c>
      <c r="G59" s="125">
        <f t="shared" si="26"/>
        <v>0</v>
      </c>
      <c r="H59" s="224">
        <v>14.5</v>
      </c>
      <c r="I59" s="224">
        <v>14.5</v>
      </c>
      <c r="J59" s="223">
        <v>14.74503300268586</v>
      </c>
      <c r="K59" s="237">
        <v>15.600625922576208</v>
      </c>
      <c r="L59" s="225">
        <v>15</v>
      </c>
      <c r="M59" s="210">
        <f t="shared" si="3"/>
        <v>18.204165216996905</v>
      </c>
      <c r="N59" s="263">
        <f t="shared" si="4"/>
        <v>18.010299956639813</v>
      </c>
      <c r="O59" s="234">
        <v>-0.21</v>
      </c>
      <c r="P59" s="176">
        <f t="shared" si="28"/>
        <v>17.800299956639812</v>
      </c>
      <c r="Q59" s="168"/>
      <c r="R59" s="168"/>
      <c r="S59" s="333"/>
      <c r="T59" s="331"/>
      <c r="U59" s="331"/>
      <c r="V59" s="194" t="s">
        <v>125</v>
      </c>
      <c r="W59" s="125" t="str">
        <f>'WLAN 5 GHz 802.11ax Ant1'!S59</f>
        <v>X</v>
      </c>
      <c r="X59" s="125">
        <f t="shared" si="27"/>
        <v>0</v>
      </c>
      <c r="Y59" s="224">
        <v>14.5</v>
      </c>
      <c r="Z59" s="224">
        <v>14.5</v>
      </c>
      <c r="AA59" s="223">
        <v>14.792235496015767</v>
      </c>
      <c r="AB59" s="230">
        <v>15.543274874941241</v>
      </c>
      <c r="AC59" s="225">
        <v>15</v>
      </c>
      <c r="AD59" s="210">
        <f t="shared" si="6"/>
        <v>18.19426990844763</v>
      </c>
      <c r="AE59" s="263">
        <f t="shared" si="7"/>
        <v>18.010299956639813</v>
      </c>
      <c r="AF59" s="234">
        <v>-0.47</v>
      </c>
      <c r="AG59" s="176">
        <f t="shared" si="29"/>
        <v>17.540299956639814</v>
      </c>
      <c r="AH59" s="185"/>
      <c r="AI59" s="168"/>
      <c r="AJ59" s="168"/>
      <c r="AK59" s="168"/>
      <c r="AL59" s="168"/>
      <c r="AM59" s="168"/>
      <c r="AN59" s="168"/>
      <c r="AO59" s="168"/>
      <c r="AP59" s="185"/>
      <c r="AQ59" s="185"/>
      <c r="AR59" s="168"/>
      <c r="AS59" s="168"/>
      <c r="AT59" s="185"/>
      <c r="AU59" s="185"/>
      <c r="AV59" s="168"/>
      <c r="AW59" s="168"/>
      <c r="AX59" s="185"/>
      <c r="AY59" s="168"/>
      <c r="AZ59" s="168"/>
    </row>
    <row r="60" spans="1:52" ht="24.9" customHeight="1" x14ac:dyDescent="0.25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85"/>
      <c r="L60" s="185"/>
      <c r="M60" s="185"/>
      <c r="N60" s="185"/>
      <c r="O60" s="185"/>
      <c r="P60" s="185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85"/>
      <c r="AD60" s="185"/>
      <c r="AE60" s="185"/>
      <c r="AF60" s="185"/>
      <c r="AG60" s="185"/>
      <c r="AH60" s="185"/>
      <c r="AI60" s="168"/>
      <c r="AJ60" s="168"/>
      <c r="AK60" s="168"/>
      <c r="AL60" s="168"/>
      <c r="AM60" s="168"/>
      <c r="AN60" s="168"/>
      <c r="AO60" s="168"/>
      <c r="AP60" s="185"/>
      <c r="AQ60" s="185"/>
      <c r="AR60" s="168"/>
      <c r="AS60" s="168"/>
      <c r="AT60" s="185"/>
      <c r="AU60" s="185"/>
      <c r="AV60" s="168"/>
      <c r="AW60" s="168"/>
      <c r="AX60" s="185"/>
      <c r="AY60" s="168"/>
      <c r="AZ60" s="168"/>
    </row>
    <row r="61" spans="1:52" ht="24.9" customHeight="1" x14ac:dyDescent="0.25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85"/>
      <c r="L61" s="185"/>
      <c r="M61" s="185"/>
      <c r="N61" s="185"/>
      <c r="O61" s="185"/>
      <c r="P61" s="185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85"/>
      <c r="AD61" s="185"/>
      <c r="AE61" s="185"/>
      <c r="AF61" s="185"/>
      <c r="AG61" s="185"/>
      <c r="AH61" s="185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85"/>
      <c r="AU61" s="185"/>
      <c r="AV61" s="185"/>
      <c r="AW61" s="185"/>
      <c r="AX61" s="185"/>
      <c r="AY61" s="168"/>
      <c r="AZ61" s="168"/>
    </row>
    <row r="62" spans="1:52" x14ac:dyDescent="0.25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85"/>
      <c r="L62" s="185"/>
      <c r="M62" s="185"/>
      <c r="N62" s="185"/>
      <c r="O62" s="185"/>
      <c r="P62" s="185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85"/>
      <c r="AD62" s="185"/>
      <c r="AE62" s="185"/>
      <c r="AF62" s="185"/>
      <c r="AG62" s="185"/>
      <c r="AH62" s="185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85"/>
      <c r="AU62" s="185"/>
      <c r="AV62" s="185"/>
      <c r="AW62" s="185"/>
      <c r="AX62" s="185"/>
      <c r="AY62" s="168"/>
      <c r="AZ62" s="168"/>
    </row>
  </sheetData>
  <mergeCells count="63">
    <mergeCell ref="B52:B59"/>
    <mergeCell ref="C52:C59"/>
    <mergeCell ref="D52:D59"/>
    <mergeCell ref="S52:S59"/>
    <mergeCell ref="T52:T59"/>
    <mergeCell ref="U52:U59"/>
    <mergeCell ref="AK32:AK38"/>
    <mergeCell ref="AL32:AL38"/>
    <mergeCell ref="C45:C51"/>
    <mergeCell ref="D45:D51"/>
    <mergeCell ref="T45:T51"/>
    <mergeCell ref="U45:U51"/>
    <mergeCell ref="U38:U44"/>
    <mergeCell ref="AJ32:AJ38"/>
    <mergeCell ref="U32:U37"/>
    <mergeCell ref="B38:B51"/>
    <mergeCell ref="C38:C44"/>
    <mergeCell ref="D38:D44"/>
    <mergeCell ref="S38:S51"/>
    <mergeCell ref="T38:T44"/>
    <mergeCell ref="AJ20:AJ31"/>
    <mergeCell ref="AK20:AK25"/>
    <mergeCell ref="AL20:AL25"/>
    <mergeCell ref="C26:C31"/>
    <mergeCell ref="D26:D31"/>
    <mergeCell ref="T26:T31"/>
    <mergeCell ref="U26:U31"/>
    <mergeCell ref="AK26:AK31"/>
    <mergeCell ref="AL26:AL31"/>
    <mergeCell ref="U20:U25"/>
    <mergeCell ref="B20:B37"/>
    <mergeCell ref="C20:C25"/>
    <mergeCell ref="D20:D25"/>
    <mergeCell ref="S20:S37"/>
    <mergeCell ref="T20:T25"/>
    <mergeCell ref="C32:C37"/>
    <mergeCell ref="D32:D37"/>
    <mergeCell ref="T32:T37"/>
    <mergeCell ref="B2:AX2"/>
    <mergeCell ref="C15:C19"/>
    <mergeCell ref="D15:D19"/>
    <mergeCell ref="T15:T19"/>
    <mergeCell ref="U15:U19"/>
    <mergeCell ref="AK15:AK19"/>
    <mergeCell ref="AL15:AL19"/>
    <mergeCell ref="AK5:AK9"/>
    <mergeCell ref="AL5:AL9"/>
    <mergeCell ref="C10:C14"/>
    <mergeCell ref="D10:D14"/>
    <mergeCell ref="T10:T14"/>
    <mergeCell ref="U10:U14"/>
    <mergeCell ref="AK10:AK14"/>
    <mergeCell ref="AL10:AL14"/>
    <mergeCell ref="B5:B19"/>
    <mergeCell ref="AJ5:AJ19"/>
    <mergeCell ref="B3:P3"/>
    <mergeCell ref="S3:AG3"/>
    <mergeCell ref="AJ3:AX3"/>
    <mergeCell ref="C5:C9"/>
    <mergeCell ref="D5:D9"/>
    <mergeCell ref="S5:S19"/>
    <mergeCell ref="T5:T9"/>
    <mergeCell ref="U5:U9"/>
  </mergeCells>
  <phoneticPr fontId="6" type="noConversion"/>
  <conditionalFormatting sqref="N5:N59">
    <cfRule type="top10" dxfId="2" priority="12" rank="1"/>
  </conditionalFormatting>
  <conditionalFormatting sqref="AE5:AE59">
    <cfRule type="top10" dxfId="1" priority="2" rank="1"/>
  </conditionalFormatting>
  <conditionalFormatting sqref="AV5:AV59">
    <cfRule type="top10" dxfId="0" priority="1" rank="1"/>
  </conditionalFormatting>
  <pageMargins left="0.15748031496062992" right="0.15748031496062992" top="0" bottom="0" header="0.31496062992125984" footer="0.31496062992125984"/>
  <pageSetup paperSize="9" scale="2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E74"/>
  <sheetViews>
    <sheetView topLeftCell="D1" zoomScale="85" zoomScaleNormal="85" workbookViewId="0">
      <selection activeCell="K12" sqref="K12"/>
    </sheetView>
  </sheetViews>
  <sheetFormatPr defaultRowHeight="14.4" x14ac:dyDescent="0.25"/>
  <cols>
    <col min="2" max="2" width="14.8984375" customWidth="1"/>
    <col min="3" max="3" width="23.09765625" bestFit="1" customWidth="1"/>
    <col min="4" max="4" width="14.69921875" bestFit="1" customWidth="1"/>
    <col min="5" max="5" width="21.8984375" customWidth="1"/>
    <col min="10" max="10" width="11.3984375" bestFit="1" customWidth="1"/>
  </cols>
  <sheetData>
    <row r="1" spans="2:13" ht="25.8" thickBot="1" x14ac:dyDescent="0.6">
      <c r="B1" s="458" t="s">
        <v>82</v>
      </c>
      <c r="C1" s="459"/>
      <c r="E1" s="363" t="s">
        <v>83</v>
      </c>
      <c r="F1" s="364"/>
      <c r="G1" s="364"/>
      <c r="H1" s="365"/>
      <c r="J1" s="108" t="s">
        <v>88</v>
      </c>
      <c r="K1" s="107"/>
      <c r="L1" s="111" t="s">
        <v>89</v>
      </c>
      <c r="M1" s="112" t="s">
        <v>90</v>
      </c>
    </row>
    <row r="2" spans="2:13" ht="15" thickBot="1" x14ac:dyDescent="0.3">
      <c r="B2" s="105">
        <v>1</v>
      </c>
      <c r="C2" s="105">
        <v>-1</v>
      </c>
      <c r="E2" s="110" t="s">
        <v>84</v>
      </c>
      <c r="F2" s="110" t="s">
        <v>85</v>
      </c>
      <c r="G2" s="110" t="s">
        <v>86</v>
      </c>
      <c r="H2" s="110" t="s">
        <v>87</v>
      </c>
      <c r="J2" s="109">
        <v>43902</v>
      </c>
      <c r="L2" s="113" t="e">
        <f>SUM('WLAN 5 GHz Legacy'!#REF!,'WLAN 2.4 GHz Legacy'!#REF!)</f>
        <v>#REF!</v>
      </c>
      <c r="M2" s="114">
        <f>SUM('WLAN 5 GHz Legacy'!BB2,'WLAN 2.4 GHz Legacy'!AA1)</f>
        <v>0</v>
      </c>
    </row>
    <row r="3" spans="2:13" ht="15" thickBot="1" x14ac:dyDescent="0.3">
      <c r="B3" s="106"/>
      <c r="C3" s="105" t="s">
        <v>92</v>
      </c>
      <c r="D3" s="105" t="s">
        <v>93</v>
      </c>
      <c r="E3" s="105">
        <v>-1.84</v>
      </c>
      <c r="F3" s="105">
        <v>0.64</v>
      </c>
      <c r="G3" s="105">
        <v>-1.08</v>
      </c>
      <c r="H3" s="105">
        <v>-1.43</v>
      </c>
    </row>
    <row r="4" spans="2:13" ht="15" thickBot="1" x14ac:dyDescent="0.3">
      <c r="D4" s="105" t="s">
        <v>94</v>
      </c>
      <c r="E4" s="105">
        <v>-0.23</v>
      </c>
      <c r="F4" s="105">
        <v>2.98</v>
      </c>
      <c r="G4" s="105">
        <v>2.41</v>
      </c>
      <c r="H4" s="105">
        <v>2.29</v>
      </c>
    </row>
    <row r="5" spans="2:13" ht="25.8" thickBot="1" x14ac:dyDescent="0.6">
      <c r="B5" s="363" t="s">
        <v>27</v>
      </c>
      <c r="C5" s="364"/>
      <c r="D5" s="364"/>
      <c r="E5" s="364"/>
      <c r="F5" s="364"/>
      <c r="G5" s="364"/>
      <c r="H5" s="364"/>
      <c r="I5" s="365"/>
    </row>
    <row r="6" spans="2:13" ht="18" thickBot="1" x14ac:dyDescent="0.3">
      <c r="B6" s="353" t="s">
        <v>28</v>
      </c>
      <c r="C6" s="353" t="s">
        <v>29</v>
      </c>
      <c r="D6" s="366" t="s">
        <v>30</v>
      </c>
      <c r="E6" s="358"/>
      <c r="F6" s="359"/>
      <c r="G6" s="357" t="s">
        <v>31</v>
      </c>
      <c r="H6" s="358"/>
      <c r="I6" s="359"/>
    </row>
    <row r="7" spans="2:13" ht="18" thickBot="1" x14ac:dyDescent="0.3">
      <c r="B7" s="354"/>
      <c r="C7" s="354"/>
      <c r="D7" s="10" t="s">
        <v>32</v>
      </c>
      <c r="E7" s="11" t="s">
        <v>33</v>
      </c>
      <c r="F7" s="12"/>
      <c r="G7" s="13" t="s">
        <v>32</v>
      </c>
      <c r="H7" s="11" t="s">
        <v>33</v>
      </c>
      <c r="I7" s="54" t="s">
        <v>34</v>
      </c>
    </row>
    <row r="8" spans="2:13" ht="17.399999999999999" x14ac:dyDescent="0.25">
      <c r="B8" s="14">
        <v>2412</v>
      </c>
      <c r="C8" s="15">
        <v>1</v>
      </c>
      <c r="D8" s="102">
        <v>14</v>
      </c>
      <c r="E8" s="102">
        <v>14</v>
      </c>
      <c r="F8" s="16"/>
      <c r="G8" s="103">
        <v>14</v>
      </c>
      <c r="H8" s="104">
        <v>14</v>
      </c>
      <c r="I8" s="55">
        <v>11.5</v>
      </c>
    </row>
    <row r="9" spans="2:13" ht="17.399999999999999" x14ac:dyDescent="0.25">
      <c r="B9" s="17">
        <v>2417</v>
      </c>
      <c r="C9" s="17">
        <v>2</v>
      </c>
      <c r="D9" s="102">
        <v>14</v>
      </c>
      <c r="E9" s="102">
        <v>14</v>
      </c>
      <c r="F9" s="18"/>
      <c r="G9" s="102">
        <v>14</v>
      </c>
      <c r="H9" s="102">
        <v>14</v>
      </c>
      <c r="I9" s="55">
        <v>11.5</v>
      </c>
    </row>
    <row r="10" spans="2:13" ht="17.399999999999999" x14ac:dyDescent="0.25">
      <c r="B10" s="14">
        <v>2422</v>
      </c>
      <c r="C10" s="17">
        <v>3</v>
      </c>
      <c r="D10" s="102">
        <v>14</v>
      </c>
      <c r="E10" s="102">
        <v>14</v>
      </c>
      <c r="F10" s="18"/>
      <c r="G10" s="102">
        <v>14</v>
      </c>
      <c r="H10" s="102">
        <v>14</v>
      </c>
      <c r="I10" s="55">
        <v>11.5</v>
      </c>
    </row>
    <row r="11" spans="2:13" ht="17.399999999999999" x14ac:dyDescent="0.25">
      <c r="B11" s="17">
        <v>2427</v>
      </c>
      <c r="C11" s="17">
        <v>4</v>
      </c>
      <c r="D11" s="102">
        <v>14</v>
      </c>
      <c r="E11" s="102">
        <v>14</v>
      </c>
      <c r="F11" s="18"/>
      <c r="G11" s="102">
        <v>14</v>
      </c>
      <c r="H11" s="102">
        <v>14</v>
      </c>
      <c r="I11" s="55">
        <v>11.5</v>
      </c>
    </row>
    <row r="12" spans="2:13" ht="17.399999999999999" x14ac:dyDescent="0.25">
      <c r="B12" s="14">
        <v>2432</v>
      </c>
      <c r="C12" s="17">
        <v>5</v>
      </c>
      <c r="D12" s="102">
        <v>14</v>
      </c>
      <c r="E12" s="102">
        <v>14</v>
      </c>
      <c r="F12" s="18"/>
      <c r="G12" s="102">
        <v>14</v>
      </c>
      <c r="H12" s="102">
        <v>14</v>
      </c>
      <c r="I12" s="55">
        <v>11.5</v>
      </c>
    </row>
    <row r="13" spans="2:13" ht="17.399999999999999" x14ac:dyDescent="0.25">
      <c r="B13" s="17">
        <v>2437</v>
      </c>
      <c r="C13" s="17">
        <v>6</v>
      </c>
      <c r="D13" s="102">
        <v>14</v>
      </c>
      <c r="E13" s="102">
        <v>14</v>
      </c>
      <c r="F13" s="18"/>
      <c r="G13" s="102">
        <v>14</v>
      </c>
      <c r="H13" s="102">
        <v>14</v>
      </c>
      <c r="I13" s="55">
        <v>11.5</v>
      </c>
    </row>
    <row r="14" spans="2:13" ht="17.399999999999999" x14ac:dyDescent="0.25">
      <c r="B14" s="14">
        <v>2442</v>
      </c>
      <c r="C14" s="17">
        <v>7</v>
      </c>
      <c r="D14" s="102">
        <v>14</v>
      </c>
      <c r="E14" s="102">
        <v>14</v>
      </c>
      <c r="F14" s="18"/>
      <c r="G14" s="102">
        <v>14</v>
      </c>
      <c r="H14" s="102">
        <v>14</v>
      </c>
      <c r="I14" s="55">
        <v>11.5</v>
      </c>
    </row>
    <row r="15" spans="2:13" ht="17.399999999999999" x14ac:dyDescent="0.25">
      <c r="B15" s="17">
        <v>2447</v>
      </c>
      <c r="C15" s="17">
        <v>8</v>
      </c>
      <c r="D15" s="102">
        <v>14</v>
      </c>
      <c r="E15" s="102">
        <v>14</v>
      </c>
      <c r="F15" s="18"/>
      <c r="G15" s="102">
        <v>14</v>
      </c>
      <c r="H15" s="102">
        <v>14</v>
      </c>
      <c r="I15" s="55">
        <v>11.5</v>
      </c>
    </row>
    <row r="16" spans="2:13" ht="17.399999999999999" x14ac:dyDescent="0.25">
      <c r="B16" s="14">
        <v>2452</v>
      </c>
      <c r="C16" s="17">
        <v>9</v>
      </c>
      <c r="D16" s="102">
        <v>14</v>
      </c>
      <c r="E16" s="102">
        <v>14</v>
      </c>
      <c r="F16" s="18"/>
      <c r="G16" s="102">
        <v>14</v>
      </c>
      <c r="H16" s="102">
        <v>14</v>
      </c>
      <c r="I16" s="55">
        <v>11.5</v>
      </c>
    </row>
    <row r="17" spans="2:28" ht="17.399999999999999" x14ac:dyDescent="0.25">
      <c r="B17" s="17">
        <v>2457</v>
      </c>
      <c r="C17" s="17">
        <v>10</v>
      </c>
      <c r="D17" s="102">
        <v>14</v>
      </c>
      <c r="E17" s="102">
        <v>14</v>
      </c>
      <c r="F17" s="18"/>
      <c r="G17" s="102">
        <v>14</v>
      </c>
      <c r="H17" s="102">
        <v>14</v>
      </c>
      <c r="I17" s="55">
        <v>11.5</v>
      </c>
    </row>
    <row r="18" spans="2:28" ht="17.399999999999999" x14ac:dyDescent="0.25">
      <c r="B18" s="14">
        <v>2462</v>
      </c>
      <c r="C18" s="17">
        <v>11</v>
      </c>
      <c r="D18" s="102">
        <v>14</v>
      </c>
      <c r="E18" s="102">
        <v>14</v>
      </c>
      <c r="F18" s="18"/>
      <c r="G18" s="102">
        <v>14</v>
      </c>
      <c r="H18" s="102">
        <v>14</v>
      </c>
      <c r="I18" s="55">
        <v>11.5</v>
      </c>
    </row>
    <row r="19" spans="2:28" ht="17.399999999999999" x14ac:dyDescent="0.4">
      <c r="B19" s="17">
        <v>2467</v>
      </c>
      <c r="C19" s="17">
        <v>12</v>
      </c>
      <c r="D19" s="102">
        <v>14</v>
      </c>
      <c r="E19" s="102">
        <v>14</v>
      </c>
      <c r="F19" s="18"/>
      <c r="G19" s="102">
        <v>14</v>
      </c>
      <c r="H19" s="102">
        <v>14</v>
      </c>
      <c r="I19" s="55">
        <v>11.5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2:28" ht="17.399999999999999" x14ac:dyDescent="0.4">
      <c r="B20" s="14">
        <v>2472</v>
      </c>
      <c r="C20" s="17">
        <v>13</v>
      </c>
      <c r="D20" s="102">
        <v>14</v>
      </c>
      <c r="E20" s="102">
        <v>14</v>
      </c>
      <c r="F20" s="18"/>
      <c r="G20" s="103">
        <v>14</v>
      </c>
      <c r="H20" s="104">
        <v>14</v>
      </c>
      <c r="I20" s="55">
        <v>11.5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2:28" ht="18" thickBot="1" x14ac:dyDescent="0.45">
      <c r="B21" s="19">
        <v>2484</v>
      </c>
      <c r="C21" s="19">
        <v>14</v>
      </c>
      <c r="D21" s="20" t="s">
        <v>35</v>
      </c>
      <c r="E21" s="20" t="s">
        <v>35</v>
      </c>
      <c r="F21" s="21"/>
      <c r="G21" s="20" t="s">
        <v>35</v>
      </c>
      <c r="H21" s="20" t="s">
        <v>35</v>
      </c>
      <c r="I21" s="21" t="s">
        <v>35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2:28" ht="17.399999999999999" x14ac:dyDescent="0.4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9"/>
      <c r="M22" s="9"/>
      <c r="N22" s="9"/>
      <c r="O22" s="9"/>
      <c r="P22" s="9"/>
      <c r="Q22" s="9"/>
      <c r="R22" s="9"/>
      <c r="S22" s="9"/>
      <c r="T22" s="9"/>
      <c r="U22" s="9"/>
      <c r="V22" s="8"/>
      <c r="W22" s="8"/>
      <c r="X22" s="75"/>
      <c r="Y22" s="75"/>
      <c r="Z22" s="75"/>
      <c r="AA22" s="75"/>
      <c r="AB22" s="75"/>
    </row>
    <row r="23" spans="2:28" ht="18" thickBot="1" x14ac:dyDescent="0.4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8"/>
      <c r="W23" s="8"/>
      <c r="X23" s="75"/>
      <c r="Y23" s="75"/>
      <c r="Z23" s="75"/>
      <c r="AA23" s="75"/>
      <c r="AB23" s="75"/>
    </row>
    <row r="24" spans="2:28" ht="25.8" thickBot="1" x14ac:dyDescent="0.6">
      <c r="B24" s="363" t="s">
        <v>36</v>
      </c>
      <c r="C24" s="364"/>
      <c r="D24" s="364"/>
      <c r="E24" s="364"/>
      <c r="F24" s="364"/>
      <c r="G24" s="364"/>
      <c r="H24" s="364"/>
      <c r="I24" s="364"/>
      <c r="J24" s="364"/>
      <c r="K24" s="365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2:28" ht="18" thickBot="1" x14ac:dyDescent="0.45">
      <c r="B25" s="353" t="s">
        <v>28</v>
      </c>
      <c r="C25" s="353" t="s">
        <v>37</v>
      </c>
      <c r="D25" s="353" t="s">
        <v>38</v>
      </c>
      <c r="E25" s="355" t="s">
        <v>39</v>
      </c>
      <c r="F25" s="357" t="s">
        <v>40</v>
      </c>
      <c r="G25" s="358"/>
      <c r="H25" s="359"/>
      <c r="I25" s="360" t="s">
        <v>41</v>
      </c>
      <c r="J25" s="361"/>
      <c r="K25" s="362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2:28" ht="18" thickBot="1" x14ac:dyDescent="0.45">
      <c r="B26" s="354"/>
      <c r="C26" s="354"/>
      <c r="D26" s="354"/>
      <c r="E26" s="356"/>
      <c r="F26" s="23" t="s">
        <v>32</v>
      </c>
      <c r="G26" s="24" t="s">
        <v>33</v>
      </c>
      <c r="H26" s="56"/>
      <c r="I26" s="23" t="s">
        <v>32</v>
      </c>
      <c r="J26" s="24" t="s">
        <v>33</v>
      </c>
      <c r="K26" s="73" t="s">
        <v>42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2:28" ht="17.399999999999999" x14ac:dyDescent="0.4">
      <c r="B27" s="377">
        <v>2422</v>
      </c>
      <c r="C27" s="377" t="s">
        <v>43</v>
      </c>
      <c r="D27" s="25">
        <v>1</v>
      </c>
      <c r="E27" s="26" t="s">
        <v>44</v>
      </c>
      <c r="F27" s="378"/>
      <c r="G27" s="379"/>
      <c r="H27" s="380"/>
      <c r="I27" s="381">
        <v>14</v>
      </c>
      <c r="J27" s="367">
        <v>14</v>
      </c>
      <c r="K27" s="369">
        <v>11.5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2:28" ht="17.399999999999999" x14ac:dyDescent="0.4">
      <c r="B28" s="372"/>
      <c r="C28" s="372"/>
      <c r="D28" s="28">
        <v>5</v>
      </c>
      <c r="E28" s="29" t="s">
        <v>45</v>
      </c>
      <c r="F28" s="373"/>
      <c r="G28" s="374"/>
      <c r="H28" s="375"/>
      <c r="I28" s="382"/>
      <c r="J28" s="368"/>
      <c r="K28" s="370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2:28" ht="17.399999999999999" x14ac:dyDescent="0.4">
      <c r="B29" s="371">
        <v>2427</v>
      </c>
      <c r="C29" s="371" t="s">
        <v>46</v>
      </c>
      <c r="D29" s="28">
        <v>2</v>
      </c>
      <c r="E29" s="30" t="s">
        <v>44</v>
      </c>
      <c r="F29" s="373"/>
      <c r="G29" s="374"/>
      <c r="H29" s="375"/>
      <c r="I29" s="373">
        <v>14</v>
      </c>
      <c r="J29" s="374">
        <v>14</v>
      </c>
      <c r="K29" s="376">
        <v>11.5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2:28" ht="17.399999999999999" x14ac:dyDescent="0.4">
      <c r="B30" s="372"/>
      <c r="C30" s="372"/>
      <c r="D30" s="28">
        <v>6</v>
      </c>
      <c r="E30" s="29" t="s">
        <v>45</v>
      </c>
      <c r="F30" s="373"/>
      <c r="G30" s="374"/>
      <c r="H30" s="375"/>
      <c r="I30" s="373"/>
      <c r="J30" s="374"/>
      <c r="K30" s="376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2:28" ht="17.399999999999999" x14ac:dyDescent="0.4">
      <c r="B31" s="371">
        <v>2432</v>
      </c>
      <c r="C31" s="371" t="s">
        <v>47</v>
      </c>
      <c r="D31" s="28">
        <v>3</v>
      </c>
      <c r="E31" s="30" t="s">
        <v>44</v>
      </c>
      <c r="F31" s="373"/>
      <c r="G31" s="374"/>
      <c r="H31" s="375"/>
      <c r="I31" s="373">
        <v>14</v>
      </c>
      <c r="J31" s="374">
        <v>14</v>
      </c>
      <c r="K31" s="376">
        <v>11.5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ht="17.399999999999999" x14ac:dyDescent="0.4">
      <c r="B32" s="372"/>
      <c r="C32" s="372"/>
      <c r="D32" s="28">
        <v>7</v>
      </c>
      <c r="E32" s="29" t="s">
        <v>45</v>
      </c>
      <c r="F32" s="373"/>
      <c r="G32" s="374"/>
      <c r="H32" s="375"/>
      <c r="I32" s="373"/>
      <c r="J32" s="374"/>
      <c r="K32" s="37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2:31" ht="17.399999999999999" x14ac:dyDescent="0.4">
      <c r="B33" s="371">
        <v>2437</v>
      </c>
      <c r="C33" s="371" t="s">
        <v>48</v>
      </c>
      <c r="D33" s="28">
        <v>4</v>
      </c>
      <c r="E33" s="30" t="s">
        <v>44</v>
      </c>
      <c r="F33" s="373"/>
      <c r="G33" s="374"/>
      <c r="H33" s="375"/>
      <c r="I33" s="373">
        <v>14</v>
      </c>
      <c r="J33" s="374">
        <v>14</v>
      </c>
      <c r="K33" s="376">
        <v>11.5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2:31" ht="17.399999999999999" x14ac:dyDescent="0.4">
      <c r="B34" s="372"/>
      <c r="C34" s="372"/>
      <c r="D34" s="28">
        <v>8</v>
      </c>
      <c r="E34" s="29" t="s">
        <v>45</v>
      </c>
      <c r="F34" s="373"/>
      <c r="G34" s="374"/>
      <c r="H34" s="375"/>
      <c r="I34" s="373"/>
      <c r="J34" s="374"/>
      <c r="K34" s="37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2:31" ht="17.399999999999999" x14ac:dyDescent="0.4">
      <c r="B35" s="371">
        <v>2442</v>
      </c>
      <c r="C35" s="371" t="s">
        <v>49</v>
      </c>
      <c r="D35" s="31">
        <v>5</v>
      </c>
      <c r="E35" s="30" t="s">
        <v>44</v>
      </c>
      <c r="F35" s="373"/>
      <c r="G35" s="374"/>
      <c r="H35" s="375"/>
      <c r="I35" s="373">
        <v>14</v>
      </c>
      <c r="J35" s="374">
        <v>14</v>
      </c>
      <c r="K35" s="376">
        <v>11.5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2:31" ht="17.399999999999999" x14ac:dyDescent="0.4">
      <c r="B36" s="372"/>
      <c r="C36" s="372"/>
      <c r="D36" s="31">
        <v>9</v>
      </c>
      <c r="E36" s="29" t="s">
        <v>45</v>
      </c>
      <c r="F36" s="373"/>
      <c r="G36" s="374"/>
      <c r="H36" s="375"/>
      <c r="I36" s="373"/>
      <c r="J36" s="374"/>
      <c r="K36" s="37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2:31" ht="17.399999999999999" x14ac:dyDescent="0.4">
      <c r="B37" s="371">
        <v>2447</v>
      </c>
      <c r="C37" s="371" t="s">
        <v>50</v>
      </c>
      <c r="D37" s="31">
        <v>6</v>
      </c>
      <c r="E37" s="30" t="s">
        <v>44</v>
      </c>
      <c r="F37" s="373"/>
      <c r="G37" s="374"/>
      <c r="H37" s="375"/>
      <c r="I37" s="373">
        <v>14</v>
      </c>
      <c r="J37" s="374">
        <v>14</v>
      </c>
      <c r="K37" s="376">
        <v>11.5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2:31" ht="17.399999999999999" x14ac:dyDescent="0.4">
      <c r="B38" s="372"/>
      <c r="C38" s="372"/>
      <c r="D38" s="31">
        <v>10</v>
      </c>
      <c r="E38" s="29" t="s">
        <v>45</v>
      </c>
      <c r="F38" s="373"/>
      <c r="G38" s="374"/>
      <c r="H38" s="375"/>
      <c r="I38" s="373"/>
      <c r="J38" s="374"/>
      <c r="K38" s="37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2:31" ht="17.399999999999999" x14ac:dyDescent="0.4">
      <c r="B39" s="371">
        <v>2452</v>
      </c>
      <c r="C39" s="371" t="s">
        <v>51</v>
      </c>
      <c r="D39" s="31">
        <v>7</v>
      </c>
      <c r="E39" s="30" t="s">
        <v>44</v>
      </c>
      <c r="F39" s="373"/>
      <c r="G39" s="374"/>
      <c r="H39" s="375"/>
      <c r="I39" s="373">
        <v>14</v>
      </c>
      <c r="J39" s="374">
        <v>14</v>
      </c>
      <c r="K39" s="376">
        <v>11.5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2:31" ht="17.399999999999999" x14ac:dyDescent="0.4">
      <c r="B40" s="372"/>
      <c r="C40" s="372"/>
      <c r="D40" s="31">
        <v>11</v>
      </c>
      <c r="E40" s="29" t="s">
        <v>45</v>
      </c>
      <c r="F40" s="373"/>
      <c r="G40" s="374"/>
      <c r="H40" s="375"/>
      <c r="I40" s="373"/>
      <c r="J40" s="374"/>
      <c r="K40" s="376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2:31" ht="17.399999999999999" x14ac:dyDescent="0.4">
      <c r="B41" s="371">
        <v>2457</v>
      </c>
      <c r="C41" s="371" t="s">
        <v>52</v>
      </c>
      <c r="D41" s="31">
        <v>8</v>
      </c>
      <c r="E41" s="30" t="s">
        <v>44</v>
      </c>
      <c r="F41" s="373"/>
      <c r="G41" s="374"/>
      <c r="H41" s="375"/>
      <c r="I41" s="373">
        <v>14</v>
      </c>
      <c r="J41" s="374">
        <v>14</v>
      </c>
      <c r="K41" s="376">
        <v>11.5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2:31" ht="17.399999999999999" x14ac:dyDescent="0.4">
      <c r="B42" s="372"/>
      <c r="C42" s="372"/>
      <c r="D42" s="31">
        <v>12</v>
      </c>
      <c r="E42" s="29" t="s">
        <v>45</v>
      </c>
      <c r="F42" s="373"/>
      <c r="G42" s="374"/>
      <c r="H42" s="375"/>
      <c r="I42" s="373"/>
      <c r="J42" s="374"/>
      <c r="K42" s="37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2:31" ht="17.399999999999999" x14ac:dyDescent="0.4">
      <c r="B43" s="371">
        <v>2462</v>
      </c>
      <c r="C43" s="371" t="s">
        <v>53</v>
      </c>
      <c r="D43" s="31">
        <v>9</v>
      </c>
      <c r="E43" s="30" t="s">
        <v>44</v>
      </c>
      <c r="F43" s="373"/>
      <c r="G43" s="374"/>
      <c r="H43" s="375"/>
      <c r="I43" s="373">
        <v>14</v>
      </c>
      <c r="J43" s="374">
        <v>14</v>
      </c>
      <c r="K43" s="376">
        <v>11.5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2:31" ht="18" thickBot="1" x14ac:dyDescent="0.45">
      <c r="B44" s="394"/>
      <c r="C44" s="394"/>
      <c r="D44" s="32">
        <v>13</v>
      </c>
      <c r="E44" s="33" t="s">
        <v>45</v>
      </c>
      <c r="F44" s="395"/>
      <c r="G44" s="391"/>
      <c r="H44" s="396"/>
      <c r="I44" s="395"/>
      <c r="J44" s="391"/>
      <c r="K44" s="392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2:31" ht="17.399999999999999" x14ac:dyDescent="0.4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27"/>
      <c r="R45" s="9"/>
      <c r="S45" s="9"/>
      <c r="T45" s="9"/>
      <c r="U45" s="9"/>
      <c r="V45" s="8"/>
      <c r="W45" s="8"/>
      <c r="X45" s="75"/>
      <c r="Y45" s="75"/>
      <c r="Z45" s="75"/>
      <c r="AA45" s="75"/>
      <c r="AB45" s="75"/>
      <c r="AC45" s="8"/>
      <c r="AD45" s="8"/>
      <c r="AE45" s="8"/>
    </row>
    <row r="46" spans="2:31" ht="18" thickBot="1" x14ac:dyDescent="0.4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27"/>
      <c r="R46" s="9"/>
      <c r="S46" s="9"/>
      <c r="T46" s="9"/>
      <c r="U46" s="9"/>
      <c r="V46" s="8"/>
      <c r="W46" s="8"/>
      <c r="X46" s="75"/>
      <c r="Y46" s="75"/>
      <c r="Z46" s="75"/>
      <c r="AA46" s="75"/>
      <c r="AB46" s="75"/>
      <c r="AC46" s="8"/>
      <c r="AD46" s="8"/>
      <c r="AE46" s="8"/>
    </row>
    <row r="47" spans="2:31" ht="25.8" thickBot="1" x14ac:dyDescent="0.6">
      <c r="B47" s="363" t="s">
        <v>54</v>
      </c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  <c r="AA47" s="364"/>
      <c r="AB47" s="364"/>
      <c r="AC47" s="364"/>
      <c r="AD47" s="364"/>
      <c r="AE47" s="365"/>
    </row>
    <row r="48" spans="2:31" ht="18" thickBot="1" x14ac:dyDescent="0.3">
      <c r="B48" s="353" t="s">
        <v>55</v>
      </c>
      <c r="C48" s="361" t="s">
        <v>56</v>
      </c>
      <c r="D48" s="361"/>
      <c r="E48" s="361"/>
      <c r="F48" s="361"/>
      <c r="G48" s="361"/>
      <c r="H48" s="361"/>
      <c r="I48" s="361"/>
      <c r="J48" s="401" t="s">
        <v>57</v>
      </c>
      <c r="K48" s="402"/>
      <c r="L48" s="402"/>
      <c r="M48" s="402"/>
      <c r="N48" s="402"/>
      <c r="O48" s="402"/>
      <c r="P48" s="402"/>
      <c r="Q48" s="403"/>
      <c r="R48" s="361" t="s">
        <v>58</v>
      </c>
      <c r="S48" s="361"/>
      <c r="T48" s="361"/>
      <c r="U48" s="361"/>
      <c r="V48" s="361"/>
      <c r="W48" s="74"/>
      <c r="X48" s="393" t="s">
        <v>59</v>
      </c>
      <c r="Y48" s="393"/>
      <c r="Z48" s="393"/>
      <c r="AA48" s="393"/>
      <c r="AB48" s="393"/>
      <c r="AC48" s="393"/>
      <c r="AD48" s="76"/>
      <c r="AE48" s="355" t="s">
        <v>38</v>
      </c>
    </row>
    <row r="49" spans="2:31" ht="52.8" thickBot="1" x14ac:dyDescent="0.3">
      <c r="B49" s="354"/>
      <c r="C49" s="34" t="s">
        <v>60</v>
      </c>
      <c r="D49" s="34" t="s">
        <v>61</v>
      </c>
      <c r="E49" s="24" t="s">
        <v>32</v>
      </c>
      <c r="F49" s="24" t="s">
        <v>33</v>
      </c>
      <c r="G49" s="24"/>
      <c r="H49" s="24" t="s">
        <v>42</v>
      </c>
      <c r="I49" s="57"/>
      <c r="J49" s="58" t="s">
        <v>60</v>
      </c>
      <c r="K49" s="59" t="s">
        <v>61</v>
      </c>
      <c r="L49" s="60" t="s">
        <v>32</v>
      </c>
      <c r="M49" s="61" t="s">
        <v>33</v>
      </c>
      <c r="N49" s="61"/>
      <c r="O49" s="62" t="s">
        <v>42</v>
      </c>
      <c r="P49" s="63"/>
      <c r="Q49" s="38"/>
      <c r="R49" s="35" t="s">
        <v>60</v>
      </c>
      <c r="S49" s="39" t="s">
        <v>61</v>
      </c>
      <c r="T49" s="36" t="s">
        <v>32</v>
      </c>
      <c r="U49" s="37" t="s">
        <v>33</v>
      </c>
      <c r="V49" s="37" t="s">
        <v>42</v>
      </c>
      <c r="W49" s="36"/>
      <c r="X49" s="77" t="s">
        <v>60</v>
      </c>
      <c r="Y49" s="78" t="s">
        <v>61</v>
      </c>
      <c r="Z49" s="79" t="s">
        <v>32</v>
      </c>
      <c r="AA49" s="80" t="s">
        <v>33</v>
      </c>
      <c r="AB49" s="80"/>
      <c r="AC49" s="81" t="s">
        <v>42</v>
      </c>
      <c r="AD49" s="82"/>
      <c r="AE49" s="356"/>
    </row>
    <row r="50" spans="2:31" ht="17.399999999999999" x14ac:dyDescent="0.25">
      <c r="B50" s="15">
        <v>36</v>
      </c>
      <c r="C50" s="40">
        <v>5180</v>
      </c>
      <c r="D50" s="41">
        <v>36</v>
      </c>
      <c r="E50" s="92">
        <v>10</v>
      </c>
      <c r="F50" s="91">
        <v>14</v>
      </c>
      <c r="G50" s="91"/>
      <c r="H50" s="91">
        <v>9.5</v>
      </c>
      <c r="I50" s="71"/>
      <c r="J50" s="424">
        <v>5190</v>
      </c>
      <c r="K50" s="404" t="s">
        <v>62</v>
      </c>
      <c r="L50" s="404">
        <v>10</v>
      </c>
      <c r="M50" s="404">
        <v>14</v>
      </c>
      <c r="N50" s="404"/>
      <c r="O50" s="405">
        <v>9.5</v>
      </c>
      <c r="P50" s="413"/>
      <c r="Q50" s="42"/>
      <c r="R50" s="414">
        <v>5210</v>
      </c>
      <c r="S50" s="416" t="s">
        <v>63</v>
      </c>
      <c r="T50" s="418">
        <v>10</v>
      </c>
      <c r="U50" s="420">
        <v>14</v>
      </c>
      <c r="V50" s="422">
        <v>9.5</v>
      </c>
      <c r="W50" s="432"/>
      <c r="X50" s="381">
        <v>5250</v>
      </c>
      <c r="Y50" s="369" t="s">
        <v>64</v>
      </c>
      <c r="Z50" s="437">
        <v>10</v>
      </c>
      <c r="AA50" s="408">
        <v>14</v>
      </c>
      <c r="AB50" s="367"/>
      <c r="AC50" s="383">
        <v>9.5</v>
      </c>
      <c r="AD50" s="386"/>
      <c r="AE50" s="43">
        <v>36</v>
      </c>
    </row>
    <row r="51" spans="2:31" ht="17.399999999999999" x14ac:dyDescent="0.25">
      <c r="B51" s="17">
        <v>40</v>
      </c>
      <c r="C51" s="44">
        <v>5200</v>
      </c>
      <c r="D51" s="45">
        <v>40</v>
      </c>
      <c r="E51" s="89">
        <v>10</v>
      </c>
      <c r="F51" s="90">
        <v>14</v>
      </c>
      <c r="G51" s="90"/>
      <c r="H51" s="90">
        <v>9.5</v>
      </c>
      <c r="I51" s="70"/>
      <c r="J51" s="389"/>
      <c r="K51" s="390"/>
      <c r="L51" s="390"/>
      <c r="M51" s="390"/>
      <c r="N51" s="390"/>
      <c r="O51" s="399"/>
      <c r="P51" s="406"/>
      <c r="Q51" s="46"/>
      <c r="R51" s="415"/>
      <c r="S51" s="417"/>
      <c r="T51" s="419"/>
      <c r="U51" s="421"/>
      <c r="V51" s="423"/>
      <c r="W51" s="430"/>
      <c r="X51" s="433"/>
      <c r="Y51" s="435"/>
      <c r="Z51" s="438"/>
      <c r="AA51" s="409"/>
      <c r="AB51" s="411"/>
      <c r="AC51" s="384"/>
      <c r="AD51" s="387"/>
      <c r="AE51" s="47">
        <v>40</v>
      </c>
    </row>
    <row r="52" spans="2:31" ht="17.399999999999999" x14ac:dyDescent="0.25">
      <c r="B52" s="17">
        <v>44</v>
      </c>
      <c r="C52" s="44">
        <v>5220</v>
      </c>
      <c r="D52" s="45">
        <v>44</v>
      </c>
      <c r="E52" s="89">
        <v>10</v>
      </c>
      <c r="F52" s="90">
        <v>14</v>
      </c>
      <c r="G52" s="90"/>
      <c r="H52" s="90">
        <v>9.5</v>
      </c>
      <c r="I52" s="70"/>
      <c r="J52" s="389">
        <v>5230</v>
      </c>
      <c r="K52" s="390" t="s">
        <v>65</v>
      </c>
      <c r="L52" s="390">
        <v>10</v>
      </c>
      <c r="M52" s="390">
        <v>14</v>
      </c>
      <c r="N52" s="390"/>
      <c r="O52" s="399">
        <v>9.5</v>
      </c>
      <c r="P52" s="406"/>
      <c r="Q52" s="46"/>
      <c r="R52" s="415"/>
      <c r="S52" s="417"/>
      <c r="T52" s="419"/>
      <c r="U52" s="421"/>
      <c r="V52" s="423"/>
      <c r="W52" s="430"/>
      <c r="X52" s="433"/>
      <c r="Y52" s="435"/>
      <c r="Z52" s="438"/>
      <c r="AA52" s="409"/>
      <c r="AB52" s="411"/>
      <c r="AC52" s="384"/>
      <c r="AD52" s="387"/>
      <c r="AE52" s="47">
        <v>44</v>
      </c>
    </row>
    <row r="53" spans="2:31" ht="17.399999999999999" x14ac:dyDescent="0.25">
      <c r="B53" s="17">
        <v>48</v>
      </c>
      <c r="C53" s="44">
        <v>5240</v>
      </c>
      <c r="D53" s="45">
        <v>48</v>
      </c>
      <c r="E53" s="89">
        <v>10</v>
      </c>
      <c r="F53" s="90">
        <v>14</v>
      </c>
      <c r="G53" s="90"/>
      <c r="H53" s="90">
        <v>9.5</v>
      </c>
      <c r="I53" s="70"/>
      <c r="J53" s="389"/>
      <c r="K53" s="390"/>
      <c r="L53" s="390"/>
      <c r="M53" s="390"/>
      <c r="N53" s="390"/>
      <c r="O53" s="399"/>
      <c r="P53" s="406"/>
      <c r="Q53" s="46"/>
      <c r="R53" s="415"/>
      <c r="S53" s="417"/>
      <c r="T53" s="419"/>
      <c r="U53" s="421"/>
      <c r="V53" s="423"/>
      <c r="W53" s="430"/>
      <c r="X53" s="433"/>
      <c r="Y53" s="435"/>
      <c r="Z53" s="438"/>
      <c r="AA53" s="409"/>
      <c r="AB53" s="411"/>
      <c r="AC53" s="384"/>
      <c r="AD53" s="387"/>
      <c r="AE53" s="47">
        <v>48</v>
      </c>
    </row>
    <row r="54" spans="2:31" ht="17.399999999999999" x14ac:dyDescent="0.25">
      <c r="B54" s="17">
        <v>52</v>
      </c>
      <c r="C54" s="44">
        <v>5260</v>
      </c>
      <c r="D54" s="45">
        <v>52</v>
      </c>
      <c r="E54" s="89">
        <v>10</v>
      </c>
      <c r="F54" s="90">
        <v>14</v>
      </c>
      <c r="G54" s="90"/>
      <c r="H54" s="90">
        <v>9.5</v>
      </c>
      <c r="I54" s="70"/>
      <c r="J54" s="389">
        <v>5270</v>
      </c>
      <c r="K54" s="390" t="s">
        <v>66</v>
      </c>
      <c r="L54" s="390">
        <v>10</v>
      </c>
      <c r="M54" s="390">
        <v>14</v>
      </c>
      <c r="N54" s="390"/>
      <c r="O54" s="399">
        <v>9.5</v>
      </c>
      <c r="P54" s="406"/>
      <c r="Q54" s="46"/>
      <c r="R54" s="415">
        <v>5290</v>
      </c>
      <c r="S54" s="417" t="s">
        <v>67</v>
      </c>
      <c r="T54" s="419">
        <v>10</v>
      </c>
      <c r="U54" s="421">
        <v>14</v>
      </c>
      <c r="V54" s="423">
        <v>9.5</v>
      </c>
      <c r="W54" s="430"/>
      <c r="X54" s="433"/>
      <c r="Y54" s="435"/>
      <c r="Z54" s="438"/>
      <c r="AA54" s="409"/>
      <c r="AB54" s="411"/>
      <c r="AC54" s="384"/>
      <c r="AD54" s="387"/>
      <c r="AE54" s="47">
        <v>52</v>
      </c>
    </row>
    <row r="55" spans="2:31" ht="17.399999999999999" x14ac:dyDescent="0.25">
      <c r="B55" s="17">
        <v>56</v>
      </c>
      <c r="C55" s="44">
        <v>5280</v>
      </c>
      <c r="D55" s="45">
        <v>56</v>
      </c>
      <c r="E55" s="89">
        <v>10</v>
      </c>
      <c r="F55" s="90">
        <v>14</v>
      </c>
      <c r="G55" s="90"/>
      <c r="H55" s="90">
        <v>9.5</v>
      </c>
      <c r="I55" s="70"/>
      <c r="J55" s="389"/>
      <c r="K55" s="390"/>
      <c r="L55" s="390"/>
      <c r="M55" s="390"/>
      <c r="N55" s="390"/>
      <c r="O55" s="399"/>
      <c r="P55" s="406"/>
      <c r="Q55" s="46"/>
      <c r="R55" s="415"/>
      <c r="S55" s="417"/>
      <c r="T55" s="419"/>
      <c r="U55" s="421"/>
      <c r="V55" s="423"/>
      <c r="W55" s="430"/>
      <c r="X55" s="433"/>
      <c r="Y55" s="435"/>
      <c r="Z55" s="438"/>
      <c r="AA55" s="409"/>
      <c r="AB55" s="411"/>
      <c r="AC55" s="384"/>
      <c r="AD55" s="387"/>
      <c r="AE55" s="47">
        <v>56</v>
      </c>
    </row>
    <row r="56" spans="2:31" ht="17.399999999999999" x14ac:dyDescent="0.25">
      <c r="B56" s="17">
        <v>60</v>
      </c>
      <c r="C56" s="44">
        <v>5300</v>
      </c>
      <c r="D56" s="45">
        <v>60</v>
      </c>
      <c r="E56" s="89">
        <v>10</v>
      </c>
      <c r="F56" s="90">
        <v>14</v>
      </c>
      <c r="G56" s="90"/>
      <c r="H56" s="90">
        <v>9.5</v>
      </c>
      <c r="I56" s="70"/>
      <c r="J56" s="389">
        <v>5310</v>
      </c>
      <c r="K56" s="390" t="s">
        <v>68</v>
      </c>
      <c r="L56" s="390">
        <v>10</v>
      </c>
      <c r="M56" s="390">
        <v>14</v>
      </c>
      <c r="N56" s="390"/>
      <c r="O56" s="399">
        <v>9.5</v>
      </c>
      <c r="P56" s="406"/>
      <c r="Q56" s="46"/>
      <c r="R56" s="415"/>
      <c r="S56" s="417"/>
      <c r="T56" s="419"/>
      <c r="U56" s="421"/>
      <c r="V56" s="423"/>
      <c r="W56" s="430"/>
      <c r="X56" s="433"/>
      <c r="Y56" s="435"/>
      <c r="Z56" s="438"/>
      <c r="AA56" s="409"/>
      <c r="AB56" s="411"/>
      <c r="AC56" s="384"/>
      <c r="AD56" s="387"/>
      <c r="AE56" s="47">
        <v>60</v>
      </c>
    </row>
    <row r="57" spans="2:31" ht="18" thickBot="1" x14ac:dyDescent="0.3">
      <c r="B57" s="19">
        <v>64</v>
      </c>
      <c r="C57" s="48">
        <v>5320</v>
      </c>
      <c r="D57" s="49">
        <v>64</v>
      </c>
      <c r="E57" s="69">
        <v>10</v>
      </c>
      <c r="F57" s="52">
        <v>14</v>
      </c>
      <c r="G57" s="52"/>
      <c r="H57" s="52">
        <v>9.5</v>
      </c>
      <c r="I57" s="66"/>
      <c r="J57" s="397"/>
      <c r="K57" s="398"/>
      <c r="L57" s="398"/>
      <c r="M57" s="398"/>
      <c r="N57" s="398"/>
      <c r="O57" s="400"/>
      <c r="P57" s="407"/>
      <c r="Q57" s="53"/>
      <c r="R57" s="425"/>
      <c r="S57" s="426"/>
      <c r="T57" s="427"/>
      <c r="U57" s="428"/>
      <c r="V57" s="429"/>
      <c r="W57" s="431"/>
      <c r="X57" s="434"/>
      <c r="Y57" s="436"/>
      <c r="Z57" s="439"/>
      <c r="AA57" s="410"/>
      <c r="AB57" s="412"/>
      <c r="AC57" s="385"/>
      <c r="AD57" s="388"/>
      <c r="AE57" s="50">
        <v>64</v>
      </c>
    </row>
    <row r="58" spans="2:31" ht="17.399999999999999" x14ac:dyDescent="0.25">
      <c r="B58" s="15">
        <v>100</v>
      </c>
      <c r="C58" s="40">
        <v>5500</v>
      </c>
      <c r="D58" s="41">
        <v>100</v>
      </c>
      <c r="E58" s="92">
        <v>10</v>
      </c>
      <c r="F58" s="91">
        <v>14</v>
      </c>
      <c r="G58" s="91"/>
      <c r="H58" s="91">
        <v>9.5</v>
      </c>
      <c r="I58" s="71"/>
      <c r="J58" s="442">
        <v>5510</v>
      </c>
      <c r="K58" s="443" t="s">
        <v>69</v>
      </c>
      <c r="L58" s="443">
        <v>10</v>
      </c>
      <c r="M58" s="443">
        <v>14</v>
      </c>
      <c r="N58" s="443"/>
      <c r="O58" s="444">
        <v>9.5</v>
      </c>
      <c r="P58" s="445"/>
      <c r="Q58" s="26"/>
      <c r="R58" s="448">
        <v>5530</v>
      </c>
      <c r="S58" s="449" t="s">
        <v>70</v>
      </c>
      <c r="T58" s="446">
        <v>10</v>
      </c>
      <c r="U58" s="440">
        <v>14</v>
      </c>
      <c r="V58" s="440">
        <v>9.5</v>
      </c>
      <c r="W58" s="416"/>
      <c r="X58" s="381">
        <v>5570</v>
      </c>
      <c r="Y58" s="369" t="s">
        <v>71</v>
      </c>
      <c r="Z58" s="437">
        <v>10</v>
      </c>
      <c r="AA58" s="408">
        <v>14</v>
      </c>
      <c r="AB58" s="367"/>
      <c r="AC58" s="383">
        <v>9.5</v>
      </c>
      <c r="AD58" s="386"/>
      <c r="AE58" s="51">
        <v>100</v>
      </c>
    </row>
    <row r="59" spans="2:31" ht="17.399999999999999" x14ac:dyDescent="0.25">
      <c r="B59" s="17">
        <v>104</v>
      </c>
      <c r="C59" s="44">
        <v>5520</v>
      </c>
      <c r="D59" s="45">
        <v>104</v>
      </c>
      <c r="E59" s="89">
        <v>10</v>
      </c>
      <c r="F59" s="90">
        <v>14</v>
      </c>
      <c r="G59" s="90"/>
      <c r="H59" s="90">
        <v>9.5</v>
      </c>
      <c r="I59" s="70"/>
      <c r="J59" s="389"/>
      <c r="K59" s="390"/>
      <c r="L59" s="390"/>
      <c r="M59" s="390"/>
      <c r="N59" s="390"/>
      <c r="O59" s="399"/>
      <c r="P59" s="406"/>
      <c r="Q59" s="46"/>
      <c r="R59" s="415"/>
      <c r="S59" s="417"/>
      <c r="T59" s="447"/>
      <c r="U59" s="441"/>
      <c r="V59" s="441"/>
      <c r="W59" s="417"/>
      <c r="X59" s="433"/>
      <c r="Y59" s="435"/>
      <c r="Z59" s="438"/>
      <c r="AA59" s="409"/>
      <c r="AB59" s="411"/>
      <c r="AC59" s="384"/>
      <c r="AD59" s="387"/>
      <c r="AE59" s="47">
        <v>104</v>
      </c>
    </row>
    <row r="60" spans="2:31" ht="17.399999999999999" x14ac:dyDescent="0.25">
      <c r="B60" s="17">
        <v>108</v>
      </c>
      <c r="C60" s="44">
        <v>5540</v>
      </c>
      <c r="D60" s="45">
        <v>108</v>
      </c>
      <c r="E60" s="89">
        <v>10</v>
      </c>
      <c r="F60" s="90">
        <v>14</v>
      </c>
      <c r="G60" s="90"/>
      <c r="H60" s="90">
        <v>9.5</v>
      </c>
      <c r="I60" s="70"/>
      <c r="J60" s="389">
        <v>5550</v>
      </c>
      <c r="K60" s="390" t="s">
        <v>72</v>
      </c>
      <c r="L60" s="443">
        <v>10</v>
      </c>
      <c r="M60" s="443">
        <v>14</v>
      </c>
      <c r="N60" s="443"/>
      <c r="O60" s="444">
        <v>9.5</v>
      </c>
      <c r="P60" s="406"/>
      <c r="Q60" s="46"/>
      <c r="R60" s="415"/>
      <c r="S60" s="417"/>
      <c r="T60" s="447"/>
      <c r="U60" s="441"/>
      <c r="V60" s="441"/>
      <c r="W60" s="417"/>
      <c r="X60" s="433"/>
      <c r="Y60" s="435"/>
      <c r="Z60" s="438"/>
      <c r="AA60" s="409"/>
      <c r="AB60" s="411"/>
      <c r="AC60" s="384"/>
      <c r="AD60" s="387"/>
      <c r="AE60" s="47">
        <v>108</v>
      </c>
    </row>
    <row r="61" spans="2:31" ht="17.399999999999999" x14ac:dyDescent="0.25">
      <c r="B61" s="17">
        <v>112</v>
      </c>
      <c r="C61" s="44">
        <v>5560</v>
      </c>
      <c r="D61" s="45">
        <v>112</v>
      </c>
      <c r="E61" s="89">
        <v>10</v>
      </c>
      <c r="F61" s="90">
        <v>14</v>
      </c>
      <c r="G61" s="90"/>
      <c r="H61" s="90">
        <v>9.5</v>
      </c>
      <c r="I61" s="70"/>
      <c r="J61" s="389"/>
      <c r="K61" s="390"/>
      <c r="L61" s="390"/>
      <c r="M61" s="390"/>
      <c r="N61" s="390"/>
      <c r="O61" s="399"/>
      <c r="P61" s="406"/>
      <c r="Q61" s="46"/>
      <c r="R61" s="415"/>
      <c r="S61" s="417"/>
      <c r="T61" s="447"/>
      <c r="U61" s="441"/>
      <c r="V61" s="441"/>
      <c r="W61" s="417"/>
      <c r="X61" s="433"/>
      <c r="Y61" s="435"/>
      <c r="Z61" s="438"/>
      <c r="AA61" s="409"/>
      <c r="AB61" s="411"/>
      <c r="AC61" s="384"/>
      <c r="AD61" s="387"/>
      <c r="AE61" s="47">
        <v>112</v>
      </c>
    </row>
    <row r="62" spans="2:31" ht="17.399999999999999" x14ac:dyDescent="0.25">
      <c r="B62" s="17">
        <v>116</v>
      </c>
      <c r="C62" s="44">
        <v>5580</v>
      </c>
      <c r="D62" s="45">
        <v>116</v>
      </c>
      <c r="E62" s="89">
        <v>10</v>
      </c>
      <c r="F62" s="90">
        <v>14</v>
      </c>
      <c r="G62" s="90"/>
      <c r="H62" s="90">
        <v>9.5</v>
      </c>
      <c r="I62" s="70"/>
      <c r="J62" s="389">
        <v>5590</v>
      </c>
      <c r="K62" s="390" t="s">
        <v>73</v>
      </c>
      <c r="L62" s="443">
        <v>10</v>
      </c>
      <c r="M62" s="443">
        <v>14</v>
      </c>
      <c r="N62" s="443"/>
      <c r="O62" s="444">
        <v>9.5</v>
      </c>
      <c r="P62" s="406"/>
      <c r="Q62" s="46"/>
      <c r="R62" s="415">
        <v>5610</v>
      </c>
      <c r="S62" s="417" t="s">
        <v>74</v>
      </c>
      <c r="T62" s="446">
        <v>10</v>
      </c>
      <c r="U62" s="440">
        <v>14</v>
      </c>
      <c r="V62" s="440">
        <v>9.5</v>
      </c>
      <c r="W62" s="423"/>
      <c r="X62" s="433"/>
      <c r="Y62" s="435"/>
      <c r="Z62" s="438"/>
      <c r="AA62" s="409"/>
      <c r="AB62" s="411"/>
      <c r="AC62" s="384"/>
      <c r="AD62" s="387"/>
      <c r="AE62" s="47">
        <v>116</v>
      </c>
    </row>
    <row r="63" spans="2:31" ht="17.399999999999999" x14ac:dyDescent="0.25">
      <c r="B63" s="17">
        <v>120</v>
      </c>
      <c r="C63" s="44">
        <v>5600</v>
      </c>
      <c r="D63" s="45">
        <v>120</v>
      </c>
      <c r="E63" s="89">
        <v>10</v>
      </c>
      <c r="F63" s="90">
        <v>14</v>
      </c>
      <c r="G63" s="90"/>
      <c r="H63" s="90">
        <v>9.5</v>
      </c>
      <c r="I63" s="70"/>
      <c r="J63" s="389"/>
      <c r="K63" s="390"/>
      <c r="L63" s="390"/>
      <c r="M63" s="390"/>
      <c r="N63" s="390"/>
      <c r="O63" s="399"/>
      <c r="P63" s="406"/>
      <c r="Q63" s="46"/>
      <c r="R63" s="415"/>
      <c r="S63" s="417"/>
      <c r="T63" s="447"/>
      <c r="U63" s="441"/>
      <c r="V63" s="441"/>
      <c r="W63" s="423"/>
      <c r="X63" s="433"/>
      <c r="Y63" s="435"/>
      <c r="Z63" s="438"/>
      <c r="AA63" s="409"/>
      <c r="AB63" s="411"/>
      <c r="AC63" s="384"/>
      <c r="AD63" s="387"/>
      <c r="AE63" s="47">
        <v>120</v>
      </c>
    </row>
    <row r="64" spans="2:31" ht="17.399999999999999" x14ac:dyDescent="0.25">
      <c r="B64" s="17">
        <v>124</v>
      </c>
      <c r="C64" s="44">
        <v>5620</v>
      </c>
      <c r="D64" s="45">
        <v>124</v>
      </c>
      <c r="E64" s="89">
        <v>10</v>
      </c>
      <c r="F64" s="90">
        <v>14</v>
      </c>
      <c r="G64" s="90"/>
      <c r="H64" s="90">
        <v>9.5</v>
      </c>
      <c r="I64" s="70"/>
      <c r="J64" s="389">
        <v>5630</v>
      </c>
      <c r="K64" s="390" t="s">
        <v>75</v>
      </c>
      <c r="L64" s="443">
        <v>10</v>
      </c>
      <c r="M64" s="443">
        <v>14</v>
      </c>
      <c r="N64" s="443"/>
      <c r="O64" s="444">
        <v>9.5</v>
      </c>
      <c r="P64" s="406"/>
      <c r="Q64" s="46"/>
      <c r="R64" s="415"/>
      <c r="S64" s="417"/>
      <c r="T64" s="447"/>
      <c r="U64" s="441"/>
      <c r="V64" s="441"/>
      <c r="W64" s="423"/>
      <c r="X64" s="433"/>
      <c r="Y64" s="435"/>
      <c r="Z64" s="438"/>
      <c r="AA64" s="409"/>
      <c r="AB64" s="411"/>
      <c r="AC64" s="384"/>
      <c r="AD64" s="387"/>
      <c r="AE64" s="47">
        <v>124</v>
      </c>
    </row>
    <row r="65" spans="2:31" ht="18" thickBot="1" x14ac:dyDescent="0.3">
      <c r="B65" s="17">
        <v>128</v>
      </c>
      <c r="C65" s="44">
        <v>5640</v>
      </c>
      <c r="D65" s="45">
        <v>128</v>
      </c>
      <c r="E65" s="89">
        <v>10</v>
      </c>
      <c r="F65" s="90">
        <v>14</v>
      </c>
      <c r="G65" s="90"/>
      <c r="H65" s="90">
        <v>9.5</v>
      </c>
      <c r="I65" s="70"/>
      <c r="J65" s="389"/>
      <c r="K65" s="390"/>
      <c r="L65" s="390"/>
      <c r="M65" s="390"/>
      <c r="N65" s="390"/>
      <c r="O65" s="399"/>
      <c r="P65" s="406"/>
      <c r="Q65" s="46"/>
      <c r="R65" s="415"/>
      <c r="S65" s="417"/>
      <c r="T65" s="447"/>
      <c r="U65" s="441"/>
      <c r="V65" s="441"/>
      <c r="W65" s="423"/>
      <c r="X65" s="434"/>
      <c r="Y65" s="436"/>
      <c r="Z65" s="439"/>
      <c r="AA65" s="410"/>
      <c r="AB65" s="412"/>
      <c r="AC65" s="385"/>
      <c r="AD65" s="388"/>
      <c r="AE65" s="47">
        <v>128</v>
      </c>
    </row>
    <row r="66" spans="2:31" ht="17.399999999999999" x14ac:dyDescent="0.25">
      <c r="B66" s="17">
        <v>132</v>
      </c>
      <c r="C66" s="44">
        <v>5660</v>
      </c>
      <c r="D66" s="45">
        <v>132</v>
      </c>
      <c r="E66" s="89">
        <v>10</v>
      </c>
      <c r="F66" s="90">
        <v>14</v>
      </c>
      <c r="G66" s="90"/>
      <c r="H66" s="90">
        <v>9.5</v>
      </c>
      <c r="I66" s="70"/>
      <c r="J66" s="389">
        <v>5670</v>
      </c>
      <c r="K66" s="390" t="s">
        <v>76</v>
      </c>
      <c r="L66" s="390">
        <v>10</v>
      </c>
      <c r="M66" s="390">
        <v>14</v>
      </c>
      <c r="N66" s="390"/>
      <c r="O66" s="399">
        <v>9.5</v>
      </c>
      <c r="P66" s="406"/>
      <c r="Q66" s="46"/>
      <c r="R66" s="415">
        <v>5690</v>
      </c>
      <c r="S66" s="417" t="s">
        <v>77</v>
      </c>
      <c r="T66" s="447">
        <v>10</v>
      </c>
      <c r="U66" s="441">
        <v>14</v>
      </c>
      <c r="V66" s="417">
        <v>9.5</v>
      </c>
      <c r="W66" s="423"/>
      <c r="X66" s="433" t="s">
        <v>35</v>
      </c>
      <c r="Y66" s="435" t="s">
        <v>35</v>
      </c>
      <c r="Z66" s="438" t="s">
        <v>35</v>
      </c>
      <c r="AA66" s="409" t="s">
        <v>35</v>
      </c>
      <c r="AB66" s="409"/>
      <c r="AC66" s="384" t="s">
        <v>35</v>
      </c>
      <c r="AD66" s="452"/>
      <c r="AE66" s="47">
        <v>132</v>
      </c>
    </row>
    <row r="67" spans="2:31" ht="17.399999999999999" x14ac:dyDescent="0.25">
      <c r="B67" s="17">
        <v>136</v>
      </c>
      <c r="C67" s="44">
        <v>5680</v>
      </c>
      <c r="D67" s="45">
        <v>136</v>
      </c>
      <c r="E67" s="89">
        <v>10</v>
      </c>
      <c r="F67" s="90">
        <v>14</v>
      </c>
      <c r="G67" s="90"/>
      <c r="H67" s="90">
        <v>9.5</v>
      </c>
      <c r="I67" s="70"/>
      <c r="J67" s="389"/>
      <c r="K67" s="390"/>
      <c r="L67" s="390"/>
      <c r="M67" s="390"/>
      <c r="N67" s="390"/>
      <c r="O67" s="399"/>
      <c r="P67" s="406"/>
      <c r="Q67" s="46"/>
      <c r="R67" s="415"/>
      <c r="S67" s="417"/>
      <c r="T67" s="447"/>
      <c r="U67" s="441"/>
      <c r="V67" s="417"/>
      <c r="W67" s="423"/>
      <c r="X67" s="433"/>
      <c r="Y67" s="435"/>
      <c r="Z67" s="438"/>
      <c r="AA67" s="409"/>
      <c r="AB67" s="409"/>
      <c r="AC67" s="384"/>
      <c r="AD67" s="452"/>
      <c r="AE67" s="47">
        <v>136</v>
      </c>
    </row>
    <row r="68" spans="2:31" ht="17.399999999999999" x14ac:dyDescent="0.25">
      <c r="B68" s="17">
        <v>140</v>
      </c>
      <c r="C68" s="44">
        <v>5700</v>
      </c>
      <c r="D68" s="45">
        <v>140</v>
      </c>
      <c r="E68" s="89">
        <v>10</v>
      </c>
      <c r="F68" s="90">
        <v>14</v>
      </c>
      <c r="G68" s="90"/>
      <c r="H68" s="90">
        <v>9.5</v>
      </c>
      <c r="I68" s="70"/>
      <c r="J68" s="389">
        <v>5710</v>
      </c>
      <c r="K68" s="390" t="s">
        <v>78</v>
      </c>
      <c r="L68" s="443">
        <v>10</v>
      </c>
      <c r="M68" s="443">
        <v>14</v>
      </c>
      <c r="N68" s="443"/>
      <c r="O68" s="444">
        <v>9.5</v>
      </c>
      <c r="P68" s="406"/>
      <c r="Q68" s="46"/>
      <c r="R68" s="415"/>
      <c r="S68" s="417"/>
      <c r="T68" s="447"/>
      <c r="U68" s="441"/>
      <c r="V68" s="417"/>
      <c r="W68" s="423"/>
      <c r="X68" s="433"/>
      <c r="Y68" s="435"/>
      <c r="Z68" s="438"/>
      <c r="AA68" s="409"/>
      <c r="AB68" s="409"/>
      <c r="AC68" s="384"/>
      <c r="AD68" s="452"/>
      <c r="AE68" s="47">
        <v>140</v>
      </c>
    </row>
    <row r="69" spans="2:31" ht="18" thickBot="1" x14ac:dyDescent="0.3">
      <c r="B69" s="93">
        <v>144</v>
      </c>
      <c r="C69" s="97">
        <v>5720</v>
      </c>
      <c r="D69" s="98">
        <v>144</v>
      </c>
      <c r="E69" s="99">
        <v>10</v>
      </c>
      <c r="F69" s="100">
        <v>14</v>
      </c>
      <c r="G69" s="100"/>
      <c r="H69" s="100">
        <v>9.5</v>
      </c>
      <c r="I69" s="101"/>
      <c r="J69" s="397"/>
      <c r="K69" s="398"/>
      <c r="L69" s="398"/>
      <c r="M69" s="398"/>
      <c r="N69" s="398"/>
      <c r="O69" s="400"/>
      <c r="P69" s="407"/>
      <c r="Q69" s="53"/>
      <c r="R69" s="425"/>
      <c r="S69" s="426"/>
      <c r="T69" s="456"/>
      <c r="U69" s="457"/>
      <c r="V69" s="426"/>
      <c r="W69" s="429"/>
      <c r="X69" s="433"/>
      <c r="Y69" s="435"/>
      <c r="Z69" s="438"/>
      <c r="AA69" s="409"/>
      <c r="AB69" s="409"/>
      <c r="AC69" s="384"/>
      <c r="AD69" s="452"/>
      <c r="AE69" s="47">
        <v>144</v>
      </c>
    </row>
    <row r="70" spans="2:31" ht="17.399999999999999" x14ac:dyDescent="0.25">
      <c r="B70" s="14">
        <v>149</v>
      </c>
      <c r="C70" s="25">
        <v>5745</v>
      </c>
      <c r="D70" s="51">
        <v>149</v>
      </c>
      <c r="E70" s="96">
        <v>7.5</v>
      </c>
      <c r="F70" s="94">
        <v>7.5</v>
      </c>
      <c r="G70" s="94"/>
      <c r="H70" s="94">
        <v>5</v>
      </c>
      <c r="I70" s="95"/>
      <c r="J70" s="442">
        <v>5755</v>
      </c>
      <c r="K70" s="443" t="s">
        <v>79</v>
      </c>
      <c r="L70" s="443">
        <v>7.5</v>
      </c>
      <c r="M70" s="443">
        <v>7.5</v>
      </c>
      <c r="N70" s="443"/>
      <c r="O70" s="444">
        <v>5</v>
      </c>
      <c r="P70" s="445"/>
      <c r="Q70" s="26"/>
      <c r="R70" s="448">
        <v>5775</v>
      </c>
      <c r="S70" s="449" t="s">
        <v>80</v>
      </c>
      <c r="T70" s="446">
        <v>7.5</v>
      </c>
      <c r="U70" s="440">
        <v>7.5</v>
      </c>
      <c r="V70" s="440">
        <v>5</v>
      </c>
      <c r="W70" s="451"/>
      <c r="X70" s="433"/>
      <c r="Y70" s="435"/>
      <c r="Z70" s="438"/>
      <c r="AA70" s="409"/>
      <c r="AB70" s="409"/>
      <c r="AC70" s="384"/>
      <c r="AD70" s="452"/>
      <c r="AE70" s="47">
        <v>149</v>
      </c>
    </row>
    <row r="71" spans="2:31" ht="17.399999999999999" x14ac:dyDescent="0.25">
      <c r="B71" s="17">
        <v>153</v>
      </c>
      <c r="C71" s="28">
        <v>5765</v>
      </c>
      <c r="D71" s="47">
        <v>153</v>
      </c>
      <c r="E71" s="89">
        <v>7.5</v>
      </c>
      <c r="F71" s="90">
        <v>7.5</v>
      </c>
      <c r="G71" s="90"/>
      <c r="H71" s="90">
        <v>5</v>
      </c>
      <c r="I71" s="70"/>
      <c r="J71" s="389"/>
      <c r="K71" s="390"/>
      <c r="L71" s="390"/>
      <c r="M71" s="390"/>
      <c r="N71" s="390"/>
      <c r="O71" s="399"/>
      <c r="P71" s="406"/>
      <c r="Q71" s="46"/>
      <c r="R71" s="415"/>
      <c r="S71" s="417"/>
      <c r="T71" s="447"/>
      <c r="U71" s="441"/>
      <c r="V71" s="441"/>
      <c r="W71" s="423"/>
      <c r="X71" s="433"/>
      <c r="Y71" s="435"/>
      <c r="Z71" s="438"/>
      <c r="AA71" s="409"/>
      <c r="AB71" s="409"/>
      <c r="AC71" s="384"/>
      <c r="AD71" s="452"/>
      <c r="AE71" s="47">
        <v>153</v>
      </c>
    </row>
    <row r="72" spans="2:31" ht="17.399999999999999" x14ac:dyDescent="0.25">
      <c r="B72" s="17">
        <v>157</v>
      </c>
      <c r="C72" s="28">
        <v>5785</v>
      </c>
      <c r="D72" s="47">
        <v>157</v>
      </c>
      <c r="E72" s="89">
        <v>7.5</v>
      </c>
      <c r="F72" s="90">
        <v>7.5</v>
      </c>
      <c r="G72" s="90"/>
      <c r="H72" s="90">
        <v>5</v>
      </c>
      <c r="I72" s="70"/>
      <c r="J72" s="389">
        <v>5795</v>
      </c>
      <c r="K72" s="390" t="s">
        <v>81</v>
      </c>
      <c r="L72" s="443">
        <v>7.5</v>
      </c>
      <c r="M72" s="443">
        <v>7.5</v>
      </c>
      <c r="N72" s="443"/>
      <c r="O72" s="444">
        <v>5</v>
      </c>
      <c r="P72" s="406"/>
      <c r="Q72" s="46"/>
      <c r="R72" s="415"/>
      <c r="S72" s="417"/>
      <c r="T72" s="447"/>
      <c r="U72" s="441"/>
      <c r="V72" s="441"/>
      <c r="W72" s="423"/>
      <c r="X72" s="433"/>
      <c r="Y72" s="435"/>
      <c r="Z72" s="438"/>
      <c r="AA72" s="409"/>
      <c r="AB72" s="409"/>
      <c r="AC72" s="384"/>
      <c r="AD72" s="452"/>
      <c r="AE72" s="47">
        <v>157</v>
      </c>
    </row>
    <row r="73" spans="2:31" ht="17.399999999999999" x14ac:dyDescent="0.25">
      <c r="B73" s="17">
        <v>161</v>
      </c>
      <c r="C73" s="28">
        <v>5805</v>
      </c>
      <c r="D73" s="47">
        <v>161</v>
      </c>
      <c r="E73" s="89">
        <v>7.5</v>
      </c>
      <c r="F73" s="90">
        <v>7.5</v>
      </c>
      <c r="G73" s="90"/>
      <c r="H73" s="90">
        <v>5</v>
      </c>
      <c r="I73" s="70"/>
      <c r="J73" s="389"/>
      <c r="K73" s="390"/>
      <c r="L73" s="390"/>
      <c r="M73" s="390"/>
      <c r="N73" s="390"/>
      <c r="O73" s="399"/>
      <c r="P73" s="406"/>
      <c r="Q73" s="46"/>
      <c r="R73" s="415"/>
      <c r="S73" s="417"/>
      <c r="T73" s="447"/>
      <c r="U73" s="441"/>
      <c r="V73" s="441"/>
      <c r="W73" s="423"/>
      <c r="X73" s="382"/>
      <c r="Y73" s="370"/>
      <c r="Z73" s="454"/>
      <c r="AA73" s="455"/>
      <c r="AB73" s="455"/>
      <c r="AC73" s="450"/>
      <c r="AD73" s="453"/>
      <c r="AE73" s="47">
        <v>161</v>
      </c>
    </row>
    <row r="74" spans="2:31" ht="18" thickBot="1" x14ac:dyDescent="0.3">
      <c r="B74" s="19">
        <v>165</v>
      </c>
      <c r="C74" s="32">
        <v>5825</v>
      </c>
      <c r="D74" s="50">
        <v>165</v>
      </c>
      <c r="E74" s="69">
        <v>7.5</v>
      </c>
      <c r="F74" s="52">
        <v>7.5</v>
      </c>
      <c r="G74" s="52"/>
      <c r="H74" s="52">
        <v>5</v>
      </c>
      <c r="I74" s="66"/>
      <c r="J74" s="64" t="s">
        <v>35</v>
      </c>
      <c r="K74" s="65" t="s">
        <v>35</v>
      </c>
      <c r="L74" s="65" t="s">
        <v>35</v>
      </c>
      <c r="M74" s="65" t="s">
        <v>35</v>
      </c>
      <c r="N74" s="65"/>
      <c r="O74" s="66" t="s">
        <v>35</v>
      </c>
      <c r="P74" s="67"/>
      <c r="Q74" s="53"/>
      <c r="R74" s="69" t="s">
        <v>35</v>
      </c>
      <c r="S74" s="68" t="s">
        <v>35</v>
      </c>
      <c r="T74" s="72" t="s">
        <v>35</v>
      </c>
      <c r="U74" s="52" t="s">
        <v>35</v>
      </c>
      <c r="V74" s="52" t="s">
        <v>35</v>
      </c>
      <c r="W74" s="72"/>
      <c r="X74" s="83" t="s">
        <v>35</v>
      </c>
      <c r="Y74" s="84" t="s">
        <v>35</v>
      </c>
      <c r="Z74" s="85" t="s">
        <v>35</v>
      </c>
      <c r="AA74" s="86" t="s">
        <v>35</v>
      </c>
      <c r="AB74" s="86"/>
      <c r="AC74" s="87" t="s">
        <v>35</v>
      </c>
      <c r="AD74" s="88"/>
      <c r="AE74" s="50">
        <v>165</v>
      </c>
    </row>
  </sheetData>
  <mergeCells count="234">
    <mergeCell ref="L66:L67"/>
    <mergeCell ref="T66:T69"/>
    <mergeCell ref="U66:U69"/>
    <mergeCell ref="V66:V69"/>
    <mergeCell ref="J66:J67"/>
    <mergeCell ref="K66:K67"/>
    <mergeCell ref="T70:T73"/>
    <mergeCell ref="B1:C1"/>
    <mergeCell ref="E1:H1"/>
    <mergeCell ref="K70:K71"/>
    <mergeCell ref="L70:L71"/>
    <mergeCell ref="M70:M71"/>
    <mergeCell ref="N70:N71"/>
    <mergeCell ref="O70:O71"/>
    <mergeCell ref="P70:P71"/>
    <mergeCell ref="P72:P73"/>
    <mergeCell ref="J72:J73"/>
    <mergeCell ref="K72:K73"/>
    <mergeCell ref="L72:L73"/>
    <mergeCell ref="M72:M73"/>
    <mergeCell ref="N72:N73"/>
    <mergeCell ref="O72:O73"/>
    <mergeCell ref="L64:L65"/>
    <mergeCell ref="M64:M65"/>
    <mergeCell ref="N64:N65"/>
    <mergeCell ref="AC66:AC73"/>
    <mergeCell ref="U70:U73"/>
    <mergeCell ref="V70:V73"/>
    <mergeCell ref="W70:W73"/>
    <mergeCell ref="R70:R73"/>
    <mergeCell ref="S70:S73"/>
    <mergeCell ref="AD66:AD73"/>
    <mergeCell ref="J68:J69"/>
    <mergeCell ref="K68:K69"/>
    <mergeCell ref="L68:L69"/>
    <mergeCell ref="M68:M69"/>
    <mergeCell ref="N68:N69"/>
    <mergeCell ref="O68:O69"/>
    <mergeCell ref="P68:P69"/>
    <mergeCell ref="J70:J71"/>
    <mergeCell ref="W66:W69"/>
    <mergeCell ref="X66:X73"/>
    <mergeCell ref="Y66:Y73"/>
    <mergeCell ref="Z66:Z73"/>
    <mergeCell ref="AA66:AA73"/>
    <mergeCell ref="AB66:AB73"/>
    <mergeCell ref="P66:P67"/>
    <mergeCell ref="R66:R69"/>
    <mergeCell ref="S66:S69"/>
    <mergeCell ref="M66:M67"/>
    <mergeCell ref="N66:N67"/>
    <mergeCell ref="O66:O67"/>
    <mergeCell ref="AD58:AD65"/>
    <mergeCell ref="J60:J61"/>
    <mergeCell ref="K60:K61"/>
    <mergeCell ref="L60:L61"/>
    <mergeCell ref="M60:M61"/>
    <mergeCell ref="N60:N61"/>
    <mergeCell ref="O60:O61"/>
    <mergeCell ref="P60:P61"/>
    <mergeCell ref="J62:J63"/>
    <mergeCell ref="K62:K63"/>
    <mergeCell ref="X58:X65"/>
    <mergeCell ref="Y58:Y65"/>
    <mergeCell ref="Z58:Z65"/>
    <mergeCell ref="AA58:AA65"/>
    <mergeCell ref="AB58:AB65"/>
    <mergeCell ref="AC58:AC65"/>
    <mergeCell ref="R58:R61"/>
    <mergeCell ref="S58:S61"/>
    <mergeCell ref="T58:T61"/>
    <mergeCell ref="U58:U61"/>
    <mergeCell ref="V58:V61"/>
    <mergeCell ref="W58:W61"/>
    <mergeCell ref="J64:J65"/>
    <mergeCell ref="K64:K65"/>
    <mergeCell ref="J58:J59"/>
    <mergeCell ref="K58:K59"/>
    <mergeCell ref="L58:L59"/>
    <mergeCell ref="M58:M59"/>
    <mergeCell ref="N58:N59"/>
    <mergeCell ref="O58:O59"/>
    <mergeCell ref="P58:P59"/>
    <mergeCell ref="S62:S65"/>
    <mergeCell ref="T62:T65"/>
    <mergeCell ref="U62:U65"/>
    <mergeCell ref="V62:V65"/>
    <mergeCell ref="W62:W65"/>
    <mergeCell ref="P62:P63"/>
    <mergeCell ref="R62:R65"/>
    <mergeCell ref="P64:P65"/>
    <mergeCell ref="L62:L63"/>
    <mergeCell ref="M62:M63"/>
    <mergeCell ref="N62:N63"/>
    <mergeCell ref="O62:O63"/>
    <mergeCell ref="O64:O65"/>
    <mergeCell ref="AA50:AA57"/>
    <mergeCell ref="AB50:AB57"/>
    <mergeCell ref="P50:P51"/>
    <mergeCell ref="R50:R53"/>
    <mergeCell ref="S50:S53"/>
    <mergeCell ref="T50:T53"/>
    <mergeCell ref="U50:U53"/>
    <mergeCell ref="V50:V53"/>
    <mergeCell ref="J50:J51"/>
    <mergeCell ref="K50:K51"/>
    <mergeCell ref="R54:R57"/>
    <mergeCell ref="S54:S57"/>
    <mergeCell ref="T54:T57"/>
    <mergeCell ref="U54:U57"/>
    <mergeCell ref="V54:V57"/>
    <mergeCell ref="W54:W57"/>
    <mergeCell ref="K54:K55"/>
    <mergeCell ref="L54:L55"/>
    <mergeCell ref="J54:J55"/>
    <mergeCell ref="W50:W53"/>
    <mergeCell ref="X50:X57"/>
    <mergeCell ref="Y50:Y57"/>
    <mergeCell ref="Z50:Z57"/>
    <mergeCell ref="L50:L51"/>
    <mergeCell ref="J56:J57"/>
    <mergeCell ref="K56:K57"/>
    <mergeCell ref="L56:L57"/>
    <mergeCell ref="M56:M57"/>
    <mergeCell ref="N56:N57"/>
    <mergeCell ref="O56:O57"/>
    <mergeCell ref="B48:B49"/>
    <mergeCell ref="C48:I48"/>
    <mergeCell ref="J48:Q48"/>
    <mergeCell ref="M50:M51"/>
    <mergeCell ref="N50:N51"/>
    <mergeCell ref="O50:O51"/>
    <mergeCell ref="M54:M55"/>
    <mergeCell ref="N54:N55"/>
    <mergeCell ref="O54:O55"/>
    <mergeCell ref="P54:P55"/>
    <mergeCell ref="P56:P57"/>
    <mergeCell ref="M52:M53"/>
    <mergeCell ref="N52:N53"/>
    <mergeCell ref="O52:O53"/>
    <mergeCell ref="P52:P53"/>
    <mergeCell ref="R48:V48"/>
    <mergeCell ref="X48:AC48"/>
    <mergeCell ref="AE48:AE49"/>
    <mergeCell ref="B43:B44"/>
    <mergeCell ref="C43:C44"/>
    <mergeCell ref="F43:F44"/>
    <mergeCell ref="G43:G44"/>
    <mergeCell ref="H43:H44"/>
    <mergeCell ref="I43:I44"/>
    <mergeCell ref="AC50:AC57"/>
    <mergeCell ref="AD50:AD57"/>
    <mergeCell ref="J52:J53"/>
    <mergeCell ref="K52:K53"/>
    <mergeCell ref="L52:L53"/>
    <mergeCell ref="J39:J40"/>
    <mergeCell ref="K39:K40"/>
    <mergeCell ref="B41:B42"/>
    <mergeCell ref="C41:C42"/>
    <mergeCell ref="F41:F42"/>
    <mergeCell ref="G41:G42"/>
    <mergeCell ref="H41:H42"/>
    <mergeCell ref="I41:I42"/>
    <mergeCell ref="J41:J42"/>
    <mergeCell ref="K41:K42"/>
    <mergeCell ref="B39:B40"/>
    <mergeCell ref="C39:C40"/>
    <mergeCell ref="F39:F40"/>
    <mergeCell ref="G39:G40"/>
    <mergeCell ref="H39:H40"/>
    <mergeCell ref="I39:I40"/>
    <mergeCell ref="J43:J44"/>
    <mergeCell ref="K43:K44"/>
    <mergeCell ref="B47:AE47"/>
    <mergeCell ref="J35:J36"/>
    <mergeCell ref="K35:K36"/>
    <mergeCell ref="B37:B38"/>
    <mergeCell ref="C37:C38"/>
    <mergeCell ref="F37:F38"/>
    <mergeCell ref="G37:G38"/>
    <mergeCell ref="H37:H38"/>
    <mergeCell ref="I37:I38"/>
    <mergeCell ref="J37:J38"/>
    <mergeCell ref="K37:K38"/>
    <mergeCell ref="B35:B36"/>
    <mergeCell ref="C35:C36"/>
    <mergeCell ref="F35:F36"/>
    <mergeCell ref="G35:G36"/>
    <mergeCell ref="H35:H36"/>
    <mergeCell ref="I35:I36"/>
    <mergeCell ref="J31:J32"/>
    <mergeCell ref="K31:K32"/>
    <mergeCell ref="B33:B34"/>
    <mergeCell ref="C33:C34"/>
    <mergeCell ref="F33:F34"/>
    <mergeCell ref="G33:G34"/>
    <mergeCell ref="H33:H34"/>
    <mergeCell ref="I33:I34"/>
    <mergeCell ref="J33:J34"/>
    <mergeCell ref="K33:K34"/>
    <mergeCell ref="B31:B32"/>
    <mergeCell ref="C31:C32"/>
    <mergeCell ref="F31:F32"/>
    <mergeCell ref="G31:G32"/>
    <mergeCell ref="H31:H32"/>
    <mergeCell ref="I31:I32"/>
    <mergeCell ref="J27:J28"/>
    <mergeCell ref="K27:K28"/>
    <mergeCell ref="B29:B30"/>
    <mergeCell ref="C29:C30"/>
    <mergeCell ref="F29:F30"/>
    <mergeCell ref="G29:G30"/>
    <mergeCell ref="H29:H30"/>
    <mergeCell ref="I29:I30"/>
    <mergeCell ref="J29:J30"/>
    <mergeCell ref="K29:K30"/>
    <mergeCell ref="B27:B28"/>
    <mergeCell ref="C27:C28"/>
    <mergeCell ref="F27:F28"/>
    <mergeCell ref="G27:G28"/>
    <mergeCell ref="H27:H28"/>
    <mergeCell ref="I27:I28"/>
    <mergeCell ref="B25:B26"/>
    <mergeCell ref="C25:C26"/>
    <mergeCell ref="D25:D26"/>
    <mergeCell ref="E25:E26"/>
    <mergeCell ref="F25:H25"/>
    <mergeCell ref="I25:K25"/>
    <mergeCell ref="B5:I5"/>
    <mergeCell ref="B6:B7"/>
    <mergeCell ref="C6:C7"/>
    <mergeCell ref="D6:F6"/>
    <mergeCell ref="G6:I6"/>
    <mergeCell ref="B24:K24"/>
  </mergeCells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64"/>
  <sheetViews>
    <sheetView view="pageBreakPreview" zoomScale="60" zoomScaleNormal="100" workbookViewId="0">
      <selection activeCell="N52" sqref="M52:N53"/>
    </sheetView>
  </sheetViews>
  <sheetFormatPr defaultRowHeight="14.4" x14ac:dyDescent="0.25"/>
  <cols>
    <col min="3" max="3" width="11.59765625" bestFit="1" customWidth="1"/>
  </cols>
  <sheetData>
    <row r="1" spans="2:11" ht="15" thickBot="1" x14ac:dyDescent="0.3"/>
    <row r="2" spans="2:11" ht="15" thickBot="1" x14ac:dyDescent="0.3">
      <c r="B2" s="477" t="s">
        <v>189</v>
      </c>
      <c r="C2" s="478"/>
      <c r="D2" s="478"/>
      <c r="E2" s="479"/>
      <c r="F2" s="250"/>
      <c r="G2" s="250"/>
      <c r="H2" s="250"/>
      <c r="I2" s="249"/>
      <c r="J2" s="249"/>
      <c r="K2" s="249"/>
    </row>
    <row r="3" spans="2:11" x14ac:dyDescent="0.25">
      <c r="B3" s="465" t="s">
        <v>190</v>
      </c>
      <c r="C3" s="466"/>
      <c r="D3" s="466" t="s">
        <v>191</v>
      </c>
      <c r="E3" s="466"/>
      <c r="F3" s="466" t="s">
        <v>192</v>
      </c>
      <c r="G3" s="466"/>
      <c r="H3" s="466"/>
      <c r="I3" s="466" t="s">
        <v>193</v>
      </c>
      <c r="J3" s="466"/>
      <c r="K3" s="469"/>
    </row>
    <row r="4" spans="2:11" x14ac:dyDescent="0.25">
      <c r="B4" s="471" t="s">
        <v>194</v>
      </c>
      <c r="C4" s="472"/>
      <c r="D4" s="472">
        <v>2402</v>
      </c>
      <c r="E4" s="472"/>
      <c r="F4" s="473">
        <v>16.48</v>
      </c>
      <c r="G4" s="473"/>
      <c r="H4" s="473"/>
      <c r="I4" s="474">
        <v>10.02</v>
      </c>
      <c r="J4" s="474"/>
      <c r="K4" s="475"/>
    </row>
    <row r="5" spans="2:11" x14ac:dyDescent="0.25">
      <c r="B5" s="471"/>
      <c r="C5" s="472"/>
      <c r="D5" s="472">
        <v>2441</v>
      </c>
      <c r="E5" s="472"/>
      <c r="F5" s="473">
        <v>18.09</v>
      </c>
      <c r="G5" s="473"/>
      <c r="H5" s="473"/>
      <c r="I5" s="474">
        <v>11.629999999999999</v>
      </c>
      <c r="J5" s="474"/>
      <c r="K5" s="475"/>
    </row>
    <row r="6" spans="2:11" x14ac:dyDescent="0.25">
      <c r="B6" s="471"/>
      <c r="C6" s="472"/>
      <c r="D6" s="472">
        <v>2480</v>
      </c>
      <c r="E6" s="472"/>
      <c r="F6" s="473">
        <v>16.89</v>
      </c>
      <c r="G6" s="473"/>
      <c r="H6" s="473"/>
      <c r="I6" s="474">
        <v>10.43</v>
      </c>
      <c r="J6" s="474"/>
      <c r="K6" s="475"/>
    </row>
    <row r="7" spans="2:11" x14ac:dyDescent="0.25">
      <c r="B7" s="471" t="s">
        <v>195</v>
      </c>
      <c r="C7" s="472"/>
      <c r="D7" s="472">
        <v>2402</v>
      </c>
      <c r="E7" s="472"/>
      <c r="F7" s="473">
        <v>16.11</v>
      </c>
      <c r="G7" s="473"/>
      <c r="H7" s="473"/>
      <c r="I7" s="474">
        <v>9.6499999999999986</v>
      </c>
      <c r="J7" s="474"/>
      <c r="K7" s="475"/>
    </row>
    <row r="8" spans="2:11" x14ac:dyDescent="0.25">
      <c r="B8" s="471"/>
      <c r="C8" s="472"/>
      <c r="D8" s="472">
        <v>2441</v>
      </c>
      <c r="E8" s="472"/>
      <c r="F8" s="473">
        <v>17.86</v>
      </c>
      <c r="G8" s="473"/>
      <c r="H8" s="473"/>
      <c r="I8" s="474">
        <v>11.399999999999999</v>
      </c>
      <c r="J8" s="474"/>
      <c r="K8" s="475"/>
    </row>
    <row r="9" spans="2:11" x14ac:dyDescent="0.25">
      <c r="B9" s="471"/>
      <c r="C9" s="472"/>
      <c r="D9" s="472">
        <v>2480</v>
      </c>
      <c r="E9" s="472"/>
      <c r="F9" s="473">
        <v>16.600000000000001</v>
      </c>
      <c r="G9" s="473"/>
      <c r="H9" s="473"/>
      <c r="I9" s="474">
        <v>10.14</v>
      </c>
      <c r="J9" s="474"/>
      <c r="K9" s="475"/>
    </row>
    <row r="10" spans="2:11" x14ac:dyDescent="0.25">
      <c r="B10" s="471" t="s">
        <v>196</v>
      </c>
      <c r="C10" s="472"/>
      <c r="D10" s="472">
        <v>2402</v>
      </c>
      <c r="E10" s="472"/>
      <c r="F10" s="473">
        <v>16.149999999999999</v>
      </c>
      <c r="G10" s="473"/>
      <c r="H10" s="473"/>
      <c r="I10" s="474">
        <v>9.6899999999999977</v>
      </c>
      <c r="J10" s="474"/>
      <c r="K10" s="475"/>
    </row>
    <row r="11" spans="2:11" x14ac:dyDescent="0.25">
      <c r="B11" s="471"/>
      <c r="C11" s="472"/>
      <c r="D11" s="472">
        <v>2441</v>
      </c>
      <c r="E11" s="472"/>
      <c r="F11" s="473">
        <v>17.829999999999998</v>
      </c>
      <c r="G11" s="473"/>
      <c r="H11" s="473"/>
      <c r="I11" s="474">
        <v>11.369999999999997</v>
      </c>
      <c r="J11" s="474"/>
      <c r="K11" s="475"/>
    </row>
    <row r="12" spans="2:11" x14ac:dyDescent="0.25">
      <c r="B12" s="471"/>
      <c r="C12" s="472"/>
      <c r="D12" s="472">
        <v>2480</v>
      </c>
      <c r="E12" s="472"/>
      <c r="F12" s="473">
        <v>16.46</v>
      </c>
      <c r="G12" s="473"/>
      <c r="H12" s="473"/>
      <c r="I12" s="474">
        <v>10</v>
      </c>
      <c r="J12" s="474"/>
      <c r="K12" s="475"/>
    </row>
    <row r="13" spans="2:11" x14ac:dyDescent="0.25">
      <c r="B13" s="471" t="s">
        <v>197</v>
      </c>
      <c r="C13" s="472"/>
      <c r="D13" s="472">
        <v>2402</v>
      </c>
      <c r="E13" s="472"/>
      <c r="F13" s="482">
        <v>10.83</v>
      </c>
      <c r="G13" s="482"/>
      <c r="H13" s="482"/>
      <c r="I13" s="474">
        <v>4.37</v>
      </c>
      <c r="J13" s="474"/>
      <c r="K13" s="475"/>
    </row>
    <row r="14" spans="2:11" x14ac:dyDescent="0.25">
      <c r="B14" s="471"/>
      <c r="C14" s="472"/>
      <c r="D14" s="472">
        <v>2441</v>
      </c>
      <c r="E14" s="472"/>
      <c r="F14" s="482">
        <v>12.07</v>
      </c>
      <c r="G14" s="482"/>
      <c r="H14" s="482"/>
      <c r="I14" s="474">
        <v>5.61</v>
      </c>
      <c r="J14" s="474"/>
      <c r="K14" s="475"/>
    </row>
    <row r="15" spans="2:11" x14ac:dyDescent="0.25">
      <c r="B15" s="471"/>
      <c r="C15" s="472"/>
      <c r="D15" s="472">
        <v>2480</v>
      </c>
      <c r="E15" s="472"/>
      <c r="F15" s="473">
        <v>11.18</v>
      </c>
      <c r="G15" s="473"/>
      <c r="H15" s="473"/>
      <c r="I15" s="474">
        <v>4.72</v>
      </c>
      <c r="J15" s="474"/>
      <c r="K15" s="475"/>
    </row>
    <row r="16" spans="2:11" x14ac:dyDescent="0.25">
      <c r="B16" s="471" t="s">
        <v>198</v>
      </c>
      <c r="C16" s="472"/>
      <c r="D16" s="472">
        <v>2402</v>
      </c>
      <c r="E16" s="472"/>
      <c r="F16" s="482">
        <v>10.75</v>
      </c>
      <c r="G16" s="482"/>
      <c r="H16" s="482"/>
      <c r="I16" s="474">
        <v>4.29</v>
      </c>
      <c r="J16" s="474"/>
      <c r="K16" s="475"/>
    </row>
    <row r="17" spans="2:11" x14ac:dyDescent="0.25">
      <c r="B17" s="471"/>
      <c r="C17" s="472"/>
      <c r="D17" s="472">
        <v>2441</v>
      </c>
      <c r="E17" s="472"/>
      <c r="F17" s="482">
        <v>11.81</v>
      </c>
      <c r="G17" s="482"/>
      <c r="H17" s="482"/>
      <c r="I17" s="474">
        <v>5.3500000000000005</v>
      </c>
      <c r="J17" s="474"/>
      <c r="K17" s="475"/>
    </row>
    <row r="18" spans="2:11" x14ac:dyDescent="0.25">
      <c r="B18" s="471"/>
      <c r="C18" s="472"/>
      <c r="D18" s="472">
        <v>2480</v>
      </c>
      <c r="E18" s="472"/>
      <c r="F18" s="473">
        <v>10.8</v>
      </c>
      <c r="G18" s="473"/>
      <c r="H18" s="473"/>
      <c r="I18" s="474">
        <v>4.3400000000000007</v>
      </c>
      <c r="J18" s="474"/>
      <c r="K18" s="475"/>
    </row>
    <row r="19" spans="2:11" x14ac:dyDescent="0.25">
      <c r="B19" s="471" t="s">
        <v>199</v>
      </c>
      <c r="C19" s="472"/>
      <c r="D19" s="472">
        <v>2402</v>
      </c>
      <c r="E19" s="472"/>
      <c r="F19" s="482">
        <v>10.8</v>
      </c>
      <c r="G19" s="482"/>
      <c r="H19" s="482"/>
      <c r="I19" s="474">
        <v>4.3400000000000007</v>
      </c>
      <c r="J19" s="474"/>
      <c r="K19" s="475"/>
    </row>
    <row r="20" spans="2:11" x14ac:dyDescent="0.25">
      <c r="B20" s="471"/>
      <c r="C20" s="472"/>
      <c r="D20" s="472">
        <v>2441</v>
      </c>
      <c r="E20" s="472"/>
      <c r="F20" s="473">
        <v>12.05</v>
      </c>
      <c r="G20" s="473"/>
      <c r="H20" s="473"/>
      <c r="I20" s="474">
        <v>5.5900000000000007</v>
      </c>
      <c r="J20" s="474"/>
      <c r="K20" s="475"/>
    </row>
    <row r="21" spans="2:11" x14ac:dyDescent="0.25">
      <c r="B21" s="471"/>
      <c r="C21" s="472"/>
      <c r="D21" s="472">
        <v>2480</v>
      </c>
      <c r="E21" s="472"/>
      <c r="F21" s="473">
        <v>10.83</v>
      </c>
      <c r="G21" s="473"/>
      <c r="H21" s="473"/>
      <c r="I21" s="474">
        <v>4.37</v>
      </c>
      <c r="J21" s="474"/>
      <c r="K21" s="475"/>
    </row>
    <row r="22" spans="2:11" x14ac:dyDescent="0.25">
      <c r="B22" s="471" t="s">
        <v>200</v>
      </c>
      <c r="C22" s="472"/>
      <c r="D22" s="472">
        <v>2402</v>
      </c>
      <c r="E22" s="472"/>
      <c r="F22" s="482">
        <v>11.1</v>
      </c>
      <c r="G22" s="482"/>
      <c r="H22" s="482"/>
      <c r="I22" s="474">
        <v>4.6399999999999997</v>
      </c>
      <c r="J22" s="474"/>
      <c r="K22" s="475"/>
    </row>
    <row r="23" spans="2:11" x14ac:dyDescent="0.25">
      <c r="B23" s="471"/>
      <c r="C23" s="472"/>
      <c r="D23" s="472">
        <v>2441</v>
      </c>
      <c r="E23" s="472"/>
      <c r="F23" s="482">
        <v>12.15</v>
      </c>
      <c r="G23" s="482"/>
      <c r="H23" s="482"/>
      <c r="I23" s="474">
        <v>5.69</v>
      </c>
      <c r="J23" s="474"/>
      <c r="K23" s="475"/>
    </row>
    <row r="24" spans="2:11" x14ac:dyDescent="0.25">
      <c r="B24" s="471"/>
      <c r="C24" s="472"/>
      <c r="D24" s="472">
        <v>2480</v>
      </c>
      <c r="E24" s="472"/>
      <c r="F24" s="473">
        <v>10.39</v>
      </c>
      <c r="G24" s="473"/>
      <c r="H24" s="473"/>
      <c r="I24" s="474">
        <v>3.9300000000000006</v>
      </c>
      <c r="J24" s="474"/>
      <c r="K24" s="475"/>
    </row>
    <row r="25" spans="2:11" x14ac:dyDescent="0.25">
      <c r="B25" s="471" t="s">
        <v>201</v>
      </c>
      <c r="C25" s="472"/>
      <c r="D25" s="472">
        <v>2402</v>
      </c>
      <c r="E25" s="472"/>
      <c r="F25" s="482">
        <v>10.73</v>
      </c>
      <c r="G25" s="482"/>
      <c r="H25" s="482"/>
      <c r="I25" s="474">
        <v>4.2700000000000005</v>
      </c>
      <c r="J25" s="474"/>
      <c r="K25" s="475"/>
    </row>
    <row r="26" spans="2:11" x14ac:dyDescent="0.25">
      <c r="B26" s="471"/>
      <c r="C26" s="472"/>
      <c r="D26" s="472">
        <v>2441</v>
      </c>
      <c r="E26" s="472"/>
      <c r="F26" s="482">
        <v>11.93</v>
      </c>
      <c r="G26" s="482"/>
      <c r="H26" s="482"/>
      <c r="I26" s="474">
        <v>5.47</v>
      </c>
      <c r="J26" s="474"/>
      <c r="K26" s="475"/>
    </row>
    <row r="27" spans="2:11" x14ac:dyDescent="0.25">
      <c r="B27" s="471"/>
      <c r="C27" s="472"/>
      <c r="D27" s="472">
        <v>2480</v>
      </c>
      <c r="E27" s="472"/>
      <c r="F27" s="473">
        <v>10.88</v>
      </c>
      <c r="G27" s="473"/>
      <c r="H27" s="473"/>
      <c r="I27" s="474">
        <v>4.4200000000000008</v>
      </c>
      <c r="J27" s="474"/>
      <c r="K27" s="475"/>
    </row>
    <row r="28" spans="2:11" x14ac:dyDescent="0.25">
      <c r="B28" s="471" t="s">
        <v>202</v>
      </c>
      <c r="C28" s="472"/>
      <c r="D28" s="472">
        <v>2402</v>
      </c>
      <c r="E28" s="472"/>
      <c r="F28" s="482">
        <v>10.84</v>
      </c>
      <c r="G28" s="482"/>
      <c r="H28" s="482"/>
      <c r="I28" s="474">
        <v>4.38</v>
      </c>
      <c r="J28" s="474"/>
      <c r="K28" s="475"/>
    </row>
    <row r="29" spans="2:11" x14ac:dyDescent="0.25">
      <c r="B29" s="471"/>
      <c r="C29" s="472"/>
      <c r="D29" s="472">
        <v>2441</v>
      </c>
      <c r="E29" s="472"/>
      <c r="F29" s="482">
        <v>12.1</v>
      </c>
      <c r="G29" s="482"/>
      <c r="H29" s="482"/>
      <c r="I29" s="474">
        <v>5.64</v>
      </c>
      <c r="J29" s="474"/>
      <c r="K29" s="475"/>
    </row>
    <row r="30" spans="2:11" ht="15" thickBot="1" x14ac:dyDescent="0.3">
      <c r="B30" s="460"/>
      <c r="C30" s="461"/>
      <c r="D30" s="461">
        <v>2480</v>
      </c>
      <c r="E30" s="461"/>
      <c r="F30" s="462">
        <v>10.84</v>
      </c>
      <c r="G30" s="462"/>
      <c r="H30" s="462"/>
      <c r="I30" s="463">
        <v>4.38</v>
      </c>
      <c r="J30" s="463"/>
      <c r="K30" s="464"/>
    </row>
    <row r="31" spans="2:11" ht="15" thickBot="1" x14ac:dyDescent="0.3"/>
    <row r="32" spans="2:11" ht="15" thickBot="1" x14ac:dyDescent="0.3">
      <c r="B32" s="477" t="s">
        <v>203</v>
      </c>
      <c r="C32" s="478"/>
      <c r="D32" s="478"/>
      <c r="E32" s="479"/>
      <c r="F32" s="250"/>
      <c r="G32" s="250"/>
      <c r="H32" s="250"/>
      <c r="I32" s="251"/>
      <c r="J32" s="251"/>
      <c r="K32" s="251"/>
    </row>
    <row r="33" spans="2:11" x14ac:dyDescent="0.25">
      <c r="B33" s="252" t="s">
        <v>204</v>
      </c>
      <c r="C33" s="253" t="s">
        <v>205</v>
      </c>
      <c r="D33" s="466" t="s">
        <v>191</v>
      </c>
      <c r="E33" s="466"/>
      <c r="F33" s="466" t="s">
        <v>192</v>
      </c>
      <c r="G33" s="466"/>
      <c r="H33" s="466"/>
      <c r="I33" s="466" t="s">
        <v>193</v>
      </c>
      <c r="J33" s="466"/>
      <c r="K33" s="469"/>
    </row>
    <row r="34" spans="2:11" x14ac:dyDescent="0.25">
      <c r="B34" s="471" t="s">
        <v>206</v>
      </c>
      <c r="C34" s="472">
        <v>37</v>
      </c>
      <c r="D34" s="472">
        <v>2402</v>
      </c>
      <c r="E34" s="472"/>
      <c r="F34" s="473">
        <v>6.07</v>
      </c>
      <c r="G34" s="473"/>
      <c r="H34" s="473"/>
      <c r="I34" s="473">
        <v>-0.38999999999999968</v>
      </c>
      <c r="J34" s="473"/>
      <c r="K34" s="480"/>
    </row>
    <row r="35" spans="2:11" x14ac:dyDescent="0.25">
      <c r="B35" s="471"/>
      <c r="C35" s="472"/>
      <c r="D35" s="472">
        <v>2440</v>
      </c>
      <c r="E35" s="472"/>
      <c r="F35" s="473">
        <v>5.29</v>
      </c>
      <c r="G35" s="473"/>
      <c r="H35" s="473"/>
      <c r="I35" s="473">
        <v>-1.17</v>
      </c>
      <c r="J35" s="473"/>
      <c r="K35" s="480"/>
    </row>
    <row r="36" spans="2:11" x14ac:dyDescent="0.25">
      <c r="B36" s="471"/>
      <c r="C36" s="472"/>
      <c r="D36" s="472">
        <v>2480</v>
      </c>
      <c r="E36" s="472"/>
      <c r="F36" s="473">
        <v>7.5</v>
      </c>
      <c r="G36" s="473"/>
      <c r="H36" s="473"/>
      <c r="I36" s="473">
        <v>1.04</v>
      </c>
      <c r="J36" s="473"/>
      <c r="K36" s="480"/>
    </row>
    <row r="37" spans="2:11" x14ac:dyDescent="0.25">
      <c r="B37" s="471"/>
      <c r="C37" s="472">
        <v>255</v>
      </c>
      <c r="D37" s="472">
        <v>2402</v>
      </c>
      <c r="E37" s="472"/>
      <c r="F37" s="473">
        <v>6.01</v>
      </c>
      <c r="G37" s="473"/>
      <c r="H37" s="473"/>
      <c r="I37" s="473">
        <v>-0.45000000000000018</v>
      </c>
      <c r="J37" s="473"/>
      <c r="K37" s="480"/>
    </row>
    <row r="38" spans="2:11" x14ac:dyDescent="0.25">
      <c r="B38" s="471"/>
      <c r="C38" s="472"/>
      <c r="D38" s="472">
        <v>2440</v>
      </c>
      <c r="E38" s="472"/>
      <c r="F38" s="473">
        <v>5.31</v>
      </c>
      <c r="G38" s="473"/>
      <c r="H38" s="473"/>
      <c r="I38" s="473">
        <v>-1.1500000000000004</v>
      </c>
      <c r="J38" s="473"/>
      <c r="K38" s="480"/>
    </row>
    <row r="39" spans="2:11" x14ac:dyDescent="0.25">
      <c r="B39" s="471"/>
      <c r="C39" s="472"/>
      <c r="D39" s="472">
        <v>2480</v>
      </c>
      <c r="E39" s="472"/>
      <c r="F39" s="473">
        <v>7.55</v>
      </c>
      <c r="G39" s="473"/>
      <c r="H39" s="473"/>
      <c r="I39" s="473">
        <v>1.0899999999999999</v>
      </c>
      <c r="J39" s="473"/>
      <c r="K39" s="480"/>
    </row>
    <row r="40" spans="2:11" x14ac:dyDescent="0.25">
      <c r="B40" s="471" t="s">
        <v>207</v>
      </c>
      <c r="C40" s="472">
        <v>37</v>
      </c>
      <c r="D40" s="472">
        <v>2402</v>
      </c>
      <c r="E40" s="472"/>
      <c r="F40" s="473">
        <v>7.16</v>
      </c>
      <c r="G40" s="473"/>
      <c r="H40" s="473"/>
      <c r="I40" s="473">
        <v>0.70000000000000018</v>
      </c>
      <c r="J40" s="473"/>
      <c r="K40" s="480"/>
    </row>
    <row r="41" spans="2:11" x14ac:dyDescent="0.25">
      <c r="B41" s="471"/>
      <c r="C41" s="472"/>
      <c r="D41" s="472">
        <v>2440</v>
      </c>
      <c r="E41" s="472"/>
      <c r="F41" s="473">
        <v>6.37</v>
      </c>
      <c r="G41" s="473"/>
      <c r="H41" s="473"/>
      <c r="I41" s="473">
        <v>-8.9999999999999858E-2</v>
      </c>
      <c r="J41" s="473"/>
      <c r="K41" s="480"/>
    </row>
    <row r="42" spans="2:11" x14ac:dyDescent="0.25">
      <c r="B42" s="471"/>
      <c r="C42" s="472"/>
      <c r="D42" s="472">
        <v>2480</v>
      </c>
      <c r="E42" s="472"/>
      <c r="F42" s="473">
        <v>8.2100000000000009</v>
      </c>
      <c r="G42" s="473"/>
      <c r="H42" s="473"/>
      <c r="I42" s="473">
        <v>1.7500000000000009</v>
      </c>
      <c r="J42" s="473"/>
      <c r="K42" s="480"/>
    </row>
    <row r="43" spans="2:11" x14ac:dyDescent="0.25">
      <c r="B43" s="471"/>
      <c r="C43" s="472">
        <v>255</v>
      </c>
      <c r="D43" s="472">
        <v>2402</v>
      </c>
      <c r="E43" s="472"/>
      <c r="F43" s="473">
        <v>7.19</v>
      </c>
      <c r="G43" s="473"/>
      <c r="H43" s="473"/>
      <c r="I43" s="473">
        <v>0.73000000000000043</v>
      </c>
      <c r="J43" s="473"/>
      <c r="K43" s="480"/>
    </row>
    <row r="44" spans="2:11" x14ac:dyDescent="0.25">
      <c r="B44" s="471"/>
      <c r="C44" s="472"/>
      <c r="D44" s="472">
        <v>2440</v>
      </c>
      <c r="E44" s="472"/>
      <c r="F44" s="473">
        <v>6.45</v>
      </c>
      <c r="G44" s="473"/>
      <c r="H44" s="473"/>
      <c r="I44" s="473">
        <v>-9.9999999999997868E-3</v>
      </c>
      <c r="J44" s="473"/>
      <c r="K44" s="480"/>
    </row>
    <row r="45" spans="2:11" x14ac:dyDescent="0.25">
      <c r="B45" s="471"/>
      <c r="C45" s="472"/>
      <c r="D45" s="472">
        <v>2480</v>
      </c>
      <c r="E45" s="472"/>
      <c r="F45" s="473">
        <v>8.3000000000000007</v>
      </c>
      <c r="G45" s="473"/>
      <c r="H45" s="473"/>
      <c r="I45" s="473">
        <v>1.8400000000000007</v>
      </c>
      <c r="J45" s="473"/>
      <c r="K45" s="480"/>
    </row>
    <row r="46" spans="2:11" x14ac:dyDescent="0.25">
      <c r="B46" s="471" t="s">
        <v>208</v>
      </c>
      <c r="C46" s="472">
        <v>37</v>
      </c>
      <c r="D46" s="472">
        <v>2402</v>
      </c>
      <c r="E46" s="472"/>
      <c r="F46" s="473">
        <v>6</v>
      </c>
      <c r="G46" s="473"/>
      <c r="H46" s="473"/>
      <c r="I46" s="473">
        <v>-0.45999999999999996</v>
      </c>
      <c r="J46" s="473"/>
      <c r="K46" s="480"/>
    </row>
    <row r="47" spans="2:11" x14ac:dyDescent="0.25">
      <c r="B47" s="471"/>
      <c r="C47" s="472"/>
      <c r="D47" s="472">
        <v>2440</v>
      </c>
      <c r="E47" s="472"/>
      <c r="F47" s="473">
        <v>5.3</v>
      </c>
      <c r="G47" s="473"/>
      <c r="H47" s="473"/>
      <c r="I47" s="473">
        <v>-1.1600000000000001</v>
      </c>
      <c r="J47" s="473"/>
      <c r="K47" s="480"/>
    </row>
    <row r="48" spans="2:11" x14ac:dyDescent="0.25">
      <c r="B48" s="471"/>
      <c r="C48" s="472"/>
      <c r="D48" s="472">
        <v>2480</v>
      </c>
      <c r="E48" s="472"/>
      <c r="F48" s="473">
        <v>7.47</v>
      </c>
      <c r="G48" s="473"/>
      <c r="H48" s="473"/>
      <c r="I48" s="473">
        <v>1.0099999999999998</v>
      </c>
      <c r="J48" s="473"/>
      <c r="K48" s="480"/>
    </row>
    <row r="49" spans="2:11" x14ac:dyDescent="0.25">
      <c r="B49" s="471"/>
      <c r="C49" s="472">
        <v>255</v>
      </c>
      <c r="D49" s="472">
        <v>2402</v>
      </c>
      <c r="E49" s="472"/>
      <c r="F49" s="473">
        <v>6.01</v>
      </c>
      <c r="G49" s="473"/>
      <c r="H49" s="473"/>
      <c r="I49" s="473">
        <v>-0.45000000000000018</v>
      </c>
      <c r="J49" s="473"/>
      <c r="K49" s="480"/>
    </row>
    <row r="50" spans="2:11" x14ac:dyDescent="0.25">
      <c r="B50" s="471"/>
      <c r="C50" s="472"/>
      <c r="D50" s="472">
        <v>2440</v>
      </c>
      <c r="E50" s="472"/>
      <c r="F50" s="473">
        <v>5.28</v>
      </c>
      <c r="G50" s="473"/>
      <c r="H50" s="473"/>
      <c r="I50" s="473">
        <v>-1.1799999999999997</v>
      </c>
      <c r="J50" s="473"/>
      <c r="K50" s="480"/>
    </row>
    <row r="51" spans="2:11" x14ac:dyDescent="0.25">
      <c r="B51" s="471"/>
      <c r="C51" s="472"/>
      <c r="D51" s="472">
        <v>2480</v>
      </c>
      <c r="E51" s="472"/>
      <c r="F51" s="473">
        <v>7.54</v>
      </c>
      <c r="G51" s="473"/>
      <c r="H51" s="473"/>
      <c r="I51" s="473">
        <v>1.08</v>
      </c>
      <c r="J51" s="473"/>
      <c r="K51" s="480"/>
    </row>
    <row r="52" spans="2:11" x14ac:dyDescent="0.25">
      <c r="B52" s="471" t="s">
        <v>209</v>
      </c>
      <c r="C52" s="472">
        <v>37</v>
      </c>
      <c r="D52" s="472">
        <v>2402</v>
      </c>
      <c r="E52" s="472"/>
      <c r="F52" s="473">
        <v>5.75</v>
      </c>
      <c r="G52" s="473"/>
      <c r="H52" s="473"/>
      <c r="I52" s="473">
        <v>-0.71</v>
      </c>
      <c r="J52" s="473"/>
      <c r="K52" s="480"/>
    </row>
    <row r="53" spans="2:11" x14ac:dyDescent="0.25">
      <c r="B53" s="471"/>
      <c r="C53" s="472"/>
      <c r="D53" s="472">
        <v>2440</v>
      </c>
      <c r="E53" s="472"/>
      <c r="F53" s="473">
        <v>5.13</v>
      </c>
      <c r="G53" s="473"/>
      <c r="H53" s="473"/>
      <c r="I53" s="473">
        <v>-1.33</v>
      </c>
      <c r="J53" s="473"/>
      <c r="K53" s="480"/>
    </row>
    <row r="54" spans="2:11" x14ac:dyDescent="0.25">
      <c r="B54" s="471"/>
      <c r="C54" s="472"/>
      <c r="D54" s="472">
        <v>2480</v>
      </c>
      <c r="E54" s="472"/>
      <c r="F54" s="473">
        <v>7.33</v>
      </c>
      <c r="G54" s="473"/>
      <c r="H54" s="473"/>
      <c r="I54" s="473">
        <v>0.87000000000000011</v>
      </c>
      <c r="J54" s="473"/>
      <c r="K54" s="480"/>
    </row>
    <row r="55" spans="2:11" x14ac:dyDescent="0.25">
      <c r="B55" s="471"/>
      <c r="C55" s="472">
        <v>255</v>
      </c>
      <c r="D55" s="472">
        <v>2402</v>
      </c>
      <c r="E55" s="472"/>
      <c r="F55" s="473">
        <v>5.97</v>
      </c>
      <c r="G55" s="473"/>
      <c r="H55" s="473"/>
      <c r="I55" s="473">
        <v>-0.49000000000000021</v>
      </c>
      <c r="J55" s="473"/>
      <c r="K55" s="480"/>
    </row>
    <row r="56" spans="2:11" x14ac:dyDescent="0.25">
      <c r="B56" s="471"/>
      <c r="C56" s="472"/>
      <c r="D56" s="472">
        <v>2440</v>
      </c>
      <c r="E56" s="472"/>
      <c r="F56" s="473">
        <v>5.23</v>
      </c>
      <c r="G56" s="473"/>
      <c r="H56" s="473"/>
      <c r="I56" s="473">
        <v>-1.2299999999999995</v>
      </c>
      <c r="J56" s="473"/>
      <c r="K56" s="480"/>
    </row>
    <row r="57" spans="2:11" ht="15" thickBot="1" x14ac:dyDescent="0.3">
      <c r="B57" s="460"/>
      <c r="C57" s="461"/>
      <c r="D57" s="461">
        <v>2480</v>
      </c>
      <c r="E57" s="461"/>
      <c r="F57" s="462">
        <v>7.6</v>
      </c>
      <c r="G57" s="462"/>
      <c r="H57" s="462"/>
      <c r="I57" s="462">
        <v>1.1399999999999997</v>
      </c>
      <c r="J57" s="462"/>
      <c r="K57" s="481"/>
    </row>
    <row r="58" spans="2:11" ht="15" thickBot="1" x14ac:dyDescent="0.3"/>
    <row r="59" spans="2:11" ht="15" thickBot="1" x14ac:dyDescent="0.3">
      <c r="B59" s="477" t="s">
        <v>210</v>
      </c>
      <c r="C59" s="478"/>
      <c r="D59" s="478"/>
      <c r="E59" s="479"/>
      <c r="F59" s="254"/>
      <c r="G59" s="254"/>
      <c r="H59" s="254"/>
      <c r="I59" s="254"/>
    </row>
    <row r="60" spans="2:11" x14ac:dyDescent="0.25">
      <c r="B60" s="465" t="s">
        <v>191</v>
      </c>
      <c r="C60" s="466"/>
      <c r="D60" s="466" t="s">
        <v>192</v>
      </c>
      <c r="E60" s="466"/>
      <c r="F60" s="466"/>
      <c r="G60" s="466" t="s">
        <v>193</v>
      </c>
      <c r="H60" s="466"/>
      <c r="I60" s="469"/>
    </row>
    <row r="61" spans="2:11" x14ac:dyDescent="0.25">
      <c r="B61" s="467"/>
      <c r="C61" s="468"/>
      <c r="D61" s="468"/>
      <c r="E61" s="468"/>
      <c r="F61" s="468"/>
      <c r="G61" s="468"/>
      <c r="H61" s="468"/>
      <c r="I61" s="470"/>
    </row>
    <row r="62" spans="2:11" x14ac:dyDescent="0.25">
      <c r="B62" s="471">
        <v>2402</v>
      </c>
      <c r="C62" s="472"/>
      <c r="D62" s="473">
        <v>4.0199999999999996</v>
      </c>
      <c r="E62" s="473"/>
      <c r="F62" s="473"/>
      <c r="G62" s="474">
        <v>-2.4400000000000004</v>
      </c>
      <c r="H62" s="474"/>
      <c r="I62" s="475"/>
    </row>
    <row r="63" spans="2:11" x14ac:dyDescent="0.25">
      <c r="B63" s="471">
        <v>2440</v>
      </c>
      <c r="C63" s="472"/>
      <c r="D63" s="476">
        <v>6.03</v>
      </c>
      <c r="E63" s="476"/>
      <c r="F63" s="476"/>
      <c r="G63" s="474">
        <v>-0.42999999999999972</v>
      </c>
      <c r="H63" s="474"/>
      <c r="I63" s="475"/>
    </row>
    <row r="64" spans="2:11" ht="15" thickBot="1" x14ac:dyDescent="0.3">
      <c r="B64" s="460">
        <v>2480</v>
      </c>
      <c r="C64" s="461"/>
      <c r="D64" s="462">
        <v>6.54</v>
      </c>
      <c r="E64" s="462"/>
      <c r="F64" s="462"/>
      <c r="G64" s="463">
        <v>8.0000000000000071E-2</v>
      </c>
      <c r="H64" s="463"/>
      <c r="I64" s="464"/>
    </row>
  </sheetData>
  <mergeCells count="196">
    <mergeCell ref="I3:K3"/>
    <mergeCell ref="I4:K4"/>
    <mergeCell ref="I5:K5"/>
    <mergeCell ref="I6:K6"/>
    <mergeCell ref="I7:K7"/>
    <mergeCell ref="I16:K16"/>
    <mergeCell ref="I17:K17"/>
    <mergeCell ref="I23:K23"/>
    <mergeCell ref="F22:H22"/>
    <mergeCell ref="F23:H23"/>
    <mergeCell ref="I13:K13"/>
    <mergeCell ref="I14:K14"/>
    <mergeCell ref="I15:K15"/>
    <mergeCell ref="I8:K8"/>
    <mergeCell ref="I9:K9"/>
    <mergeCell ref="I10:K10"/>
    <mergeCell ref="I11:K11"/>
    <mergeCell ref="I12:K12"/>
    <mergeCell ref="F13:H13"/>
    <mergeCell ref="F14:H14"/>
    <mergeCell ref="F8:H8"/>
    <mergeCell ref="D9:E9"/>
    <mergeCell ref="F9:H9"/>
    <mergeCell ref="D10:E10"/>
    <mergeCell ref="F10:H10"/>
    <mergeCell ref="D11:E11"/>
    <mergeCell ref="F15:H15"/>
    <mergeCell ref="F11:H11"/>
    <mergeCell ref="B2:E2"/>
    <mergeCell ref="D13:E13"/>
    <mergeCell ref="D14:E14"/>
    <mergeCell ref="B13:C15"/>
    <mergeCell ref="B16:C18"/>
    <mergeCell ref="D16:E16"/>
    <mergeCell ref="F16:H16"/>
    <mergeCell ref="D17:E17"/>
    <mergeCell ref="F17:H17"/>
    <mergeCell ref="D18:E18"/>
    <mergeCell ref="F18:H18"/>
    <mergeCell ref="B19:C21"/>
    <mergeCell ref="I18:K18"/>
    <mergeCell ref="I19:K19"/>
    <mergeCell ref="I20:K20"/>
    <mergeCell ref="D22:E22"/>
    <mergeCell ref="B3:C3"/>
    <mergeCell ref="D3:E3"/>
    <mergeCell ref="F3:H3"/>
    <mergeCell ref="B4:C6"/>
    <mergeCell ref="D4:E4"/>
    <mergeCell ref="F4:H4"/>
    <mergeCell ref="D5:E5"/>
    <mergeCell ref="F5:H5"/>
    <mergeCell ref="D6:E6"/>
    <mergeCell ref="F6:H6"/>
    <mergeCell ref="I21:K21"/>
    <mergeCell ref="I22:K22"/>
    <mergeCell ref="D15:E15"/>
    <mergeCell ref="B7:C9"/>
    <mergeCell ref="D7:E7"/>
    <mergeCell ref="F7:H7"/>
    <mergeCell ref="D8:E8"/>
    <mergeCell ref="B10:C12"/>
    <mergeCell ref="D21:E21"/>
    <mergeCell ref="F21:H21"/>
    <mergeCell ref="B22:C24"/>
    <mergeCell ref="B25:C27"/>
    <mergeCell ref="I27:K27"/>
    <mergeCell ref="C37:C39"/>
    <mergeCell ref="B34:B39"/>
    <mergeCell ref="F39:H39"/>
    <mergeCell ref="D37:E37"/>
    <mergeCell ref="F37:H37"/>
    <mergeCell ref="D38:E38"/>
    <mergeCell ref="D36:E36"/>
    <mergeCell ref="F36:H36"/>
    <mergeCell ref="I28:K28"/>
    <mergeCell ref="I29:K29"/>
    <mergeCell ref="B28:C30"/>
    <mergeCell ref="D28:E28"/>
    <mergeCell ref="F28:H28"/>
    <mergeCell ref="D29:E29"/>
    <mergeCell ref="F29:H29"/>
    <mergeCell ref="D30:E30"/>
    <mergeCell ref="F30:H30"/>
    <mergeCell ref="I24:K24"/>
    <mergeCell ref="I25:K25"/>
    <mergeCell ref="I26:K26"/>
    <mergeCell ref="D25:E25"/>
    <mergeCell ref="D12:E12"/>
    <mergeCell ref="F12:H12"/>
    <mergeCell ref="D19:E19"/>
    <mergeCell ref="F19:H19"/>
    <mergeCell ref="D20:E20"/>
    <mergeCell ref="F20:H20"/>
    <mergeCell ref="F34:H34"/>
    <mergeCell ref="D35:E35"/>
    <mergeCell ref="F35:H35"/>
    <mergeCell ref="D27:E27"/>
    <mergeCell ref="F27:H27"/>
    <mergeCell ref="D24:E24"/>
    <mergeCell ref="F24:H24"/>
    <mergeCell ref="F25:H25"/>
    <mergeCell ref="D26:E26"/>
    <mergeCell ref="F26:H26"/>
    <mergeCell ref="D23:E23"/>
    <mergeCell ref="I50:K50"/>
    <mergeCell ref="I30:K30"/>
    <mergeCell ref="B32:E32"/>
    <mergeCell ref="I40:K40"/>
    <mergeCell ref="I41:K41"/>
    <mergeCell ref="I42:K42"/>
    <mergeCell ref="B40:B45"/>
    <mergeCell ref="C40:C42"/>
    <mergeCell ref="D40:E40"/>
    <mergeCell ref="F40:H40"/>
    <mergeCell ref="D41:E41"/>
    <mergeCell ref="F41:H41"/>
    <mergeCell ref="D42:E42"/>
    <mergeCell ref="F42:H42"/>
    <mergeCell ref="C43:C45"/>
    <mergeCell ref="D43:E43"/>
    <mergeCell ref="D33:E33"/>
    <mergeCell ref="F33:H33"/>
    <mergeCell ref="C34:C36"/>
    <mergeCell ref="D51:E51"/>
    <mergeCell ref="F51:H51"/>
    <mergeCell ref="I51:K51"/>
    <mergeCell ref="I39:K39"/>
    <mergeCell ref="I33:K33"/>
    <mergeCell ref="I34:K34"/>
    <mergeCell ref="I35:K35"/>
    <mergeCell ref="I36:K36"/>
    <mergeCell ref="I37:K37"/>
    <mergeCell ref="I38:K38"/>
    <mergeCell ref="F43:H43"/>
    <mergeCell ref="D44:E44"/>
    <mergeCell ref="F44:H44"/>
    <mergeCell ref="D45:E45"/>
    <mergeCell ref="F45:H45"/>
    <mergeCell ref="I43:K43"/>
    <mergeCell ref="I44:K44"/>
    <mergeCell ref="I45:K45"/>
    <mergeCell ref="I49:K49"/>
    <mergeCell ref="D50:E50"/>
    <mergeCell ref="F50:H50"/>
    <mergeCell ref="F38:H38"/>
    <mergeCell ref="D39:E39"/>
    <mergeCell ref="D34:E34"/>
    <mergeCell ref="F54:H54"/>
    <mergeCell ref="I54:K54"/>
    <mergeCell ref="C55:C57"/>
    <mergeCell ref="D55:E55"/>
    <mergeCell ref="F55:H55"/>
    <mergeCell ref="I55:K55"/>
    <mergeCell ref="D56:E56"/>
    <mergeCell ref="F56:H56"/>
    <mergeCell ref="I56:K56"/>
    <mergeCell ref="D57:E57"/>
    <mergeCell ref="F57:H57"/>
    <mergeCell ref="I57:K57"/>
    <mergeCell ref="B59:E59"/>
    <mergeCell ref="B46:B51"/>
    <mergeCell ref="C46:C48"/>
    <mergeCell ref="D46:E46"/>
    <mergeCell ref="F46:H46"/>
    <mergeCell ref="I46:K46"/>
    <mergeCell ref="D47:E47"/>
    <mergeCell ref="F47:H47"/>
    <mergeCell ref="I47:K47"/>
    <mergeCell ref="D48:E48"/>
    <mergeCell ref="F48:H48"/>
    <mergeCell ref="I48:K48"/>
    <mergeCell ref="C49:C51"/>
    <mergeCell ref="D49:E49"/>
    <mergeCell ref="F49:H49"/>
    <mergeCell ref="B52:B57"/>
    <mergeCell ref="C52:C54"/>
    <mergeCell ref="D52:E52"/>
    <mergeCell ref="F52:H52"/>
    <mergeCell ref="I52:K52"/>
    <mergeCell ref="D53:E53"/>
    <mergeCell ref="F53:H53"/>
    <mergeCell ref="I53:K53"/>
    <mergeCell ref="D54:E54"/>
    <mergeCell ref="B64:C64"/>
    <mergeCell ref="D64:F64"/>
    <mergeCell ref="G64:I64"/>
    <mergeCell ref="B60:C61"/>
    <mergeCell ref="D60:F61"/>
    <mergeCell ref="G60:I61"/>
    <mergeCell ref="B62:C62"/>
    <mergeCell ref="D62:F62"/>
    <mergeCell ref="G62:I62"/>
    <mergeCell ref="B63:C63"/>
    <mergeCell ref="D63:F63"/>
    <mergeCell ref="G63:I63"/>
  </mergeCells>
  <phoneticPr fontId="6" type="noConversion"/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WLAN 2.4 GHz Legacy</vt:lpstr>
      <vt:lpstr>WLAN 5 GHz Legacy</vt:lpstr>
      <vt:lpstr>WLAN 2.4 GHz 802.11ax Ant1</vt:lpstr>
      <vt:lpstr>WLAN 2.4 GHz 802.11ax Ant2</vt:lpstr>
      <vt:lpstr>WLAN 2.4 GHz 802.11ax Ant1+2</vt:lpstr>
      <vt:lpstr>WLAN 5 GHz 802.11ax Ant1</vt:lpstr>
      <vt:lpstr>WLAN 5 GHz 802.11ax Ant2</vt:lpstr>
      <vt:lpstr>WLAN 5 GHz 802.11ax Ant1+2</vt:lpstr>
      <vt:lpstr>Target Power</vt:lpstr>
      <vt:lpstr>Bluetooth,Ant</vt:lpstr>
      <vt:lpstr>'Bluetooth,Ant'!Print_Area</vt:lpstr>
      <vt:lpstr>'WLAN 2.4 GHz 802.11ax Ant1'!Print_Area</vt:lpstr>
      <vt:lpstr>'WLAN 2.4 GHz 802.11ax Ant1+2'!Print_Area</vt:lpstr>
      <vt:lpstr>'WLAN 2.4 GHz 802.11ax Ant2'!Print_Area</vt:lpstr>
      <vt:lpstr>'WLAN 2.4 GHz Legacy'!Print_Area</vt:lpstr>
      <vt:lpstr>'WLAN 5 GHz 802.11ax Ant1'!Print_Area</vt:lpstr>
      <vt:lpstr>'WLAN 5 GHz 802.11ax Ant1+2'!Print_Area</vt:lpstr>
      <vt:lpstr>'WLAN 5 GHz 802.11ax Ant2'!Print_Area</vt:lpstr>
      <vt:lpstr>'WLAN 5 GHz Legacy'!Print_Area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juo.lee</dc:creator>
  <cp:lastModifiedBy>Ryu</cp:lastModifiedBy>
  <cp:lastPrinted>2020-03-24T07:26:45Z</cp:lastPrinted>
  <dcterms:created xsi:type="dcterms:W3CDTF">2014-06-05T08:23:12Z</dcterms:created>
  <dcterms:modified xsi:type="dcterms:W3CDTF">2020-06-23T02:25:22Z</dcterms:modified>
</cp:coreProperties>
</file>