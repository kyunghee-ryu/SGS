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workbookPr showInkAnnotation="0" codeName="현재_통합_문서" defaultThemeVersion="124226"/>
  <mc:AlternateContent xmlns:mc="http://schemas.openxmlformats.org/markup-compatibility/2006">
    <mc:Choice Requires="x15">
      <x15ac:absPath xmlns:x15ac="http://schemas.microsoft.com/office/spreadsheetml/2010/11/ac" url="C:\Workspace\+SGS\RTAP_SAR\RTAP_SAR\bin\Debug\Template\SAR\"/>
    </mc:Choice>
  </mc:AlternateContent>
  <xr:revisionPtr revIDLastSave="0" documentId="13_ncr:1_{0D37CC66-CC1C-4AA0-BD37-1F2A8E98CF3A}" xr6:coauthVersionLast="45" xr6:coauthVersionMax="45" xr10:uidLastSave="{00000000-0000-0000-0000-000000000000}"/>
  <bookViews>
    <workbookView xWindow="24" yWindow="0" windowWidth="22896" windowHeight="12348" tabRatio="818" activeTab="4" xr2:uid="{00000000-000D-0000-FFFF-FFFF00000000}"/>
  </bookViews>
  <sheets>
    <sheet name="General Information" sheetId="58" r:id="rId1"/>
    <sheet name="Tissue Dielectric Parameters" sheetId="60" r:id="rId2"/>
    <sheet name="SAR System Verification" sheetId="61" r:id="rId3"/>
    <sheet name="info" sheetId="29" state="hidden" r:id="rId4"/>
    <sheet name="Equipment list" sheetId="59" r:id="rId5"/>
  </sheets>
  <definedNames>
    <definedName name="_xlnm.Print_Area" localSheetId="4">'Equipment list'!$A$1:$G$256</definedName>
    <definedName name="_xlnm.Print_Area" localSheetId="0">'General Information'!$A$1:$F$145</definedName>
    <definedName name="_xlnm.Print_Area" localSheetId="2">'SAR System Verification'!$A$1:$K$30</definedName>
    <definedName name="_xlnm.Print_Area" localSheetId="1">'Tissue Dielectric Parameters'!$A$1:$F$98</definedName>
    <definedName name="SerialNumber" localSheetId="4">'Equipment list'!$D$17:$D$146</definedName>
    <definedName name="SerialNumber" localSheetId="0">'Equipment list'!$D$17:$D$146</definedName>
    <definedName name="SerialNumb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3" i="58" l="1"/>
  <c r="D143" i="58"/>
  <c r="B143" i="58"/>
  <c r="A143" i="58"/>
  <c r="E141" i="58"/>
  <c r="D141" i="58"/>
  <c r="B141" i="58"/>
  <c r="A141" i="58"/>
  <c r="E142" i="58"/>
  <c r="D142" i="58"/>
  <c r="B142" i="58"/>
  <c r="A142" i="58"/>
  <c r="E140" i="58"/>
  <c r="D140" i="58"/>
  <c r="B140" i="58"/>
  <c r="A140" i="58"/>
  <c r="E139" i="58"/>
  <c r="D139" i="58"/>
  <c r="B139" i="58"/>
  <c r="A139" i="58"/>
  <c r="E135" i="58"/>
  <c r="D135" i="58"/>
  <c r="B135" i="58"/>
  <c r="A135" i="58"/>
  <c r="E131" i="58"/>
  <c r="D131" i="58"/>
  <c r="B131" i="58"/>
  <c r="A131" i="58"/>
  <c r="E130" i="58"/>
  <c r="D130" i="58"/>
  <c r="B130" i="58"/>
  <c r="A130" i="58"/>
  <c r="E121" i="58"/>
  <c r="D121" i="58"/>
  <c r="B121" i="58"/>
  <c r="A121" i="58"/>
  <c r="E120" i="58"/>
  <c r="D120" i="58"/>
  <c r="B120" i="58"/>
  <c r="A120" i="58"/>
  <c r="E119" i="58"/>
  <c r="D119" i="58"/>
  <c r="B119" i="58"/>
  <c r="A119" i="58"/>
  <c r="F118" i="58"/>
  <c r="E118" i="58"/>
  <c r="D118" i="58"/>
  <c r="B118" i="58"/>
  <c r="A118" i="58"/>
  <c r="E117" i="58"/>
  <c r="D117" i="58"/>
  <c r="B117" i="58"/>
  <c r="A117" i="58"/>
  <c r="E75" i="58"/>
  <c r="D75" i="58"/>
  <c r="B75" i="58"/>
  <c r="A75" i="58"/>
  <c r="E71" i="58"/>
  <c r="D71" i="58"/>
  <c r="B71" i="58"/>
  <c r="A71" i="58"/>
  <c r="E64" i="58"/>
  <c r="D64" i="58"/>
  <c r="B64" i="58"/>
  <c r="A64" i="58"/>
  <c r="F50" i="58"/>
  <c r="E50" i="58"/>
  <c r="D50" i="58"/>
  <c r="B50" i="58"/>
  <c r="A50" i="58"/>
  <c r="F49" i="58"/>
  <c r="E49" i="58"/>
  <c r="D49" i="58"/>
  <c r="B49" i="58"/>
  <c r="A49" i="58"/>
  <c r="E48" i="58"/>
  <c r="D48" i="58"/>
  <c r="B48" i="58"/>
  <c r="A48" i="58"/>
  <c r="G144" i="59"/>
  <c r="F143" i="58" s="1"/>
  <c r="G142" i="59"/>
  <c r="F141" i="58" s="1"/>
  <c r="G143" i="59"/>
  <c r="F142" i="58" s="1"/>
  <c r="G139" i="59"/>
  <c r="G125" i="59"/>
  <c r="F121" i="58" s="1"/>
  <c r="G124" i="59"/>
  <c r="F120" i="58" s="1"/>
  <c r="G123" i="59"/>
  <c r="F119" i="58" s="1"/>
  <c r="G122" i="59"/>
  <c r="G121" i="59"/>
  <c r="F117" i="58" s="1"/>
  <c r="G133" i="59"/>
  <c r="F135" i="58" s="1"/>
  <c r="G132" i="59"/>
  <c r="F131" i="58" s="1"/>
  <c r="G131" i="59"/>
  <c r="F130" i="58" s="1"/>
  <c r="G61" i="59"/>
  <c r="G79" i="59"/>
  <c r="F75" i="58" s="1"/>
  <c r="G77" i="59"/>
  <c r="F71" i="58" s="1"/>
  <c r="G68" i="59"/>
  <c r="F64" i="58" s="1"/>
  <c r="G58" i="59"/>
  <c r="G57" i="59"/>
  <c r="F48" i="58" s="1"/>
  <c r="G56" i="59"/>
  <c r="G55" i="59"/>
  <c r="G52" i="59"/>
  <c r="G53" i="59"/>
  <c r="G146" i="59" l="1"/>
  <c r="G145" i="59"/>
  <c r="G141" i="59"/>
  <c r="F140" i="58" s="1"/>
  <c r="G140" i="59"/>
  <c r="F139" i="58" s="1"/>
  <c r="G138" i="59"/>
  <c r="G137" i="59"/>
  <c r="G136" i="59"/>
  <c r="G135" i="59"/>
  <c r="G134" i="59"/>
  <c r="G130" i="59"/>
  <c r="G129" i="59"/>
  <c r="G128" i="59"/>
  <c r="G127" i="59"/>
  <c r="G126" i="59"/>
  <c r="G120" i="59"/>
  <c r="G119" i="59"/>
  <c r="G118" i="59"/>
  <c r="G117" i="59"/>
  <c r="G116" i="59"/>
  <c r="G115" i="59"/>
  <c r="G114" i="59"/>
  <c r="G113" i="59"/>
  <c r="G112" i="59"/>
  <c r="G111" i="59"/>
  <c r="G110" i="59"/>
  <c r="G109" i="59"/>
  <c r="G108" i="59"/>
  <c r="G107" i="59"/>
  <c r="G106" i="59"/>
  <c r="G105" i="59"/>
  <c r="G104" i="59"/>
  <c r="G103" i="59"/>
  <c r="G102" i="59"/>
  <c r="G101" i="59"/>
  <c r="G100" i="59"/>
  <c r="G99" i="59"/>
  <c r="G98" i="59"/>
  <c r="G97" i="59"/>
  <c r="G96" i="59"/>
  <c r="G95" i="59"/>
  <c r="G94" i="59"/>
  <c r="G93" i="59"/>
  <c r="G92" i="59"/>
  <c r="G91" i="59"/>
  <c r="G90" i="59"/>
  <c r="G89" i="59"/>
  <c r="G88" i="59"/>
  <c r="G87" i="59"/>
  <c r="G86" i="59"/>
  <c r="G85" i="59"/>
  <c r="G84" i="59"/>
  <c r="G83" i="59"/>
  <c r="G82" i="59"/>
  <c r="G81" i="59"/>
  <c r="G80" i="59"/>
  <c r="G78" i="59"/>
  <c r="G76" i="59"/>
  <c r="G75" i="59"/>
  <c r="G74" i="59"/>
  <c r="G73" i="59"/>
  <c r="G72" i="59"/>
  <c r="G71" i="59"/>
  <c r="G70" i="59"/>
  <c r="G69" i="59"/>
  <c r="G67" i="59"/>
  <c r="G66" i="59"/>
  <c r="G65" i="59"/>
  <c r="G64" i="59"/>
  <c r="G63" i="59"/>
  <c r="G62" i="59"/>
  <c r="B17" i="58" l="1"/>
  <c r="G59" i="59" l="1"/>
  <c r="G31" i="59"/>
  <c r="G32" i="59"/>
  <c r="G33" i="59"/>
  <c r="G34" i="59"/>
  <c r="G35" i="59"/>
  <c r="G36" i="59"/>
  <c r="G37" i="59"/>
  <c r="G38" i="59"/>
  <c r="G39" i="59"/>
  <c r="G40" i="59"/>
  <c r="G41" i="59"/>
  <c r="G42" i="59"/>
  <c r="G43" i="59"/>
  <c r="G44" i="59"/>
  <c r="G45" i="59"/>
  <c r="G46" i="59"/>
  <c r="G47" i="59"/>
  <c r="G48" i="59"/>
  <c r="G49" i="59"/>
  <c r="G50" i="59"/>
  <c r="G51" i="59"/>
  <c r="G54" i="59"/>
  <c r="G60" i="59"/>
  <c r="G30" i="59"/>
  <c r="D11" i="60" l="1"/>
  <c r="D12" i="60" s="1"/>
  <c r="O724" i="61"/>
  <c r="G724" i="61"/>
  <c r="E724" i="61"/>
  <c r="F724" i="61"/>
  <c r="D724" i="61"/>
  <c r="O723" i="61"/>
  <c r="G723" i="61"/>
  <c r="E723" i="61"/>
  <c r="I723" i="61" s="1"/>
  <c r="F723" i="61"/>
  <c r="D723" i="61"/>
  <c r="O722" i="61"/>
  <c r="G722" i="61"/>
  <c r="E722" i="61"/>
  <c r="F722" i="61"/>
  <c r="D722" i="61"/>
  <c r="O721" i="61"/>
  <c r="G721" i="61"/>
  <c r="E721" i="61"/>
  <c r="F721" i="61"/>
  <c r="D721" i="61"/>
  <c r="O720" i="61"/>
  <c r="G720" i="61"/>
  <c r="E720" i="61"/>
  <c r="F720" i="61"/>
  <c r="D720" i="61"/>
  <c r="O719" i="61"/>
  <c r="G719" i="61"/>
  <c r="E719" i="61"/>
  <c r="F719" i="61"/>
  <c r="D719" i="61"/>
  <c r="O718" i="61"/>
  <c r="G718" i="61"/>
  <c r="E718" i="61"/>
  <c r="F718" i="61"/>
  <c r="D718" i="61"/>
  <c r="O717" i="61"/>
  <c r="G717" i="61"/>
  <c r="E717" i="61"/>
  <c r="F717" i="61"/>
  <c r="D717" i="61"/>
  <c r="O716" i="61"/>
  <c r="G716" i="61"/>
  <c r="E716" i="61"/>
  <c r="F716" i="61"/>
  <c r="D716" i="61"/>
  <c r="O715" i="61"/>
  <c r="G715" i="61"/>
  <c r="E715" i="61"/>
  <c r="I715" i="61" s="1"/>
  <c r="F715" i="61"/>
  <c r="D715" i="61"/>
  <c r="O714" i="61"/>
  <c r="G714" i="61"/>
  <c r="E714" i="61"/>
  <c r="F714" i="61"/>
  <c r="D714" i="61"/>
  <c r="O713" i="61"/>
  <c r="G713" i="61"/>
  <c r="E713" i="61"/>
  <c r="F713" i="61"/>
  <c r="D713" i="61"/>
  <c r="O712" i="61"/>
  <c r="G712" i="61"/>
  <c r="E712" i="61"/>
  <c r="F712" i="61"/>
  <c r="D712" i="61"/>
  <c r="O711" i="61"/>
  <c r="G711" i="61"/>
  <c r="E711" i="61"/>
  <c r="F711" i="61"/>
  <c r="D711" i="61"/>
  <c r="O710" i="61"/>
  <c r="G710" i="61"/>
  <c r="E710" i="61"/>
  <c r="F710" i="61"/>
  <c r="D710" i="61"/>
  <c r="O709" i="61"/>
  <c r="G709" i="61"/>
  <c r="E709" i="61"/>
  <c r="F709" i="61"/>
  <c r="D709" i="61"/>
  <c r="O708" i="61"/>
  <c r="G708" i="61"/>
  <c r="E708" i="61"/>
  <c r="F708" i="61"/>
  <c r="D708" i="61"/>
  <c r="O707" i="61"/>
  <c r="G707" i="61"/>
  <c r="E707" i="61"/>
  <c r="I707" i="61" s="1"/>
  <c r="F707" i="61"/>
  <c r="D707" i="61"/>
  <c r="O706" i="61"/>
  <c r="G706" i="61"/>
  <c r="E706" i="61"/>
  <c r="F706" i="61"/>
  <c r="D706" i="61"/>
  <c r="O705" i="61"/>
  <c r="G705" i="61"/>
  <c r="E705" i="61"/>
  <c r="F705" i="61"/>
  <c r="D705" i="61"/>
  <c r="O704" i="61"/>
  <c r="G704" i="61"/>
  <c r="E704" i="61"/>
  <c r="F704" i="61"/>
  <c r="D704" i="61"/>
  <c r="O703" i="61"/>
  <c r="G703" i="61"/>
  <c r="E703" i="61"/>
  <c r="F703" i="61"/>
  <c r="D703" i="61"/>
  <c r="O702" i="61"/>
  <c r="G702" i="61"/>
  <c r="E702" i="61"/>
  <c r="F702" i="61"/>
  <c r="D702" i="61"/>
  <c r="O701" i="61"/>
  <c r="G701" i="61"/>
  <c r="E701" i="61"/>
  <c r="F701" i="61"/>
  <c r="D701" i="61"/>
  <c r="O700" i="61"/>
  <c r="G700" i="61"/>
  <c r="E700" i="61"/>
  <c r="F700" i="61"/>
  <c r="D700" i="61"/>
  <c r="O699" i="61"/>
  <c r="G699" i="61"/>
  <c r="E699" i="61"/>
  <c r="I699" i="61" s="1"/>
  <c r="F699" i="61"/>
  <c r="D699" i="61"/>
  <c r="O698" i="61"/>
  <c r="G698" i="61"/>
  <c r="E698" i="61"/>
  <c r="F698" i="61"/>
  <c r="D698" i="61"/>
  <c r="O697" i="61"/>
  <c r="G697" i="61"/>
  <c r="E697" i="61"/>
  <c r="F697" i="61"/>
  <c r="D697" i="61"/>
  <c r="O696" i="61"/>
  <c r="G696" i="61"/>
  <c r="E696" i="61"/>
  <c r="F696" i="61"/>
  <c r="D696" i="61"/>
  <c r="O695" i="61"/>
  <c r="G695" i="61"/>
  <c r="E695" i="61"/>
  <c r="F695" i="61"/>
  <c r="D695" i="61"/>
  <c r="O694" i="61"/>
  <c r="G694" i="61"/>
  <c r="E694" i="61"/>
  <c r="F694" i="61"/>
  <c r="D694" i="61"/>
  <c r="O693" i="61"/>
  <c r="G693" i="61"/>
  <c r="E693" i="61"/>
  <c r="F693" i="61"/>
  <c r="D693" i="61"/>
  <c r="O692" i="61"/>
  <c r="G692" i="61"/>
  <c r="E692" i="61"/>
  <c r="F692" i="61"/>
  <c r="D692" i="61"/>
  <c r="O691" i="61"/>
  <c r="G691" i="61"/>
  <c r="E691" i="61"/>
  <c r="I691" i="61" s="1"/>
  <c r="F691" i="61"/>
  <c r="D691" i="61"/>
  <c r="O690" i="61"/>
  <c r="G690" i="61"/>
  <c r="E690" i="61"/>
  <c r="F690" i="61"/>
  <c r="D690" i="61"/>
  <c r="O689" i="61"/>
  <c r="G689" i="61"/>
  <c r="E689" i="61"/>
  <c r="F689" i="61"/>
  <c r="D689" i="61"/>
  <c r="O688" i="61"/>
  <c r="G688" i="61"/>
  <c r="E688" i="61"/>
  <c r="F688" i="61"/>
  <c r="D688" i="61"/>
  <c r="O687" i="61"/>
  <c r="G687" i="61"/>
  <c r="E687" i="61"/>
  <c r="F687" i="61"/>
  <c r="D687" i="61"/>
  <c r="O686" i="61"/>
  <c r="G686" i="61"/>
  <c r="E686" i="61"/>
  <c r="F686" i="61"/>
  <c r="D686" i="61"/>
  <c r="O685" i="61"/>
  <c r="G685" i="61"/>
  <c r="E685" i="61"/>
  <c r="F685" i="61"/>
  <c r="D685" i="61"/>
  <c r="O684" i="61"/>
  <c r="G684" i="61"/>
  <c r="E684" i="61"/>
  <c r="F684" i="61"/>
  <c r="D684" i="61"/>
  <c r="O683" i="61"/>
  <c r="G683" i="61"/>
  <c r="E683" i="61"/>
  <c r="I683" i="61" s="1"/>
  <c r="F683" i="61"/>
  <c r="D683" i="61"/>
  <c r="O682" i="61"/>
  <c r="G682" i="61"/>
  <c r="E682" i="61"/>
  <c r="F682" i="61"/>
  <c r="D682" i="61"/>
  <c r="O681" i="61"/>
  <c r="G681" i="61"/>
  <c r="E681" i="61"/>
  <c r="F681" i="61"/>
  <c r="D681" i="61"/>
  <c r="O680" i="61"/>
  <c r="G680" i="61"/>
  <c r="E680" i="61"/>
  <c r="F680" i="61"/>
  <c r="D680" i="61"/>
  <c r="O679" i="61"/>
  <c r="G679" i="61"/>
  <c r="E679" i="61"/>
  <c r="F679" i="61"/>
  <c r="D679" i="61"/>
  <c r="O678" i="61"/>
  <c r="G678" i="61"/>
  <c r="E678" i="61"/>
  <c r="F678" i="61"/>
  <c r="D678" i="61"/>
  <c r="O677" i="61"/>
  <c r="G677" i="61"/>
  <c r="E677" i="61"/>
  <c r="F677" i="61"/>
  <c r="D677" i="61"/>
  <c r="O676" i="61"/>
  <c r="G676" i="61"/>
  <c r="E676" i="61"/>
  <c r="F676" i="61"/>
  <c r="D676" i="61"/>
  <c r="O675" i="61"/>
  <c r="G675" i="61"/>
  <c r="E675" i="61"/>
  <c r="I675" i="61" s="1"/>
  <c r="F675" i="61"/>
  <c r="D675" i="61"/>
  <c r="O674" i="61"/>
  <c r="G674" i="61"/>
  <c r="E674" i="61"/>
  <c r="F674" i="61"/>
  <c r="D674" i="61"/>
  <c r="O673" i="61"/>
  <c r="G673" i="61"/>
  <c r="E673" i="61"/>
  <c r="F673" i="61"/>
  <c r="D673" i="61"/>
  <c r="O672" i="61"/>
  <c r="G672" i="61"/>
  <c r="E672" i="61"/>
  <c r="F672" i="61"/>
  <c r="D672" i="61"/>
  <c r="O671" i="61"/>
  <c r="G671" i="61"/>
  <c r="E671" i="61"/>
  <c r="F671" i="61"/>
  <c r="D671" i="61"/>
  <c r="O670" i="61"/>
  <c r="G670" i="61"/>
  <c r="E670" i="61"/>
  <c r="F670" i="61"/>
  <c r="D670" i="61"/>
  <c r="O669" i="61"/>
  <c r="G669" i="61"/>
  <c r="E669" i="61"/>
  <c r="F669" i="61"/>
  <c r="D669" i="61"/>
  <c r="O668" i="61"/>
  <c r="G668" i="61"/>
  <c r="E668" i="61"/>
  <c r="F668" i="61"/>
  <c r="D668" i="61"/>
  <c r="O667" i="61"/>
  <c r="G667" i="61"/>
  <c r="E667" i="61"/>
  <c r="F667" i="61"/>
  <c r="D667" i="61"/>
  <c r="O666" i="61"/>
  <c r="G666" i="61"/>
  <c r="E666" i="61"/>
  <c r="F666" i="61"/>
  <c r="D666" i="61"/>
  <c r="O665" i="61"/>
  <c r="G665" i="61"/>
  <c r="E665" i="61"/>
  <c r="F665" i="61"/>
  <c r="D665" i="61"/>
  <c r="O664" i="61"/>
  <c r="G664" i="61"/>
  <c r="E664" i="61"/>
  <c r="F664" i="61"/>
  <c r="D664" i="61"/>
  <c r="O663" i="61"/>
  <c r="G663" i="61"/>
  <c r="E663" i="61"/>
  <c r="F663" i="61"/>
  <c r="D663" i="61"/>
  <c r="O662" i="61"/>
  <c r="G662" i="61"/>
  <c r="E662" i="61"/>
  <c r="F662" i="61"/>
  <c r="D662" i="61"/>
  <c r="O661" i="61"/>
  <c r="G661" i="61"/>
  <c r="E661" i="61"/>
  <c r="F661" i="61"/>
  <c r="D661" i="61"/>
  <c r="O660" i="61"/>
  <c r="G660" i="61"/>
  <c r="E660" i="61"/>
  <c r="F660" i="61"/>
  <c r="D660" i="61"/>
  <c r="O659" i="61"/>
  <c r="G659" i="61"/>
  <c r="E659" i="61"/>
  <c r="F659" i="61"/>
  <c r="D659" i="61"/>
  <c r="O658" i="61"/>
  <c r="G658" i="61"/>
  <c r="E658" i="61"/>
  <c r="F658" i="61"/>
  <c r="D658" i="61"/>
  <c r="O657" i="61"/>
  <c r="G657" i="61"/>
  <c r="E657" i="61"/>
  <c r="F657" i="61"/>
  <c r="D657" i="61"/>
  <c r="O656" i="61"/>
  <c r="G656" i="61"/>
  <c r="E656" i="61"/>
  <c r="F656" i="61"/>
  <c r="D656" i="61"/>
  <c r="O655" i="61"/>
  <c r="G655" i="61"/>
  <c r="E655" i="61"/>
  <c r="F655" i="61"/>
  <c r="D655" i="61"/>
  <c r="O654" i="61"/>
  <c r="G654" i="61"/>
  <c r="E654" i="61"/>
  <c r="F654" i="61"/>
  <c r="D654" i="61"/>
  <c r="O653" i="61"/>
  <c r="G653" i="61"/>
  <c r="E653" i="61"/>
  <c r="F653" i="61"/>
  <c r="D653" i="61"/>
  <c r="O652" i="61"/>
  <c r="G652" i="61"/>
  <c r="E652" i="61"/>
  <c r="F652" i="61"/>
  <c r="D652" i="61"/>
  <c r="O651" i="61"/>
  <c r="G651" i="61"/>
  <c r="E651" i="61"/>
  <c r="F651" i="61"/>
  <c r="D651" i="61"/>
  <c r="O650" i="61"/>
  <c r="G650" i="61"/>
  <c r="E650" i="61"/>
  <c r="F650" i="61"/>
  <c r="D650" i="61"/>
  <c r="O649" i="61"/>
  <c r="G649" i="61"/>
  <c r="E649" i="61"/>
  <c r="F649" i="61"/>
  <c r="D649" i="61"/>
  <c r="O648" i="61"/>
  <c r="G648" i="61"/>
  <c r="E648" i="61"/>
  <c r="F648" i="61"/>
  <c r="D648" i="61"/>
  <c r="O647" i="61"/>
  <c r="G647" i="61"/>
  <c r="E647" i="61"/>
  <c r="F647" i="61"/>
  <c r="D647" i="61"/>
  <c r="O646" i="61"/>
  <c r="G646" i="61"/>
  <c r="E646" i="61"/>
  <c r="F646" i="61"/>
  <c r="D646" i="61"/>
  <c r="O645" i="61"/>
  <c r="G645" i="61"/>
  <c r="E645" i="61"/>
  <c r="F645" i="61"/>
  <c r="D645" i="61"/>
  <c r="O644" i="61"/>
  <c r="G644" i="61"/>
  <c r="E644" i="61"/>
  <c r="F644" i="61"/>
  <c r="D644" i="61"/>
  <c r="O643" i="61"/>
  <c r="G643" i="61"/>
  <c r="E643" i="61"/>
  <c r="F643" i="61"/>
  <c r="D643" i="61"/>
  <c r="O642" i="61"/>
  <c r="G642" i="61"/>
  <c r="E642" i="61"/>
  <c r="F642" i="61"/>
  <c r="D642" i="61"/>
  <c r="O641" i="61"/>
  <c r="G641" i="61"/>
  <c r="E641" i="61"/>
  <c r="F641" i="61"/>
  <c r="D641" i="61"/>
  <c r="O640" i="61"/>
  <c r="G640" i="61"/>
  <c r="E640" i="61"/>
  <c r="F640" i="61"/>
  <c r="D640" i="61"/>
  <c r="O639" i="61"/>
  <c r="G639" i="61"/>
  <c r="E639" i="61"/>
  <c r="F639" i="61"/>
  <c r="D639" i="61"/>
  <c r="O638" i="61"/>
  <c r="G638" i="61"/>
  <c r="E638" i="61"/>
  <c r="F638" i="61"/>
  <c r="D638" i="61"/>
  <c r="O637" i="61"/>
  <c r="G637" i="61"/>
  <c r="E637" i="61"/>
  <c r="F637" i="61"/>
  <c r="D637" i="61"/>
  <c r="O636" i="61"/>
  <c r="G636" i="61"/>
  <c r="E636" i="61"/>
  <c r="F636" i="61"/>
  <c r="D636" i="61"/>
  <c r="O635" i="61"/>
  <c r="G635" i="61"/>
  <c r="E635" i="61"/>
  <c r="F635" i="61"/>
  <c r="D635" i="61"/>
  <c r="O634" i="61"/>
  <c r="G634" i="61"/>
  <c r="E634" i="61"/>
  <c r="F634" i="61"/>
  <c r="D634" i="61"/>
  <c r="O633" i="61"/>
  <c r="G633" i="61"/>
  <c r="E633" i="61"/>
  <c r="F633" i="61"/>
  <c r="D633" i="61"/>
  <c r="O632" i="61"/>
  <c r="G632" i="61"/>
  <c r="E632" i="61"/>
  <c r="F632" i="61"/>
  <c r="D632" i="61"/>
  <c r="O631" i="61"/>
  <c r="G631" i="61"/>
  <c r="E631" i="61"/>
  <c r="F631" i="61"/>
  <c r="D631" i="61"/>
  <c r="O630" i="61"/>
  <c r="G630" i="61"/>
  <c r="E630" i="61"/>
  <c r="F630" i="61"/>
  <c r="D630" i="61"/>
  <c r="O629" i="61"/>
  <c r="G629" i="61"/>
  <c r="E629" i="61"/>
  <c r="F629" i="61"/>
  <c r="D629" i="61"/>
  <c r="O628" i="61"/>
  <c r="G628" i="61"/>
  <c r="E628" i="61"/>
  <c r="F628" i="61"/>
  <c r="D628" i="61"/>
  <c r="O627" i="61"/>
  <c r="G627" i="61"/>
  <c r="E627" i="61"/>
  <c r="F627" i="61"/>
  <c r="D627" i="61"/>
  <c r="O626" i="61"/>
  <c r="G626" i="61"/>
  <c r="E626" i="61"/>
  <c r="F626" i="61"/>
  <c r="D626" i="61"/>
  <c r="O625" i="61"/>
  <c r="G625" i="61"/>
  <c r="E625" i="61"/>
  <c r="F625" i="61"/>
  <c r="D625" i="61"/>
  <c r="O624" i="61"/>
  <c r="G624" i="61"/>
  <c r="E624" i="61"/>
  <c r="F624" i="61"/>
  <c r="D624" i="61"/>
  <c r="O623" i="61"/>
  <c r="G623" i="61"/>
  <c r="E623" i="61"/>
  <c r="F623" i="61"/>
  <c r="D623" i="61"/>
  <c r="O622" i="61"/>
  <c r="G622" i="61"/>
  <c r="E622" i="61"/>
  <c r="F622" i="61"/>
  <c r="D622" i="61"/>
  <c r="O621" i="61"/>
  <c r="G621" i="61"/>
  <c r="E621" i="61"/>
  <c r="F621" i="61"/>
  <c r="D621" i="61"/>
  <c r="O620" i="61"/>
  <c r="G620" i="61"/>
  <c r="E620" i="61"/>
  <c r="F620" i="61"/>
  <c r="D620" i="61"/>
  <c r="O619" i="61"/>
  <c r="G619" i="61"/>
  <c r="E619" i="61"/>
  <c r="F619" i="61"/>
  <c r="D619" i="61"/>
  <c r="O618" i="61"/>
  <c r="G618" i="61"/>
  <c r="E618" i="61"/>
  <c r="F618" i="61"/>
  <c r="D618" i="61"/>
  <c r="O617" i="61"/>
  <c r="G617" i="61"/>
  <c r="E617" i="61"/>
  <c r="F617" i="61"/>
  <c r="D617" i="61"/>
  <c r="O616" i="61"/>
  <c r="G616" i="61"/>
  <c r="E616" i="61"/>
  <c r="F616" i="61"/>
  <c r="D616" i="61"/>
  <c r="O615" i="61"/>
  <c r="G615" i="61"/>
  <c r="E615" i="61"/>
  <c r="F615" i="61"/>
  <c r="D615" i="61"/>
  <c r="O614" i="61"/>
  <c r="G614" i="61"/>
  <c r="E614" i="61"/>
  <c r="F614" i="61"/>
  <c r="D614" i="61"/>
  <c r="O613" i="61"/>
  <c r="G613" i="61"/>
  <c r="E613" i="61"/>
  <c r="F613" i="61"/>
  <c r="D613" i="61"/>
  <c r="O612" i="61"/>
  <c r="G612" i="61"/>
  <c r="E612" i="61"/>
  <c r="F612" i="61"/>
  <c r="D612" i="61"/>
  <c r="O611" i="61"/>
  <c r="G611" i="61"/>
  <c r="E611" i="61"/>
  <c r="F611" i="61"/>
  <c r="D611" i="61"/>
  <c r="O610" i="61"/>
  <c r="G610" i="61"/>
  <c r="E610" i="61"/>
  <c r="F610" i="61"/>
  <c r="D610" i="61"/>
  <c r="O609" i="61"/>
  <c r="G609" i="61"/>
  <c r="E609" i="61"/>
  <c r="F609" i="61"/>
  <c r="D609" i="61"/>
  <c r="O608" i="61"/>
  <c r="G608" i="61"/>
  <c r="E608" i="61"/>
  <c r="F608" i="61"/>
  <c r="D608" i="61"/>
  <c r="O607" i="61"/>
  <c r="G607" i="61"/>
  <c r="E607" i="61"/>
  <c r="F607" i="61"/>
  <c r="D607" i="61"/>
  <c r="O606" i="61"/>
  <c r="G606" i="61"/>
  <c r="E606" i="61"/>
  <c r="F606" i="61"/>
  <c r="D606" i="61"/>
  <c r="O605" i="61"/>
  <c r="G605" i="61"/>
  <c r="E605" i="61"/>
  <c r="F605" i="61"/>
  <c r="D605" i="61"/>
  <c r="O604" i="61"/>
  <c r="G604" i="61"/>
  <c r="E604" i="61"/>
  <c r="F604" i="61"/>
  <c r="D604" i="61"/>
  <c r="O603" i="61"/>
  <c r="G603" i="61"/>
  <c r="E603" i="61"/>
  <c r="F603" i="61"/>
  <c r="D603" i="61"/>
  <c r="O602" i="61"/>
  <c r="G602" i="61"/>
  <c r="E602" i="61"/>
  <c r="F602" i="61"/>
  <c r="D602" i="61"/>
  <c r="O601" i="61"/>
  <c r="G601" i="61"/>
  <c r="E601" i="61"/>
  <c r="F601" i="61"/>
  <c r="D601" i="61"/>
  <c r="O600" i="61"/>
  <c r="G600" i="61"/>
  <c r="E600" i="61"/>
  <c r="F600" i="61"/>
  <c r="D600" i="61"/>
  <c r="O599" i="61"/>
  <c r="G599" i="61"/>
  <c r="E599" i="61"/>
  <c r="F599" i="61"/>
  <c r="D599" i="61"/>
  <c r="O598" i="61"/>
  <c r="G598" i="61"/>
  <c r="E598" i="61"/>
  <c r="F598" i="61"/>
  <c r="D598" i="61"/>
  <c r="O597" i="61"/>
  <c r="G597" i="61"/>
  <c r="E597" i="61"/>
  <c r="F597" i="61"/>
  <c r="D597" i="61"/>
  <c r="O596" i="61"/>
  <c r="G596" i="61"/>
  <c r="E596" i="61"/>
  <c r="F596" i="61"/>
  <c r="D596" i="61"/>
  <c r="O595" i="61"/>
  <c r="G595" i="61"/>
  <c r="E595" i="61"/>
  <c r="F595" i="61"/>
  <c r="D595" i="61"/>
  <c r="O594" i="61"/>
  <c r="G594" i="61"/>
  <c r="E594" i="61"/>
  <c r="F594" i="61"/>
  <c r="D594" i="61"/>
  <c r="O593" i="61"/>
  <c r="G593" i="61"/>
  <c r="E593" i="61"/>
  <c r="F593" i="61"/>
  <c r="D593" i="61"/>
  <c r="O592" i="61"/>
  <c r="G592" i="61"/>
  <c r="E592" i="61"/>
  <c r="F592" i="61"/>
  <c r="D592" i="61"/>
  <c r="O591" i="61"/>
  <c r="G591" i="61"/>
  <c r="E591" i="61"/>
  <c r="F591" i="61"/>
  <c r="D591" i="61"/>
  <c r="O590" i="61"/>
  <c r="G590" i="61"/>
  <c r="E590" i="61"/>
  <c r="F590" i="61"/>
  <c r="D590" i="61"/>
  <c r="O589" i="61"/>
  <c r="G589" i="61"/>
  <c r="E589" i="61"/>
  <c r="F589" i="61"/>
  <c r="D589" i="61"/>
  <c r="O588" i="61"/>
  <c r="G588" i="61"/>
  <c r="E588" i="61"/>
  <c r="F588" i="61"/>
  <c r="D588" i="61"/>
  <c r="O587" i="61"/>
  <c r="G587" i="61"/>
  <c r="E587" i="61"/>
  <c r="F587" i="61"/>
  <c r="D587" i="61"/>
  <c r="O586" i="61"/>
  <c r="G586" i="61"/>
  <c r="E586" i="61"/>
  <c r="F586" i="61"/>
  <c r="D586" i="61"/>
  <c r="O585" i="61"/>
  <c r="G585" i="61"/>
  <c r="E585" i="61"/>
  <c r="F585" i="61"/>
  <c r="D585" i="61"/>
  <c r="O584" i="61"/>
  <c r="G584" i="61"/>
  <c r="E584" i="61"/>
  <c r="F584" i="61"/>
  <c r="D584" i="61"/>
  <c r="O583" i="61"/>
  <c r="G583" i="61"/>
  <c r="E583" i="61"/>
  <c r="F583" i="61"/>
  <c r="D583" i="61"/>
  <c r="O582" i="61"/>
  <c r="G582" i="61"/>
  <c r="E582" i="61"/>
  <c r="F582" i="61"/>
  <c r="D582" i="61"/>
  <c r="O581" i="61"/>
  <c r="G581" i="61"/>
  <c r="E581" i="61"/>
  <c r="F581" i="61"/>
  <c r="D581" i="61"/>
  <c r="O580" i="61"/>
  <c r="G580" i="61"/>
  <c r="E580" i="61"/>
  <c r="F580" i="61"/>
  <c r="D580" i="61"/>
  <c r="O579" i="61"/>
  <c r="G579" i="61"/>
  <c r="E579" i="61"/>
  <c r="F579" i="61"/>
  <c r="D579" i="61"/>
  <c r="O578" i="61"/>
  <c r="G578" i="61"/>
  <c r="E578" i="61"/>
  <c r="F578" i="61"/>
  <c r="D578" i="61"/>
  <c r="O577" i="61"/>
  <c r="G577" i="61"/>
  <c r="E577" i="61"/>
  <c r="F577" i="61"/>
  <c r="D577" i="61"/>
  <c r="O576" i="61"/>
  <c r="G576" i="61"/>
  <c r="E576" i="61"/>
  <c r="F576" i="61"/>
  <c r="D576" i="61"/>
  <c r="O575" i="61"/>
  <c r="G575" i="61"/>
  <c r="E575" i="61"/>
  <c r="F575" i="61"/>
  <c r="D575" i="61"/>
  <c r="O574" i="61"/>
  <c r="G574" i="61"/>
  <c r="E574" i="61"/>
  <c r="F574" i="61"/>
  <c r="D574" i="61"/>
  <c r="O573" i="61"/>
  <c r="G573" i="61"/>
  <c r="E573" i="61"/>
  <c r="F573" i="61"/>
  <c r="D573" i="61"/>
  <c r="O572" i="61"/>
  <c r="G572" i="61"/>
  <c r="E572" i="61"/>
  <c r="F572" i="61"/>
  <c r="D572" i="61"/>
  <c r="O571" i="61"/>
  <c r="G571" i="61"/>
  <c r="E571" i="61"/>
  <c r="F571" i="61"/>
  <c r="D571" i="61"/>
  <c r="O570" i="61"/>
  <c r="G570" i="61"/>
  <c r="E570" i="61"/>
  <c r="F570" i="61"/>
  <c r="D570" i="61"/>
  <c r="O569" i="61"/>
  <c r="G569" i="61"/>
  <c r="E569" i="61"/>
  <c r="F569" i="61"/>
  <c r="D569" i="61"/>
  <c r="O568" i="61"/>
  <c r="G568" i="61"/>
  <c r="E568" i="61"/>
  <c r="F568" i="61"/>
  <c r="D568" i="61"/>
  <c r="O567" i="61"/>
  <c r="G567" i="61"/>
  <c r="E567" i="61"/>
  <c r="F567" i="61"/>
  <c r="D567" i="61"/>
  <c r="O566" i="61"/>
  <c r="G566" i="61"/>
  <c r="E566" i="61"/>
  <c r="F566" i="61"/>
  <c r="D566" i="61"/>
  <c r="O565" i="61"/>
  <c r="G565" i="61"/>
  <c r="E565" i="61"/>
  <c r="F565" i="61"/>
  <c r="D565" i="61"/>
  <c r="O564" i="61"/>
  <c r="G564" i="61"/>
  <c r="E564" i="61"/>
  <c r="F564" i="61"/>
  <c r="D564" i="61"/>
  <c r="O563" i="61"/>
  <c r="G563" i="61"/>
  <c r="E563" i="61"/>
  <c r="F563" i="61"/>
  <c r="D563" i="61"/>
  <c r="O562" i="61"/>
  <c r="G562" i="61"/>
  <c r="E562" i="61"/>
  <c r="F562" i="61"/>
  <c r="D562" i="61"/>
  <c r="O561" i="61"/>
  <c r="G561" i="61"/>
  <c r="E561" i="61"/>
  <c r="F561" i="61"/>
  <c r="D561" i="61"/>
  <c r="O560" i="61"/>
  <c r="G560" i="61"/>
  <c r="E560" i="61"/>
  <c r="F560" i="61"/>
  <c r="D560" i="61"/>
  <c r="O559" i="61"/>
  <c r="G559" i="61"/>
  <c r="E559" i="61"/>
  <c r="F559" i="61"/>
  <c r="D559" i="61"/>
  <c r="O558" i="61"/>
  <c r="G558" i="61"/>
  <c r="E558" i="61"/>
  <c r="F558" i="61"/>
  <c r="D558" i="61"/>
  <c r="O557" i="61"/>
  <c r="G557" i="61"/>
  <c r="E557" i="61"/>
  <c r="F557" i="61"/>
  <c r="D557" i="61"/>
  <c r="O556" i="61"/>
  <c r="G556" i="61"/>
  <c r="E556" i="61"/>
  <c r="F556" i="61"/>
  <c r="D556" i="61"/>
  <c r="O555" i="61"/>
  <c r="G555" i="61"/>
  <c r="E555" i="61"/>
  <c r="F555" i="61"/>
  <c r="D555" i="61"/>
  <c r="O554" i="61"/>
  <c r="G554" i="61"/>
  <c r="E554" i="61"/>
  <c r="F554" i="61"/>
  <c r="D554" i="61"/>
  <c r="O553" i="61"/>
  <c r="G553" i="61"/>
  <c r="E553" i="61"/>
  <c r="F553" i="61"/>
  <c r="D553" i="61"/>
  <c r="O552" i="61"/>
  <c r="G552" i="61"/>
  <c r="E552" i="61"/>
  <c r="F552" i="61"/>
  <c r="D552" i="61"/>
  <c r="O551" i="61"/>
  <c r="G551" i="61"/>
  <c r="E551" i="61"/>
  <c r="F551" i="61"/>
  <c r="D551" i="61"/>
  <c r="O550" i="61"/>
  <c r="G550" i="61"/>
  <c r="E550" i="61"/>
  <c r="F550" i="61"/>
  <c r="D550" i="61"/>
  <c r="O549" i="61"/>
  <c r="G549" i="61"/>
  <c r="E549" i="61"/>
  <c r="F549" i="61"/>
  <c r="D549" i="61"/>
  <c r="O548" i="61"/>
  <c r="G548" i="61"/>
  <c r="E548" i="61"/>
  <c r="F548" i="61"/>
  <c r="D548" i="61"/>
  <c r="O547" i="61"/>
  <c r="G547" i="61"/>
  <c r="E547" i="61"/>
  <c r="F547" i="61"/>
  <c r="D547" i="61"/>
  <c r="O546" i="61"/>
  <c r="G546" i="61"/>
  <c r="E546" i="61"/>
  <c r="F546" i="61"/>
  <c r="D546" i="61"/>
  <c r="O545" i="61"/>
  <c r="G545" i="61"/>
  <c r="E545" i="61"/>
  <c r="F545" i="61"/>
  <c r="D545" i="61"/>
  <c r="O544" i="61"/>
  <c r="G544" i="61"/>
  <c r="E544" i="61"/>
  <c r="F544" i="61"/>
  <c r="D544" i="61"/>
  <c r="O543" i="61"/>
  <c r="G543" i="61"/>
  <c r="E543" i="61"/>
  <c r="F543" i="61"/>
  <c r="D543" i="61"/>
  <c r="O542" i="61"/>
  <c r="G542" i="61"/>
  <c r="E542" i="61"/>
  <c r="F542" i="61"/>
  <c r="D542" i="61"/>
  <c r="O541" i="61"/>
  <c r="G541" i="61"/>
  <c r="E541" i="61"/>
  <c r="F541" i="61"/>
  <c r="D541" i="61"/>
  <c r="O540" i="61"/>
  <c r="G540" i="61"/>
  <c r="E540" i="61"/>
  <c r="F540" i="61"/>
  <c r="D540" i="61"/>
  <c r="O539" i="61"/>
  <c r="G539" i="61"/>
  <c r="E539" i="61"/>
  <c r="F539" i="61"/>
  <c r="D539" i="61"/>
  <c r="O538" i="61"/>
  <c r="G538" i="61"/>
  <c r="E538" i="61"/>
  <c r="F538" i="61"/>
  <c r="D538" i="61"/>
  <c r="O537" i="61"/>
  <c r="G537" i="61"/>
  <c r="E537" i="61"/>
  <c r="F537" i="61"/>
  <c r="D537" i="61"/>
  <c r="O536" i="61"/>
  <c r="G536" i="61"/>
  <c r="E536" i="61"/>
  <c r="F536" i="61"/>
  <c r="D536" i="61"/>
  <c r="O535" i="61"/>
  <c r="G535" i="61"/>
  <c r="E535" i="61"/>
  <c r="F535" i="61"/>
  <c r="D535" i="61"/>
  <c r="O534" i="61"/>
  <c r="G534" i="61"/>
  <c r="E534" i="61"/>
  <c r="F534" i="61"/>
  <c r="D534" i="61"/>
  <c r="O533" i="61"/>
  <c r="G533" i="61"/>
  <c r="E533" i="61"/>
  <c r="F533" i="61"/>
  <c r="D533" i="61"/>
  <c r="O532" i="61"/>
  <c r="G532" i="61"/>
  <c r="E532" i="61"/>
  <c r="F532" i="61"/>
  <c r="D532" i="61"/>
  <c r="O531" i="61"/>
  <c r="G531" i="61"/>
  <c r="E531" i="61"/>
  <c r="F531" i="61"/>
  <c r="D531" i="61"/>
  <c r="O530" i="61"/>
  <c r="G530" i="61"/>
  <c r="E530" i="61"/>
  <c r="F530" i="61"/>
  <c r="D530" i="61"/>
  <c r="O529" i="61"/>
  <c r="G529" i="61"/>
  <c r="E529" i="61"/>
  <c r="F529" i="61"/>
  <c r="D529" i="61"/>
  <c r="O528" i="61"/>
  <c r="G528" i="61"/>
  <c r="E528" i="61"/>
  <c r="F528" i="61"/>
  <c r="D528" i="61"/>
  <c r="O527" i="61"/>
  <c r="G527" i="61"/>
  <c r="E527" i="61"/>
  <c r="F527" i="61"/>
  <c r="D527" i="61"/>
  <c r="O526" i="61"/>
  <c r="G526" i="61"/>
  <c r="E526" i="61"/>
  <c r="F526" i="61"/>
  <c r="D526" i="61"/>
  <c r="O525" i="61"/>
  <c r="G525" i="61"/>
  <c r="E525" i="61"/>
  <c r="F525" i="61"/>
  <c r="D525" i="61"/>
  <c r="O524" i="61"/>
  <c r="G524" i="61"/>
  <c r="E524" i="61"/>
  <c r="F524" i="61"/>
  <c r="D524" i="61"/>
  <c r="O523" i="61"/>
  <c r="G523" i="61"/>
  <c r="E523" i="61"/>
  <c r="F523" i="61"/>
  <c r="D523" i="61"/>
  <c r="O522" i="61"/>
  <c r="G522" i="61"/>
  <c r="E522" i="61"/>
  <c r="F522" i="61"/>
  <c r="D522" i="61"/>
  <c r="O521" i="61"/>
  <c r="G521" i="61"/>
  <c r="E521" i="61"/>
  <c r="F521" i="61"/>
  <c r="D521" i="61"/>
  <c r="O520" i="61"/>
  <c r="G520" i="61"/>
  <c r="E520" i="61"/>
  <c r="F520" i="61"/>
  <c r="D520" i="61"/>
  <c r="O519" i="61"/>
  <c r="G519" i="61"/>
  <c r="E519" i="61"/>
  <c r="F519" i="61"/>
  <c r="D519" i="61"/>
  <c r="O518" i="61"/>
  <c r="G518" i="61"/>
  <c r="E518" i="61"/>
  <c r="F518" i="61"/>
  <c r="D518" i="61"/>
  <c r="O517" i="61"/>
  <c r="G517" i="61"/>
  <c r="E517" i="61"/>
  <c r="F517" i="61"/>
  <c r="D517" i="61"/>
  <c r="O516" i="61"/>
  <c r="G516" i="61"/>
  <c r="E516" i="61"/>
  <c r="F516" i="61"/>
  <c r="D516" i="61"/>
  <c r="O515" i="61"/>
  <c r="G515" i="61"/>
  <c r="E515" i="61"/>
  <c r="F515" i="61"/>
  <c r="D515" i="61"/>
  <c r="O514" i="61"/>
  <c r="G514" i="61"/>
  <c r="E514" i="61"/>
  <c r="F514" i="61"/>
  <c r="D514" i="61"/>
  <c r="O513" i="61"/>
  <c r="G513" i="61"/>
  <c r="E513" i="61"/>
  <c r="F513" i="61"/>
  <c r="D513" i="61"/>
  <c r="O512" i="61"/>
  <c r="G512" i="61"/>
  <c r="E512" i="61"/>
  <c r="F512" i="61"/>
  <c r="D512" i="61"/>
  <c r="O511" i="61"/>
  <c r="G511" i="61"/>
  <c r="E511" i="61"/>
  <c r="F511" i="61"/>
  <c r="D511" i="61"/>
  <c r="O510" i="61"/>
  <c r="G510" i="61"/>
  <c r="E510" i="61"/>
  <c r="F510" i="61"/>
  <c r="D510" i="61"/>
  <c r="O509" i="61"/>
  <c r="G509" i="61"/>
  <c r="E509" i="61"/>
  <c r="F509" i="61"/>
  <c r="D509" i="61"/>
  <c r="O508" i="61"/>
  <c r="G508" i="61"/>
  <c r="E508" i="61"/>
  <c r="F508" i="61"/>
  <c r="D508" i="61"/>
  <c r="O507" i="61"/>
  <c r="G507" i="61"/>
  <c r="E507" i="61"/>
  <c r="F507" i="61"/>
  <c r="D507" i="61"/>
  <c r="O506" i="61"/>
  <c r="G506" i="61"/>
  <c r="E506" i="61"/>
  <c r="F506" i="61"/>
  <c r="D506" i="61"/>
  <c r="O505" i="61"/>
  <c r="G505" i="61"/>
  <c r="E505" i="61"/>
  <c r="F505" i="61"/>
  <c r="D505" i="61"/>
  <c r="O504" i="61"/>
  <c r="G504" i="61"/>
  <c r="E504" i="61"/>
  <c r="F504" i="61"/>
  <c r="D504" i="61"/>
  <c r="O503" i="61"/>
  <c r="G503" i="61"/>
  <c r="E503" i="61"/>
  <c r="F503" i="61"/>
  <c r="D503" i="61"/>
  <c r="O502" i="61"/>
  <c r="G502" i="61"/>
  <c r="E502" i="61"/>
  <c r="F502" i="61"/>
  <c r="D502" i="61"/>
  <c r="O501" i="61"/>
  <c r="G501" i="61"/>
  <c r="E501" i="61"/>
  <c r="F501" i="61"/>
  <c r="D501" i="61"/>
  <c r="O500" i="61"/>
  <c r="G500" i="61"/>
  <c r="E500" i="61"/>
  <c r="F500" i="61"/>
  <c r="D500" i="61"/>
  <c r="O499" i="61"/>
  <c r="G499" i="61"/>
  <c r="E499" i="61"/>
  <c r="F499" i="61"/>
  <c r="D499" i="61"/>
  <c r="O498" i="61"/>
  <c r="G498" i="61"/>
  <c r="E498" i="61"/>
  <c r="F498" i="61"/>
  <c r="D498" i="61"/>
  <c r="O497" i="61"/>
  <c r="G497" i="61"/>
  <c r="E497" i="61"/>
  <c r="F497" i="61"/>
  <c r="D497" i="61"/>
  <c r="O496" i="61"/>
  <c r="G496" i="61"/>
  <c r="E496" i="61"/>
  <c r="F496" i="61"/>
  <c r="D496" i="61"/>
  <c r="O495" i="61"/>
  <c r="G495" i="61"/>
  <c r="E495" i="61"/>
  <c r="F495" i="61"/>
  <c r="D495" i="61"/>
  <c r="O494" i="61"/>
  <c r="G494" i="61"/>
  <c r="E494" i="61"/>
  <c r="F494" i="61"/>
  <c r="D494" i="61"/>
  <c r="O493" i="61"/>
  <c r="G493" i="61"/>
  <c r="E493" i="61"/>
  <c r="F493" i="61"/>
  <c r="D493" i="61"/>
  <c r="O492" i="61"/>
  <c r="G492" i="61"/>
  <c r="E492" i="61"/>
  <c r="F492" i="61"/>
  <c r="D492" i="61"/>
  <c r="O491" i="61"/>
  <c r="G491" i="61"/>
  <c r="E491" i="61"/>
  <c r="F491" i="61"/>
  <c r="D491" i="61"/>
  <c r="O490" i="61"/>
  <c r="G490" i="61"/>
  <c r="E490" i="61"/>
  <c r="F490" i="61"/>
  <c r="D490" i="61"/>
  <c r="O489" i="61"/>
  <c r="G489" i="61"/>
  <c r="E489" i="61"/>
  <c r="F489" i="61"/>
  <c r="D489" i="61"/>
  <c r="O488" i="61"/>
  <c r="G488" i="61"/>
  <c r="E488" i="61"/>
  <c r="F488" i="61"/>
  <c r="D488" i="61"/>
  <c r="O487" i="61"/>
  <c r="G487" i="61"/>
  <c r="E487" i="61"/>
  <c r="F487" i="61"/>
  <c r="D487" i="61"/>
  <c r="O486" i="61"/>
  <c r="G486" i="61"/>
  <c r="E486" i="61"/>
  <c r="F486" i="61"/>
  <c r="D486" i="61"/>
  <c r="O485" i="61"/>
  <c r="G485" i="61"/>
  <c r="E485" i="61"/>
  <c r="F485" i="61"/>
  <c r="D485" i="61"/>
  <c r="O484" i="61"/>
  <c r="G484" i="61"/>
  <c r="E484" i="61"/>
  <c r="F484" i="61"/>
  <c r="D484" i="61"/>
  <c r="O483" i="61"/>
  <c r="G483" i="61"/>
  <c r="E483" i="61"/>
  <c r="F483" i="61"/>
  <c r="D483" i="61"/>
  <c r="O482" i="61"/>
  <c r="G482" i="61"/>
  <c r="E482" i="61"/>
  <c r="F482" i="61"/>
  <c r="D482" i="61"/>
  <c r="O481" i="61"/>
  <c r="G481" i="61"/>
  <c r="E481" i="61"/>
  <c r="F481" i="61"/>
  <c r="D481" i="61"/>
  <c r="O480" i="61"/>
  <c r="G480" i="61"/>
  <c r="E480" i="61"/>
  <c r="F480" i="61"/>
  <c r="D480" i="61"/>
  <c r="O479" i="61"/>
  <c r="G479" i="61"/>
  <c r="E479" i="61"/>
  <c r="F479" i="61"/>
  <c r="D479" i="61"/>
  <c r="O478" i="61"/>
  <c r="G478" i="61"/>
  <c r="E478" i="61"/>
  <c r="F478" i="61"/>
  <c r="D478" i="61"/>
  <c r="O477" i="61"/>
  <c r="G477" i="61"/>
  <c r="E477" i="61"/>
  <c r="F477" i="61"/>
  <c r="D477" i="61"/>
  <c r="O476" i="61"/>
  <c r="G476" i="61"/>
  <c r="E476" i="61"/>
  <c r="F476" i="61"/>
  <c r="D476" i="61"/>
  <c r="O475" i="61"/>
  <c r="G475" i="61"/>
  <c r="E475" i="61"/>
  <c r="F475" i="61"/>
  <c r="D475" i="61"/>
  <c r="O474" i="61"/>
  <c r="G474" i="61"/>
  <c r="E474" i="61"/>
  <c r="F474" i="61"/>
  <c r="D474" i="61"/>
  <c r="O473" i="61"/>
  <c r="G473" i="61"/>
  <c r="E473" i="61"/>
  <c r="F473" i="61"/>
  <c r="D473" i="61"/>
  <c r="O472" i="61"/>
  <c r="G472" i="61"/>
  <c r="E472" i="61"/>
  <c r="F472" i="61"/>
  <c r="D472" i="61"/>
  <c r="O471" i="61"/>
  <c r="G471" i="61"/>
  <c r="E471" i="61"/>
  <c r="F471" i="61"/>
  <c r="D471" i="61"/>
  <c r="O470" i="61"/>
  <c r="G470" i="61"/>
  <c r="E470" i="61"/>
  <c r="F470" i="61"/>
  <c r="D470" i="61"/>
  <c r="O469" i="61"/>
  <c r="G469" i="61"/>
  <c r="E469" i="61"/>
  <c r="F469" i="61"/>
  <c r="D469" i="61"/>
  <c r="O468" i="61"/>
  <c r="G468" i="61"/>
  <c r="E468" i="61"/>
  <c r="F468" i="61"/>
  <c r="D468" i="61"/>
  <c r="O467" i="61"/>
  <c r="G467" i="61"/>
  <c r="E467" i="61"/>
  <c r="F467" i="61"/>
  <c r="D467" i="61"/>
  <c r="O466" i="61"/>
  <c r="G466" i="61"/>
  <c r="E466" i="61"/>
  <c r="F466" i="61"/>
  <c r="D466" i="61"/>
  <c r="O465" i="61"/>
  <c r="G465" i="61"/>
  <c r="E465" i="61"/>
  <c r="F465" i="61"/>
  <c r="D465" i="61"/>
  <c r="O464" i="61"/>
  <c r="G464" i="61"/>
  <c r="E464" i="61"/>
  <c r="F464" i="61"/>
  <c r="D464" i="61"/>
  <c r="O463" i="61"/>
  <c r="G463" i="61"/>
  <c r="E463" i="61"/>
  <c r="F463" i="61"/>
  <c r="D463" i="61"/>
  <c r="O462" i="61"/>
  <c r="G462" i="61"/>
  <c r="E462" i="61"/>
  <c r="F462" i="61"/>
  <c r="D462" i="61"/>
  <c r="O461" i="61"/>
  <c r="G461" i="61"/>
  <c r="E461" i="61"/>
  <c r="F461" i="61"/>
  <c r="D461" i="61"/>
  <c r="O460" i="61"/>
  <c r="G460" i="61"/>
  <c r="E460" i="61"/>
  <c r="F460" i="61"/>
  <c r="D460" i="61"/>
  <c r="O459" i="61"/>
  <c r="G459" i="61"/>
  <c r="E459" i="61"/>
  <c r="F459" i="61"/>
  <c r="D459" i="61"/>
  <c r="O458" i="61"/>
  <c r="G458" i="61"/>
  <c r="E458" i="61"/>
  <c r="F458" i="61"/>
  <c r="D458" i="61"/>
  <c r="O457" i="61"/>
  <c r="G457" i="61"/>
  <c r="E457" i="61"/>
  <c r="F457" i="61"/>
  <c r="D457" i="61"/>
  <c r="O456" i="61"/>
  <c r="G456" i="61"/>
  <c r="E456" i="61"/>
  <c r="F456" i="61"/>
  <c r="D456" i="61"/>
  <c r="O455" i="61"/>
  <c r="G455" i="61"/>
  <c r="E455" i="61"/>
  <c r="F455" i="61"/>
  <c r="D455" i="61"/>
  <c r="O454" i="61"/>
  <c r="G454" i="61"/>
  <c r="E454" i="61"/>
  <c r="F454" i="61"/>
  <c r="D454" i="61"/>
  <c r="O453" i="61"/>
  <c r="G453" i="61"/>
  <c r="E453" i="61"/>
  <c r="F453" i="61"/>
  <c r="D453" i="61"/>
  <c r="O452" i="61"/>
  <c r="G452" i="61"/>
  <c r="E452" i="61"/>
  <c r="F452" i="61"/>
  <c r="D452" i="61"/>
  <c r="O451" i="61"/>
  <c r="G451" i="61"/>
  <c r="E451" i="61"/>
  <c r="F451" i="61"/>
  <c r="D451" i="61"/>
  <c r="O450" i="61"/>
  <c r="G450" i="61"/>
  <c r="E450" i="61"/>
  <c r="F450" i="61"/>
  <c r="D450" i="61"/>
  <c r="O449" i="61"/>
  <c r="G449" i="61"/>
  <c r="E449" i="61"/>
  <c r="F449" i="61"/>
  <c r="D449" i="61"/>
  <c r="O448" i="61"/>
  <c r="G448" i="61"/>
  <c r="E448" i="61"/>
  <c r="F448" i="61"/>
  <c r="D448" i="61"/>
  <c r="O447" i="61"/>
  <c r="G447" i="61"/>
  <c r="E447" i="61"/>
  <c r="F447" i="61"/>
  <c r="D447" i="61"/>
  <c r="O446" i="61"/>
  <c r="G446" i="61"/>
  <c r="E446" i="61"/>
  <c r="F446" i="61"/>
  <c r="D446" i="61"/>
  <c r="O445" i="61"/>
  <c r="G445" i="61"/>
  <c r="E445" i="61"/>
  <c r="F445" i="61"/>
  <c r="D445" i="61"/>
  <c r="O444" i="61"/>
  <c r="G444" i="61"/>
  <c r="E444" i="61"/>
  <c r="F444" i="61"/>
  <c r="D444" i="61"/>
  <c r="O443" i="61"/>
  <c r="G443" i="61"/>
  <c r="E443" i="61"/>
  <c r="F443" i="61"/>
  <c r="D443" i="61"/>
  <c r="O442" i="61"/>
  <c r="G442" i="61"/>
  <c r="E442" i="61"/>
  <c r="F442" i="61"/>
  <c r="D442" i="61"/>
  <c r="O441" i="61"/>
  <c r="G441" i="61"/>
  <c r="E441" i="61"/>
  <c r="F441" i="61"/>
  <c r="D441" i="61"/>
  <c r="O440" i="61"/>
  <c r="G440" i="61"/>
  <c r="E440" i="61"/>
  <c r="F440" i="61"/>
  <c r="D440" i="61"/>
  <c r="O439" i="61"/>
  <c r="G439" i="61"/>
  <c r="E439" i="61"/>
  <c r="F439" i="61"/>
  <c r="D439" i="61"/>
  <c r="O438" i="61"/>
  <c r="G438" i="61"/>
  <c r="E438" i="61"/>
  <c r="F438" i="61"/>
  <c r="D438" i="61"/>
  <c r="O437" i="61"/>
  <c r="G437" i="61"/>
  <c r="E437" i="61"/>
  <c r="F437" i="61"/>
  <c r="D437" i="61"/>
  <c r="O436" i="61"/>
  <c r="G436" i="61"/>
  <c r="E436" i="61"/>
  <c r="F436" i="61"/>
  <c r="D436" i="61"/>
  <c r="O435" i="61"/>
  <c r="G435" i="61"/>
  <c r="E435" i="61"/>
  <c r="F435" i="61"/>
  <c r="D435" i="61"/>
  <c r="O434" i="61"/>
  <c r="G434" i="61"/>
  <c r="E434" i="61"/>
  <c r="F434" i="61"/>
  <c r="D434" i="61"/>
  <c r="O433" i="61"/>
  <c r="G433" i="61"/>
  <c r="E433" i="61"/>
  <c r="F433" i="61"/>
  <c r="D433" i="61"/>
  <c r="O432" i="61"/>
  <c r="G432" i="61"/>
  <c r="E432" i="61"/>
  <c r="F432" i="61"/>
  <c r="D432" i="61"/>
  <c r="O431" i="61"/>
  <c r="G431" i="61"/>
  <c r="E431" i="61"/>
  <c r="F431" i="61"/>
  <c r="D431" i="61"/>
  <c r="O430" i="61"/>
  <c r="G430" i="61"/>
  <c r="E430" i="61"/>
  <c r="F430" i="61"/>
  <c r="D430" i="61"/>
  <c r="O429" i="61"/>
  <c r="G429" i="61"/>
  <c r="E429" i="61"/>
  <c r="F429" i="61"/>
  <c r="D429" i="61"/>
  <c r="O428" i="61"/>
  <c r="G428" i="61"/>
  <c r="E428" i="61"/>
  <c r="F428" i="61"/>
  <c r="D428" i="61"/>
  <c r="O427" i="61"/>
  <c r="G427" i="61"/>
  <c r="E427" i="61"/>
  <c r="F427" i="61"/>
  <c r="D427" i="61"/>
  <c r="O426" i="61"/>
  <c r="G426" i="61"/>
  <c r="E426" i="61"/>
  <c r="F426" i="61"/>
  <c r="D426" i="61"/>
  <c r="O425" i="61"/>
  <c r="G425" i="61"/>
  <c r="E425" i="61"/>
  <c r="F425" i="61"/>
  <c r="D425" i="61"/>
  <c r="O424" i="61"/>
  <c r="G424" i="61"/>
  <c r="E424" i="61"/>
  <c r="F424" i="61"/>
  <c r="D424" i="61"/>
  <c r="O423" i="61"/>
  <c r="G423" i="61"/>
  <c r="E423" i="61"/>
  <c r="F423" i="61"/>
  <c r="D423" i="61"/>
  <c r="O422" i="61"/>
  <c r="G422" i="61"/>
  <c r="E422" i="61"/>
  <c r="F422" i="61"/>
  <c r="D422" i="61"/>
  <c r="O421" i="61"/>
  <c r="G421" i="61"/>
  <c r="E421" i="61"/>
  <c r="F421" i="61"/>
  <c r="D421" i="61"/>
  <c r="O420" i="61"/>
  <c r="G420" i="61"/>
  <c r="E420" i="61"/>
  <c r="F420" i="61"/>
  <c r="D420" i="61"/>
  <c r="O419" i="61"/>
  <c r="G419" i="61"/>
  <c r="E419" i="61"/>
  <c r="F419" i="61"/>
  <c r="D419" i="61"/>
  <c r="O418" i="61"/>
  <c r="G418" i="61"/>
  <c r="E418" i="61"/>
  <c r="F418" i="61"/>
  <c r="D418" i="61"/>
  <c r="O417" i="61"/>
  <c r="G417" i="61"/>
  <c r="E417" i="61"/>
  <c r="F417" i="61"/>
  <c r="D417" i="61"/>
  <c r="O416" i="61"/>
  <c r="G416" i="61"/>
  <c r="E416" i="61"/>
  <c r="F416" i="61"/>
  <c r="D416" i="61"/>
  <c r="O415" i="61"/>
  <c r="G415" i="61"/>
  <c r="E415" i="61"/>
  <c r="F415" i="61"/>
  <c r="D415" i="61"/>
  <c r="O414" i="61"/>
  <c r="G414" i="61"/>
  <c r="E414" i="61"/>
  <c r="F414" i="61"/>
  <c r="D414" i="61"/>
  <c r="O413" i="61"/>
  <c r="G413" i="61"/>
  <c r="E413" i="61"/>
  <c r="F413" i="61"/>
  <c r="D413" i="61"/>
  <c r="O412" i="61"/>
  <c r="G412" i="61"/>
  <c r="E412" i="61"/>
  <c r="F412" i="61"/>
  <c r="D412" i="61"/>
  <c r="O411" i="61"/>
  <c r="G411" i="61"/>
  <c r="E411" i="61"/>
  <c r="F411" i="61"/>
  <c r="D411" i="61"/>
  <c r="O410" i="61"/>
  <c r="G410" i="61"/>
  <c r="E410" i="61"/>
  <c r="F410" i="61"/>
  <c r="D410" i="61"/>
  <c r="O409" i="61"/>
  <c r="G409" i="61"/>
  <c r="E409" i="61"/>
  <c r="F409" i="61"/>
  <c r="D409" i="61"/>
  <c r="O408" i="61"/>
  <c r="G408" i="61"/>
  <c r="E408" i="61"/>
  <c r="F408" i="61"/>
  <c r="D408" i="61"/>
  <c r="O407" i="61"/>
  <c r="G407" i="61"/>
  <c r="E407" i="61"/>
  <c r="F407" i="61"/>
  <c r="D407" i="61"/>
  <c r="O406" i="61"/>
  <c r="G406" i="61"/>
  <c r="E406" i="61"/>
  <c r="F406" i="61"/>
  <c r="D406" i="61"/>
  <c r="O405" i="61"/>
  <c r="G405" i="61"/>
  <c r="E405" i="61"/>
  <c r="F405" i="61"/>
  <c r="D405" i="61"/>
  <c r="O404" i="61"/>
  <c r="G404" i="61"/>
  <c r="E404" i="61"/>
  <c r="F404" i="61"/>
  <c r="D404" i="61"/>
  <c r="O403" i="61"/>
  <c r="G403" i="61"/>
  <c r="E403" i="61"/>
  <c r="F403" i="61"/>
  <c r="D403" i="61"/>
  <c r="O402" i="61"/>
  <c r="G402" i="61"/>
  <c r="E402" i="61"/>
  <c r="F402" i="61"/>
  <c r="D402" i="61"/>
  <c r="O401" i="61"/>
  <c r="G401" i="61"/>
  <c r="E401" i="61"/>
  <c r="F401" i="61"/>
  <c r="D401" i="61"/>
  <c r="O400" i="61"/>
  <c r="G400" i="61"/>
  <c r="E400" i="61"/>
  <c r="F400" i="61"/>
  <c r="D400" i="61"/>
  <c r="O399" i="61"/>
  <c r="G399" i="61"/>
  <c r="E399" i="61"/>
  <c r="F399" i="61"/>
  <c r="D399" i="61"/>
  <c r="O398" i="61"/>
  <c r="G398" i="61"/>
  <c r="E398" i="61"/>
  <c r="F398" i="61"/>
  <c r="D398" i="61"/>
  <c r="O397" i="61"/>
  <c r="G397" i="61"/>
  <c r="E397" i="61"/>
  <c r="F397" i="61"/>
  <c r="D397" i="61"/>
  <c r="O396" i="61"/>
  <c r="G396" i="61"/>
  <c r="E396" i="61"/>
  <c r="F396" i="61"/>
  <c r="D396" i="61"/>
  <c r="O395" i="61"/>
  <c r="G395" i="61"/>
  <c r="E395" i="61"/>
  <c r="F395" i="61"/>
  <c r="D395" i="61"/>
  <c r="O394" i="61"/>
  <c r="G394" i="61"/>
  <c r="E394" i="61"/>
  <c r="F394" i="61"/>
  <c r="D394" i="61"/>
  <c r="O393" i="61"/>
  <c r="G393" i="61"/>
  <c r="E393" i="61"/>
  <c r="F393" i="61"/>
  <c r="D393" i="61"/>
  <c r="O392" i="61"/>
  <c r="G392" i="61"/>
  <c r="E392" i="61"/>
  <c r="F392" i="61"/>
  <c r="D392" i="61"/>
  <c r="O391" i="61"/>
  <c r="G391" i="61"/>
  <c r="E391" i="61"/>
  <c r="F391" i="61"/>
  <c r="D391" i="61"/>
  <c r="O390" i="61"/>
  <c r="G390" i="61"/>
  <c r="E390" i="61"/>
  <c r="F390" i="61"/>
  <c r="D390" i="61"/>
  <c r="O389" i="61"/>
  <c r="G389" i="61"/>
  <c r="E389" i="61"/>
  <c r="F389" i="61"/>
  <c r="D389" i="61"/>
  <c r="O388" i="61"/>
  <c r="G388" i="61"/>
  <c r="E388" i="61"/>
  <c r="F388" i="61"/>
  <c r="D388" i="61"/>
  <c r="O387" i="61"/>
  <c r="G387" i="61"/>
  <c r="E387" i="61"/>
  <c r="F387" i="61"/>
  <c r="D387" i="61"/>
  <c r="O386" i="61"/>
  <c r="G386" i="61"/>
  <c r="E386" i="61"/>
  <c r="F386" i="61"/>
  <c r="D386" i="61"/>
  <c r="O385" i="61"/>
  <c r="G385" i="61"/>
  <c r="E385" i="61"/>
  <c r="F385" i="61"/>
  <c r="D385" i="61"/>
  <c r="O384" i="61"/>
  <c r="G384" i="61"/>
  <c r="E384" i="61"/>
  <c r="F384" i="61"/>
  <c r="D384" i="61"/>
  <c r="O383" i="61"/>
  <c r="G383" i="61"/>
  <c r="E383" i="61"/>
  <c r="F383" i="61"/>
  <c r="D383" i="61"/>
  <c r="O382" i="61"/>
  <c r="G382" i="61"/>
  <c r="E382" i="61"/>
  <c r="F382" i="61"/>
  <c r="D382" i="61"/>
  <c r="O381" i="61"/>
  <c r="G381" i="61"/>
  <c r="E381" i="61"/>
  <c r="F381" i="61"/>
  <c r="D381" i="61"/>
  <c r="O380" i="61"/>
  <c r="G380" i="61"/>
  <c r="E380" i="61"/>
  <c r="F380" i="61"/>
  <c r="D380" i="61"/>
  <c r="O379" i="61"/>
  <c r="G379" i="61"/>
  <c r="E379" i="61"/>
  <c r="F379" i="61"/>
  <c r="D379" i="61"/>
  <c r="O378" i="61"/>
  <c r="G378" i="61"/>
  <c r="E378" i="61"/>
  <c r="F378" i="61"/>
  <c r="D378" i="61"/>
  <c r="O377" i="61"/>
  <c r="G377" i="61"/>
  <c r="E377" i="61"/>
  <c r="F377" i="61"/>
  <c r="D377" i="61"/>
  <c r="O376" i="61"/>
  <c r="G376" i="61"/>
  <c r="E376" i="61"/>
  <c r="F376" i="61"/>
  <c r="D376" i="61"/>
  <c r="O375" i="61"/>
  <c r="G375" i="61"/>
  <c r="E375" i="61"/>
  <c r="F375" i="61"/>
  <c r="D375" i="61"/>
  <c r="O374" i="61"/>
  <c r="G374" i="61"/>
  <c r="E374" i="61"/>
  <c r="F374" i="61"/>
  <c r="D374" i="61"/>
  <c r="O373" i="61"/>
  <c r="G373" i="61"/>
  <c r="E373" i="61"/>
  <c r="F373" i="61"/>
  <c r="D373" i="61"/>
  <c r="O372" i="61"/>
  <c r="G372" i="61"/>
  <c r="E372" i="61"/>
  <c r="F372" i="61"/>
  <c r="D372" i="61"/>
  <c r="O371" i="61"/>
  <c r="G371" i="61"/>
  <c r="E371" i="61"/>
  <c r="F371" i="61"/>
  <c r="D371" i="61"/>
  <c r="O370" i="61"/>
  <c r="G370" i="61"/>
  <c r="E370" i="61"/>
  <c r="F370" i="61"/>
  <c r="D370" i="61"/>
  <c r="O369" i="61"/>
  <c r="G369" i="61"/>
  <c r="E369" i="61"/>
  <c r="F369" i="61"/>
  <c r="D369" i="61"/>
  <c r="O368" i="61"/>
  <c r="G368" i="61"/>
  <c r="E368" i="61"/>
  <c r="F368" i="61"/>
  <c r="D368" i="61"/>
  <c r="O367" i="61"/>
  <c r="G367" i="61"/>
  <c r="E367" i="61"/>
  <c r="F367" i="61"/>
  <c r="D367" i="61"/>
  <c r="O366" i="61"/>
  <c r="G366" i="61"/>
  <c r="E366" i="61"/>
  <c r="F366" i="61"/>
  <c r="D366" i="61"/>
  <c r="O365" i="61"/>
  <c r="G365" i="61"/>
  <c r="E365" i="61"/>
  <c r="F365" i="61"/>
  <c r="D365" i="61"/>
  <c r="O364" i="61"/>
  <c r="G364" i="61"/>
  <c r="E364" i="61"/>
  <c r="F364" i="61"/>
  <c r="D364" i="61"/>
  <c r="O363" i="61"/>
  <c r="G363" i="61"/>
  <c r="E363" i="61"/>
  <c r="F363" i="61"/>
  <c r="D363" i="61"/>
  <c r="O362" i="61"/>
  <c r="G362" i="61"/>
  <c r="E362" i="61"/>
  <c r="F362" i="61"/>
  <c r="D362" i="61"/>
  <c r="O361" i="61"/>
  <c r="G361" i="61"/>
  <c r="E361" i="61"/>
  <c r="F361" i="61"/>
  <c r="D361" i="61"/>
  <c r="O360" i="61"/>
  <c r="G360" i="61"/>
  <c r="E360" i="61"/>
  <c r="F360" i="61"/>
  <c r="D360" i="61"/>
  <c r="O359" i="61"/>
  <c r="G359" i="61"/>
  <c r="E359" i="61"/>
  <c r="F359" i="61"/>
  <c r="D359" i="61"/>
  <c r="O358" i="61"/>
  <c r="G358" i="61"/>
  <c r="E358" i="61"/>
  <c r="F358" i="61"/>
  <c r="D358" i="61"/>
  <c r="O357" i="61"/>
  <c r="G357" i="61"/>
  <c r="E357" i="61"/>
  <c r="F357" i="61"/>
  <c r="D357" i="61"/>
  <c r="O356" i="61"/>
  <c r="G356" i="61"/>
  <c r="E356" i="61"/>
  <c r="F356" i="61"/>
  <c r="D356" i="61"/>
  <c r="O355" i="61"/>
  <c r="G355" i="61"/>
  <c r="E355" i="61"/>
  <c r="F355" i="61"/>
  <c r="D355" i="61"/>
  <c r="O354" i="61"/>
  <c r="G354" i="61"/>
  <c r="E354" i="61"/>
  <c r="F354" i="61"/>
  <c r="D354" i="61"/>
  <c r="O353" i="61"/>
  <c r="G353" i="61"/>
  <c r="E353" i="61"/>
  <c r="F353" i="61"/>
  <c r="D353" i="61"/>
  <c r="O352" i="61"/>
  <c r="G352" i="61"/>
  <c r="E352" i="61"/>
  <c r="F352" i="61"/>
  <c r="D352" i="61"/>
  <c r="O351" i="61"/>
  <c r="G351" i="61"/>
  <c r="E351" i="61"/>
  <c r="F351" i="61"/>
  <c r="D351" i="61"/>
  <c r="O350" i="61"/>
  <c r="G350" i="61"/>
  <c r="E350" i="61"/>
  <c r="F350" i="61"/>
  <c r="D350" i="61"/>
  <c r="O349" i="61"/>
  <c r="G349" i="61"/>
  <c r="E349" i="61"/>
  <c r="F349" i="61"/>
  <c r="D349" i="61"/>
  <c r="O348" i="61"/>
  <c r="G348" i="61"/>
  <c r="E348" i="61"/>
  <c r="F348" i="61"/>
  <c r="D348" i="61"/>
  <c r="O347" i="61"/>
  <c r="G347" i="61"/>
  <c r="E347" i="61"/>
  <c r="F347" i="61"/>
  <c r="D347" i="61"/>
  <c r="O346" i="61"/>
  <c r="G346" i="61"/>
  <c r="E346" i="61"/>
  <c r="F346" i="61"/>
  <c r="D346" i="61"/>
  <c r="O345" i="61"/>
  <c r="G345" i="61"/>
  <c r="E345" i="61"/>
  <c r="F345" i="61"/>
  <c r="D345" i="61"/>
  <c r="O344" i="61"/>
  <c r="G344" i="61"/>
  <c r="E344" i="61"/>
  <c r="F344" i="61"/>
  <c r="D344" i="61"/>
  <c r="O343" i="61"/>
  <c r="G343" i="61"/>
  <c r="E343" i="61"/>
  <c r="F343" i="61"/>
  <c r="D343" i="61"/>
  <c r="O342" i="61"/>
  <c r="G342" i="61"/>
  <c r="E342" i="61"/>
  <c r="F342" i="61"/>
  <c r="D342" i="61"/>
  <c r="O341" i="61"/>
  <c r="G341" i="61"/>
  <c r="E341" i="61"/>
  <c r="F341" i="61"/>
  <c r="D341" i="61"/>
  <c r="O340" i="61"/>
  <c r="G340" i="61"/>
  <c r="E340" i="61"/>
  <c r="F340" i="61"/>
  <c r="D340" i="61"/>
  <c r="O339" i="61"/>
  <c r="G339" i="61"/>
  <c r="E339" i="61"/>
  <c r="F339" i="61"/>
  <c r="D339" i="61"/>
  <c r="O338" i="61"/>
  <c r="G338" i="61"/>
  <c r="E338" i="61"/>
  <c r="F338" i="61"/>
  <c r="D338" i="61"/>
  <c r="O337" i="61"/>
  <c r="G337" i="61"/>
  <c r="E337" i="61"/>
  <c r="F337" i="61"/>
  <c r="D337" i="61"/>
  <c r="O336" i="61"/>
  <c r="G336" i="61"/>
  <c r="E336" i="61"/>
  <c r="F336" i="61"/>
  <c r="D336" i="61"/>
  <c r="O335" i="61"/>
  <c r="G335" i="61"/>
  <c r="E335" i="61"/>
  <c r="F335" i="61"/>
  <c r="D335" i="61"/>
  <c r="O334" i="61"/>
  <c r="G334" i="61"/>
  <c r="E334" i="61"/>
  <c r="F334" i="61"/>
  <c r="D334" i="61"/>
  <c r="O333" i="61"/>
  <c r="G333" i="61"/>
  <c r="E333" i="61"/>
  <c r="F333" i="61"/>
  <c r="D333" i="61"/>
  <c r="O332" i="61"/>
  <c r="G332" i="61"/>
  <c r="E332" i="61"/>
  <c r="F332" i="61"/>
  <c r="D332" i="61"/>
  <c r="O331" i="61"/>
  <c r="G331" i="61"/>
  <c r="E331" i="61"/>
  <c r="F331" i="61"/>
  <c r="D331" i="61"/>
  <c r="O330" i="61"/>
  <c r="G330" i="61"/>
  <c r="E330" i="61"/>
  <c r="F330" i="61"/>
  <c r="D330" i="61"/>
  <c r="O329" i="61"/>
  <c r="G329" i="61"/>
  <c r="E329" i="61"/>
  <c r="F329" i="61"/>
  <c r="D329" i="61"/>
  <c r="O328" i="61"/>
  <c r="G328" i="61"/>
  <c r="E328" i="61"/>
  <c r="F328" i="61"/>
  <c r="D328" i="61"/>
  <c r="O327" i="61"/>
  <c r="G327" i="61"/>
  <c r="E327" i="61"/>
  <c r="F327" i="61"/>
  <c r="D327" i="61"/>
  <c r="O326" i="61"/>
  <c r="G326" i="61"/>
  <c r="E326" i="61"/>
  <c r="F326" i="61"/>
  <c r="D326" i="61"/>
  <c r="O325" i="61"/>
  <c r="G325" i="61"/>
  <c r="E325" i="61"/>
  <c r="F325" i="61"/>
  <c r="D325" i="61"/>
  <c r="O324" i="61"/>
  <c r="G324" i="61"/>
  <c r="E324" i="61"/>
  <c r="F324" i="61"/>
  <c r="D324" i="61"/>
  <c r="O323" i="61"/>
  <c r="G323" i="61"/>
  <c r="E323" i="61"/>
  <c r="F323" i="61"/>
  <c r="D323" i="61"/>
  <c r="O322" i="61"/>
  <c r="G322" i="61"/>
  <c r="E322" i="61"/>
  <c r="F322" i="61"/>
  <c r="D322" i="61"/>
  <c r="O321" i="61"/>
  <c r="G321" i="61"/>
  <c r="E321" i="61"/>
  <c r="F321" i="61"/>
  <c r="D321" i="61"/>
  <c r="O320" i="61"/>
  <c r="G320" i="61"/>
  <c r="E320" i="61"/>
  <c r="F320" i="61"/>
  <c r="D320" i="61"/>
  <c r="O319" i="61"/>
  <c r="G319" i="61"/>
  <c r="E319" i="61"/>
  <c r="F319" i="61"/>
  <c r="D319" i="61"/>
  <c r="O318" i="61"/>
  <c r="G318" i="61"/>
  <c r="E318" i="61"/>
  <c r="F318" i="61"/>
  <c r="D318" i="61"/>
  <c r="O317" i="61"/>
  <c r="G317" i="61"/>
  <c r="E317" i="61"/>
  <c r="F317" i="61"/>
  <c r="D317" i="61"/>
  <c r="O316" i="61"/>
  <c r="G316" i="61"/>
  <c r="E316" i="61"/>
  <c r="F316" i="61"/>
  <c r="D316" i="61"/>
  <c r="O315" i="61"/>
  <c r="G315" i="61"/>
  <c r="E315" i="61"/>
  <c r="F315" i="61"/>
  <c r="D315" i="61"/>
  <c r="O314" i="61"/>
  <c r="G314" i="61"/>
  <c r="E314" i="61"/>
  <c r="F314" i="61"/>
  <c r="D314" i="61"/>
  <c r="O313" i="61"/>
  <c r="G313" i="61"/>
  <c r="E313" i="61"/>
  <c r="F313" i="61"/>
  <c r="D313" i="61"/>
  <c r="O312" i="61"/>
  <c r="G312" i="61"/>
  <c r="E312" i="61"/>
  <c r="F312" i="61"/>
  <c r="D312" i="61"/>
  <c r="O311" i="61"/>
  <c r="G311" i="61"/>
  <c r="E311" i="61"/>
  <c r="F311" i="61"/>
  <c r="D311" i="61"/>
  <c r="O310" i="61"/>
  <c r="G310" i="61"/>
  <c r="E310" i="61"/>
  <c r="F310" i="61"/>
  <c r="D310" i="61"/>
  <c r="O309" i="61"/>
  <c r="G309" i="61"/>
  <c r="E309" i="61"/>
  <c r="F309" i="61"/>
  <c r="D309" i="61"/>
  <c r="O308" i="61"/>
  <c r="G308" i="61"/>
  <c r="E308" i="61"/>
  <c r="F308" i="61"/>
  <c r="D308" i="61"/>
  <c r="O307" i="61"/>
  <c r="G307" i="61"/>
  <c r="E307" i="61"/>
  <c r="F307" i="61"/>
  <c r="D307" i="61"/>
  <c r="O306" i="61"/>
  <c r="G306" i="61"/>
  <c r="E306" i="61"/>
  <c r="F306" i="61"/>
  <c r="D306" i="61"/>
  <c r="O305" i="61"/>
  <c r="G305" i="61"/>
  <c r="E305" i="61"/>
  <c r="F305" i="61"/>
  <c r="D305" i="61"/>
  <c r="O304" i="61"/>
  <c r="G304" i="61"/>
  <c r="E304" i="61"/>
  <c r="F304" i="61"/>
  <c r="D304" i="61"/>
  <c r="O303" i="61"/>
  <c r="G303" i="61"/>
  <c r="E303" i="61"/>
  <c r="F303" i="61"/>
  <c r="D303" i="61"/>
  <c r="O302" i="61"/>
  <c r="G302" i="61"/>
  <c r="E302" i="61"/>
  <c r="F302" i="61"/>
  <c r="D302" i="61"/>
  <c r="O301" i="61"/>
  <c r="G301" i="61"/>
  <c r="E301" i="61"/>
  <c r="F301" i="61"/>
  <c r="D301" i="61"/>
  <c r="O300" i="61"/>
  <c r="G300" i="61"/>
  <c r="E300" i="61"/>
  <c r="F300" i="61"/>
  <c r="D300" i="61"/>
  <c r="O299" i="61"/>
  <c r="G299" i="61"/>
  <c r="E299" i="61"/>
  <c r="F299" i="61"/>
  <c r="D299" i="61"/>
  <c r="O298" i="61"/>
  <c r="G298" i="61"/>
  <c r="E298" i="61"/>
  <c r="F298" i="61"/>
  <c r="D298" i="61"/>
  <c r="O297" i="61"/>
  <c r="G297" i="61"/>
  <c r="E297" i="61"/>
  <c r="F297" i="61"/>
  <c r="D297" i="61"/>
  <c r="O296" i="61"/>
  <c r="G296" i="61"/>
  <c r="E296" i="61"/>
  <c r="F296" i="61"/>
  <c r="D296" i="61"/>
  <c r="O295" i="61"/>
  <c r="G295" i="61"/>
  <c r="E295" i="61"/>
  <c r="F295" i="61"/>
  <c r="D295" i="61"/>
  <c r="O294" i="61"/>
  <c r="G294" i="61"/>
  <c r="E294" i="61"/>
  <c r="F294" i="61"/>
  <c r="D294" i="61"/>
  <c r="O293" i="61"/>
  <c r="G293" i="61"/>
  <c r="E293" i="61"/>
  <c r="F293" i="61"/>
  <c r="D293" i="61"/>
  <c r="O292" i="61"/>
  <c r="G292" i="61"/>
  <c r="E292" i="61"/>
  <c r="F292" i="61"/>
  <c r="D292" i="61"/>
  <c r="O291" i="61"/>
  <c r="G291" i="61"/>
  <c r="E291" i="61"/>
  <c r="F291" i="61"/>
  <c r="D291" i="61"/>
  <c r="O290" i="61"/>
  <c r="G290" i="61"/>
  <c r="E290" i="61"/>
  <c r="F290" i="61"/>
  <c r="D290" i="61"/>
  <c r="O289" i="61"/>
  <c r="G289" i="61"/>
  <c r="E289" i="61"/>
  <c r="F289" i="61"/>
  <c r="D289" i="61"/>
  <c r="O288" i="61"/>
  <c r="G288" i="61"/>
  <c r="E288" i="61"/>
  <c r="F288" i="61"/>
  <c r="D288" i="61"/>
  <c r="O287" i="61"/>
  <c r="G287" i="61"/>
  <c r="E287" i="61"/>
  <c r="F287" i="61"/>
  <c r="D287" i="61"/>
  <c r="O286" i="61"/>
  <c r="G286" i="61"/>
  <c r="E286" i="61"/>
  <c r="F286" i="61"/>
  <c r="D286" i="61"/>
  <c r="O285" i="61"/>
  <c r="G285" i="61"/>
  <c r="E285" i="61"/>
  <c r="F285" i="61"/>
  <c r="D285" i="61"/>
  <c r="O284" i="61"/>
  <c r="G284" i="61"/>
  <c r="E284" i="61"/>
  <c r="F284" i="61"/>
  <c r="D284" i="61"/>
  <c r="O283" i="61"/>
  <c r="G283" i="61"/>
  <c r="E283" i="61"/>
  <c r="F283" i="61"/>
  <c r="D283" i="61"/>
  <c r="O282" i="61"/>
  <c r="G282" i="61"/>
  <c r="E282" i="61"/>
  <c r="F282" i="61"/>
  <c r="D282" i="61"/>
  <c r="O281" i="61"/>
  <c r="G281" i="61"/>
  <c r="E281" i="61"/>
  <c r="F281" i="61"/>
  <c r="D281" i="61"/>
  <c r="O280" i="61"/>
  <c r="G280" i="61"/>
  <c r="E280" i="61"/>
  <c r="F280" i="61"/>
  <c r="D280" i="61"/>
  <c r="O279" i="61"/>
  <c r="G279" i="61"/>
  <c r="E279" i="61"/>
  <c r="F279" i="61"/>
  <c r="D279" i="61"/>
  <c r="O278" i="61"/>
  <c r="G278" i="61"/>
  <c r="E278" i="61"/>
  <c r="F278" i="61"/>
  <c r="D278" i="61"/>
  <c r="O277" i="61"/>
  <c r="G277" i="61"/>
  <c r="E277" i="61"/>
  <c r="F277" i="61"/>
  <c r="D277" i="61"/>
  <c r="O276" i="61"/>
  <c r="G276" i="61"/>
  <c r="E276" i="61"/>
  <c r="F276" i="61"/>
  <c r="D276" i="61"/>
  <c r="O275" i="61"/>
  <c r="G275" i="61"/>
  <c r="E275" i="61"/>
  <c r="F275" i="61"/>
  <c r="D275" i="61"/>
  <c r="O274" i="61"/>
  <c r="G274" i="61"/>
  <c r="E274" i="61"/>
  <c r="F274" i="61"/>
  <c r="D274" i="61"/>
  <c r="O273" i="61"/>
  <c r="G273" i="61"/>
  <c r="E273" i="61"/>
  <c r="F273" i="61"/>
  <c r="D273" i="61"/>
  <c r="O272" i="61"/>
  <c r="G272" i="61"/>
  <c r="E272" i="61"/>
  <c r="F272" i="61"/>
  <c r="D272" i="61"/>
  <c r="O271" i="61"/>
  <c r="G271" i="61"/>
  <c r="E271" i="61"/>
  <c r="F271" i="61"/>
  <c r="D271" i="61"/>
  <c r="O270" i="61"/>
  <c r="G270" i="61"/>
  <c r="E270" i="61"/>
  <c r="F270" i="61"/>
  <c r="D270" i="61"/>
  <c r="O269" i="61"/>
  <c r="G269" i="61"/>
  <c r="E269" i="61"/>
  <c r="F269" i="61"/>
  <c r="D269" i="61"/>
  <c r="O268" i="61"/>
  <c r="G268" i="61"/>
  <c r="E268" i="61"/>
  <c r="F268" i="61"/>
  <c r="D268" i="61"/>
  <c r="O267" i="61"/>
  <c r="G267" i="61"/>
  <c r="E267" i="61"/>
  <c r="F267" i="61"/>
  <c r="D267" i="61"/>
  <c r="O266" i="61"/>
  <c r="G266" i="61"/>
  <c r="E266" i="61"/>
  <c r="F266" i="61"/>
  <c r="D266" i="61"/>
  <c r="O265" i="61"/>
  <c r="G265" i="61"/>
  <c r="E265" i="61"/>
  <c r="F265" i="61"/>
  <c r="D265" i="61"/>
  <c r="O264" i="61"/>
  <c r="G264" i="61"/>
  <c r="E264" i="61"/>
  <c r="F264" i="61"/>
  <c r="D264" i="61"/>
  <c r="O263" i="61"/>
  <c r="G263" i="61"/>
  <c r="E263" i="61"/>
  <c r="F263" i="61"/>
  <c r="D263" i="61"/>
  <c r="O262" i="61"/>
  <c r="G262" i="61"/>
  <c r="E262" i="61"/>
  <c r="F262" i="61"/>
  <c r="D262" i="61"/>
  <c r="O261" i="61"/>
  <c r="G261" i="61"/>
  <c r="E261" i="61"/>
  <c r="F261" i="61"/>
  <c r="D261" i="61"/>
  <c r="O260" i="61"/>
  <c r="G260" i="61"/>
  <c r="E260" i="61"/>
  <c r="F260" i="61"/>
  <c r="D260" i="61"/>
  <c r="O259" i="61"/>
  <c r="G259" i="61"/>
  <c r="E259" i="61"/>
  <c r="F259" i="61"/>
  <c r="D259" i="61"/>
  <c r="O258" i="61"/>
  <c r="G258" i="61"/>
  <c r="E258" i="61"/>
  <c r="F258" i="61"/>
  <c r="D258" i="61"/>
  <c r="O257" i="61"/>
  <c r="G257" i="61"/>
  <c r="E257" i="61"/>
  <c r="F257" i="61"/>
  <c r="D257" i="61"/>
  <c r="O256" i="61"/>
  <c r="G256" i="61"/>
  <c r="E256" i="61"/>
  <c r="F256" i="61"/>
  <c r="D256" i="61"/>
  <c r="O255" i="61"/>
  <c r="G255" i="61"/>
  <c r="E255" i="61"/>
  <c r="F255" i="61"/>
  <c r="D255" i="61"/>
  <c r="O254" i="61"/>
  <c r="G254" i="61"/>
  <c r="E254" i="61"/>
  <c r="F254" i="61"/>
  <c r="D254" i="61"/>
  <c r="O253" i="61"/>
  <c r="G253" i="61"/>
  <c r="E253" i="61"/>
  <c r="F253" i="61"/>
  <c r="D253" i="61"/>
  <c r="O252" i="61"/>
  <c r="G252" i="61"/>
  <c r="E252" i="61"/>
  <c r="F252" i="61"/>
  <c r="D252" i="61"/>
  <c r="O251" i="61"/>
  <c r="G251" i="61"/>
  <c r="E251" i="61"/>
  <c r="F251" i="61"/>
  <c r="D251" i="61"/>
  <c r="O250" i="61"/>
  <c r="G250" i="61"/>
  <c r="E250" i="61"/>
  <c r="F250" i="61"/>
  <c r="D250" i="61"/>
  <c r="O249" i="61"/>
  <c r="G249" i="61"/>
  <c r="E249" i="61"/>
  <c r="F249" i="61"/>
  <c r="D249" i="61"/>
  <c r="O248" i="61"/>
  <c r="G248" i="61"/>
  <c r="E248" i="61"/>
  <c r="F248" i="61"/>
  <c r="D248" i="61"/>
  <c r="O247" i="61"/>
  <c r="G247" i="61"/>
  <c r="E247" i="61"/>
  <c r="F247" i="61"/>
  <c r="D247" i="61"/>
  <c r="O246" i="61"/>
  <c r="G246" i="61"/>
  <c r="E246" i="61"/>
  <c r="F246" i="61"/>
  <c r="D246" i="61"/>
  <c r="O245" i="61"/>
  <c r="G245" i="61"/>
  <c r="E245" i="61"/>
  <c r="F245" i="61"/>
  <c r="D245" i="61"/>
  <c r="O244" i="61"/>
  <c r="G244" i="61"/>
  <c r="E244" i="61"/>
  <c r="F244" i="61"/>
  <c r="D244" i="61"/>
  <c r="O243" i="61"/>
  <c r="G243" i="61"/>
  <c r="E243" i="61"/>
  <c r="F243" i="61"/>
  <c r="D243" i="61"/>
  <c r="O242" i="61"/>
  <c r="G242" i="61"/>
  <c r="E242" i="61"/>
  <c r="F242" i="61"/>
  <c r="D242" i="61"/>
  <c r="O241" i="61"/>
  <c r="G241" i="61"/>
  <c r="E241" i="61"/>
  <c r="F241" i="61"/>
  <c r="D241" i="61"/>
  <c r="O240" i="61"/>
  <c r="G240" i="61"/>
  <c r="E240" i="61"/>
  <c r="F240" i="61"/>
  <c r="D240" i="61"/>
  <c r="O239" i="61"/>
  <c r="G239" i="61"/>
  <c r="E239" i="61"/>
  <c r="F239" i="61"/>
  <c r="D239" i="61"/>
  <c r="O238" i="61"/>
  <c r="G238" i="61"/>
  <c r="E238" i="61"/>
  <c r="F238" i="61"/>
  <c r="D238" i="61"/>
  <c r="O237" i="61"/>
  <c r="G237" i="61"/>
  <c r="E237" i="61"/>
  <c r="F237" i="61"/>
  <c r="D237" i="61"/>
  <c r="O236" i="61"/>
  <c r="G236" i="61"/>
  <c r="E236" i="61"/>
  <c r="F236" i="61"/>
  <c r="D236" i="61"/>
  <c r="O235" i="61"/>
  <c r="G235" i="61"/>
  <c r="E235" i="61"/>
  <c r="F235" i="61"/>
  <c r="D235" i="61"/>
  <c r="O234" i="61"/>
  <c r="G234" i="61"/>
  <c r="E234" i="61"/>
  <c r="F234" i="61"/>
  <c r="D234" i="61"/>
  <c r="O233" i="61"/>
  <c r="G233" i="61"/>
  <c r="E233" i="61"/>
  <c r="F233" i="61"/>
  <c r="D233" i="61"/>
  <c r="O232" i="61"/>
  <c r="G232" i="61"/>
  <c r="E232" i="61"/>
  <c r="F232" i="61"/>
  <c r="D232" i="61"/>
  <c r="O231" i="61"/>
  <c r="G231" i="61"/>
  <c r="E231" i="61"/>
  <c r="F231" i="61"/>
  <c r="D231" i="61"/>
  <c r="O230" i="61"/>
  <c r="G230" i="61"/>
  <c r="E230" i="61"/>
  <c r="F230" i="61"/>
  <c r="D230" i="61"/>
  <c r="O229" i="61"/>
  <c r="G229" i="61"/>
  <c r="E229" i="61"/>
  <c r="F229" i="61"/>
  <c r="D229" i="61"/>
  <c r="O228" i="61"/>
  <c r="G228" i="61"/>
  <c r="E228" i="61"/>
  <c r="F228" i="61"/>
  <c r="D228" i="61"/>
  <c r="O227" i="61"/>
  <c r="G227" i="61"/>
  <c r="E227" i="61"/>
  <c r="F227" i="61"/>
  <c r="D227" i="61"/>
  <c r="O226" i="61"/>
  <c r="G226" i="61"/>
  <c r="E226" i="61"/>
  <c r="F226" i="61"/>
  <c r="D226" i="61"/>
  <c r="O225" i="61"/>
  <c r="G225" i="61"/>
  <c r="E225" i="61"/>
  <c r="F225" i="61"/>
  <c r="D225" i="61"/>
  <c r="O224" i="61"/>
  <c r="G224" i="61"/>
  <c r="E224" i="61"/>
  <c r="F224" i="61"/>
  <c r="D224" i="61"/>
  <c r="O223" i="61"/>
  <c r="G223" i="61"/>
  <c r="E223" i="61"/>
  <c r="F223" i="61"/>
  <c r="D223" i="61"/>
  <c r="O222" i="61"/>
  <c r="G222" i="61"/>
  <c r="E222" i="61"/>
  <c r="F222" i="61"/>
  <c r="D222" i="61"/>
  <c r="O221" i="61"/>
  <c r="G221" i="61"/>
  <c r="E221" i="61"/>
  <c r="F221" i="61"/>
  <c r="D221" i="61"/>
  <c r="O220" i="61"/>
  <c r="G220" i="61"/>
  <c r="E220" i="61"/>
  <c r="F220" i="61"/>
  <c r="D220" i="61"/>
  <c r="O219" i="61"/>
  <c r="G219" i="61"/>
  <c r="E219" i="61"/>
  <c r="F219" i="61"/>
  <c r="D219" i="61"/>
  <c r="O218" i="61"/>
  <c r="G218" i="61"/>
  <c r="E218" i="61"/>
  <c r="F218" i="61"/>
  <c r="D218" i="61"/>
  <c r="O217" i="61"/>
  <c r="G217" i="61"/>
  <c r="E217" i="61"/>
  <c r="F217" i="61"/>
  <c r="D217" i="61"/>
  <c r="O216" i="61"/>
  <c r="G216" i="61"/>
  <c r="E216" i="61"/>
  <c r="F216" i="61"/>
  <c r="D216" i="61"/>
  <c r="O215" i="61"/>
  <c r="G215" i="61"/>
  <c r="E215" i="61"/>
  <c r="F215" i="61"/>
  <c r="D215" i="61"/>
  <c r="O214" i="61"/>
  <c r="G214" i="61"/>
  <c r="E214" i="61"/>
  <c r="F214" i="61"/>
  <c r="D214" i="61"/>
  <c r="O213" i="61"/>
  <c r="G213" i="61"/>
  <c r="E213" i="61"/>
  <c r="F213" i="61"/>
  <c r="D213" i="61"/>
  <c r="O212" i="61"/>
  <c r="G212" i="61"/>
  <c r="E212" i="61"/>
  <c r="F212" i="61"/>
  <c r="D212" i="61"/>
  <c r="O211" i="61"/>
  <c r="G211" i="61"/>
  <c r="E211" i="61"/>
  <c r="F211" i="61"/>
  <c r="D211" i="61"/>
  <c r="O210" i="61"/>
  <c r="G210" i="61"/>
  <c r="E210" i="61"/>
  <c r="F210" i="61"/>
  <c r="D210" i="61"/>
  <c r="O209" i="61"/>
  <c r="G209" i="61"/>
  <c r="E209" i="61"/>
  <c r="F209" i="61"/>
  <c r="D209" i="61"/>
  <c r="O208" i="61"/>
  <c r="G208" i="61"/>
  <c r="E208" i="61"/>
  <c r="F208" i="61"/>
  <c r="D208" i="61"/>
  <c r="O207" i="61"/>
  <c r="G207" i="61"/>
  <c r="E207" i="61"/>
  <c r="F207" i="61"/>
  <c r="D207" i="61"/>
  <c r="O206" i="61"/>
  <c r="G206" i="61"/>
  <c r="E206" i="61"/>
  <c r="F206" i="61"/>
  <c r="D206" i="61"/>
  <c r="O205" i="61"/>
  <c r="G205" i="61"/>
  <c r="E205" i="61"/>
  <c r="F205" i="61"/>
  <c r="D205" i="61"/>
  <c r="O204" i="61"/>
  <c r="G204" i="61"/>
  <c r="E204" i="61"/>
  <c r="F204" i="61"/>
  <c r="D204" i="61"/>
  <c r="O203" i="61"/>
  <c r="G203" i="61"/>
  <c r="E203" i="61"/>
  <c r="F203" i="61"/>
  <c r="D203" i="61"/>
  <c r="O202" i="61"/>
  <c r="G202" i="61"/>
  <c r="E202" i="61"/>
  <c r="F202" i="61"/>
  <c r="D202" i="61"/>
  <c r="O201" i="61"/>
  <c r="G201" i="61"/>
  <c r="E201" i="61"/>
  <c r="F201" i="61"/>
  <c r="D201" i="61"/>
  <c r="O200" i="61"/>
  <c r="G200" i="61"/>
  <c r="E200" i="61"/>
  <c r="F200" i="61"/>
  <c r="D200" i="61"/>
  <c r="O199" i="61"/>
  <c r="G199" i="61"/>
  <c r="E199" i="61"/>
  <c r="F199" i="61"/>
  <c r="D199" i="61"/>
  <c r="O198" i="61"/>
  <c r="G198" i="61"/>
  <c r="E198" i="61"/>
  <c r="F198" i="61"/>
  <c r="D198" i="61"/>
  <c r="O197" i="61"/>
  <c r="G197" i="61"/>
  <c r="E197" i="61"/>
  <c r="F197" i="61"/>
  <c r="D197" i="61"/>
  <c r="O196" i="61"/>
  <c r="G196" i="61"/>
  <c r="E196" i="61"/>
  <c r="F196" i="61"/>
  <c r="D196" i="61"/>
  <c r="O195" i="61"/>
  <c r="G195" i="61"/>
  <c r="E195" i="61"/>
  <c r="F195" i="61"/>
  <c r="D195" i="61"/>
  <c r="O194" i="61"/>
  <c r="G194" i="61"/>
  <c r="E194" i="61"/>
  <c r="F194" i="61"/>
  <c r="D194" i="61"/>
  <c r="O193" i="61"/>
  <c r="G193" i="61"/>
  <c r="E193" i="61"/>
  <c r="F193" i="61"/>
  <c r="D193" i="61"/>
  <c r="O192" i="61"/>
  <c r="G192" i="61"/>
  <c r="E192" i="61"/>
  <c r="F192" i="61"/>
  <c r="D192" i="61"/>
  <c r="O191" i="61"/>
  <c r="G191" i="61"/>
  <c r="E191" i="61"/>
  <c r="F191" i="61"/>
  <c r="D191" i="61"/>
  <c r="O190" i="61"/>
  <c r="G190" i="61"/>
  <c r="E190" i="61"/>
  <c r="F190" i="61"/>
  <c r="D190" i="61"/>
  <c r="O189" i="61"/>
  <c r="G189" i="61"/>
  <c r="E189" i="61"/>
  <c r="F189" i="61"/>
  <c r="D189" i="61"/>
  <c r="O188" i="61"/>
  <c r="G188" i="61"/>
  <c r="E188" i="61"/>
  <c r="F188" i="61"/>
  <c r="D188" i="61"/>
  <c r="O187" i="61"/>
  <c r="G187" i="61"/>
  <c r="E187" i="61"/>
  <c r="F187" i="61"/>
  <c r="D187" i="61"/>
  <c r="O186" i="61"/>
  <c r="G186" i="61"/>
  <c r="E186" i="61"/>
  <c r="F186" i="61"/>
  <c r="D186" i="61"/>
  <c r="O185" i="61"/>
  <c r="G185" i="61"/>
  <c r="E185" i="61"/>
  <c r="F185" i="61"/>
  <c r="D185" i="61"/>
  <c r="O184" i="61"/>
  <c r="G184" i="61"/>
  <c r="E184" i="61"/>
  <c r="F184" i="61"/>
  <c r="D184" i="61"/>
  <c r="O183" i="61"/>
  <c r="G183" i="61"/>
  <c r="E183" i="61"/>
  <c r="F183" i="61"/>
  <c r="D183" i="61"/>
  <c r="O182" i="61"/>
  <c r="G182" i="61"/>
  <c r="E182" i="61"/>
  <c r="F182" i="61"/>
  <c r="D182" i="61"/>
  <c r="O181" i="61"/>
  <c r="G181" i="61"/>
  <c r="E181" i="61"/>
  <c r="F181" i="61"/>
  <c r="D181" i="61"/>
  <c r="O180" i="61"/>
  <c r="G180" i="61"/>
  <c r="E180" i="61"/>
  <c r="F180" i="61"/>
  <c r="D180" i="61"/>
  <c r="O179" i="61"/>
  <c r="G179" i="61"/>
  <c r="E179" i="61"/>
  <c r="F179" i="61"/>
  <c r="D179" i="61"/>
  <c r="O178" i="61"/>
  <c r="G178" i="61"/>
  <c r="E178" i="61"/>
  <c r="F178" i="61"/>
  <c r="D178" i="61"/>
  <c r="O177" i="61"/>
  <c r="G177" i="61"/>
  <c r="E177" i="61"/>
  <c r="F177" i="61"/>
  <c r="D177" i="61"/>
  <c r="O176" i="61"/>
  <c r="G176" i="61"/>
  <c r="E176" i="61"/>
  <c r="F176" i="61"/>
  <c r="D176" i="61"/>
  <c r="O175" i="61"/>
  <c r="G175" i="61"/>
  <c r="E175" i="61"/>
  <c r="F175" i="61"/>
  <c r="D175" i="61"/>
  <c r="O174" i="61"/>
  <c r="G174" i="61"/>
  <c r="E174" i="61"/>
  <c r="F174" i="61"/>
  <c r="D174" i="61"/>
  <c r="O173" i="61"/>
  <c r="G173" i="61"/>
  <c r="E173" i="61"/>
  <c r="F173" i="61"/>
  <c r="D173" i="61"/>
  <c r="O172" i="61"/>
  <c r="G172" i="61"/>
  <c r="E172" i="61"/>
  <c r="F172" i="61"/>
  <c r="D172" i="61"/>
  <c r="O171" i="61"/>
  <c r="G171" i="61"/>
  <c r="E171" i="61"/>
  <c r="F171" i="61"/>
  <c r="D171" i="61"/>
  <c r="O170" i="61"/>
  <c r="G170" i="61"/>
  <c r="E170" i="61"/>
  <c r="F170" i="61"/>
  <c r="D170" i="61"/>
  <c r="O169" i="61"/>
  <c r="G169" i="61"/>
  <c r="E169" i="61"/>
  <c r="F169" i="61"/>
  <c r="D169" i="61"/>
  <c r="O168" i="61"/>
  <c r="G168" i="61"/>
  <c r="E168" i="61"/>
  <c r="F168" i="61"/>
  <c r="D168" i="61"/>
  <c r="O167" i="61"/>
  <c r="G167" i="61"/>
  <c r="E167" i="61"/>
  <c r="F167" i="61"/>
  <c r="D167" i="61"/>
  <c r="O166" i="61"/>
  <c r="G166" i="61"/>
  <c r="E166" i="61"/>
  <c r="F166" i="61"/>
  <c r="D166" i="61"/>
  <c r="O165" i="61"/>
  <c r="G165" i="61"/>
  <c r="E165" i="61"/>
  <c r="F165" i="61"/>
  <c r="D165" i="61"/>
  <c r="O164" i="61"/>
  <c r="G164" i="61"/>
  <c r="E164" i="61"/>
  <c r="F164" i="61"/>
  <c r="D164" i="61"/>
  <c r="O163" i="61"/>
  <c r="G163" i="61"/>
  <c r="E163" i="61"/>
  <c r="F163" i="61"/>
  <c r="D163" i="61"/>
  <c r="O162" i="61"/>
  <c r="G162" i="61"/>
  <c r="E162" i="61"/>
  <c r="F162" i="61"/>
  <c r="D162" i="61"/>
  <c r="O161" i="61"/>
  <c r="G161" i="61"/>
  <c r="E161" i="61"/>
  <c r="F161" i="61"/>
  <c r="D161" i="61"/>
  <c r="O160" i="61"/>
  <c r="G160" i="61"/>
  <c r="E160" i="61"/>
  <c r="F160" i="61"/>
  <c r="D160" i="61"/>
  <c r="O159" i="61"/>
  <c r="G159" i="61"/>
  <c r="E159" i="61"/>
  <c r="F159" i="61"/>
  <c r="D159" i="61"/>
  <c r="O158" i="61"/>
  <c r="G158" i="61"/>
  <c r="E158" i="61"/>
  <c r="F158" i="61"/>
  <c r="D158" i="61"/>
  <c r="O157" i="61"/>
  <c r="G157" i="61"/>
  <c r="E157" i="61"/>
  <c r="F157" i="61"/>
  <c r="D157" i="61"/>
  <c r="O156" i="61"/>
  <c r="G156" i="61"/>
  <c r="E156" i="61"/>
  <c r="F156" i="61"/>
  <c r="D156" i="61"/>
  <c r="O155" i="61"/>
  <c r="G155" i="61"/>
  <c r="E155" i="61"/>
  <c r="F155" i="61"/>
  <c r="D155" i="61"/>
  <c r="O154" i="61"/>
  <c r="G154" i="61"/>
  <c r="E154" i="61"/>
  <c r="F154" i="61"/>
  <c r="D154" i="61"/>
  <c r="O153" i="61"/>
  <c r="G153" i="61"/>
  <c r="E153" i="61"/>
  <c r="F153" i="61"/>
  <c r="D153" i="61"/>
  <c r="O152" i="61"/>
  <c r="G152" i="61"/>
  <c r="E152" i="61"/>
  <c r="F152" i="61"/>
  <c r="D152" i="61"/>
  <c r="O151" i="61"/>
  <c r="G151" i="61"/>
  <c r="E151" i="61"/>
  <c r="F151" i="61"/>
  <c r="D151" i="61"/>
  <c r="O150" i="61"/>
  <c r="G150" i="61"/>
  <c r="E150" i="61"/>
  <c r="F150" i="61"/>
  <c r="D150" i="61"/>
  <c r="O149" i="61"/>
  <c r="G149" i="61"/>
  <c r="E149" i="61"/>
  <c r="F149" i="61"/>
  <c r="D149" i="61"/>
  <c r="O148" i="61"/>
  <c r="G148" i="61"/>
  <c r="E148" i="61"/>
  <c r="F148" i="61"/>
  <c r="D148" i="61"/>
  <c r="O147" i="61"/>
  <c r="G147" i="61"/>
  <c r="E147" i="61"/>
  <c r="F147" i="61"/>
  <c r="D147" i="61"/>
  <c r="O146" i="61"/>
  <c r="G146" i="61"/>
  <c r="E146" i="61"/>
  <c r="F146" i="61"/>
  <c r="D146" i="61"/>
  <c r="O145" i="61"/>
  <c r="G145" i="61"/>
  <c r="E145" i="61"/>
  <c r="F145" i="61"/>
  <c r="D145" i="61"/>
  <c r="O144" i="61"/>
  <c r="G144" i="61"/>
  <c r="E144" i="61"/>
  <c r="F144" i="61"/>
  <c r="D144" i="61"/>
  <c r="O143" i="61"/>
  <c r="G143" i="61"/>
  <c r="E143" i="61"/>
  <c r="F143" i="61"/>
  <c r="D143" i="61"/>
  <c r="O142" i="61"/>
  <c r="G142" i="61"/>
  <c r="E142" i="61"/>
  <c r="F142" i="61"/>
  <c r="D142" i="61"/>
  <c r="O141" i="61"/>
  <c r="G141" i="61"/>
  <c r="E141" i="61"/>
  <c r="F141" i="61"/>
  <c r="D141" i="61"/>
  <c r="O140" i="61"/>
  <c r="G140" i="61"/>
  <c r="E140" i="61"/>
  <c r="F140" i="61"/>
  <c r="D140" i="61"/>
  <c r="O139" i="61"/>
  <c r="G139" i="61"/>
  <c r="E139" i="61"/>
  <c r="F139" i="61"/>
  <c r="D139" i="61"/>
  <c r="O138" i="61"/>
  <c r="G138" i="61"/>
  <c r="E138" i="61"/>
  <c r="F138" i="61"/>
  <c r="D138" i="61"/>
  <c r="O137" i="61"/>
  <c r="G137" i="61"/>
  <c r="E137" i="61"/>
  <c r="F137" i="61"/>
  <c r="D137" i="61"/>
  <c r="O136" i="61"/>
  <c r="G136" i="61"/>
  <c r="E136" i="61"/>
  <c r="F136" i="61"/>
  <c r="D136" i="61"/>
  <c r="O135" i="61"/>
  <c r="G135" i="61"/>
  <c r="E135" i="61"/>
  <c r="F135" i="61"/>
  <c r="D135" i="61"/>
  <c r="O134" i="61"/>
  <c r="G134" i="61"/>
  <c r="E134" i="61"/>
  <c r="F134" i="61"/>
  <c r="D134" i="61"/>
  <c r="O133" i="61"/>
  <c r="G133" i="61"/>
  <c r="E133" i="61"/>
  <c r="F133" i="61"/>
  <c r="D133" i="61"/>
  <c r="O132" i="61"/>
  <c r="G132" i="61"/>
  <c r="E132" i="61"/>
  <c r="F132" i="61"/>
  <c r="D132" i="61"/>
  <c r="O131" i="61"/>
  <c r="G131" i="61"/>
  <c r="E131" i="61"/>
  <c r="F131" i="61"/>
  <c r="D131" i="61"/>
  <c r="O130" i="61"/>
  <c r="G130" i="61"/>
  <c r="E130" i="61"/>
  <c r="F130" i="61"/>
  <c r="D130" i="61"/>
  <c r="O129" i="61"/>
  <c r="G129" i="61"/>
  <c r="E129" i="61"/>
  <c r="F129" i="61"/>
  <c r="D129" i="61"/>
  <c r="O128" i="61"/>
  <c r="G128" i="61"/>
  <c r="E128" i="61"/>
  <c r="F128" i="61"/>
  <c r="D128" i="61"/>
  <c r="O127" i="61"/>
  <c r="G127" i="61"/>
  <c r="E127" i="61"/>
  <c r="F127" i="61"/>
  <c r="D127" i="61"/>
  <c r="O126" i="61"/>
  <c r="G126" i="61"/>
  <c r="E126" i="61"/>
  <c r="F126" i="61"/>
  <c r="D126" i="61"/>
  <c r="O125" i="61"/>
  <c r="G125" i="61"/>
  <c r="E125" i="61"/>
  <c r="F125" i="61"/>
  <c r="D125" i="61"/>
  <c r="O124" i="61"/>
  <c r="G124" i="61"/>
  <c r="E124" i="61"/>
  <c r="F124" i="61"/>
  <c r="D124" i="61"/>
  <c r="O123" i="61"/>
  <c r="G123" i="61"/>
  <c r="E123" i="61"/>
  <c r="F123" i="61"/>
  <c r="D123" i="61"/>
  <c r="O122" i="61"/>
  <c r="G122" i="61"/>
  <c r="E122" i="61"/>
  <c r="F122" i="61"/>
  <c r="D122" i="61"/>
  <c r="O121" i="61"/>
  <c r="G121" i="61"/>
  <c r="E121" i="61"/>
  <c r="F121" i="61"/>
  <c r="D121" i="61"/>
  <c r="O120" i="61"/>
  <c r="G120" i="61"/>
  <c r="E120" i="61"/>
  <c r="F120" i="61"/>
  <c r="D120" i="61"/>
  <c r="O119" i="61"/>
  <c r="G119" i="61"/>
  <c r="E119" i="61"/>
  <c r="F119" i="61"/>
  <c r="D119" i="61"/>
  <c r="O118" i="61"/>
  <c r="G118" i="61"/>
  <c r="E118" i="61"/>
  <c r="F118" i="61"/>
  <c r="D118" i="61"/>
  <c r="O117" i="61"/>
  <c r="G117" i="61"/>
  <c r="E117" i="61"/>
  <c r="F117" i="61"/>
  <c r="D117" i="61"/>
  <c r="O116" i="61"/>
  <c r="G116" i="61"/>
  <c r="E116" i="61"/>
  <c r="F116" i="61"/>
  <c r="D116" i="61"/>
  <c r="O115" i="61"/>
  <c r="G115" i="61"/>
  <c r="E115" i="61"/>
  <c r="F115" i="61"/>
  <c r="D115" i="61"/>
  <c r="O114" i="61"/>
  <c r="G114" i="61"/>
  <c r="E114" i="61"/>
  <c r="F114" i="61"/>
  <c r="D114" i="61"/>
  <c r="O113" i="61"/>
  <c r="G113" i="61"/>
  <c r="E113" i="61"/>
  <c r="F113" i="61"/>
  <c r="D113" i="61"/>
  <c r="O112" i="61"/>
  <c r="G112" i="61"/>
  <c r="E112" i="61"/>
  <c r="F112" i="61"/>
  <c r="D112" i="61"/>
  <c r="O111" i="61"/>
  <c r="G111" i="61"/>
  <c r="E111" i="61"/>
  <c r="F111" i="61"/>
  <c r="D111" i="61"/>
  <c r="O110" i="61"/>
  <c r="G110" i="61"/>
  <c r="E110" i="61"/>
  <c r="F110" i="61"/>
  <c r="D110" i="61"/>
  <c r="O109" i="61"/>
  <c r="G109" i="61"/>
  <c r="E109" i="61"/>
  <c r="F109" i="61"/>
  <c r="D109" i="61"/>
  <c r="O108" i="61"/>
  <c r="G108" i="61"/>
  <c r="E108" i="61"/>
  <c r="F108" i="61"/>
  <c r="D108" i="61"/>
  <c r="O107" i="61"/>
  <c r="G107" i="61"/>
  <c r="E107" i="61"/>
  <c r="F107" i="61"/>
  <c r="D107" i="61"/>
  <c r="O106" i="61"/>
  <c r="G106" i="61"/>
  <c r="E106" i="61"/>
  <c r="F106" i="61"/>
  <c r="D106" i="61"/>
  <c r="O105" i="61"/>
  <c r="G105" i="61"/>
  <c r="E105" i="61"/>
  <c r="F105" i="61"/>
  <c r="D105" i="61"/>
  <c r="O104" i="61"/>
  <c r="G104" i="61"/>
  <c r="E104" i="61"/>
  <c r="F104" i="61"/>
  <c r="D104" i="61"/>
  <c r="O103" i="61"/>
  <c r="G103" i="61"/>
  <c r="E103" i="61"/>
  <c r="F103" i="61"/>
  <c r="D103" i="61"/>
  <c r="O102" i="61"/>
  <c r="G102" i="61"/>
  <c r="E102" i="61"/>
  <c r="F102" i="61"/>
  <c r="D102" i="61"/>
  <c r="O101" i="61"/>
  <c r="G101" i="61"/>
  <c r="E101" i="61"/>
  <c r="F101" i="61"/>
  <c r="D101" i="61"/>
  <c r="O100" i="61"/>
  <c r="G100" i="61"/>
  <c r="E100" i="61"/>
  <c r="F100" i="61"/>
  <c r="D100" i="61"/>
  <c r="O99" i="61"/>
  <c r="G99" i="61"/>
  <c r="E99" i="61"/>
  <c r="F99" i="61"/>
  <c r="D99" i="61"/>
  <c r="O98" i="61"/>
  <c r="G98" i="61"/>
  <c r="E98" i="61"/>
  <c r="F98" i="61"/>
  <c r="D98" i="61"/>
  <c r="O97" i="61"/>
  <c r="G97" i="61"/>
  <c r="E97" i="61"/>
  <c r="F97" i="61"/>
  <c r="D97" i="61"/>
  <c r="O96" i="61"/>
  <c r="G96" i="61"/>
  <c r="E96" i="61"/>
  <c r="F96" i="61"/>
  <c r="D96" i="61"/>
  <c r="O95" i="61"/>
  <c r="G95" i="61"/>
  <c r="E95" i="61"/>
  <c r="F95" i="61"/>
  <c r="D95" i="61"/>
  <c r="O94" i="61"/>
  <c r="G94" i="61"/>
  <c r="E94" i="61"/>
  <c r="F94" i="61"/>
  <c r="D94" i="61"/>
  <c r="O93" i="61"/>
  <c r="G93" i="61"/>
  <c r="E93" i="61"/>
  <c r="F93" i="61"/>
  <c r="D93" i="61"/>
  <c r="O92" i="61"/>
  <c r="G92" i="61"/>
  <c r="E92" i="61"/>
  <c r="F92" i="61"/>
  <c r="D92" i="61"/>
  <c r="O91" i="61"/>
  <c r="G91" i="61"/>
  <c r="E91" i="61"/>
  <c r="F91" i="61"/>
  <c r="D91" i="61"/>
  <c r="O90" i="61"/>
  <c r="G90" i="61"/>
  <c r="E90" i="61"/>
  <c r="F90" i="61"/>
  <c r="D90" i="61"/>
  <c r="O89" i="61"/>
  <c r="G89" i="61"/>
  <c r="E89" i="61"/>
  <c r="F89" i="61"/>
  <c r="D89" i="61"/>
  <c r="O88" i="61"/>
  <c r="G88" i="61"/>
  <c r="E88" i="61"/>
  <c r="F88" i="61"/>
  <c r="D88" i="61"/>
  <c r="O87" i="61"/>
  <c r="G87" i="61"/>
  <c r="E87" i="61"/>
  <c r="F87" i="61"/>
  <c r="D87" i="61"/>
  <c r="O86" i="61"/>
  <c r="G86" i="61"/>
  <c r="E86" i="61"/>
  <c r="F86" i="61"/>
  <c r="D86" i="61"/>
  <c r="O85" i="61"/>
  <c r="G85" i="61"/>
  <c r="E85" i="61"/>
  <c r="F85" i="61"/>
  <c r="D85" i="61"/>
  <c r="O84" i="61"/>
  <c r="G84" i="61"/>
  <c r="E84" i="61"/>
  <c r="F84" i="61"/>
  <c r="D84" i="61"/>
  <c r="O83" i="61"/>
  <c r="G83" i="61"/>
  <c r="E83" i="61"/>
  <c r="F83" i="61"/>
  <c r="D83" i="61"/>
  <c r="O82" i="61"/>
  <c r="G82" i="61"/>
  <c r="E82" i="61"/>
  <c r="F82" i="61"/>
  <c r="D82" i="61"/>
  <c r="O81" i="61"/>
  <c r="G81" i="61"/>
  <c r="E81" i="61"/>
  <c r="F81" i="61"/>
  <c r="D81" i="61"/>
  <c r="O80" i="61"/>
  <c r="G80" i="61"/>
  <c r="E80" i="61"/>
  <c r="F80" i="61"/>
  <c r="D80" i="61"/>
  <c r="O79" i="61"/>
  <c r="G79" i="61"/>
  <c r="E79" i="61"/>
  <c r="F79" i="61"/>
  <c r="D79" i="61"/>
  <c r="O78" i="61"/>
  <c r="G78" i="61"/>
  <c r="E78" i="61"/>
  <c r="F78" i="61"/>
  <c r="D78" i="61"/>
  <c r="O77" i="61"/>
  <c r="G77" i="61"/>
  <c r="E77" i="61"/>
  <c r="F77" i="61"/>
  <c r="D77" i="61"/>
  <c r="O76" i="61"/>
  <c r="G76" i="61"/>
  <c r="E76" i="61"/>
  <c r="F76" i="61"/>
  <c r="D76" i="61"/>
  <c r="O75" i="61"/>
  <c r="G75" i="61"/>
  <c r="E75" i="61"/>
  <c r="F75" i="61"/>
  <c r="D75" i="61"/>
  <c r="O74" i="61"/>
  <c r="G74" i="61"/>
  <c r="E74" i="61"/>
  <c r="F74" i="61"/>
  <c r="D74" i="61"/>
  <c r="O73" i="61"/>
  <c r="G73" i="61"/>
  <c r="E73" i="61"/>
  <c r="F73" i="61"/>
  <c r="D73" i="61"/>
  <c r="O72" i="61"/>
  <c r="G72" i="61"/>
  <c r="E72" i="61"/>
  <c r="F72" i="61"/>
  <c r="D72" i="61"/>
  <c r="O71" i="61"/>
  <c r="G71" i="61"/>
  <c r="E71" i="61"/>
  <c r="F71" i="61"/>
  <c r="D71" i="61"/>
  <c r="O70" i="61"/>
  <c r="G70" i="61"/>
  <c r="E70" i="61"/>
  <c r="F70" i="61"/>
  <c r="D70" i="61"/>
  <c r="O69" i="61"/>
  <c r="G69" i="61"/>
  <c r="E69" i="61"/>
  <c r="F69" i="61"/>
  <c r="D69" i="61"/>
  <c r="O68" i="61"/>
  <c r="G68" i="61"/>
  <c r="E68" i="61"/>
  <c r="F68" i="61"/>
  <c r="D68" i="61"/>
  <c r="O67" i="61"/>
  <c r="G67" i="61"/>
  <c r="E67" i="61"/>
  <c r="F67" i="61"/>
  <c r="D67" i="61"/>
  <c r="O66" i="61"/>
  <c r="G66" i="61"/>
  <c r="E66" i="61"/>
  <c r="F66" i="61"/>
  <c r="D66" i="61"/>
  <c r="O65" i="61"/>
  <c r="G65" i="61"/>
  <c r="E65" i="61"/>
  <c r="F65" i="61"/>
  <c r="D65" i="61"/>
  <c r="O64" i="61"/>
  <c r="G64" i="61"/>
  <c r="E64" i="61"/>
  <c r="F64" i="61"/>
  <c r="D64" i="61"/>
  <c r="O63" i="61"/>
  <c r="G63" i="61"/>
  <c r="E63" i="61"/>
  <c r="F63" i="61"/>
  <c r="D63" i="61"/>
  <c r="O62" i="61"/>
  <c r="G62" i="61"/>
  <c r="E62" i="61"/>
  <c r="F62" i="61"/>
  <c r="D62" i="61"/>
  <c r="O61" i="61"/>
  <c r="G61" i="61"/>
  <c r="E61" i="61"/>
  <c r="F61" i="61"/>
  <c r="D61" i="61"/>
  <c r="O60" i="61"/>
  <c r="G60" i="61"/>
  <c r="E60" i="61"/>
  <c r="F60" i="61"/>
  <c r="D60" i="61"/>
  <c r="O59" i="61"/>
  <c r="G59" i="61"/>
  <c r="E59" i="61"/>
  <c r="F59" i="61"/>
  <c r="D59" i="61"/>
  <c r="O58" i="61"/>
  <c r="G58" i="61"/>
  <c r="E58" i="61"/>
  <c r="F58" i="61"/>
  <c r="D58" i="61"/>
  <c r="O57" i="61"/>
  <c r="G57" i="61"/>
  <c r="E57" i="61"/>
  <c r="F57" i="61"/>
  <c r="D57" i="61"/>
  <c r="O56" i="61"/>
  <c r="G56" i="61"/>
  <c r="E56" i="61"/>
  <c r="F56" i="61"/>
  <c r="D56" i="61"/>
  <c r="O55" i="61"/>
  <c r="G55" i="61"/>
  <c r="E55" i="61"/>
  <c r="F55" i="61"/>
  <c r="D55" i="61"/>
  <c r="O54" i="61"/>
  <c r="G54" i="61"/>
  <c r="E54" i="61"/>
  <c r="F54" i="61"/>
  <c r="D54" i="61"/>
  <c r="O53" i="61"/>
  <c r="G53" i="61"/>
  <c r="E53" i="61"/>
  <c r="F53" i="61"/>
  <c r="D53" i="61"/>
  <c r="O52" i="61"/>
  <c r="G52" i="61"/>
  <c r="E52" i="61"/>
  <c r="F52" i="61"/>
  <c r="D52" i="61"/>
  <c r="O51" i="61"/>
  <c r="G51" i="61"/>
  <c r="E51" i="61"/>
  <c r="F51" i="61"/>
  <c r="D51" i="61"/>
  <c r="O50" i="61"/>
  <c r="G50" i="61"/>
  <c r="E50" i="61"/>
  <c r="F50" i="61"/>
  <c r="D50" i="61"/>
  <c r="O49" i="61"/>
  <c r="G49" i="61"/>
  <c r="E49" i="61"/>
  <c r="F49" i="61"/>
  <c r="D49" i="61"/>
  <c r="O48" i="61"/>
  <c r="G48" i="61"/>
  <c r="E48" i="61"/>
  <c r="F48" i="61"/>
  <c r="D48" i="61"/>
  <c r="O47" i="61"/>
  <c r="G47" i="61"/>
  <c r="E47" i="61"/>
  <c r="F47" i="61"/>
  <c r="D47" i="61"/>
  <c r="O46" i="61"/>
  <c r="G46" i="61"/>
  <c r="E46" i="61"/>
  <c r="F46" i="61"/>
  <c r="D46" i="61"/>
  <c r="O45" i="61"/>
  <c r="G45" i="61"/>
  <c r="E45" i="61"/>
  <c r="F45" i="61"/>
  <c r="D45" i="61"/>
  <c r="O44" i="61"/>
  <c r="G44" i="61"/>
  <c r="E44" i="61"/>
  <c r="F44" i="61"/>
  <c r="D44" i="61"/>
  <c r="O43" i="61"/>
  <c r="G43" i="61"/>
  <c r="E43" i="61"/>
  <c r="F43" i="61"/>
  <c r="D43" i="61"/>
  <c r="O42" i="61"/>
  <c r="G42" i="61"/>
  <c r="E42" i="61"/>
  <c r="F42" i="61"/>
  <c r="D42" i="61"/>
  <c r="O41" i="61"/>
  <c r="G41" i="61"/>
  <c r="E41" i="61"/>
  <c r="F41" i="61"/>
  <c r="D41" i="61"/>
  <c r="O40" i="61"/>
  <c r="G40" i="61"/>
  <c r="E40" i="61"/>
  <c r="F40" i="61"/>
  <c r="D40" i="61"/>
  <c r="O39" i="61"/>
  <c r="G39" i="61"/>
  <c r="E39" i="61"/>
  <c r="F39" i="61"/>
  <c r="D39" i="61"/>
  <c r="O38" i="61"/>
  <c r="G38" i="61"/>
  <c r="E38" i="61"/>
  <c r="F38" i="61"/>
  <c r="D38" i="61"/>
  <c r="O37" i="61"/>
  <c r="G37" i="61"/>
  <c r="E37" i="61"/>
  <c r="F37" i="61"/>
  <c r="D37" i="61"/>
  <c r="O36" i="61"/>
  <c r="G36" i="61"/>
  <c r="E36" i="61"/>
  <c r="F36" i="61"/>
  <c r="D36" i="61"/>
  <c r="O35" i="61"/>
  <c r="G35" i="61"/>
  <c r="E35" i="61"/>
  <c r="F35" i="61"/>
  <c r="D35" i="61"/>
  <c r="O34" i="61"/>
  <c r="G34" i="61"/>
  <c r="E34" i="61"/>
  <c r="F34" i="61"/>
  <c r="D34" i="61"/>
  <c r="O33" i="61"/>
  <c r="G33" i="61"/>
  <c r="E33" i="61"/>
  <c r="F33" i="61"/>
  <c r="D33" i="61"/>
  <c r="O32" i="61"/>
  <c r="G32" i="61"/>
  <c r="E32" i="61"/>
  <c r="F32" i="61"/>
  <c r="D32" i="61"/>
  <c r="O31" i="61"/>
  <c r="G31" i="61"/>
  <c r="E31" i="61"/>
  <c r="F31" i="61"/>
  <c r="D31" i="61"/>
  <c r="O30" i="61"/>
  <c r="G30" i="61"/>
  <c r="E30" i="61"/>
  <c r="F30" i="61"/>
  <c r="D30" i="61"/>
  <c r="O29" i="61"/>
  <c r="G29" i="61"/>
  <c r="I29" i="61" s="1"/>
  <c r="F29" i="61"/>
  <c r="O28" i="61"/>
  <c r="G28" i="61"/>
  <c r="F28" i="61"/>
  <c r="O27" i="61"/>
  <c r="G27" i="61"/>
  <c r="E27" i="61"/>
  <c r="F27" i="61"/>
  <c r="D27" i="61"/>
  <c r="O26" i="61"/>
  <c r="G26" i="61"/>
  <c r="E26" i="61"/>
  <c r="F26" i="61"/>
  <c r="D26" i="61"/>
  <c r="O25" i="61"/>
  <c r="G25" i="61"/>
  <c r="E25" i="61"/>
  <c r="F25" i="61"/>
  <c r="D25" i="61"/>
  <c r="O24" i="61"/>
  <c r="G24" i="61"/>
  <c r="E24" i="61"/>
  <c r="F24" i="61"/>
  <c r="D24" i="61"/>
  <c r="O23" i="61"/>
  <c r="G23" i="61"/>
  <c r="E23" i="61"/>
  <c r="F23" i="61"/>
  <c r="D23" i="61"/>
  <c r="O22" i="61"/>
  <c r="G22" i="61"/>
  <c r="E22" i="61"/>
  <c r="F22" i="61"/>
  <c r="D22" i="61"/>
  <c r="O21" i="61"/>
  <c r="G21" i="61"/>
  <c r="E21" i="61"/>
  <c r="F21" i="61"/>
  <c r="D21" i="61"/>
  <c r="O20" i="61"/>
  <c r="G20" i="61"/>
  <c r="E20" i="61"/>
  <c r="F20" i="61"/>
  <c r="D20" i="61"/>
  <c r="O19" i="61"/>
  <c r="G19" i="61"/>
  <c r="E19" i="61"/>
  <c r="F19" i="61"/>
  <c r="D19" i="61"/>
  <c r="O18" i="61"/>
  <c r="G18" i="61"/>
  <c r="F18" i="61"/>
  <c r="O17" i="61"/>
  <c r="G17" i="61"/>
  <c r="F17" i="61"/>
  <c r="O16" i="61"/>
  <c r="G16" i="61"/>
  <c r="E16" i="61"/>
  <c r="F16" i="61"/>
  <c r="D16" i="61"/>
  <c r="O15" i="61"/>
  <c r="G15" i="61"/>
  <c r="E15" i="61"/>
  <c r="F15" i="61"/>
  <c r="D15" i="61"/>
  <c r="O14" i="61"/>
  <c r="G14" i="61"/>
  <c r="E14" i="61"/>
  <c r="F14" i="61"/>
  <c r="D14" i="61"/>
  <c r="O13" i="61"/>
  <c r="G13" i="61"/>
  <c r="E13" i="61"/>
  <c r="F13" i="61"/>
  <c r="D13" i="61"/>
  <c r="O12" i="61"/>
  <c r="G12" i="61"/>
  <c r="E12" i="61"/>
  <c r="F12" i="61"/>
  <c r="D12" i="61"/>
  <c r="O11" i="61"/>
  <c r="G11" i="61"/>
  <c r="E11" i="61"/>
  <c r="F11" i="61"/>
  <c r="D11" i="61"/>
  <c r="O10" i="61"/>
  <c r="G10" i="61"/>
  <c r="E10" i="61"/>
  <c r="F10" i="61"/>
  <c r="D10" i="61"/>
  <c r="O9" i="61"/>
  <c r="G9" i="61"/>
  <c r="E9" i="61"/>
  <c r="F9" i="61"/>
  <c r="D9" i="61"/>
  <c r="O8" i="61"/>
  <c r="G8" i="61"/>
  <c r="E8" i="61"/>
  <c r="F8" i="61"/>
  <c r="D8" i="61"/>
  <c r="O7" i="61"/>
  <c r="G7" i="61"/>
  <c r="E7" i="61"/>
  <c r="F7" i="61"/>
  <c r="D7" i="61"/>
  <c r="O6" i="61"/>
  <c r="G6" i="61"/>
  <c r="E6" i="61"/>
  <c r="F6" i="61"/>
  <c r="D6" i="61"/>
  <c r="E1038" i="60"/>
  <c r="D1038" i="60"/>
  <c r="D1041" i="60" s="1"/>
  <c r="C1042" i="60"/>
  <c r="C1040" i="60"/>
  <c r="E1031" i="60"/>
  <c r="E1032" i="60" s="1"/>
  <c r="D1031" i="60"/>
  <c r="C1035" i="60"/>
  <c r="C1033" i="60"/>
  <c r="E1024" i="60"/>
  <c r="D1024" i="60"/>
  <c r="D1027" i="60" s="1"/>
  <c r="C1028" i="60"/>
  <c r="C1026" i="60"/>
  <c r="E1017" i="60"/>
  <c r="E1018" i="60" s="1"/>
  <c r="D1017" i="60"/>
  <c r="D1022" i="60" s="1"/>
  <c r="C1021" i="60"/>
  <c r="C1019" i="60"/>
  <c r="E1010" i="60"/>
  <c r="D1010" i="60"/>
  <c r="C1014" i="60"/>
  <c r="C1012" i="60"/>
  <c r="E1003" i="60"/>
  <c r="E1004" i="60" s="1"/>
  <c r="D1003" i="60"/>
  <c r="C1007" i="60"/>
  <c r="C1005" i="60"/>
  <c r="E996" i="60"/>
  <c r="D996" i="60"/>
  <c r="D999" i="60" s="1"/>
  <c r="C1000" i="60"/>
  <c r="C998" i="60"/>
  <c r="E989" i="60"/>
  <c r="E990" i="60" s="1"/>
  <c r="D989" i="60"/>
  <c r="D994" i="60" s="1"/>
  <c r="C993" i="60"/>
  <c r="C991" i="60"/>
  <c r="E982" i="60"/>
  <c r="D982" i="60"/>
  <c r="D985" i="60" s="1"/>
  <c r="C986" i="60"/>
  <c r="C984" i="60"/>
  <c r="E975" i="60"/>
  <c r="E978" i="60" s="1"/>
  <c r="D975" i="60"/>
  <c r="D980" i="60" s="1"/>
  <c r="C979" i="60"/>
  <c r="C977" i="60"/>
  <c r="E968" i="60"/>
  <c r="D968" i="60"/>
  <c r="D971" i="60" s="1"/>
  <c r="C972" i="60"/>
  <c r="C970" i="60"/>
  <c r="E961" i="60"/>
  <c r="E962" i="60" s="1"/>
  <c r="D961" i="60"/>
  <c r="D966" i="60" s="1"/>
  <c r="C965" i="60"/>
  <c r="C963" i="60"/>
  <c r="E954" i="60"/>
  <c r="D954" i="60"/>
  <c r="C958" i="60"/>
  <c r="C956" i="60"/>
  <c r="E947" i="60"/>
  <c r="E948" i="60" s="1"/>
  <c r="D947" i="60"/>
  <c r="D950" i="60" s="1"/>
  <c r="C951" i="60"/>
  <c r="C949" i="60"/>
  <c r="E940" i="60"/>
  <c r="D940" i="60"/>
  <c r="C944" i="60"/>
  <c r="C942" i="60"/>
  <c r="E933" i="60"/>
  <c r="E934" i="60" s="1"/>
  <c r="D933" i="60"/>
  <c r="D938" i="60" s="1"/>
  <c r="C937" i="60"/>
  <c r="C935" i="60"/>
  <c r="E926" i="60"/>
  <c r="D926" i="60"/>
  <c r="D929" i="60" s="1"/>
  <c r="C930" i="60"/>
  <c r="C928" i="60"/>
  <c r="E919" i="60"/>
  <c r="E920" i="60" s="1"/>
  <c r="D919" i="60"/>
  <c r="D924" i="60" s="1"/>
  <c r="C923" i="60"/>
  <c r="C921" i="60"/>
  <c r="E912" i="60"/>
  <c r="D912" i="60"/>
  <c r="D915" i="60" s="1"/>
  <c r="C916" i="60"/>
  <c r="C914" i="60"/>
  <c r="E905" i="60"/>
  <c r="D905" i="60"/>
  <c r="D910" i="60" s="1"/>
  <c r="C909" i="60"/>
  <c r="C907" i="60"/>
  <c r="E898" i="60"/>
  <c r="D898" i="60"/>
  <c r="C902" i="60"/>
  <c r="C900" i="60"/>
  <c r="E891" i="60"/>
  <c r="E892" i="60" s="1"/>
  <c r="D891" i="60"/>
  <c r="D892" i="60" s="1"/>
  <c r="C895" i="60"/>
  <c r="C893" i="60"/>
  <c r="E884" i="60"/>
  <c r="D884" i="60"/>
  <c r="D887" i="60" s="1"/>
  <c r="C888" i="60"/>
  <c r="C886" i="60"/>
  <c r="E877" i="60"/>
  <c r="E878" i="60" s="1"/>
  <c r="D877" i="60"/>
  <c r="D882" i="60" s="1"/>
  <c r="C881" i="60"/>
  <c r="C879" i="60"/>
  <c r="E870" i="60"/>
  <c r="D870" i="60"/>
  <c r="D873" i="60" s="1"/>
  <c r="C874" i="60"/>
  <c r="C872" i="60"/>
  <c r="E863" i="60"/>
  <c r="D863" i="60"/>
  <c r="C867" i="60"/>
  <c r="C865" i="60"/>
  <c r="E856" i="60"/>
  <c r="D856" i="60"/>
  <c r="D859" i="60" s="1"/>
  <c r="C860" i="60"/>
  <c r="C858" i="60"/>
  <c r="E849" i="60"/>
  <c r="D849" i="60"/>
  <c r="D854" i="60" s="1"/>
  <c r="C853" i="60"/>
  <c r="C851" i="60"/>
  <c r="E842" i="60"/>
  <c r="D842" i="60"/>
  <c r="C846" i="60"/>
  <c r="C844" i="60"/>
  <c r="E835" i="60"/>
  <c r="D835" i="60"/>
  <c r="D840" i="60" s="1"/>
  <c r="C839" i="60"/>
  <c r="C837" i="60"/>
  <c r="E828" i="60"/>
  <c r="D828" i="60"/>
  <c r="D831" i="60" s="1"/>
  <c r="C832" i="60"/>
  <c r="C830" i="60"/>
  <c r="E821" i="60"/>
  <c r="E822" i="60" s="1"/>
  <c r="D821" i="60"/>
  <c r="D826" i="60" s="1"/>
  <c r="C825" i="60"/>
  <c r="C823" i="60"/>
  <c r="E814" i="60"/>
  <c r="D814" i="60"/>
  <c r="D817" i="60" s="1"/>
  <c r="C818" i="60"/>
  <c r="C816" i="60"/>
  <c r="E807" i="60"/>
  <c r="E808" i="60" s="1"/>
  <c r="D807" i="60"/>
  <c r="D808" i="60" s="1"/>
  <c r="C811" i="60"/>
  <c r="C809" i="60"/>
  <c r="E800" i="60"/>
  <c r="D800" i="60"/>
  <c r="D803" i="60" s="1"/>
  <c r="C804" i="60"/>
  <c r="C802" i="60"/>
  <c r="E793" i="60"/>
  <c r="D793" i="60"/>
  <c r="D798" i="60" s="1"/>
  <c r="C797" i="60"/>
  <c r="C795" i="60"/>
  <c r="E786" i="60"/>
  <c r="D786" i="60"/>
  <c r="C790" i="60"/>
  <c r="C788" i="60"/>
  <c r="E779" i="60"/>
  <c r="E780" i="60" s="1"/>
  <c r="D779" i="60"/>
  <c r="D784" i="60" s="1"/>
  <c r="C783" i="60"/>
  <c r="C781" i="60"/>
  <c r="E772" i="60"/>
  <c r="D772" i="60"/>
  <c r="D775" i="60" s="1"/>
  <c r="C776" i="60"/>
  <c r="C774" i="60"/>
  <c r="E765" i="60"/>
  <c r="E766" i="60" s="1"/>
  <c r="D765" i="60"/>
  <c r="D770" i="60" s="1"/>
  <c r="C769" i="60"/>
  <c r="C767" i="60"/>
  <c r="E758" i="60"/>
  <c r="D758" i="60"/>
  <c r="D761" i="60" s="1"/>
  <c r="C762" i="60"/>
  <c r="C760" i="60"/>
  <c r="E751" i="60"/>
  <c r="D751" i="60"/>
  <c r="D756" i="60" s="1"/>
  <c r="C755" i="60"/>
  <c r="C753" i="60"/>
  <c r="E744" i="60"/>
  <c r="D744" i="60"/>
  <c r="D747" i="60" s="1"/>
  <c r="C748" i="60"/>
  <c r="C746" i="60"/>
  <c r="E737" i="60"/>
  <c r="E738" i="60" s="1"/>
  <c r="D737" i="60"/>
  <c r="D742" i="60" s="1"/>
  <c r="C741" i="60"/>
  <c r="C739" i="60"/>
  <c r="E730" i="60"/>
  <c r="D730" i="60"/>
  <c r="C734" i="60"/>
  <c r="C732" i="60"/>
  <c r="E723" i="60"/>
  <c r="E724" i="60" s="1"/>
  <c r="D723" i="60"/>
  <c r="D726" i="60" s="1"/>
  <c r="C727" i="60"/>
  <c r="C725" i="60"/>
  <c r="E716" i="60"/>
  <c r="D716" i="60"/>
  <c r="D719" i="60" s="1"/>
  <c r="C720" i="60"/>
  <c r="C718" i="60"/>
  <c r="E709" i="60"/>
  <c r="E710" i="60" s="1"/>
  <c r="D709" i="60"/>
  <c r="D714" i="60" s="1"/>
  <c r="C713" i="60"/>
  <c r="C711" i="60"/>
  <c r="E702" i="60"/>
  <c r="D702" i="60"/>
  <c r="D705" i="60" s="1"/>
  <c r="C706" i="60"/>
  <c r="C704" i="60"/>
  <c r="E695" i="60"/>
  <c r="E696" i="60" s="1"/>
  <c r="D695" i="60"/>
  <c r="D700" i="60" s="1"/>
  <c r="C699" i="60"/>
  <c r="C697" i="60"/>
  <c r="E688" i="60"/>
  <c r="D688" i="60"/>
  <c r="D691" i="60" s="1"/>
  <c r="C692" i="60"/>
  <c r="C690" i="60"/>
  <c r="E681" i="60"/>
  <c r="D681" i="60"/>
  <c r="D686" i="60" s="1"/>
  <c r="C685" i="60"/>
  <c r="C683" i="60"/>
  <c r="E674" i="60"/>
  <c r="D674" i="60"/>
  <c r="C678" i="60"/>
  <c r="C676" i="60"/>
  <c r="E667" i="60"/>
  <c r="E668" i="60" s="1"/>
  <c r="D667" i="60"/>
  <c r="C671" i="60"/>
  <c r="C669" i="60"/>
  <c r="E660" i="60"/>
  <c r="D660" i="60"/>
  <c r="C664" i="60"/>
  <c r="C662" i="60"/>
  <c r="E653" i="60"/>
  <c r="E654" i="60" s="1"/>
  <c r="D653" i="60"/>
  <c r="D658" i="60" s="1"/>
  <c r="C657" i="60"/>
  <c r="C655" i="60"/>
  <c r="E646" i="60"/>
  <c r="D646" i="60"/>
  <c r="D649" i="60" s="1"/>
  <c r="C650" i="60"/>
  <c r="C648" i="60"/>
  <c r="E639" i="60"/>
  <c r="E640" i="60" s="1"/>
  <c r="D639" i="60"/>
  <c r="D644" i="60" s="1"/>
  <c r="C643" i="60"/>
  <c r="C641" i="60"/>
  <c r="E632" i="60"/>
  <c r="D632" i="60"/>
  <c r="D635" i="60" s="1"/>
  <c r="C636" i="60"/>
  <c r="C634" i="60"/>
  <c r="E625" i="60"/>
  <c r="E626" i="60" s="1"/>
  <c r="D625" i="60"/>
  <c r="D630" i="60" s="1"/>
  <c r="C629" i="60"/>
  <c r="C627" i="60"/>
  <c r="E618" i="60"/>
  <c r="D618" i="60"/>
  <c r="C622" i="60"/>
  <c r="C620" i="60"/>
  <c r="E611" i="60"/>
  <c r="E612" i="60" s="1"/>
  <c r="D611" i="60"/>
  <c r="D612" i="60" s="1"/>
  <c r="C615" i="60"/>
  <c r="C613" i="60"/>
  <c r="E604" i="60"/>
  <c r="D604" i="60"/>
  <c r="C608" i="60"/>
  <c r="C606" i="60"/>
  <c r="E597" i="60"/>
  <c r="E598" i="60" s="1"/>
  <c r="D597" i="60"/>
  <c r="D602" i="60" s="1"/>
  <c r="C601" i="60"/>
  <c r="C599" i="60"/>
  <c r="E590" i="60"/>
  <c r="D590" i="60"/>
  <c r="D593" i="60" s="1"/>
  <c r="C594" i="60"/>
  <c r="C592" i="60"/>
  <c r="E583" i="60"/>
  <c r="E584" i="60" s="1"/>
  <c r="D583" i="60"/>
  <c r="C587" i="60"/>
  <c r="C585" i="60"/>
  <c r="E576" i="60"/>
  <c r="D576" i="60"/>
  <c r="D579" i="60" s="1"/>
  <c r="C580" i="60"/>
  <c r="C578" i="60"/>
  <c r="E569" i="60"/>
  <c r="D569" i="60"/>
  <c r="D574" i="60" s="1"/>
  <c r="C573" i="60"/>
  <c r="C571" i="60"/>
  <c r="E562" i="60"/>
  <c r="D562" i="60"/>
  <c r="C566" i="60"/>
  <c r="C564" i="60"/>
  <c r="E555" i="60"/>
  <c r="E558" i="60" s="1"/>
  <c r="D555" i="60"/>
  <c r="D560" i="60" s="1"/>
  <c r="C559" i="60"/>
  <c r="C557" i="60"/>
  <c r="E548" i="60"/>
  <c r="D548" i="60"/>
  <c r="C552" i="60"/>
  <c r="C550" i="60"/>
  <c r="E541" i="60"/>
  <c r="E542" i="60" s="1"/>
  <c r="D541" i="60"/>
  <c r="D546" i="60" s="1"/>
  <c r="C545" i="60"/>
  <c r="C543" i="60"/>
  <c r="E534" i="60"/>
  <c r="D534" i="60"/>
  <c r="D537" i="60" s="1"/>
  <c r="C538" i="60"/>
  <c r="C536" i="60"/>
  <c r="E527" i="60"/>
  <c r="E528" i="60" s="1"/>
  <c r="D527" i="60"/>
  <c r="D528" i="60" s="1"/>
  <c r="C531" i="60"/>
  <c r="C529" i="60"/>
  <c r="E520" i="60"/>
  <c r="D520" i="60"/>
  <c r="D523" i="60" s="1"/>
  <c r="C524" i="60"/>
  <c r="C522" i="60"/>
  <c r="E513" i="60"/>
  <c r="E514" i="60" s="1"/>
  <c r="D513" i="60"/>
  <c r="D518" i="60" s="1"/>
  <c r="C517" i="60"/>
  <c r="C515" i="60"/>
  <c r="E506" i="60"/>
  <c r="D506" i="60"/>
  <c r="C510" i="60"/>
  <c r="C508" i="60"/>
  <c r="E499" i="60"/>
  <c r="E500" i="60" s="1"/>
  <c r="D499" i="60"/>
  <c r="C503" i="60"/>
  <c r="C501" i="60"/>
  <c r="E492" i="60"/>
  <c r="D492" i="60"/>
  <c r="D495" i="60" s="1"/>
  <c r="C496" i="60"/>
  <c r="C494" i="60"/>
  <c r="E485" i="60"/>
  <c r="D485" i="60"/>
  <c r="D490" i="60" s="1"/>
  <c r="C489" i="60"/>
  <c r="C487" i="60"/>
  <c r="E478" i="60"/>
  <c r="D478" i="60"/>
  <c r="D481" i="60" s="1"/>
  <c r="C482" i="60"/>
  <c r="C480" i="60"/>
  <c r="E471" i="60"/>
  <c r="E472" i="60" s="1"/>
  <c r="D471" i="60"/>
  <c r="D472" i="60" s="1"/>
  <c r="C475" i="60"/>
  <c r="C473" i="60"/>
  <c r="E464" i="60"/>
  <c r="D464" i="60"/>
  <c r="D467" i="60" s="1"/>
  <c r="C468" i="60"/>
  <c r="C466" i="60"/>
  <c r="E457" i="60"/>
  <c r="D457" i="60"/>
  <c r="D462" i="60" s="1"/>
  <c r="C461" i="60"/>
  <c r="C459" i="60"/>
  <c r="E450" i="60"/>
  <c r="D450" i="60"/>
  <c r="C454" i="60"/>
  <c r="C452" i="60"/>
  <c r="E443" i="60"/>
  <c r="E444" i="60" s="1"/>
  <c r="D443" i="60"/>
  <c r="D448" i="60" s="1"/>
  <c r="C447" i="60"/>
  <c r="C445" i="60"/>
  <c r="E436" i="60"/>
  <c r="D436" i="60"/>
  <c r="C440" i="60"/>
  <c r="C438" i="60"/>
  <c r="E429" i="60"/>
  <c r="E430" i="60" s="1"/>
  <c r="D429" i="60"/>
  <c r="D434" i="60" s="1"/>
  <c r="C433" i="60"/>
  <c r="C431" i="60"/>
  <c r="E422" i="60"/>
  <c r="D422" i="60"/>
  <c r="D425" i="60" s="1"/>
  <c r="C426" i="60"/>
  <c r="C424" i="60"/>
  <c r="E415" i="60"/>
  <c r="D415" i="60"/>
  <c r="D420" i="60" s="1"/>
  <c r="C419" i="60"/>
  <c r="C417" i="60"/>
  <c r="E408" i="60"/>
  <c r="D408" i="60"/>
  <c r="D411" i="60" s="1"/>
  <c r="C412" i="60"/>
  <c r="C410" i="60"/>
  <c r="E401" i="60"/>
  <c r="E402" i="60" s="1"/>
  <c r="D401" i="60"/>
  <c r="D406" i="60" s="1"/>
  <c r="C405" i="60"/>
  <c r="C403" i="60"/>
  <c r="E394" i="60"/>
  <c r="D394" i="60"/>
  <c r="C398" i="60"/>
  <c r="C396" i="60"/>
  <c r="E387" i="60"/>
  <c r="E388" i="60" s="1"/>
  <c r="D387" i="60"/>
  <c r="D390" i="60" s="1"/>
  <c r="C391" i="60"/>
  <c r="C389" i="60"/>
  <c r="E380" i="60"/>
  <c r="D380" i="60"/>
  <c r="C384" i="60"/>
  <c r="C382" i="60"/>
  <c r="E373" i="60"/>
  <c r="E374" i="60" s="1"/>
  <c r="D373" i="60"/>
  <c r="D378" i="60" s="1"/>
  <c r="C377" i="60"/>
  <c r="C375" i="60"/>
  <c r="E366" i="60"/>
  <c r="D366" i="60"/>
  <c r="D369" i="60" s="1"/>
  <c r="C370" i="60"/>
  <c r="C368" i="60"/>
  <c r="E359" i="60"/>
  <c r="E360" i="60" s="1"/>
  <c r="D359" i="60"/>
  <c r="D364" i="60" s="1"/>
  <c r="C363" i="60"/>
  <c r="C361" i="60"/>
  <c r="E352" i="60"/>
  <c r="D352" i="60"/>
  <c r="D355" i="60" s="1"/>
  <c r="C356" i="60"/>
  <c r="C354" i="60"/>
  <c r="E345" i="60"/>
  <c r="D345" i="60"/>
  <c r="D350" i="60" s="1"/>
  <c r="C349" i="60"/>
  <c r="C347" i="60"/>
  <c r="E338" i="60"/>
  <c r="D338" i="60"/>
  <c r="C342" i="60"/>
  <c r="C340" i="60"/>
  <c r="E331" i="60"/>
  <c r="E332" i="60" s="1"/>
  <c r="D331" i="60"/>
  <c r="C335" i="60"/>
  <c r="C333" i="60"/>
  <c r="E324" i="60"/>
  <c r="D324" i="60"/>
  <c r="D327" i="60" s="1"/>
  <c r="C328" i="60"/>
  <c r="C326" i="60"/>
  <c r="E317" i="60"/>
  <c r="E318" i="60" s="1"/>
  <c r="D317" i="60"/>
  <c r="D322" i="60" s="1"/>
  <c r="C321" i="60"/>
  <c r="C319" i="60"/>
  <c r="E310" i="60"/>
  <c r="D310" i="60"/>
  <c r="D313" i="60" s="1"/>
  <c r="C314" i="60"/>
  <c r="C312" i="60"/>
  <c r="E303" i="60"/>
  <c r="E304" i="60" s="1"/>
  <c r="D303" i="60"/>
  <c r="C307" i="60"/>
  <c r="C305" i="60"/>
  <c r="E296" i="60"/>
  <c r="D296" i="60"/>
  <c r="D299" i="60" s="1"/>
  <c r="C300" i="60"/>
  <c r="C298" i="60"/>
  <c r="E289" i="60"/>
  <c r="D289" i="60"/>
  <c r="D294" i="60" s="1"/>
  <c r="C293" i="60"/>
  <c r="C291" i="60"/>
  <c r="E282" i="60"/>
  <c r="D282" i="60"/>
  <c r="C286" i="60"/>
  <c r="C284" i="60"/>
  <c r="E275" i="60"/>
  <c r="E278" i="60" s="1"/>
  <c r="D275" i="60"/>
  <c r="D280" i="60" s="1"/>
  <c r="C279" i="60"/>
  <c r="C277" i="60"/>
  <c r="E268" i="60"/>
  <c r="D268" i="60"/>
  <c r="C272" i="60"/>
  <c r="C270" i="60"/>
  <c r="E261" i="60"/>
  <c r="E262" i="60" s="1"/>
  <c r="D261" i="60"/>
  <c r="D266" i="60" s="1"/>
  <c r="C265" i="60"/>
  <c r="C263" i="60"/>
  <c r="E254" i="60"/>
  <c r="D254" i="60"/>
  <c r="D257" i="60" s="1"/>
  <c r="C258" i="60"/>
  <c r="C256" i="60"/>
  <c r="E247" i="60"/>
  <c r="E250" i="60" s="1"/>
  <c r="D247" i="60"/>
  <c r="D248" i="60" s="1"/>
  <c r="C251" i="60"/>
  <c r="C249" i="60"/>
  <c r="E240" i="60"/>
  <c r="D240" i="60"/>
  <c r="D243" i="60" s="1"/>
  <c r="C244" i="60"/>
  <c r="C242" i="60"/>
  <c r="E233" i="60"/>
  <c r="E234" i="60" s="1"/>
  <c r="D233" i="60"/>
  <c r="D238" i="60" s="1"/>
  <c r="C237" i="60"/>
  <c r="C235" i="60"/>
  <c r="E226" i="60"/>
  <c r="D226" i="60"/>
  <c r="C230" i="60"/>
  <c r="C228" i="60"/>
  <c r="E219" i="60"/>
  <c r="D219" i="60"/>
  <c r="C223" i="60"/>
  <c r="C221" i="60"/>
  <c r="E212" i="60"/>
  <c r="D212" i="60"/>
  <c r="D215" i="60" s="1"/>
  <c r="C216" i="60"/>
  <c r="C214" i="60"/>
  <c r="E205" i="60"/>
  <c r="D205" i="60"/>
  <c r="D210" i="60" s="1"/>
  <c r="C209" i="60"/>
  <c r="C207" i="60"/>
  <c r="E198" i="60"/>
  <c r="D198" i="60"/>
  <c r="D201" i="60" s="1"/>
  <c r="C202" i="60"/>
  <c r="C200" i="60"/>
  <c r="E191" i="60"/>
  <c r="E196" i="60" s="1"/>
  <c r="D191" i="60"/>
  <c r="C195" i="60"/>
  <c r="C193" i="60"/>
  <c r="E184" i="60"/>
  <c r="E185" i="60" s="1"/>
  <c r="D184" i="60"/>
  <c r="D185" i="60" s="1"/>
  <c r="C188" i="60"/>
  <c r="C186" i="60"/>
  <c r="E177" i="60"/>
  <c r="E182" i="60" s="1"/>
  <c r="D177" i="60"/>
  <c r="D182" i="60" s="1"/>
  <c r="C181" i="60"/>
  <c r="C179" i="60"/>
  <c r="E170" i="60"/>
  <c r="E171" i="60" s="1"/>
  <c r="D170" i="60"/>
  <c r="D173" i="60" s="1"/>
  <c r="C174" i="60"/>
  <c r="C172" i="60"/>
  <c r="E163" i="60"/>
  <c r="E164" i="60" s="1"/>
  <c r="D163" i="60"/>
  <c r="C167" i="60"/>
  <c r="C165" i="60"/>
  <c r="E156" i="60"/>
  <c r="E157" i="60" s="1"/>
  <c r="D156" i="60"/>
  <c r="D157" i="60" s="1"/>
  <c r="C160" i="60"/>
  <c r="C158" i="60"/>
  <c r="E149" i="60"/>
  <c r="E150" i="60" s="1"/>
  <c r="D149" i="60"/>
  <c r="D154" i="60" s="1"/>
  <c r="C153" i="60"/>
  <c r="C151" i="60"/>
  <c r="E142" i="60"/>
  <c r="E143" i="60" s="1"/>
  <c r="D142" i="60"/>
  <c r="D147" i="60" s="1"/>
  <c r="C146" i="60"/>
  <c r="C144" i="60"/>
  <c r="E135" i="60"/>
  <c r="E138" i="60" s="1"/>
  <c r="D135" i="60"/>
  <c r="D140" i="60" s="1"/>
  <c r="C139" i="60"/>
  <c r="C137" i="60"/>
  <c r="E128" i="60"/>
  <c r="E129" i="60" s="1"/>
  <c r="D128" i="60"/>
  <c r="D129" i="60" s="1"/>
  <c r="C132" i="60"/>
  <c r="C130" i="60"/>
  <c r="E121" i="60"/>
  <c r="E124" i="60" s="1"/>
  <c r="D121" i="60"/>
  <c r="D126" i="60" s="1"/>
  <c r="C125" i="60"/>
  <c r="C123" i="60"/>
  <c r="E114" i="60"/>
  <c r="E115" i="60" s="1"/>
  <c r="D114" i="60"/>
  <c r="C118" i="60"/>
  <c r="C116" i="60"/>
  <c r="E107" i="60"/>
  <c r="E112" i="60" s="1"/>
  <c r="D107" i="60"/>
  <c r="D112" i="60" s="1"/>
  <c r="C111" i="60"/>
  <c r="C109" i="60"/>
  <c r="E100" i="60"/>
  <c r="E101" i="60" s="1"/>
  <c r="D100" i="60"/>
  <c r="C104" i="60"/>
  <c r="C102" i="60"/>
  <c r="E93" i="60"/>
  <c r="E98" i="60" s="1"/>
  <c r="D93" i="60"/>
  <c r="D98" i="60" s="1"/>
  <c r="C97" i="60"/>
  <c r="C95" i="60"/>
  <c r="E86" i="60"/>
  <c r="E87" i="60" s="1"/>
  <c r="D86" i="60"/>
  <c r="D87" i="60" s="1"/>
  <c r="C90" i="60"/>
  <c r="C88" i="60"/>
  <c r="E81" i="60"/>
  <c r="E84" i="60" s="1"/>
  <c r="D81" i="60"/>
  <c r="D84" i="60" s="1"/>
  <c r="C83" i="60"/>
  <c r="E74" i="60"/>
  <c r="D74" i="60"/>
  <c r="D75" i="60" s="1"/>
  <c r="C78" i="60"/>
  <c r="C76" i="60"/>
  <c r="E67" i="60"/>
  <c r="E68" i="60" s="1"/>
  <c r="D67" i="60"/>
  <c r="D72" i="60" s="1"/>
  <c r="C71" i="60"/>
  <c r="C69" i="60"/>
  <c r="E60" i="60"/>
  <c r="D60" i="60"/>
  <c r="D61" i="60" s="1"/>
  <c r="C64" i="60"/>
  <c r="C62" i="60"/>
  <c r="E53" i="60"/>
  <c r="E54" i="60" s="1"/>
  <c r="D53" i="60"/>
  <c r="D58" i="60" s="1"/>
  <c r="C57" i="60"/>
  <c r="C55" i="60"/>
  <c r="E46" i="60"/>
  <c r="D46" i="60"/>
  <c r="D47" i="60" s="1"/>
  <c r="C50" i="60"/>
  <c r="C48" i="60"/>
  <c r="E39" i="60"/>
  <c r="E40" i="60" s="1"/>
  <c r="D39" i="60"/>
  <c r="D44" i="60" s="1"/>
  <c r="C43" i="60"/>
  <c r="C41" i="60"/>
  <c r="E32" i="60"/>
  <c r="D32" i="60"/>
  <c r="D33" i="60" s="1"/>
  <c r="C36" i="60"/>
  <c r="C34" i="60"/>
  <c r="E25" i="60"/>
  <c r="E26" i="60" s="1"/>
  <c r="D25" i="60"/>
  <c r="D30" i="60" s="1"/>
  <c r="C29" i="60"/>
  <c r="C27" i="60"/>
  <c r="E18" i="60"/>
  <c r="D18" i="60"/>
  <c r="D19" i="60" s="1"/>
  <c r="C22" i="60"/>
  <c r="C20" i="60"/>
  <c r="E11" i="60"/>
  <c r="E12" i="60" s="1"/>
  <c r="C15" i="60"/>
  <c r="C13" i="60"/>
  <c r="A17" i="58"/>
  <c r="D17" i="58"/>
  <c r="E17" i="58"/>
  <c r="F17" i="58"/>
  <c r="A18" i="58"/>
  <c r="B18" i="58"/>
  <c r="D18" i="58"/>
  <c r="E18" i="58"/>
  <c r="F18" i="58"/>
  <c r="A19" i="58"/>
  <c r="B19" i="58"/>
  <c r="D19" i="58"/>
  <c r="E19" i="58"/>
  <c r="F19" i="58"/>
  <c r="A20" i="58"/>
  <c r="B20" i="58"/>
  <c r="D20" i="58"/>
  <c r="E20" i="58"/>
  <c r="F20" i="58"/>
  <c r="A21" i="58"/>
  <c r="B21" i="58"/>
  <c r="D21" i="58"/>
  <c r="E21" i="58"/>
  <c r="F21" i="58"/>
  <c r="A22" i="58"/>
  <c r="B22" i="58"/>
  <c r="D22" i="58"/>
  <c r="E22" i="58"/>
  <c r="F22" i="58"/>
  <c r="A23" i="58"/>
  <c r="B23" i="58"/>
  <c r="D23" i="58"/>
  <c r="E23" i="58"/>
  <c r="F23" i="58"/>
  <c r="A24" i="58"/>
  <c r="B24" i="58"/>
  <c r="D24" i="58"/>
  <c r="E24" i="58"/>
  <c r="F24" i="58"/>
  <c r="A25" i="58"/>
  <c r="B25" i="58"/>
  <c r="D25" i="58"/>
  <c r="E25" i="58"/>
  <c r="F25" i="58"/>
  <c r="A26" i="58"/>
  <c r="B26" i="58"/>
  <c r="D26" i="58"/>
  <c r="E26" i="58"/>
  <c r="F26" i="58"/>
  <c r="A27" i="58"/>
  <c r="B27" i="58"/>
  <c r="D27" i="58"/>
  <c r="E27" i="58"/>
  <c r="F27" i="58"/>
  <c r="A28" i="58"/>
  <c r="B28" i="58"/>
  <c r="D28" i="58"/>
  <c r="E28" i="58"/>
  <c r="F28" i="58"/>
  <c r="A29" i="58"/>
  <c r="B29" i="58"/>
  <c r="D29" i="58"/>
  <c r="E29" i="58"/>
  <c r="F29" i="58"/>
  <c r="A30" i="58"/>
  <c r="B30" i="58"/>
  <c r="D30" i="58"/>
  <c r="E30" i="58"/>
  <c r="F30" i="58"/>
  <c r="A31" i="58"/>
  <c r="B31" i="58"/>
  <c r="D31" i="58"/>
  <c r="E31" i="58"/>
  <c r="F31" i="58"/>
  <c r="A32" i="58"/>
  <c r="B32" i="58"/>
  <c r="D32" i="58"/>
  <c r="E32" i="58"/>
  <c r="F32" i="58"/>
  <c r="A33" i="58"/>
  <c r="B33" i="58"/>
  <c r="D33" i="58"/>
  <c r="E33" i="58"/>
  <c r="F33" i="58"/>
  <c r="A34" i="58"/>
  <c r="B34" i="58"/>
  <c r="D34" i="58"/>
  <c r="E34" i="58"/>
  <c r="F34" i="58"/>
  <c r="A35" i="58"/>
  <c r="B35" i="58"/>
  <c r="D35" i="58"/>
  <c r="E35" i="58"/>
  <c r="F35" i="58"/>
  <c r="A36" i="58"/>
  <c r="B36" i="58"/>
  <c r="D36" i="58"/>
  <c r="E36" i="58"/>
  <c r="F36" i="58"/>
  <c r="A37" i="58"/>
  <c r="B37" i="58"/>
  <c r="D37" i="58"/>
  <c r="E37" i="58"/>
  <c r="F37" i="58"/>
  <c r="A38" i="58"/>
  <c r="B38" i="58"/>
  <c r="D38" i="58"/>
  <c r="E38" i="58"/>
  <c r="F38" i="58"/>
  <c r="A39" i="58"/>
  <c r="B39" i="58"/>
  <c r="D39" i="58"/>
  <c r="E39" i="58"/>
  <c r="F39" i="58"/>
  <c r="A40" i="58"/>
  <c r="B40" i="58"/>
  <c r="D40" i="58"/>
  <c r="E40" i="58"/>
  <c r="F40" i="58"/>
  <c r="A41" i="58"/>
  <c r="B41" i="58"/>
  <c r="D41" i="58"/>
  <c r="E41" i="58"/>
  <c r="F41" i="58"/>
  <c r="A42" i="58"/>
  <c r="B42" i="58"/>
  <c r="D42" i="58"/>
  <c r="E42" i="58"/>
  <c r="F42" i="58"/>
  <c r="A43" i="58"/>
  <c r="B43" i="58"/>
  <c r="D43" i="58"/>
  <c r="E43" i="58"/>
  <c r="F43" i="58"/>
  <c r="A44" i="58"/>
  <c r="B44" i="58"/>
  <c r="D44" i="58"/>
  <c r="E44" i="58"/>
  <c r="F44" i="58"/>
  <c r="A45" i="58"/>
  <c r="B45" i="58"/>
  <c r="D45" i="58"/>
  <c r="E45" i="58"/>
  <c r="F45" i="58"/>
  <c r="A46" i="58"/>
  <c r="B46" i="58"/>
  <c r="D46" i="58"/>
  <c r="E46" i="58"/>
  <c r="F46" i="58"/>
  <c r="A47" i="58"/>
  <c r="B47" i="58"/>
  <c r="D47" i="58"/>
  <c r="E47" i="58"/>
  <c r="F47" i="58"/>
  <c r="A51" i="58"/>
  <c r="B51" i="58"/>
  <c r="D51" i="58"/>
  <c r="E51" i="58"/>
  <c r="F51" i="58"/>
  <c r="A52" i="58"/>
  <c r="B52" i="58"/>
  <c r="D52" i="58"/>
  <c r="E52" i="58"/>
  <c r="F52" i="58"/>
  <c r="A53" i="58"/>
  <c r="B53" i="58"/>
  <c r="D53" i="58"/>
  <c r="E53" i="58"/>
  <c r="F53" i="58"/>
  <c r="A54" i="58"/>
  <c r="B54" i="58"/>
  <c r="D54" i="58"/>
  <c r="E54" i="58"/>
  <c r="F54" i="58"/>
  <c r="A55" i="58"/>
  <c r="B55" i="58"/>
  <c r="D55" i="58"/>
  <c r="E55" i="58"/>
  <c r="F55" i="58"/>
  <c r="A56" i="58"/>
  <c r="B56" i="58"/>
  <c r="D56" i="58"/>
  <c r="E56" i="58"/>
  <c r="F56" i="58"/>
  <c r="A57" i="58"/>
  <c r="B57" i="58"/>
  <c r="D57" i="58"/>
  <c r="E57" i="58"/>
  <c r="F57" i="58"/>
  <c r="A58" i="58"/>
  <c r="B58" i="58"/>
  <c r="D58" i="58"/>
  <c r="E58" i="58"/>
  <c r="F58" i="58"/>
  <c r="A59" i="58"/>
  <c r="B59" i="58"/>
  <c r="D59" i="58"/>
  <c r="E59" i="58"/>
  <c r="F59" i="58"/>
  <c r="A60" i="58"/>
  <c r="B60" i="58"/>
  <c r="D60" i="58"/>
  <c r="E60" i="58"/>
  <c r="F60" i="58"/>
  <c r="A61" i="58"/>
  <c r="B61" i="58"/>
  <c r="D61" i="58"/>
  <c r="E61" i="58"/>
  <c r="F61" i="58"/>
  <c r="A62" i="58"/>
  <c r="B62" i="58"/>
  <c r="D62" i="58"/>
  <c r="E62" i="58"/>
  <c r="F62" i="58"/>
  <c r="A63" i="58"/>
  <c r="B63" i="58"/>
  <c r="D63" i="58"/>
  <c r="E63" i="58"/>
  <c r="F63" i="58"/>
  <c r="A65" i="58"/>
  <c r="B65" i="58"/>
  <c r="D65" i="58"/>
  <c r="E65" i="58"/>
  <c r="F65" i="58"/>
  <c r="A66" i="58"/>
  <c r="B66" i="58"/>
  <c r="D66" i="58"/>
  <c r="E66" i="58"/>
  <c r="F66" i="58"/>
  <c r="A67" i="58"/>
  <c r="B67" i="58"/>
  <c r="D67" i="58"/>
  <c r="E67" i="58"/>
  <c r="F67" i="58"/>
  <c r="A68" i="58"/>
  <c r="B68" i="58"/>
  <c r="D68" i="58"/>
  <c r="E68" i="58"/>
  <c r="F68" i="58"/>
  <c r="A69" i="58"/>
  <c r="B69" i="58"/>
  <c r="D69" i="58"/>
  <c r="E69" i="58"/>
  <c r="F69" i="58"/>
  <c r="A70" i="58"/>
  <c r="B70" i="58"/>
  <c r="D70" i="58"/>
  <c r="E70" i="58"/>
  <c r="F70" i="58"/>
  <c r="A72" i="58"/>
  <c r="B72" i="58"/>
  <c r="D72" i="58"/>
  <c r="E72" i="58"/>
  <c r="F72" i="58"/>
  <c r="A73" i="58"/>
  <c r="B73" i="58"/>
  <c r="D73" i="58"/>
  <c r="E73" i="58"/>
  <c r="F73" i="58"/>
  <c r="A74" i="58"/>
  <c r="B74" i="58"/>
  <c r="D74" i="58"/>
  <c r="E74" i="58"/>
  <c r="F74" i="58"/>
  <c r="A76" i="58"/>
  <c r="B76" i="58"/>
  <c r="D76" i="58"/>
  <c r="E76" i="58"/>
  <c r="F76" i="58"/>
  <c r="A77" i="58"/>
  <c r="B77" i="58"/>
  <c r="D77" i="58"/>
  <c r="E77" i="58"/>
  <c r="F77" i="58"/>
  <c r="A78" i="58"/>
  <c r="B78" i="58"/>
  <c r="D78" i="58"/>
  <c r="E78" i="58"/>
  <c r="F78" i="58"/>
  <c r="A79" i="58"/>
  <c r="B79" i="58"/>
  <c r="D79" i="58"/>
  <c r="E79" i="58"/>
  <c r="F79" i="58"/>
  <c r="A80" i="58"/>
  <c r="B80" i="58"/>
  <c r="D80" i="58"/>
  <c r="E80" i="58"/>
  <c r="F80" i="58"/>
  <c r="A81" i="58"/>
  <c r="B81" i="58"/>
  <c r="D81" i="58"/>
  <c r="E81" i="58"/>
  <c r="F81" i="58"/>
  <c r="A82" i="58"/>
  <c r="B82" i="58"/>
  <c r="D82" i="58"/>
  <c r="E82" i="58"/>
  <c r="F82" i="58"/>
  <c r="A83" i="58"/>
  <c r="B83" i="58"/>
  <c r="D83" i="58"/>
  <c r="E83" i="58"/>
  <c r="F83" i="58"/>
  <c r="A84" i="58"/>
  <c r="B84" i="58"/>
  <c r="D84" i="58"/>
  <c r="E84" i="58"/>
  <c r="F84" i="58"/>
  <c r="A85" i="58"/>
  <c r="B85" i="58"/>
  <c r="D85" i="58"/>
  <c r="E85" i="58"/>
  <c r="F85" i="58"/>
  <c r="A86" i="58"/>
  <c r="B86" i="58"/>
  <c r="D86" i="58"/>
  <c r="E86" i="58"/>
  <c r="F86" i="58"/>
  <c r="A87" i="58"/>
  <c r="B87" i="58"/>
  <c r="D87" i="58"/>
  <c r="E87" i="58"/>
  <c r="F87" i="58"/>
  <c r="A88" i="58"/>
  <c r="B88" i="58"/>
  <c r="D88" i="58"/>
  <c r="E88" i="58"/>
  <c r="F88" i="58"/>
  <c r="A89" i="58"/>
  <c r="B89" i="58"/>
  <c r="D89" i="58"/>
  <c r="E89" i="58"/>
  <c r="F89" i="58"/>
  <c r="A90" i="58"/>
  <c r="B90" i="58"/>
  <c r="D90" i="58"/>
  <c r="E90" i="58"/>
  <c r="F90" i="58"/>
  <c r="A91" i="58"/>
  <c r="B91" i="58"/>
  <c r="D91" i="58"/>
  <c r="E91" i="58"/>
  <c r="F91" i="58"/>
  <c r="A92" i="58"/>
  <c r="B92" i="58"/>
  <c r="D92" i="58"/>
  <c r="E92" i="58"/>
  <c r="F92" i="58"/>
  <c r="A93" i="58"/>
  <c r="B93" i="58"/>
  <c r="D93" i="58"/>
  <c r="E93" i="58"/>
  <c r="F93" i="58"/>
  <c r="A94" i="58"/>
  <c r="B94" i="58"/>
  <c r="D94" i="58"/>
  <c r="E94" i="58"/>
  <c r="F94" i="58"/>
  <c r="A95" i="58"/>
  <c r="B95" i="58"/>
  <c r="D95" i="58"/>
  <c r="E95" i="58"/>
  <c r="F95" i="58"/>
  <c r="A96" i="58"/>
  <c r="B96" i="58"/>
  <c r="D96" i="58"/>
  <c r="E96" i="58"/>
  <c r="F96" i="58"/>
  <c r="A97" i="58"/>
  <c r="B97" i="58"/>
  <c r="D97" i="58"/>
  <c r="E97" i="58"/>
  <c r="F97" i="58"/>
  <c r="A98" i="58"/>
  <c r="B98" i="58"/>
  <c r="D98" i="58"/>
  <c r="E98" i="58"/>
  <c r="F98" i="58"/>
  <c r="A99" i="58"/>
  <c r="B99" i="58"/>
  <c r="D99" i="58"/>
  <c r="E99" i="58"/>
  <c r="F99" i="58"/>
  <c r="A100" i="58"/>
  <c r="B100" i="58"/>
  <c r="D100" i="58"/>
  <c r="E100" i="58"/>
  <c r="F100" i="58"/>
  <c r="A101" i="58"/>
  <c r="B101" i="58"/>
  <c r="D101" i="58"/>
  <c r="E101" i="58"/>
  <c r="F101" i="58"/>
  <c r="A102" i="58"/>
  <c r="B102" i="58"/>
  <c r="D102" i="58"/>
  <c r="E102" i="58"/>
  <c r="F102" i="58"/>
  <c r="A103" i="58"/>
  <c r="B103" i="58"/>
  <c r="D103" i="58"/>
  <c r="E103" i="58"/>
  <c r="F103" i="58"/>
  <c r="A104" i="58"/>
  <c r="B104" i="58"/>
  <c r="D104" i="58"/>
  <c r="E104" i="58"/>
  <c r="F104" i="58"/>
  <c r="A105" i="58"/>
  <c r="B105" i="58"/>
  <c r="D105" i="58"/>
  <c r="E105" i="58"/>
  <c r="F105" i="58"/>
  <c r="A106" i="58"/>
  <c r="B106" i="58"/>
  <c r="D106" i="58"/>
  <c r="E106" i="58"/>
  <c r="F106" i="58"/>
  <c r="A107" i="58"/>
  <c r="B107" i="58"/>
  <c r="D107" i="58"/>
  <c r="E107" i="58"/>
  <c r="F107" i="58"/>
  <c r="A108" i="58"/>
  <c r="B108" i="58"/>
  <c r="D108" i="58"/>
  <c r="E108" i="58"/>
  <c r="F108" i="58"/>
  <c r="A109" i="58"/>
  <c r="B109" i="58"/>
  <c r="D109" i="58"/>
  <c r="E109" i="58"/>
  <c r="F109" i="58"/>
  <c r="A110" i="58"/>
  <c r="B110" i="58"/>
  <c r="D110" i="58"/>
  <c r="E110" i="58"/>
  <c r="F110" i="58"/>
  <c r="A111" i="58"/>
  <c r="B111" i="58"/>
  <c r="D111" i="58"/>
  <c r="E111" i="58"/>
  <c r="F111" i="58"/>
  <c r="A112" i="58"/>
  <c r="B112" i="58"/>
  <c r="D112" i="58"/>
  <c r="E112" i="58"/>
  <c r="F112" i="58"/>
  <c r="A113" i="58"/>
  <c r="B113" i="58"/>
  <c r="D113" i="58"/>
  <c r="E113" i="58"/>
  <c r="F113" i="58"/>
  <c r="A114" i="58"/>
  <c r="B114" i="58"/>
  <c r="D114" i="58"/>
  <c r="E114" i="58"/>
  <c r="F114" i="58"/>
  <c r="A115" i="58"/>
  <c r="B115" i="58"/>
  <c r="D115" i="58"/>
  <c r="E115" i="58"/>
  <c r="F115" i="58"/>
  <c r="A116" i="58"/>
  <c r="B116" i="58"/>
  <c r="D116" i="58"/>
  <c r="E116" i="58"/>
  <c r="F116" i="58"/>
  <c r="A122" i="58"/>
  <c r="B122" i="58"/>
  <c r="D122" i="58"/>
  <c r="E122" i="58"/>
  <c r="F122" i="58"/>
  <c r="A123" i="58"/>
  <c r="B123" i="58"/>
  <c r="D123" i="58"/>
  <c r="E123" i="58"/>
  <c r="F123" i="58"/>
  <c r="A124" i="58"/>
  <c r="B124" i="58"/>
  <c r="D124" i="58"/>
  <c r="E124" i="58"/>
  <c r="F124" i="58"/>
  <c r="A125" i="58"/>
  <c r="B125" i="58"/>
  <c r="D125" i="58"/>
  <c r="E125" i="58"/>
  <c r="F125" i="58"/>
  <c r="A126" i="58"/>
  <c r="B126" i="58"/>
  <c r="D126" i="58"/>
  <c r="E126" i="58"/>
  <c r="F126" i="58"/>
  <c r="A127" i="58"/>
  <c r="B127" i="58"/>
  <c r="D127" i="58"/>
  <c r="E127" i="58"/>
  <c r="F127" i="58"/>
  <c r="A128" i="58"/>
  <c r="B128" i="58"/>
  <c r="D128" i="58"/>
  <c r="E128" i="58"/>
  <c r="F128" i="58"/>
  <c r="A129" i="58"/>
  <c r="B129" i="58"/>
  <c r="D129" i="58"/>
  <c r="E129" i="58"/>
  <c r="F129" i="58"/>
  <c r="A132" i="58"/>
  <c r="B132" i="58"/>
  <c r="D132" i="58"/>
  <c r="E132" i="58"/>
  <c r="F132" i="58"/>
  <c r="A133" i="58"/>
  <c r="B133" i="58"/>
  <c r="D133" i="58"/>
  <c r="E133" i="58"/>
  <c r="F133" i="58"/>
  <c r="A134" i="58"/>
  <c r="B134" i="58"/>
  <c r="D134" i="58"/>
  <c r="E134" i="58"/>
  <c r="F134" i="58"/>
  <c r="A136" i="58"/>
  <c r="B136" i="58"/>
  <c r="D136" i="58"/>
  <c r="E136" i="58"/>
  <c r="F136" i="58"/>
  <c r="A137" i="58"/>
  <c r="B137" i="58"/>
  <c r="D137" i="58"/>
  <c r="E137" i="58"/>
  <c r="F137" i="58"/>
  <c r="A138" i="58"/>
  <c r="B138" i="58"/>
  <c r="D138" i="58"/>
  <c r="E138" i="58"/>
  <c r="F138" i="58"/>
  <c r="A144" i="58"/>
  <c r="B144" i="58"/>
  <c r="D144" i="58"/>
  <c r="E144" i="58"/>
  <c r="F144" i="58"/>
  <c r="A145" i="58"/>
  <c r="B145" i="58"/>
  <c r="D145" i="58"/>
  <c r="E145" i="58"/>
  <c r="F145" i="58"/>
  <c r="E4" i="60"/>
  <c r="E9" i="60" s="1"/>
  <c r="D4" i="60"/>
  <c r="D5" i="60" s="1"/>
  <c r="G5" i="61"/>
  <c r="F5" i="61"/>
  <c r="O5" i="61"/>
  <c r="E5" i="61"/>
  <c r="D5" i="61"/>
  <c r="C6" i="60"/>
  <c r="C8" i="60"/>
  <c r="I319" i="61" l="1"/>
  <c r="I327" i="61"/>
  <c r="I335" i="61"/>
  <c r="I343" i="61"/>
  <c r="I351" i="61"/>
  <c r="I359" i="61"/>
  <c r="I367" i="61"/>
  <c r="I375" i="61"/>
  <c r="I399" i="61"/>
  <c r="I407" i="61"/>
  <c r="I415" i="61"/>
  <c r="I423" i="61"/>
  <c r="I431" i="61"/>
  <c r="I439" i="61"/>
  <c r="I447" i="61"/>
  <c r="I455" i="61"/>
  <c r="I463" i="61"/>
  <c r="I471" i="61"/>
  <c r="I479" i="61"/>
  <c r="I487" i="61"/>
  <c r="I495" i="61"/>
  <c r="I503" i="61"/>
  <c r="I511" i="61"/>
  <c r="I519" i="61"/>
  <c r="I527" i="61"/>
  <c r="I535" i="61"/>
  <c r="I543" i="61"/>
  <c r="I551" i="61"/>
  <c r="I559" i="61"/>
  <c r="I567" i="61"/>
  <c r="I575" i="61"/>
  <c r="I583" i="61"/>
  <c r="I591" i="61"/>
  <c r="I599" i="61"/>
  <c r="I607" i="61"/>
  <c r="I615" i="61"/>
  <c r="I623" i="61"/>
  <c r="I631" i="61"/>
  <c r="I639" i="61"/>
  <c r="I647" i="61"/>
  <c r="I655" i="61"/>
  <c r="I663" i="61"/>
  <c r="I671" i="61"/>
  <c r="I679" i="61"/>
  <c r="I687" i="61"/>
  <c r="I695" i="61"/>
  <c r="I703" i="61"/>
  <c r="I711" i="61"/>
  <c r="I719" i="61"/>
  <c r="D54" i="60"/>
  <c r="I150" i="61"/>
  <c r="I158" i="61"/>
  <c r="I210" i="61"/>
  <c r="I214" i="61"/>
  <c r="H216" i="61"/>
  <c r="I218" i="61"/>
  <c r="I222" i="61"/>
  <c r="H224" i="61"/>
  <c r="I226" i="61"/>
  <c r="I230" i="61"/>
  <c r="H232" i="61"/>
  <c r="I234" i="61"/>
  <c r="I238" i="61"/>
  <c r="H240" i="61"/>
  <c r="I242" i="61"/>
  <c r="I246" i="61"/>
  <c r="H248" i="61"/>
  <c r="I250" i="61"/>
  <c r="I254" i="61"/>
  <c r="H256" i="61"/>
  <c r="I258" i="61"/>
  <c r="I262" i="61"/>
  <c r="H264" i="61"/>
  <c r="I266" i="61"/>
  <c r="I270" i="61"/>
  <c r="H272" i="61"/>
  <c r="I274" i="61"/>
  <c r="I278" i="61"/>
  <c r="H280" i="61"/>
  <c r="I282" i="61"/>
  <c r="I286" i="61"/>
  <c r="H288" i="61"/>
  <c r="I290" i="61"/>
  <c r="I294" i="61"/>
  <c r="H296" i="61"/>
  <c r="I298" i="61"/>
  <c r="I302" i="61"/>
  <c r="H304" i="61"/>
  <c r="I306" i="61"/>
  <c r="I310" i="61"/>
  <c r="H312" i="61"/>
  <c r="H23" i="61"/>
  <c r="I25" i="61"/>
  <c r="I56" i="61"/>
  <c r="H58" i="61"/>
  <c r="H62" i="61"/>
  <c r="I64" i="61"/>
  <c r="H66" i="61"/>
  <c r="H70" i="61"/>
  <c r="I72" i="61"/>
  <c r="H74" i="61"/>
  <c r="H78" i="61"/>
  <c r="I80" i="61"/>
  <c r="H82" i="61"/>
  <c r="H86" i="61"/>
  <c r="I88" i="61"/>
  <c r="H90" i="61"/>
  <c r="H94" i="61"/>
  <c r="I96" i="61"/>
  <c r="H98" i="61"/>
  <c r="H102" i="61"/>
  <c r="I104" i="61"/>
  <c r="H106" i="61"/>
  <c r="H110" i="61"/>
  <c r="I112" i="61"/>
  <c r="H114" i="61"/>
  <c r="H118" i="61"/>
  <c r="I120" i="61"/>
  <c r="H122" i="61"/>
  <c r="H126" i="61"/>
  <c r="I128" i="61"/>
  <c r="H130" i="61"/>
  <c r="H134" i="61"/>
  <c r="I136" i="61"/>
  <c r="H138" i="61"/>
  <c r="H142" i="61"/>
  <c r="I144" i="61"/>
  <c r="H150" i="61"/>
  <c r="I152" i="61"/>
  <c r="H154" i="61"/>
  <c r="H158" i="61"/>
  <c r="I160" i="61"/>
  <c r="H162" i="61"/>
  <c r="H166" i="61"/>
  <c r="H170" i="61"/>
  <c r="H174" i="61"/>
  <c r="H178" i="61"/>
  <c r="H182" i="61"/>
  <c r="H186" i="61"/>
  <c r="H190" i="61"/>
  <c r="H194" i="61"/>
  <c r="H198" i="61"/>
  <c r="H202" i="61"/>
  <c r="H206" i="61"/>
  <c r="H210" i="61"/>
  <c r="H218" i="61"/>
  <c r="H226" i="61"/>
  <c r="H234" i="61"/>
  <c r="H242" i="61"/>
  <c r="H250" i="61"/>
  <c r="H258" i="61"/>
  <c r="H266" i="61"/>
  <c r="H274" i="61"/>
  <c r="H282" i="61"/>
  <c r="H290" i="61"/>
  <c r="H298" i="61"/>
  <c r="H306" i="61"/>
  <c r="H314" i="61"/>
  <c r="E308" i="60"/>
  <c r="H31" i="61"/>
  <c r="I33" i="61"/>
  <c r="I37" i="61"/>
  <c r="H39" i="61"/>
  <c r="I41" i="61"/>
  <c r="I45" i="61"/>
  <c r="H47" i="61"/>
  <c r="I49" i="61"/>
  <c r="I53" i="61"/>
  <c r="H55" i="61"/>
  <c r="H315" i="61"/>
  <c r="H319" i="61"/>
  <c r="I321" i="61"/>
  <c r="H323" i="61"/>
  <c r="H327" i="61"/>
  <c r="H331" i="61"/>
  <c r="H335" i="61"/>
  <c r="I337" i="61"/>
  <c r="H339" i="61"/>
  <c r="H343" i="61"/>
  <c r="I345" i="61"/>
  <c r="H347" i="61"/>
  <c r="H351" i="61"/>
  <c r="I353" i="61"/>
  <c r="H355" i="61"/>
  <c r="H359" i="61"/>
  <c r="I361" i="61"/>
  <c r="H363" i="61"/>
  <c r="H367" i="61"/>
  <c r="I369" i="61"/>
  <c r="H371" i="61"/>
  <c r="H375" i="61"/>
  <c r="I377" i="61"/>
  <c r="H379" i="61"/>
  <c r="H383" i="61"/>
  <c r="I385" i="61"/>
  <c r="H387" i="61"/>
  <c r="H391" i="61"/>
  <c r="I145" i="61"/>
  <c r="H330" i="61"/>
  <c r="H378" i="61"/>
  <c r="H394" i="61"/>
  <c r="H490" i="61"/>
  <c r="I393" i="61"/>
  <c r="E1006" i="60"/>
  <c r="I7" i="61"/>
  <c r="H21" i="61"/>
  <c r="I39" i="61"/>
  <c r="H53" i="61"/>
  <c r="I329" i="61"/>
  <c r="I378" i="61"/>
  <c r="I382" i="61"/>
  <c r="H384" i="61"/>
  <c r="I386" i="61"/>
  <c r="I390" i="61"/>
  <c r="H392" i="61"/>
  <c r="H402" i="61"/>
  <c r="H410" i="61"/>
  <c r="H418" i="61"/>
  <c r="H426" i="61"/>
  <c r="H434" i="61"/>
  <c r="H442" i="61"/>
  <c r="H450" i="61"/>
  <c r="H458" i="61"/>
  <c r="H466" i="61"/>
  <c r="H474" i="61"/>
  <c r="H482" i="61"/>
  <c r="E404" i="60"/>
  <c r="I6" i="61"/>
  <c r="I14" i="61"/>
  <c r="I22" i="61"/>
  <c r="I490" i="61"/>
  <c r="I494" i="61"/>
  <c r="H496" i="61"/>
  <c r="I498" i="61"/>
  <c r="I502" i="61"/>
  <c r="H504" i="61"/>
  <c r="I506" i="61"/>
  <c r="I510" i="61"/>
  <c r="H512" i="61"/>
  <c r="I514" i="61"/>
  <c r="I518" i="61"/>
  <c r="H520" i="61"/>
  <c r="I522" i="61"/>
  <c r="I526" i="61"/>
  <c r="H528" i="61"/>
  <c r="I530" i="61"/>
  <c r="I534" i="61"/>
  <c r="H536" i="61"/>
  <c r="I538" i="61"/>
  <c r="I542" i="61"/>
  <c r="H544" i="61"/>
  <c r="I546" i="61"/>
  <c r="I550" i="61"/>
  <c r="H552" i="61"/>
  <c r="I554" i="61"/>
  <c r="I558" i="61"/>
  <c r="H560" i="61"/>
  <c r="I562" i="61"/>
  <c r="I566" i="61"/>
  <c r="H568" i="61"/>
  <c r="I570" i="61"/>
  <c r="I574" i="61"/>
  <c r="H576" i="61"/>
  <c r="I578" i="61"/>
  <c r="I582" i="61"/>
  <c r="H584" i="61"/>
  <c r="I586" i="61"/>
  <c r="I590" i="61"/>
  <c r="H592" i="61"/>
  <c r="I594" i="61"/>
  <c r="I598" i="61"/>
  <c r="H600" i="61"/>
  <c r="I602" i="61"/>
  <c r="I606" i="61"/>
  <c r="H608" i="61"/>
  <c r="I610" i="61"/>
  <c r="I614" i="61"/>
  <c r="H616" i="61"/>
  <c r="I618" i="61"/>
  <c r="I622" i="61"/>
  <c r="H624" i="61"/>
  <c r="I626" i="61"/>
  <c r="I630" i="61"/>
  <c r="H632" i="61"/>
  <c r="I634" i="61"/>
  <c r="I638" i="61"/>
  <c r="H640" i="61"/>
  <c r="I642" i="61"/>
  <c r="I646" i="61"/>
  <c r="H648" i="61"/>
  <c r="I650" i="61"/>
  <c r="I654" i="61"/>
  <c r="H656" i="61"/>
  <c r="I658" i="61"/>
  <c r="I662" i="61"/>
  <c r="H664" i="61"/>
  <c r="I666" i="61"/>
  <c r="I670" i="61"/>
  <c r="H672" i="61"/>
  <c r="I674" i="61"/>
  <c r="H676" i="61"/>
  <c r="I678" i="61"/>
  <c r="H680" i="61"/>
  <c r="I682" i="61"/>
  <c r="H684" i="61"/>
  <c r="I686" i="61"/>
  <c r="H688" i="61"/>
  <c r="I690" i="61"/>
  <c r="H692" i="61"/>
  <c r="I694" i="61"/>
  <c r="H696" i="61"/>
  <c r="I698" i="61"/>
  <c r="H700" i="61"/>
  <c r="I702" i="61"/>
  <c r="H704" i="61"/>
  <c r="I706" i="61"/>
  <c r="H708" i="61"/>
  <c r="I710" i="61"/>
  <c r="H712" i="61"/>
  <c r="I714" i="61"/>
  <c r="H716" i="61"/>
  <c r="I718" i="61"/>
  <c r="H720" i="61"/>
  <c r="I722" i="61"/>
  <c r="H724" i="61"/>
  <c r="H5" i="61"/>
  <c r="D16" i="60"/>
  <c r="D63" i="60"/>
  <c r="H6" i="61"/>
  <c r="I8" i="61"/>
  <c r="H10" i="61"/>
  <c r="H14" i="61"/>
  <c r="I16" i="61"/>
  <c r="H18" i="61"/>
  <c r="H22" i="61"/>
  <c r="H25" i="61"/>
  <c r="H33" i="61"/>
  <c r="H41" i="61"/>
  <c r="H49" i="61"/>
  <c r="I62" i="61"/>
  <c r="I70" i="61"/>
  <c r="I78" i="61"/>
  <c r="I86" i="61"/>
  <c r="I94" i="61"/>
  <c r="I102" i="61"/>
  <c r="I110" i="61"/>
  <c r="I118" i="61"/>
  <c r="I126" i="61"/>
  <c r="I134" i="61"/>
  <c r="I142" i="61"/>
  <c r="H7" i="61"/>
  <c r="I9" i="61"/>
  <c r="I13" i="61"/>
  <c r="H15" i="61"/>
  <c r="I17" i="61"/>
  <c r="I21" i="61"/>
  <c r="I24" i="61"/>
  <c r="H26" i="61"/>
  <c r="H30" i="61"/>
  <c r="I32" i="61"/>
  <c r="H34" i="61"/>
  <c r="H38" i="61"/>
  <c r="I40" i="61"/>
  <c r="H42" i="61"/>
  <c r="H46" i="61"/>
  <c r="I48" i="61"/>
  <c r="H50" i="61"/>
  <c r="H54" i="61"/>
  <c r="H57" i="61"/>
  <c r="H65" i="61"/>
  <c r="H73" i="61"/>
  <c r="H81" i="61"/>
  <c r="H89" i="61"/>
  <c r="H97" i="61"/>
  <c r="H105" i="61"/>
  <c r="H113" i="61"/>
  <c r="H121" i="61"/>
  <c r="H129" i="61"/>
  <c r="H137" i="61"/>
  <c r="H145" i="61"/>
  <c r="H386" i="61"/>
  <c r="I394" i="61"/>
  <c r="I398" i="61"/>
  <c r="H400" i="61"/>
  <c r="I402" i="61"/>
  <c r="I406" i="61"/>
  <c r="H408" i="61"/>
  <c r="I410" i="61"/>
  <c r="I414" i="61"/>
  <c r="H416" i="61"/>
  <c r="I418" i="61"/>
  <c r="I422" i="61"/>
  <c r="H424" i="61"/>
  <c r="I426" i="61"/>
  <c r="I430" i="61"/>
  <c r="H432" i="61"/>
  <c r="I434" i="61"/>
  <c r="I438" i="61"/>
  <c r="H440" i="61"/>
  <c r="I442" i="61"/>
  <c r="I446" i="61"/>
  <c r="H448" i="61"/>
  <c r="I450" i="61"/>
  <c r="I454" i="61"/>
  <c r="H456" i="61"/>
  <c r="I458" i="61"/>
  <c r="I462" i="61"/>
  <c r="H464" i="61"/>
  <c r="I466" i="61"/>
  <c r="I470" i="61"/>
  <c r="H472" i="61"/>
  <c r="I474" i="61"/>
  <c r="I478" i="61"/>
  <c r="H480" i="61"/>
  <c r="I482" i="61"/>
  <c r="I486" i="61"/>
  <c r="H488" i="61"/>
  <c r="H491" i="61"/>
  <c r="H495" i="61"/>
  <c r="I497" i="61"/>
  <c r="H499" i="61"/>
  <c r="H503" i="61"/>
  <c r="I505" i="61"/>
  <c r="H507" i="61"/>
  <c r="H511" i="61"/>
  <c r="I513" i="61"/>
  <c r="H515" i="61"/>
  <c r="H519" i="61"/>
  <c r="I521" i="61"/>
  <c r="H523" i="61"/>
  <c r="H527" i="61"/>
  <c r="I529" i="61"/>
  <c r="H531" i="61"/>
  <c r="H535" i="61"/>
  <c r="I537" i="61"/>
  <c r="H539" i="61"/>
  <c r="H543" i="61"/>
  <c r="I545" i="61"/>
  <c r="H547" i="61"/>
  <c r="H551" i="61"/>
  <c r="I553" i="61"/>
  <c r="H555" i="61"/>
  <c r="H559" i="61"/>
  <c r="I561" i="61"/>
  <c r="H563" i="61"/>
  <c r="H567" i="61"/>
  <c r="I569" i="61"/>
  <c r="H571" i="61"/>
  <c r="H575" i="61"/>
  <c r="I577" i="61"/>
  <c r="H579" i="61"/>
  <c r="H583" i="61"/>
  <c r="I585" i="61"/>
  <c r="H587" i="61"/>
  <c r="H591" i="61"/>
  <c r="I593" i="61"/>
  <c r="H595" i="61"/>
  <c r="H599" i="61"/>
  <c r="I601" i="61"/>
  <c r="H603" i="61"/>
  <c r="H607" i="61"/>
  <c r="I609" i="61"/>
  <c r="H611" i="61"/>
  <c r="H615" i="61"/>
  <c r="I617" i="61"/>
  <c r="H619" i="61"/>
  <c r="H623" i="61"/>
  <c r="I625" i="61"/>
  <c r="H627" i="61"/>
  <c r="H631" i="61"/>
  <c r="I633" i="61"/>
  <c r="H635" i="61"/>
  <c r="H639" i="61"/>
  <c r="I641" i="61"/>
  <c r="H643" i="61"/>
  <c r="H647" i="61"/>
  <c r="I649" i="61"/>
  <c r="H651" i="61"/>
  <c r="H655" i="61"/>
  <c r="I657" i="61"/>
  <c r="H659" i="61"/>
  <c r="H663" i="61"/>
  <c r="I665" i="61"/>
  <c r="H667" i="61"/>
  <c r="H671" i="61"/>
  <c r="H675" i="61"/>
  <c r="H679" i="61"/>
  <c r="H683" i="61"/>
  <c r="H687" i="61"/>
  <c r="H691" i="61"/>
  <c r="H695" i="61"/>
  <c r="H699" i="61"/>
  <c r="H703" i="61"/>
  <c r="H707" i="61"/>
  <c r="H711" i="61"/>
  <c r="H715" i="61"/>
  <c r="H719" i="61"/>
  <c r="H723" i="61"/>
  <c r="H9" i="61"/>
  <c r="H17" i="61"/>
  <c r="I30" i="61"/>
  <c r="H146" i="61"/>
  <c r="I149" i="61"/>
  <c r="H151" i="61"/>
  <c r="I153" i="61"/>
  <c r="I157" i="61"/>
  <c r="H159" i="61"/>
  <c r="I161" i="61"/>
  <c r="I165" i="61"/>
  <c r="I169" i="61"/>
  <c r="I173" i="61"/>
  <c r="I177" i="61"/>
  <c r="I181" i="61"/>
  <c r="I185" i="61"/>
  <c r="I189" i="61"/>
  <c r="I193" i="61"/>
  <c r="I197" i="61"/>
  <c r="I201" i="61"/>
  <c r="I205" i="61"/>
  <c r="I209" i="61"/>
  <c r="H211" i="61"/>
  <c r="H215" i="61"/>
  <c r="I217" i="61"/>
  <c r="H219" i="61"/>
  <c r="H223" i="61"/>
  <c r="I225" i="61"/>
  <c r="H227" i="61"/>
  <c r="H231" i="61"/>
  <c r="I233" i="61"/>
  <c r="H235" i="61"/>
  <c r="H239" i="61"/>
  <c r="I241" i="61"/>
  <c r="H243" i="61"/>
  <c r="H247" i="61"/>
  <c r="I249" i="61"/>
  <c r="H251" i="61"/>
  <c r="H255" i="61"/>
  <c r="I257" i="61"/>
  <c r="H259" i="61"/>
  <c r="H263" i="61"/>
  <c r="I265" i="61"/>
  <c r="H267" i="61"/>
  <c r="H271" i="61"/>
  <c r="I273" i="61"/>
  <c r="H275" i="61"/>
  <c r="H279" i="61"/>
  <c r="I281" i="61"/>
  <c r="H283" i="61"/>
  <c r="H287" i="61"/>
  <c r="I289" i="61"/>
  <c r="H291" i="61"/>
  <c r="H295" i="61"/>
  <c r="I297" i="61"/>
  <c r="H299" i="61"/>
  <c r="H303" i="61"/>
  <c r="I305" i="61"/>
  <c r="H307" i="61"/>
  <c r="H311" i="61"/>
  <c r="I313" i="61"/>
  <c r="H322" i="61"/>
  <c r="I330" i="61"/>
  <c r="I334" i="61"/>
  <c r="H336" i="61"/>
  <c r="I338" i="61"/>
  <c r="I342" i="61"/>
  <c r="H344" i="61"/>
  <c r="I346" i="61"/>
  <c r="I350" i="61"/>
  <c r="H352" i="61"/>
  <c r="I354" i="61"/>
  <c r="I358" i="61"/>
  <c r="H360" i="61"/>
  <c r="I362" i="61"/>
  <c r="I366" i="61"/>
  <c r="H368" i="61"/>
  <c r="I370" i="61"/>
  <c r="I374" i="61"/>
  <c r="H376" i="61"/>
  <c r="I38" i="61"/>
  <c r="I46" i="61"/>
  <c r="I54" i="61"/>
  <c r="I57" i="61"/>
  <c r="I61" i="61"/>
  <c r="H63" i="61"/>
  <c r="I65" i="61"/>
  <c r="I69" i="61"/>
  <c r="H71" i="61"/>
  <c r="I73" i="61"/>
  <c r="I77" i="61"/>
  <c r="H79" i="61"/>
  <c r="I81" i="61"/>
  <c r="I85" i="61"/>
  <c r="H87" i="61"/>
  <c r="I89" i="61"/>
  <c r="I93" i="61"/>
  <c r="H95" i="61"/>
  <c r="I97" i="61"/>
  <c r="I101" i="61"/>
  <c r="H103" i="61"/>
  <c r="I105" i="61"/>
  <c r="I109" i="61"/>
  <c r="H111" i="61"/>
  <c r="I113" i="61"/>
  <c r="I117" i="61"/>
  <c r="H119" i="61"/>
  <c r="I121" i="61"/>
  <c r="I125" i="61"/>
  <c r="H127" i="61"/>
  <c r="I129" i="61"/>
  <c r="I133" i="61"/>
  <c r="H135" i="61"/>
  <c r="I137" i="61"/>
  <c r="I141" i="61"/>
  <c r="H143" i="61"/>
  <c r="H153" i="61"/>
  <c r="H161" i="61"/>
  <c r="I215" i="61"/>
  <c r="I223" i="61"/>
  <c r="I231" i="61"/>
  <c r="I239" i="61"/>
  <c r="I247" i="61"/>
  <c r="I255" i="61"/>
  <c r="I263" i="61"/>
  <c r="I271" i="61"/>
  <c r="I279" i="61"/>
  <c r="I287" i="61"/>
  <c r="I295" i="61"/>
  <c r="I303" i="61"/>
  <c r="I311" i="61"/>
  <c r="I314" i="61"/>
  <c r="I318" i="61"/>
  <c r="H320" i="61"/>
  <c r="I322" i="61"/>
  <c r="I326" i="61"/>
  <c r="H328" i="61"/>
  <c r="H338" i="61"/>
  <c r="H346" i="61"/>
  <c r="H354" i="61"/>
  <c r="H362" i="61"/>
  <c r="H370" i="61"/>
  <c r="I383" i="61"/>
  <c r="I391" i="61"/>
  <c r="H395" i="61"/>
  <c r="H399" i="61"/>
  <c r="I401" i="61"/>
  <c r="H403" i="61"/>
  <c r="H407" i="61"/>
  <c r="I409" i="61"/>
  <c r="H411" i="61"/>
  <c r="H415" i="61"/>
  <c r="I417" i="61"/>
  <c r="H419" i="61"/>
  <c r="H423" i="61"/>
  <c r="I425" i="61"/>
  <c r="H427" i="61"/>
  <c r="H431" i="61"/>
  <c r="I433" i="61"/>
  <c r="H435" i="61"/>
  <c r="H439" i="61"/>
  <c r="I441" i="61"/>
  <c r="H443" i="61"/>
  <c r="H447" i="61"/>
  <c r="I449" i="61"/>
  <c r="H451" i="61"/>
  <c r="H455" i="61"/>
  <c r="I457" i="61"/>
  <c r="H459" i="61"/>
  <c r="H463" i="61"/>
  <c r="I465" i="61"/>
  <c r="H467" i="61"/>
  <c r="H471" i="61"/>
  <c r="I473" i="61"/>
  <c r="H475" i="61"/>
  <c r="H479" i="61"/>
  <c r="I481" i="61"/>
  <c r="H483" i="61"/>
  <c r="H487" i="61"/>
  <c r="I489" i="61"/>
  <c r="H498" i="61"/>
  <c r="H506" i="61"/>
  <c r="H514" i="61"/>
  <c r="H522" i="61"/>
  <c r="H530" i="61"/>
  <c r="H538" i="61"/>
  <c r="H546" i="61"/>
  <c r="H554" i="61"/>
  <c r="H562" i="61"/>
  <c r="H570" i="61"/>
  <c r="H578" i="61"/>
  <c r="H586" i="61"/>
  <c r="H594" i="61"/>
  <c r="H602" i="61"/>
  <c r="H610" i="61"/>
  <c r="H618" i="61"/>
  <c r="H626" i="61"/>
  <c r="H634" i="61"/>
  <c r="H642" i="61"/>
  <c r="H650" i="61"/>
  <c r="H658" i="61"/>
  <c r="H666" i="61"/>
  <c r="H59" i="61"/>
  <c r="I55" i="61"/>
  <c r="H40" i="61"/>
  <c r="H48" i="61"/>
  <c r="H56" i="61"/>
  <c r="I60" i="61"/>
  <c r="I68" i="61"/>
  <c r="I277" i="61"/>
  <c r="H281" i="61"/>
  <c r="I283" i="61"/>
  <c r="H285" i="61"/>
  <c r="I309" i="61"/>
  <c r="H313" i="61"/>
  <c r="I315" i="61"/>
  <c r="H317" i="61"/>
  <c r="I341" i="61"/>
  <c r="H345" i="61"/>
  <c r="I347" i="61"/>
  <c r="H349" i="61"/>
  <c r="I373" i="61"/>
  <c r="H377" i="61"/>
  <c r="I379" i="61"/>
  <c r="H381" i="61"/>
  <c r="I405" i="61"/>
  <c r="H409" i="61"/>
  <c r="I411" i="61"/>
  <c r="H413" i="61"/>
  <c r="I437" i="61"/>
  <c r="I475" i="61"/>
  <c r="H477" i="61"/>
  <c r="I501" i="61"/>
  <c r="H104" i="61"/>
  <c r="H112" i="61"/>
  <c r="H120" i="61"/>
  <c r="I124" i="61"/>
  <c r="H244" i="61"/>
  <c r="H254" i="61"/>
  <c r="E166" i="60"/>
  <c r="E586" i="60"/>
  <c r="I103" i="61"/>
  <c r="H117" i="61"/>
  <c r="I119" i="61"/>
  <c r="H123" i="61"/>
  <c r="I443" i="61"/>
  <c r="H445" i="61"/>
  <c r="I469" i="61"/>
  <c r="I507" i="61"/>
  <c r="H509" i="61"/>
  <c r="E950" i="60"/>
  <c r="H144" i="61"/>
  <c r="I148" i="61"/>
  <c r="H682" i="61"/>
  <c r="H714" i="61"/>
  <c r="E178" i="60"/>
  <c r="E42" i="60"/>
  <c r="E168" i="60"/>
  <c r="D558" i="60"/>
  <c r="E588" i="60"/>
  <c r="E1008" i="60"/>
  <c r="E28" i="60"/>
  <c r="D49" i="60"/>
  <c r="D189" i="60"/>
  <c r="E644" i="60"/>
  <c r="E894" i="60"/>
  <c r="E952" i="60"/>
  <c r="E14" i="60"/>
  <c r="D7" i="60"/>
  <c r="E474" i="60"/>
  <c r="E656" i="60"/>
  <c r="E728" i="60"/>
  <c r="E964" i="60"/>
  <c r="E390" i="60"/>
  <c r="D21" i="60"/>
  <c r="D26" i="60"/>
  <c r="D77" i="60"/>
  <c r="D35" i="60"/>
  <c r="D40" i="60"/>
  <c r="D556" i="60"/>
  <c r="E726" i="60"/>
  <c r="D976" i="60"/>
  <c r="D9" i="60"/>
  <c r="D14" i="60"/>
  <c r="E16" i="60"/>
  <c r="E30" i="60"/>
  <c r="E56" i="60"/>
  <c r="E72" i="60"/>
  <c r="E334" i="60"/>
  <c r="E392" i="60"/>
  <c r="D68" i="60"/>
  <c r="E82" i="60"/>
  <c r="E362" i="60"/>
  <c r="E740" i="60"/>
  <c r="I92" i="61"/>
  <c r="H132" i="61"/>
  <c r="D42" i="60"/>
  <c r="D56" i="60"/>
  <c r="D70" i="60"/>
  <c r="E110" i="60"/>
  <c r="E154" i="60"/>
  <c r="D161" i="60"/>
  <c r="E180" i="60"/>
  <c r="D276" i="60"/>
  <c r="D782" i="60"/>
  <c r="D978" i="60"/>
  <c r="E1020" i="60"/>
  <c r="H8" i="61"/>
  <c r="H16" i="61"/>
  <c r="H24" i="61"/>
  <c r="H88" i="61"/>
  <c r="I140" i="61"/>
  <c r="I164" i="61"/>
  <c r="I168" i="61"/>
  <c r="I172" i="61"/>
  <c r="I176" i="61"/>
  <c r="I180" i="61"/>
  <c r="I184" i="61"/>
  <c r="I188" i="61"/>
  <c r="I192" i="61"/>
  <c r="I196" i="61"/>
  <c r="I200" i="61"/>
  <c r="I204" i="61"/>
  <c r="I208" i="61"/>
  <c r="H214" i="61"/>
  <c r="H222" i="61"/>
  <c r="H228" i="61"/>
  <c r="H270" i="61"/>
  <c r="H292" i="61"/>
  <c r="H302" i="61"/>
  <c r="H324" i="61"/>
  <c r="H334" i="61"/>
  <c r="H356" i="61"/>
  <c r="H366" i="61"/>
  <c r="H388" i="61"/>
  <c r="H398" i="61"/>
  <c r="H420" i="61"/>
  <c r="H430" i="61"/>
  <c r="H452" i="61"/>
  <c r="H462" i="61"/>
  <c r="H484" i="61"/>
  <c r="H494" i="61"/>
  <c r="H516" i="61"/>
  <c r="H524" i="61"/>
  <c r="H698" i="61"/>
  <c r="D138" i="60"/>
  <c r="E670" i="60"/>
  <c r="E810" i="60"/>
  <c r="E922" i="60"/>
  <c r="H136" i="61"/>
  <c r="D278" i="60"/>
  <c r="E628" i="60"/>
  <c r="I28" i="61"/>
  <c r="I36" i="61"/>
  <c r="H72" i="61"/>
  <c r="H80" i="61"/>
  <c r="I100" i="61"/>
  <c r="D28" i="60"/>
  <c r="D96" i="60"/>
  <c r="E194" i="60"/>
  <c r="D446" i="60"/>
  <c r="E516" i="60"/>
  <c r="D642" i="60"/>
  <c r="E698" i="60"/>
  <c r="H147" i="61"/>
  <c r="H249" i="61"/>
  <c r="I525" i="61"/>
  <c r="I23" i="61"/>
  <c r="H27" i="61"/>
  <c r="I71" i="61"/>
  <c r="H85" i="61"/>
  <c r="I87" i="61"/>
  <c r="H91" i="61"/>
  <c r="H163" i="61"/>
  <c r="H167" i="61"/>
  <c r="H171" i="61"/>
  <c r="H175" i="61"/>
  <c r="H179" i="61"/>
  <c r="H183" i="61"/>
  <c r="H187" i="61"/>
  <c r="H191" i="61"/>
  <c r="H195" i="61"/>
  <c r="H199" i="61"/>
  <c r="H203" i="61"/>
  <c r="H207" i="61"/>
  <c r="I221" i="61"/>
  <c r="H225" i="61"/>
  <c r="H229" i="61"/>
  <c r="H233" i="61"/>
  <c r="H237" i="61"/>
  <c r="I261" i="61"/>
  <c r="I269" i="61"/>
  <c r="H297" i="61"/>
  <c r="H329" i="61"/>
  <c r="H361" i="61"/>
  <c r="H393" i="61"/>
  <c r="H425" i="61"/>
  <c r="H441" i="61"/>
  <c r="H473" i="61"/>
  <c r="H505" i="61"/>
  <c r="E51" i="60"/>
  <c r="E47" i="60"/>
  <c r="E682" i="60"/>
  <c r="E684" i="60"/>
  <c r="D1008" i="60"/>
  <c r="D1006" i="60"/>
  <c r="E906" i="60"/>
  <c r="E908" i="60"/>
  <c r="E79" i="60"/>
  <c r="E75" i="60"/>
  <c r="D101" i="60"/>
  <c r="D105" i="60"/>
  <c r="D103" i="60"/>
  <c r="E23" i="60"/>
  <c r="E19" i="60"/>
  <c r="E44" i="60"/>
  <c r="E794" i="60"/>
  <c r="E796" i="60"/>
  <c r="E864" i="60"/>
  <c r="E868" i="60"/>
  <c r="E65" i="60"/>
  <c r="E61" i="60"/>
  <c r="E126" i="60"/>
  <c r="E122" i="60"/>
  <c r="E346" i="60"/>
  <c r="E348" i="60"/>
  <c r="D504" i="60"/>
  <c r="D502" i="60"/>
  <c r="E37" i="60"/>
  <c r="E33" i="60"/>
  <c r="E58" i="60"/>
  <c r="D115" i="60"/>
  <c r="D119" i="60"/>
  <c r="E136" i="60"/>
  <c r="E140" i="60"/>
  <c r="D168" i="60"/>
  <c r="D166" i="60"/>
  <c r="E220" i="60"/>
  <c r="E222" i="60"/>
  <c r="E458" i="60"/>
  <c r="E460" i="60"/>
  <c r="E866" i="60"/>
  <c r="D752" i="60"/>
  <c r="D836" i="60"/>
  <c r="H140" i="61"/>
  <c r="H156" i="61"/>
  <c r="H200" i="61"/>
  <c r="H204" i="61"/>
  <c r="E70" i="60"/>
  <c r="E152" i="60"/>
  <c r="E306" i="60"/>
  <c r="I12" i="61"/>
  <c r="I44" i="61"/>
  <c r="I108" i="61"/>
  <c r="H152" i="61"/>
  <c r="I166" i="61"/>
  <c r="I170" i="61"/>
  <c r="I174" i="61"/>
  <c r="H176" i="61"/>
  <c r="H180" i="61"/>
  <c r="H184" i="61"/>
  <c r="I190" i="61"/>
  <c r="H196" i="61"/>
  <c r="I202" i="61"/>
  <c r="I206" i="61"/>
  <c r="H208" i="61"/>
  <c r="H212" i="61"/>
  <c r="H260" i="61"/>
  <c r="H457" i="61"/>
  <c r="E5" i="60"/>
  <c r="D23" i="60"/>
  <c r="D37" i="60"/>
  <c r="D51" i="60"/>
  <c r="D65" i="60"/>
  <c r="D79" i="60"/>
  <c r="E108" i="60"/>
  <c r="D180" i="60"/>
  <c r="D187" i="60"/>
  <c r="E236" i="60"/>
  <c r="D362" i="60"/>
  <c r="E364" i="60"/>
  <c r="E530" i="60"/>
  <c r="E614" i="60"/>
  <c r="D698" i="60"/>
  <c r="E700" i="60"/>
  <c r="D922" i="60"/>
  <c r="E924" i="60"/>
  <c r="E1034" i="60"/>
  <c r="H11" i="61"/>
  <c r="H37" i="61"/>
  <c r="H43" i="61"/>
  <c r="H69" i="61"/>
  <c r="H75" i="61"/>
  <c r="H101" i="61"/>
  <c r="H107" i="61"/>
  <c r="H131" i="61"/>
  <c r="H141" i="61"/>
  <c r="H157" i="61"/>
  <c r="H213" i="61"/>
  <c r="I229" i="61"/>
  <c r="I237" i="61"/>
  <c r="H241" i="61"/>
  <c r="I245" i="61"/>
  <c r="H253" i="61"/>
  <c r="H261" i="61"/>
  <c r="H265" i="61"/>
  <c r="H269" i="61"/>
  <c r="I293" i="61"/>
  <c r="I299" i="61"/>
  <c r="H301" i="61"/>
  <c r="I325" i="61"/>
  <c r="I331" i="61"/>
  <c r="H333" i="61"/>
  <c r="I357" i="61"/>
  <c r="I363" i="61"/>
  <c r="H365" i="61"/>
  <c r="I389" i="61"/>
  <c r="I395" i="61"/>
  <c r="H397" i="61"/>
  <c r="I421" i="61"/>
  <c r="I427" i="61"/>
  <c r="H429" i="61"/>
  <c r="H566" i="61"/>
  <c r="H572" i="61"/>
  <c r="H580" i="61"/>
  <c r="H598" i="61"/>
  <c r="H604" i="61"/>
  <c r="H612" i="61"/>
  <c r="H630" i="61"/>
  <c r="H636" i="61"/>
  <c r="H644" i="61"/>
  <c r="H662" i="61"/>
  <c r="H668" i="61"/>
  <c r="H674" i="61"/>
  <c r="H690" i="61"/>
  <c r="H706" i="61"/>
  <c r="H722" i="61"/>
  <c r="D416" i="60"/>
  <c r="E642" i="60"/>
  <c r="I76" i="61"/>
  <c r="I132" i="61"/>
  <c r="H164" i="61"/>
  <c r="H168" i="61"/>
  <c r="H172" i="61"/>
  <c r="I178" i="61"/>
  <c r="I182" i="61"/>
  <c r="I186" i="61"/>
  <c r="H188" i="61"/>
  <c r="H192" i="61"/>
  <c r="I194" i="61"/>
  <c r="I198" i="61"/>
  <c r="H238" i="61"/>
  <c r="H489" i="61"/>
  <c r="D89" i="60"/>
  <c r="D418" i="60"/>
  <c r="D754" i="60"/>
  <c r="D838" i="60"/>
  <c r="I453" i="61"/>
  <c r="I459" i="61"/>
  <c r="H461" i="61"/>
  <c r="I485" i="61"/>
  <c r="I491" i="61"/>
  <c r="H493" i="61"/>
  <c r="I517" i="61"/>
  <c r="I533" i="61"/>
  <c r="I541" i="61"/>
  <c r="I549" i="61"/>
  <c r="H556" i="61"/>
  <c r="H564" i="61"/>
  <c r="H582" i="61"/>
  <c r="H588" i="61"/>
  <c r="H596" i="61"/>
  <c r="H614" i="61"/>
  <c r="H620" i="61"/>
  <c r="H628" i="61"/>
  <c r="H646" i="61"/>
  <c r="H652" i="61"/>
  <c r="H660" i="61"/>
  <c r="D308" i="60"/>
  <c r="D304" i="60"/>
  <c r="E782" i="60"/>
  <c r="E850" i="60"/>
  <c r="E852" i="60"/>
  <c r="E96" i="60"/>
  <c r="D336" i="60"/>
  <c r="D334" i="60"/>
  <c r="E446" i="60"/>
  <c r="D672" i="60"/>
  <c r="D670" i="60"/>
  <c r="E836" i="60"/>
  <c r="E840" i="60"/>
  <c r="D1036" i="60"/>
  <c r="D1034" i="60"/>
  <c r="E94" i="60"/>
  <c r="D124" i="60"/>
  <c r="D131" i="60"/>
  <c r="D171" i="60"/>
  <c r="D175" i="60"/>
  <c r="D224" i="60"/>
  <c r="D220" i="60"/>
  <c r="D306" i="60"/>
  <c r="E416" i="60"/>
  <c r="E420" i="60"/>
  <c r="E486" i="60"/>
  <c r="E488" i="60"/>
  <c r="D588" i="60"/>
  <c r="D584" i="60"/>
  <c r="D616" i="60"/>
  <c r="D614" i="60"/>
  <c r="E752" i="60"/>
  <c r="E756" i="60"/>
  <c r="E838" i="60"/>
  <c r="D868" i="60"/>
  <c r="D864" i="60"/>
  <c r="D896" i="60"/>
  <c r="D894" i="60"/>
  <c r="I20" i="61"/>
  <c r="H32" i="61"/>
  <c r="I52" i="61"/>
  <c r="H64" i="61"/>
  <c r="I84" i="61"/>
  <c r="H96" i="61"/>
  <c r="I116" i="61"/>
  <c r="H128" i="61"/>
  <c r="H148" i="61"/>
  <c r="I156" i="61"/>
  <c r="H160" i="61"/>
  <c r="H220" i="61"/>
  <c r="H276" i="61"/>
  <c r="H286" i="61"/>
  <c r="H308" i="61"/>
  <c r="H318" i="61"/>
  <c r="H340" i="61"/>
  <c r="H350" i="61"/>
  <c r="H372" i="61"/>
  <c r="H382" i="61"/>
  <c r="H404" i="61"/>
  <c r="H414" i="61"/>
  <c r="H436" i="61"/>
  <c r="H446" i="61"/>
  <c r="H468" i="61"/>
  <c r="H478" i="61"/>
  <c r="H500" i="61"/>
  <c r="H510" i="61"/>
  <c r="H569" i="61"/>
  <c r="I571" i="61"/>
  <c r="H601" i="61"/>
  <c r="I603" i="61"/>
  <c r="H633" i="61"/>
  <c r="I635" i="61"/>
  <c r="H665" i="61"/>
  <c r="I667" i="61"/>
  <c r="H677" i="61"/>
  <c r="H685" i="61"/>
  <c r="H693" i="61"/>
  <c r="H701" i="61"/>
  <c r="H709" i="61"/>
  <c r="H717" i="61"/>
  <c r="D82" i="60"/>
  <c r="D332" i="60"/>
  <c r="E502" i="60"/>
  <c r="E556" i="60"/>
  <c r="E560" i="60"/>
  <c r="D668" i="60"/>
  <c r="D1032" i="60"/>
  <c r="I5" i="61"/>
  <c r="E21" i="60"/>
  <c r="E35" i="60"/>
  <c r="E49" i="60"/>
  <c r="E63" i="60"/>
  <c r="E77" i="60"/>
  <c r="D91" i="60"/>
  <c r="D110" i="60"/>
  <c r="D117" i="60"/>
  <c r="D143" i="60"/>
  <c r="D145" i="60"/>
  <c r="D152" i="60"/>
  <c r="D159" i="60"/>
  <c r="E192" i="60"/>
  <c r="D196" i="60"/>
  <c r="D194" i="60"/>
  <c r="D222" i="60"/>
  <c r="E224" i="60"/>
  <c r="D252" i="60"/>
  <c r="D250" i="60"/>
  <c r="D392" i="60"/>
  <c r="D388" i="60"/>
  <c r="E418" i="60"/>
  <c r="D586" i="60"/>
  <c r="D728" i="60"/>
  <c r="D724" i="60"/>
  <c r="E754" i="60"/>
  <c r="D866" i="60"/>
  <c r="E976" i="60"/>
  <c r="E980" i="60"/>
  <c r="E206" i="60"/>
  <c r="E208" i="60"/>
  <c r="E570" i="60"/>
  <c r="E572" i="60"/>
  <c r="D133" i="60"/>
  <c r="E248" i="60"/>
  <c r="E252" i="60"/>
  <c r="E276" i="60"/>
  <c r="E280" i="60"/>
  <c r="E290" i="60"/>
  <c r="E292" i="60"/>
  <c r="E448" i="60"/>
  <c r="D476" i="60"/>
  <c r="D474" i="60"/>
  <c r="E504" i="60"/>
  <c r="D532" i="60"/>
  <c r="D530" i="60"/>
  <c r="E784" i="60"/>
  <c r="D812" i="60"/>
  <c r="D810" i="60"/>
  <c r="D952" i="60"/>
  <c r="D948" i="60"/>
  <c r="E336" i="60"/>
  <c r="D360" i="60"/>
  <c r="D444" i="60"/>
  <c r="E476" i="60"/>
  <c r="D500" i="60"/>
  <c r="E532" i="60"/>
  <c r="E616" i="60"/>
  <c r="D640" i="60"/>
  <c r="E672" i="60"/>
  <c r="D696" i="60"/>
  <c r="D780" i="60"/>
  <c r="E812" i="60"/>
  <c r="E896" i="60"/>
  <c r="D920" i="60"/>
  <c r="D1004" i="60"/>
  <c r="E1036" i="60"/>
  <c r="H13" i="61"/>
  <c r="I15" i="61"/>
  <c r="H19" i="61"/>
  <c r="H29" i="61"/>
  <c r="I31" i="61"/>
  <c r="H35" i="61"/>
  <c r="H45" i="61"/>
  <c r="I47" i="61"/>
  <c r="H51" i="61"/>
  <c r="H61" i="61"/>
  <c r="I63" i="61"/>
  <c r="H67" i="61"/>
  <c r="H77" i="61"/>
  <c r="I79" i="61"/>
  <c r="H83" i="61"/>
  <c r="H93" i="61"/>
  <c r="I95" i="61"/>
  <c r="H99" i="61"/>
  <c r="H109" i="61"/>
  <c r="I111" i="61"/>
  <c r="H115" i="61"/>
  <c r="H125" i="61"/>
  <c r="I127" i="61"/>
  <c r="H133" i="61"/>
  <c r="H139" i="61"/>
  <c r="H149" i="61"/>
  <c r="H155" i="61"/>
  <c r="H165" i="61"/>
  <c r="H169" i="61"/>
  <c r="H173" i="61"/>
  <c r="H177" i="61"/>
  <c r="H181" i="61"/>
  <c r="H185" i="61"/>
  <c r="H189" i="61"/>
  <c r="H193" i="61"/>
  <c r="H197" i="61"/>
  <c r="H201" i="61"/>
  <c r="H205" i="61"/>
  <c r="H209" i="61"/>
  <c r="I213" i="61"/>
  <c r="H217" i="61"/>
  <c r="H221" i="61"/>
  <c r="H245" i="61"/>
  <c r="I253" i="61"/>
  <c r="H257" i="61"/>
  <c r="H532" i="61"/>
  <c r="H540" i="61"/>
  <c r="H548" i="61"/>
  <c r="H553" i="61"/>
  <c r="I555" i="61"/>
  <c r="H585" i="61"/>
  <c r="I587" i="61"/>
  <c r="H617" i="61"/>
  <c r="I619" i="61"/>
  <c r="H649" i="61"/>
  <c r="I651" i="61"/>
  <c r="H273" i="61"/>
  <c r="I275" i="61"/>
  <c r="H277" i="61"/>
  <c r="I285" i="61"/>
  <c r="H289" i="61"/>
  <c r="I291" i="61"/>
  <c r="H293" i="61"/>
  <c r="I301" i="61"/>
  <c r="H305" i="61"/>
  <c r="I307" i="61"/>
  <c r="H309" i="61"/>
  <c r="I317" i="61"/>
  <c r="H321" i="61"/>
  <c r="I323" i="61"/>
  <c r="H325" i="61"/>
  <c r="I333" i="61"/>
  <c r="H337" i="61"/>
  <c r="I339" i="61"/>
  <c r="H341" i="61"/>
  <c r="I349" i="61"/>
  <c r="H353" i="61"/>
  <c r="I355" i="61"/>
  <c r="H357" i="61"/>
  <c r="I365" i="61"/>
  <c r="H369" i="61"/>
  <c r="I371" i="61"/>
  <c r="H373" i="61"/>
  <c r="I381" i="61"/>
  <c r="H385" i="61"/>
  <c r="I387" i="61"/>
  <c r="H389" i="61"/>
  <c r="I397" i="61"/>
  <c r="H401" i="61"/>
  <c r="I403" i="61"/>
  <c r="H405" i="61"/>
  <c r="I413" i="61"/>
  <c r="H417" i="61"/>
  <c r="I419" i="61"/>
  <c r="H421" i="61"/>
  <c r="I429" i="61"/>
  <c r="H433" i="61"/>
  <c r="I435" i="61"/>
  <c r="H437" i="61"/>
  <c r="I445" i="61"/>
  <c r="H449" i="61"/>
  <c r="I451" i="61"/>
  <c r="H453" i="61"/>
  <c r="I461" i="61"/>
  <c r="H465" i="61"/>
  <c r="I467" i="61"/>
  <c r="H469" i="61"/>
  <c r="I477" i="61"/>
  <c r="H481" i="61"/>
  <c r="I483" i="61"/>
  <c r="H485" i="61"/>
  <c r="I493" i="61"/>
  <c r="H497" i="61"/>
  <c r="I499" i="61"/>
  <c r="H501" i="61"/>
  <c r="I509" i="61"/>
  <c r="H513" i="61"/>
  <c r="I515" i="61"/>
  <c r="H521" i="61"/>
  <c r="I523" i="61"/>
  <c r="H529" i="61"/>
  <c r="I531" i="61"/>
  <c r="H537" i="61"/>
  <c r="I539" i="61"/>
  <c r="H545" i="61"/>
  <c r="I547" i="61"/>
  <c r="H558" i="61"/>
  <c r="H574" i="61"/>
  <c r="H590" i="61"/>
  <c r="H606" i="61"/>
  <c r="H622" i="61"/>
  <c r="H638" i="61"/>
  <c r="H654" i="61"/>
  <c r="H670" i="61"/>
  <c r="H678" i="61"/>
  <c r="H686" i="61"/>
  <c r="H694" i="61"/>
  <c r="H702" i="61"/>
  <c r="H710" i="61"/>
  <c r="H718" i="61"/>
  <c r="I724" i="61"/>
  <c r="H230" i="61"/>
  <c r="H236" i="61"/>
  <c r="H246" i="61"/>
  <c r="H252" i="61"/>
  <c r="H262" i="61"/>
  <c r="H268" i="61"/>
  <c r="H278" i="61"/>
  <c r="H284" i="61"/>
  <c r="H294" i="61"/>
  <c r="H300" i="61"/>
  <c r="H310" i="61"/>
  <c r="H316" i="61"/>
  <c r="H326" i="61"/>
  <c r="H332" i="61"/>
  <c r="H342" i="61"/>
  <c r="H348" i="61"/>
  <c r="H358" i="61"/>
  <c r="H364" i="61"/>
  <c r="H374" i="61"/>
  <c r="H380" i="61"/>
  <c r="H390" i="61"/>
  <c r="H396" i="61"/>
  <c r="H406" i="61"/>
  <c r="H412" i="61"/>
  <c r="H422" i="61"/>
  <c r="H428" i="61"/>
  <c r="H438" i="61"/>
  <c r="H444" i="61"/>
  <c r="H454" i="61"/>
  <c r="H460" i="61"/>
  <c r="H470" i="61"/>
  <c r="H476" i="61"/>
  <c r="H486" i="61"/>
  <c r="H492" i="61"/>
  <c r="H502" i="61"/>
  <c r="H508" i="61"/>
  <c r="H518" i="61"/>
  <c r="H526" i="61"/>
  <c r="H534" i="61"/>
  <c r="H542" i="61"/>
  <c r="H550" i="61"/>
  <c r="H561" i="61"/>
  <c r="I563" i="61"/>
  <c r="H577" i="61"/>
  <c r="I579" i="61"/>
  <c r="H593" i="61"/>
  <c r="I595" i="61"/>
  <c r="H609" i="61"/>
  <c r="I611" i="61"/>
  <c r="H625" i="61"/>
  <c r="I627" i="61"/>
  <c r="H641" i="61"/>
  <c r="I643" i="61"/>
  <c r="H657" i="61"/>
  <c r="I659" i="61"/>
  <c r="H673" i="61"/>
  <c r="H681" i="61"/>
  <c r="H689" i="61"/>
  <c r="H697" i="61"/>
  <c r="H705" i="61"/>
  <c r="H713" i="61"/>
  <c r="H721" i="61"/>
  <c r="I557" i="61"/>
  <c r="I565" i="61"/>
  <c r="I573" i="61"/>
  <c r="I581" i="61"/>
  <c r="I589" i="61"/>
  <c r="I597" i="61"/>
  <c r="I605" i="61"/>
  <c r="I613" i="61"/>
  <c r="I621" i="61"/>
  <c r="I629" i="61"/>
  <c r="I637" i="61"/>
  <c r="I645" i="61"/>
  <c r="I653" i="61"/>
  <c r="I661" i="61"/>
  <c r="I669" i="61"/>
  <c r="I673" i="61"/>
  <c r="I677" i="61"/>
  <c r="I681" i="61"/>
  <c r="I685" i="61"/>
  <c r="I689" i="61"/>
  <c r="I693" i="61"/>
  <c r="I697" i="61"/>
  <c r="I701" i="61"/>
  <c r="I705" i="61"/>
  <c r="I709" i="61"/>
  <c r="I713" i="61"/>
  <c r="I717" i="61"/>
  <c r="I721" i="61"/>
  <c r="E371" i="60"/>
  <c r="E369" i="60"/>
  <c r="E367" i="60"/>
  <c r="E376" i="60"/>
  <c r="D381" i="60"/>
  <c r="D385" i="60"/>
  <c r="E427" i="60"/>
  <c r="E425" i="60"/>
  <c r="E423" i="60"/>
  <c r="E432" i="60"/>
  <c r="D605" i="60"/>
  <c r="D609" i="60"/>
  <c r="E651" i="60"/>
  <c r="E649" i="60"/>
  <c r="E647" i="60"/>
  <c r="D661" i="60"/>
  <c r="D665" i="60"/>
  <c r="E707" i="60"/>
  <c r="E705" i="60"/>
  <c r="E703" i="60"/>
  <c r="E712" i="60"/>
  <c r="E819" i="60"/>
  <c r="E817" i="60"/>
  <c r="E815" i="60"/>
  <c r="E824" i="60"/>
  <c r="E931" i="60"/>
  <c r="E929" i="60"/>
  <c r="E927" i="60"/>
  <c r="E936" i="60"/>
  <c r="E1043" i="60"/>
  <c r="E1041" i="60"/>
  <c r="E1039" i="60"/>
  <c r="E7" i="60"/>
  <c r="D206" i="60"/>
  <c r="E217" i="60"/>
  <c r="E215" i="60"/>
  <c r="E213" i="60"/>
  <c r="D227" i="60"/>
  <c r="D231" i="60"/>
  <c r="D236" i="60"/>
  <c r="E238" i="60"/>
  <c r="D262" i="60"/>
  <c r="E273" i="60"/>
  <c r="E271" i="60"/>
  <c r="E269" i="60"/>
  <c r="D283" i="60"/>
  <c r="D287" i="60"/>
  <c r="D292" i="60"/>
  <c r="E294" i="60"/>
  <c r="D318" i="60"/>
  <c r="E329" i="60"/>
  <c r="E327" i="60"/>
  <c r="E325" i="60"/>
  <c r="D339" i="60"/>
  <c r="D343" i="60"/>
  <c r="D348" i="60"/>
  <c r="E350" i="60"/>
  <c r="D374" i="60"/>
  <c r="E385" i="60"/>
  <c r="E383" i="60"/>
  <c r="E381" i="60"/>
  <c r="D395" i="60"/>
  <c r="D399" i="60"/>
  <c r="D404" i="60"/>
  <c r="E406" i="60"/>
  <c r="D430" i="60"/>
  <c r="E441" i="60"/>
  <c r="E439" i="60"/>
  <c r="E437" i="60"/>
  <c r="D451" i="60"/>
  <c r="D455" i="60"/>
  <c r="D460" i="60"/>
  <c r="E462" i="60"/>
  <c r="D486" i="60"/>
  <c r="E497" i="60"/>
  <c r="E495" i="60"/>
  <c r="E493" i="60"/>
  <c r="D507" i="60"/>
  <c r="D511" i="60"/>
  <c r="D516" i="60"/>
  <c r="E518" i="60"/>
  <c r="D542" i="60"/>
  <c r="E553" i="60"/>
  <c r="E551" i="60"/>
  <c r="E549" i="60"/>
  <c r="D563" i="60"/>
  <c r="D567" i="60"/>
  <c r="D572" i="60"/>
  <c r="E574" i="60"/>
  <c r="D598" i="60"/>
  <c r="E609" i="60"/>
  <c r="E607" i="60"/>
  <c r="E605" i="60"/>
  <c r="D619" i="60"/>
  <c r="D623" i="60"/>
  <c r="D628" i="60"/>
  <c r="E630" i="60"/>
  <c r="D654" i="60"/>
  <c r="E665" i="60"/>
  <c r="E663" i="60"/>
  <c r="E661" i="60"/>
  <c r="D675" i="60"/>
  <c r="D679" i="60"/>
  <c r="D684" i="60"/>
  <c r="E686" i="60"/>
  <c r="D710" i="60"/>
  <c r="E721" i="60"/>
  <c r="E719" i="60"/>
  <c r="E717" i="60"/>
  <c r="D731" i="60"/>
  <c r="D735" i="60"/>
  <c r="D740" i="60"/>
  <c r="E742" i="60"/>
  <c r="D766" i="60"/>
  <c r="E777" i="60"/>
  <c r="E775" i="60"/>
  <c r="E773" i="60"/>
  <c r="D787" i="60"/>
  <c r="D791" i="60"/>
  <c r="D796" i="60"/>
  <c r="E798" i="60"/>
  <c r="D822" i="60"/>
  <c r="E833" i="60"/>
  <c r="E831" i="60"/>
  <c r="E829" i="60"/>
  <c r="D843" i="60"/>
  <c r="D847" i="60"/>
  <c r="D852" i="60"/>
  <c r="E854" i="60"/>
  <c r="D878" i="60"/>
  <c r="E889" i="60"/>
  <c r="E887" i="60"/>
  <c r="E885" i="60"/>
  <c r="D899" i="60"/>
  <c r="D903" i="60"/>
  <c r="D908" i="60"/>
  <c r="E910" i="60"/>
  <c r="D934" i="60"/>
  <c r="E945" i="60"/>
  <c r="E943" i="60"/>
  <c r="E941" i="60"/>
  <c r="D955" i="60"/>
  <c r="D959" i="60"/>
  <c r="D964" i="60"/>
  <c r="E966" i="60"/>
  <c r="D990" i="60"/>
  <c r="E1001" i="60"/>
  <c r="E999" i="60"/>
  <c r="E997" i="60"/>
  <c r="D1011" i="60"/>
  <c r="D1015" i="60"/>
  <c r="D1020" i="60"/>
  <c r="E1022" i="60"/>
  <c r="I138" i="61"/>
  <c r="I154" i="61"/>
  <c r="D269" i="60"/>
  <c r="D273" i="60"/>
  <c r="E315" i="60"/>
  <c r="E313" i="60"/>
  <c r="E311" i="60"/>
  <c r="E320" i="60"/>
  <c r="D437" i="60"/>
  <c r="D441" i="60"/>
  <c r="D549" i="60"/>
  <c r="D553" i="60"/>
  <c r="E595" i="60"/>
  <c r="E593" i="60"/>
  <c r="E591" i="60"/>
  <c r="E600" i="60"/>
  <c r="E763" i="60"/>
  <c r="E761" i="60"/>
  <c r="E759" i="60"/>
  <c r="E880" i="60"/>
  <c r="D941" i="60"/>
  <c r="D945" i="60"/>
  <c r="E987" i="60"/>
  <c r="E985" i="60"/>
  <c r="E983" i="60"/>
  <c r="E992" i="60"/>
  <c r="E91" i="60"/>
  <c r="E89" i="60"/>
  <c r="E105" i="60"/>
  <c r="E103" i="60"/>
  <c r="E119" i="60"/>
  <c r="E117" i="60"/>
  <c r="E133" i="60"/>
  <c r="E131" i="60"/>
  <c r="E147" i="60"/>
  <c r="E145" i="60"/>
  <c r="E161" i="60"/>
  <c r="E159" i="60"/>
  <c r="E175" i="60"/>
  <c r="E173" i="60"/>
  <c r="E189" i="60"/>
  <c r="E187" i="60"/>
  <c r="E231" i="60"/>
  <c r="E229" i="60"/>
  <c r="E227" i="60"/>
  <c r="D241" i="60"/>
  <c r="D245" i="60"/>
  <c r="D271" i="60"/>
  <c r="E287" i="60"/>
  <c r="E285" i="60"/>
  <c r="E283" i="60"/>
  <c r="D297" i="60"/>
  <c r="D301" i="60"/>
  <c r="E343" i="60"/>
  <c r="E341" i="60"/>
  <c r="E339" i="60"/>
  <c r="D353" i="60"/>
  <c r="D357" i="60"/>
  <c r="D383" i="60"/>
  <c r="E399" i="60"/>
  <c r="E397" i="60"/>
  <c r="E395" i="60"/>
  <c r="D409" i="60"/>
  <c r="D413" i="60"/>
  <c r="D439" i="60"/>
  <c r="E455" i="60"/>
  <c r="E453" i="60"/>
  <c r="E451" i="60"/>
  <c r="D465" i="60"/>
  <c r="D469" i="60"/>
  <c r="E511" i="60"/>
  <c r="E509" i="60"/>
  <c r="E507" i="60"/>
  <c r="D521" i="60"/>
  <c r="D525" i="60"/>
  <c r="D551" i="60"/>
  <c r="E567" i="60"/>
  <c r="E565" i="60"/>
  <c r="E563" i="60"/>
  <c r="D577" i="60"/>
  <c r="D581" i="60"/>
  <c r="D607" i="60"/>
  <c r="E623" i="60"/>
  <c r="E621" i="60"/>
  <c r="E619" i="60"/>
  <c r="D633" i="60"/>
  <c r="D637" i="60"/>
  <c r="D663" i="60"/>
  <c r="E679" i="60"/>
  <c r="E677" i="60"/>
  <c r="E675" i="60"/>
  <c r="D689" i="60"/>
  <c r="D693" i="60"/>
  <c r="E735" i="60"/>
  <c r="E733" i="60"/>
  <c r="E731" i="60"/>
  <c r="D745" i="60"/>
  <c r="D749" i="60"/>
  <c r="E791" i="60"/>
  <c r="E789" i="60"/>
  <c r="E787" i="60"/>
  <c r="D801" i="60"/>
  <c r="D805" i="60"/>
  <c r="E847" i="60"/>
  <c r="E845" i="60"/>
  <c r="E843" i="60"/>
  <c r="D857" i="60"/>
  <c r="D861" i="60"/>
  <c r="E903" i="60"/>
  <c r="E901" i="60"/>
  <c r="E899" i="60"/>
  <c r="D913" i="60"/>
  <c r="D917" i="60"/>
  <c r="D943" i="60"/>
  <c r="E959" i="60"/>
  <c r="E957" i="60"/>
  <c r="E955" i="60"/>
  <c r="D969" i="60"/>
  <c r="D973" i="60"/>
  <c r="E1015" i="60"/>
  <c r="E1013" i="60"/>
  <c r="E1011" i="60"/>
  <c r="D1025" i="60"/>
  <c r="D1029" i="60"/>
  <c r="E203" i="60"/>
  <c r="E201" i="60"/>
  <c r="E199" i="60"/>
  <c r="D213" i="60"/>
  <c r="D217" i="60"/>
  <c r="E259" i="60"/>
  <c r="E257" i="60"/>
  <c r="E255" i="60"/>
  <c r="E264" i="60"/>
  <c r="D325" i="60"/>
  <c r="D329" i="60"/>
  <c r="E483" i="60"/>
  <c r="E481" i="60"/>
  <c r="E479" i="60"/>
  <c r="D493" i="60"/>
  <c r="D497" i="60"/>
  <c r="E539" i="60"/>
  <c r="E537" i="60"/>
  <c r="E535" i="60"/>
  <c r="E544" i="60"/>
  <c r="D717" i="60"/>
  <c r="D721" i="60"/>
  <c r="E768" i="60"/>
  <c r="D773" i="60"/>
  <c r="D777" i="60"/>
  <c r="D829" i="60"/>
  <c r="D833" i="60"/>
  <c r="E875" i="60"/>
  <c r="E873" i="60"/>
  <c r="E871" i="60"/>
  <c r="D885" i="60"/>
  <c r="D889" i="60"/>
  <c r="D997" i="60"/>
  <c r="D1001" i="60"/>
  <c r="D94" i="60"/>
  <c r="D108" i="60"/>
  <c r="D122" i="60"/>
  <c r="D136" i="60"/>
  <c r="D150" i="60"/>
  <c r="D164" i="60"/>
  <c r="D178" i="60"/>
  <c r="D192" i="60"/>
  <c r="D199" i="60"/>
  <c r="D203" i="60"/>
  <c r="D208" i="60"/>
  <c r="E210" i="60"/>
  <c r="D229" i="60"/>
  <c r="D234" i="60"/>
  <c r="E245" i="60"/>
  <c r="E243" i="60"/>
  <c r="E241" i="60"/>
  <c r="D255" i="60"/>
  <c r="D259" i="60"/>
  <c r="D264" i="60"/>
  <c r="E266" i="60"/>
  <c r="D285" i="60"/>
  <c r="D290" i="60"/>
  <c r="E301" i="60"/>
  <c r="E299" i="60"/>
  <c r="E297" i="60"/>
  <c r="D311" i="60"/>
  <c r="D315" i="60"/>
  <c r="D320" i="60"/>
  <c r="E322" i="60"/>
  <c r="D341" i="60"/>
  <c r="D346" i="60"/>
  <c r="E357" i="60"/>
  <c r="E355" i="60"/>
  <c r="E353" i="60"/>
  <c r="D367" i="60"/>
  <c r="D371" i="60"/>
  <c r="D376" i="60"/>
  <c r="E378" i="60"/>
  <c r="D397" i="60"/>
  <c r="D402" i="60"/>
  <c r="E413" i="60"/>
  <c r="E411" i="60"/>
  <c r="E409" i="60"/>
  <c r="D423" i="60"/>
  <c r="D427" i="60"/>
  <c r="D432" i="60"/>
  <c r="E434" i="60"/>
  <c r="D453" i="60"/>
  <c r="D458" i="60"/>
  <c r="E469" i="60"/>
  <c r="E467" i="60"/>
  <c r="E465" i="60"/>
  <c r="D479" i="60"/>
  <c r="D483" i="60"/>
  <c r="D488" i="60"/>
  <c r="E490" i="60"/>
  <c r="D509" i="60"/>
  <c r="D514" i="60"/>
  <c r="E525" i="60"/>
  <c r="E523" i="60"/>
  <c r="E521" i="60"/>
  <c r="D535" i="60"/>
  <c r="D539" i="60"/>
  <c r="D544" i="60"/>
  <c r="E546" i="60"/>
  <c r="D565" i="60"/>
  <c r="D570" i="60"/>
  <c r="E581" i="60"/>
  <c r="E579" i="60"/>
  <c r="E577" i="60"/>
  <c r="D591" i="60"/>
  <c r="D595" i="60"/>
  <c r="D600" i="60"/>
  <c r="E602" i="60"/>
  <c r="D621" i="60"/>
  <c r="D626" i="60"/>
  <c r="E637" i="60"/>
  <c r="E635" i="60"/>
  <c r="E633" i="60"/>
  <c r="D647" i="60"/>
  <c r="D651" i="60"/>
  <c r="D656" i="60"/>
  <c r="E658" i="60"/>
  <c r="D677" i="60"/>
  <c r="D682" i="60"/>
  <c r="E693" i="60"/>
  <c r="E691" i="60"/>
  <c r="E689" i="60"/>
  <c r="D703" i="60"/>
  <c r="D707" i="60"/>
  <c r="D712" i="60"/>
  <c r="E714" i="60"/>
  <c r="D733" i="60"/>
  <c r="D738" i="60"/>
  <c r="E749" i="60"/>
  <c r="E747" i="60"/>
  <c r="E745" i="60"/>
  <c r="D759" i="60"/>
  <c r="D763" i="60"/>
  <c r="D768" i="60"/>
  <c r="E770" i="60"/>
  <c r="D789" i="60"/>
  <c r="D794" i="60"/>
  <c r="E805" i="60"/>
  <c r="E803" i="60"/>
  <c r="E801" i="60"/>
  <c r="D815" i="60"/>
  <c r="D819" i="60"/>
  <c r="D824" i="60"/>
  <c r="E826" i="60"/>
  <c r="D845" i="60"/>
  <c r="D850" i="60"/>
  <c r="E861" i="60"/>
  <c r="E859" i="60"/>
  <c r="E857" i="60"/>
  <c r="D871" i="60"/>
  <c r="D875" i="60"/>
  <c r="D880" i="60"/>
  <c r="E882" i="60"/>
  <c r="D901" i="60"/>
  <c r="D906" i="60"/>
  <c r="E917" i="60"/>
  <c r="E915" i="60"/>
  <c r="E913" i="60"/>
  <c r="D927" i="60"/>
  <c r="D931" i="60"/>
  <c r="D936" i="60"/>
  <c r="E938" i="60"/>
  <c r="D957" i="60"/>
  <c r="D962" i="60"/>
  <c r="E973" i="60"/>
  <c r="E971" i="60"/>
  <c r="E969" i="60"/>
  <c r="D983" i="60"/>
  <c r="D987" i="60"/>
  <c r="D992" i="60"/>
  <c r="E994" i="60"/>
  <c r="D1013" i="60"/>
  <c r="D1018" i="60"/>
  <c r="E1029" i="60"/>
  <c r="E1027" i="60"/>
  <c r="E1025" i="60"/>
  <c r="D1039" i="60"/>
  <c r="D1043" i="60"/>
  <c r="I10" i="61"/>
  <c r="H12" i="61"/>
  <c r="I18" i="61"/>
  <c r="H20" i="61"/>
  <c r="I26" i="61"/>
  <c r="H28" i="61"/>
  <c r="I34" i="61"/>
  <c r="H36" i="61"/>
  <c r="I42" i="61"/>
  <c r="H44" i="61"/>
  <c r="I50" i="61"/>
  <c r="H52" i="61"/>
  <c r="I58" i="61"/>
  <c r="H60" i="61"/>
  <c r="I66" i="61"/>
  <c r="H68" i="61"/>
  <c r="I74" i="61"/>
  <c r="H76" i="61"/>
  <c r="I82" i="61"/>
  <c r="H84" i="61"/>
  <c r="I90" i="61"/>
  <c r="H92" i="61"/>
  <c r="I98" i="61"/>
  <c r="H100" i="61"/>
  <c r="I106" i="61"/>
  <c r="H108" i="61"/>
  <c r="I114" i="61"/>
  <c r="H116" i="61"/>
  <c r="I122" i="61"/>
  <c r="H124" i="61"/>
  <c r="I130" i="61"/>
  <c r="I146" i="61"/>
  <c r="I162" i="61"/>
  <c r="I11" i="61"/>
  <c r="I19" i="61"/>
  <c r="I27" i="61"/>
  <c r="I35" i="61"/>
  <c r="I43" i="61"/>
  <c r="I51" i="61"/>
  <c r="I59" i="61"/>
  <c r="I67" i="61"/>
  <c r="I75" i="61"/>
  <c r="I83" i="61"/>
  <c r="I91" i="61"/>
  <c r="I99" i="61"/>
  <c r="I107" i="61"/>
  <c r="I115" i="61"/>
  <c r="I123" i="61"/>
  <c r="I131" i="61"/>
  <c r="I139" i="61"/>
  <c r="I147" i="61"/>
  <c r="I155" i="61"/>
  <c r="I163" i="61"/>
  <c r="I167" i="61"/>
  <c r="I171" i="61"/>
  <c r="I175" i="61"/>
  <c r="I179" i="61"/>
  <c r="I183" i="61"/>
  <c r="I187" i="61"/>
  <c r="I191" i="61"/>
  <c r="I195" i="61"/>
  <c r="I199" i="61"/>
  <c r="I203" i="61"/>
  <c r="I207" i="61"/>
  <c r="I211" i="61"/>
  <c r="I227" i="61"/>
  <c r="I243" i="61"/>
  <c r="I259" i="61"/>
  <c r="I135" i="61"/>
  <c r="I143" i="61"/>
  <c r="I151" i="61"/>
  <c r="I159" i="61"/>
  <c r="I219" i="61"/>
  <c r="I235" i="61"/>
  <c r="I251" i="61"/>
  <c r="I267" i="61"/>
  <c r="I216" i="61"/>
  <c r="I224" i="61"/>
  <c r="I232" i="61"/>
  <c r="I240" i="61"/>
  <c r="I248" i="61"/>
  <c r="I256" i="61"/>
  <c r="I264" i="61"/>
  <c r="I272" i="61"/>
  <c r="I280" i="61"/>
  <c r="I288" i="61"/>
  <c r="I296" i="61"/>
  <c r="I304" i="61"/>
  <c r="I312" i="61"/>
  <c r="I320" i="61"/>
  <c r="I328" i="61"/>
  <c r="I336" i="61"/>
  <c r="I344" i="61"/>
  <c r="I352" i="61"/>
  <c r="I360" i="61"/>
  <c r="I368" i="61"/>
  <c r="I376" i="61"/>
  <c r="I384" i="61"/>
  <c r="I392" i="61"/>
  <c r="I400" i="61"/>
  <c r="I408" i="61"/>
  <c r="I416" i="61"/>
  <c r="I424" i="61"/>
  <c r="I432" i="61"/>
  <c r="I440" i="61"/>
  <c r="I448" i="61"/>
  <c r="I456" i="61"/>
  <c r="I464" i="61"/>
  <c r="I472" i="61"/>
  <c r="I480" i="61"/>
  <c r="I488" i="61"/>
  <c r="I496" i="61"/>
  <c r="I504" i="61"/>
  <c r="I512" i="61"/>
  <c r="I520" i="61"/>
  <c r="I528" i="61"/>
  <c r="I536" i="61"/>
  <c r="I544" i="61"/>
  <c r="I552" i="61"/>
  <c r="I560" i="61"/>
  <c r="I568" i="61"/>
  <c r="I576" i="61"/>
  <c r="I584" i="61"/>
  <c r="I592" i="61"/>
  <c r="I600" i="61"/>
  <c r="I608" i="61"/>
  <c r="I616" i="61"/>
  <c r="I624" i="61"/>
  <c r="I632" i="61"/>
  <c r="I640" i="61"/>
  <c r="I648" i="61"/>
  <c r="I656" i="61"/>
  <c r="I664" i="61"/>
  <c r="I672" i="61"/>
  <c r="I676" i="61"/>
  <c r="I680" i="61"/>
  <c r="I684" i="61"/>
  <c r="I688" i="61"/>
  <c r="I692" i="61"/>
  <c r="I696" i="61"/>
  <c r="I700" i="61"/>
  <c r="I704" i="61"/>
  <c r="I708" i="61"/>
  <c r="I712" i="61"/>
  <c r="I716" i="61"/>
  <c r="I720" i="61"/>
  <c r="H517" i="61"/>
  <c r="H525" i="61"/>
  <c r="H533" i="61"/>
  <c r="H541" i="61"/>
  <c r="H549" i="61"/>
  <c r="H557" i="61"/>
  <c r="H565" i="61"/>
  <c r="H573" i="61"/>
  <c r="H581" i="61"/>
  <c r="H589" i="61"/>
  <c r="H597" i="61"/>
  <c r="H605" i="61"/>
  <c r="H613" i="61"/>
  <c r="H621" i="61"/>
  <c r="H629" i="61"/>
  <c r="H637" i="61"/>
  <c r="H645" i="61"/>
  <c r="H653" i="61"/>
  <c r="H661" i="61"/>
  <c r="H669" i="61"/>
  <c r="I212" i="61"/>
  <c r="I220" i="61"/>
  <c r="I228" i="61"/>
  <c r="I236" i="61"/>
  <c r="I244" i="61"/>
  <c r="I252" i="61"/>
  <c r="I260" i="61"/>
  <c r="I268" i="61"/>
  <c r="I276" i="61"/>
  <c r="I284" i="61"/>
  <c r="I292" i="61"/>
  <c r="I300" i="61"/>
  <c r="I308" i="61"/>
  <c r="I316" i="61"/>
  <c r="I324" i="61"/>
  <c r="I332" i="61"/>
  <c r="I340" i="61"/>
  <c r="I348" i="61"/>
  <c r="I356" i="61"/>
  <c r="I364" i="61"/>
  <c r="I372" i="61"/>
  <c r="I380" i="61"/>
  <c r="I388" i="61"/>
  <c r="I396" i="61"/>
  <c r="I404" i="61"/>
  <c r="I412" i="61"/>
  <c r="I420" i="61"/>
  <c r="I428" i="61"/>
  <c r="I436" i="61"/>
  <c r="I444" i="61"/>
  <c r="I452" i="61"/>
  <c r="I460" i="61"/>
  <c r="I468" i="61"/>
  <c r="I476" i="61"/>
  <c r="I484" i="61"/>
  <c r="I492" i="61"/>
  <c r="I500" i="61"/>
  <c r="I508" i="61"/>
  <c r="I516" i="61"/>
  <c r="I524" i="61"/>
  <c r="I532" i="61"/>
  <c r="I540" i="61"/>
  <c r="I548" i="61"/>
  <c r="I556" i="61"/>
  <c r="I564" i="61"/>
  <c r="I572" i="61"/>
  <c r="I580" i="61"/>
  <c r="I588" i="61"/>
  <c r="I596" i="61"/>
  <c r="I604" i="61"/>
  <c r="I612" i="61"/>
  <c r="I620" i="61"/>
  <c r="I628" i="61"/>
  <c r="I636" i="61"/>
  <c r="I644" i="61"/>
  <c r="I652" i="61"/>
  <c r="I660" i="61"/>
  <c r="I668" i="61"/>
</calcChain>
</file>

<file path=xl/sharedStrings.xml><?xml version="1.0" encoding="utf-8"?>
<sst xmlns="http://schemas.openxmlformats.org/spreadsheetml/2006/main" count="1709" uniqueCount="351">
  <si>
    <t>Equipment</t>
  </si>
  <si>
    <t>Type</t>
  </si>
  <si>
    <t>Cal Date</t>
  </si>
  <si>
    <t>Cal Interval</t>
  </si>
  <si>
    <t>Cal Due</t>
  </si>
  <si>
    <t>Phantom</t>
  </si>
  <si>
    <t>Dielectric Assessment Kit</t>
  </si>
  <si>
    <t>DAE</t>
  </si>
  <si>
    <t>E-Field Probe</t>
  </si>
  <si>
    <t>Network Analyzer</t>
  </si>
  <si>
    <t>Power Meter</t>
  </si>
  <si>
    <t>Power Sensor</t>
  </si>
  <si>
    <t>Signal Generator</t>
  </si>
  <si>
    <t>Power Amplifier</t>
  </si>
  <si>
    <t>Dual Directional Coupler</t>
  </si>
  <si>
    <t>LP Filter</t>
  </si>
  <si>
    <t>Attenuator</t>
  </si>
  <si>
    <t>Digital Thermometer</t>
  </si>
  <si>
    <t>Communication Tester</t>
  </si>
  <si>
    <t>Technical Manager</t>
  </si>
  <si>
    <t>Dielectric Parameters</t>
  </si>
  <si>
    <t>Permittivity</t>
  </si>
  <si>
    <t>Conductivity</t>
  </si>
  <si>
    <t>D835V2</t>
  </si>
  <si>
    <t>4d138</t>
  </si>
  <si>
    <t>D900V2</t>
  </si>
  <si>
    <t>1d136</t>
  </si>
  <si>
    <t>D1750V2</t>
  </si>
  <si>
    <t>D1800V2</t>
  </si>
  <si>
    <t>2d193</t>
  </si>
  <si>
    <t>D1900V2</t>
  </si>
  <si>
    <t>5d158</t>
  </si>
  <si>
    <t>D2300V2</t>
  </si>
  <si>
    <t>D2450V2</t>
  </si>
  <si>
    <t>D2600V2</t>
  </si>
  <si>
    <t>D5GHzV2</t>
  </si>
  <si>
    <t>CLA150</t>
  </si>
  <si>
    <t>D300V3</t>
  </si>
  <si>
    <t>D450V3</t>
  </si>
  <si>
    <t>D600V3</t>
  </si>
  <si>
    <t>D750V3</t>
  </si>
  <si>
    <t>D1450V2</t>
  </si>
  <si>
    <t>D1640V2</t>
  </si>
  <si>
    <t>2d074</t>
  </si>
  <si>
    <t>5d033</t>
  </si>
  <si>
    <t>D1950V3</t>
  </si>
  <si>
    <t>D3500V2</t>
  </si>
  <si>
    <t>DAKS-3.5</t>
  </si>
  <si>
    <t>SAM Phantom</t>
  </si>
  <si>
    <t>DAK-3.5</t>
  </si>
  <si>
    <t>DAE3</t>
  </si>
  <si>
    <t>EX3DV4</t>
  </si>
  <si>
    <t>E5071C</t>
  </si>
  <si>
    <t>MY46111535</t>
  </si>
  <si>
    <t>E4419B</t>
  </si>
  <si>
    <t>GB43311125</t>
  </si>
  <si>
    <t>E4416A</t>
  </si>
  <si>
    <t>GB41292123</t>
  </si>
  <si>
    <t>E9300H</t>
  </si>
  <si>
    <t>MY41495307</t>
  </si>
  <si>
    <t>MY41495314</t>
  </si>
  <si>
    <t>E9327A</t>
  </si>
  <si>
    <t>US40441371</t>
  </si>
  <si>
    <t>E8247C</t>
  </si>
  <si>
    <t>MY43321024</t>
  </si>
  <si>
    <t>BLMA1060-10</t>
  </si>
  <si>
    <t>2002-BBS2C4AEL</t>
  </si>
  <si>
    <t>778D</t>
  </si>
  <si>
    <t>MY52180497</t>
  </si>
  <si>
    <t>772D</t>
  </si>
  <si>
    <t>MY52180226</t>
  </si>
  <si>
    <t>LA-15N</t>
  </si>
  <si>
    <t>LF02</t>
  </si>
  <si>
    <t>LA-30N</t>
  </si>
  <si>
    <t>LF03</t>
  </si>
  <si>
    <t>05AS102-K03</t>
  </si>
  <si>
    <t>A1</t>
  </si>
  <si>
    <t>05AS102-K20</t>
  </si>
  <si>
    <t>A4</t>
  </si>
  <si>
    <t>BJ5478</t>
  </si>
  <si>
    <t>12091382-1</t>
  </si>
  <si>
    <t>SDT25</t>
  </si>
  <si>
    <t>CMW500</t>
  </si>
  <si>
    <t>MT8821C</t>
  </si>
  <si>
    <t>Biennial</t>
  </si>
  <si>
    <t>DAE4</t>
  </si>
  <si>
    <t>ET3DV6</t>
  </si>
  <si>
    <t>E5070B</t>
  </si>
  <si>
    <t>GB43311715</t>
  </si>
  <si>
    <t>N1914A</t>
  </si>
  <si>
    <t>MY56120017</t>
  </si>
  <si>
    <t>N8481A</t>
  </si>
  <si>
    <t>MY56120026</t>
  </si>
  <si>
    <t>MY56120030</t>
  </si>
  <si>
    <t>NRP-Z81</t>
  </si>
  <si>
    <t>E4421B</t>
  </si>
  <si>
    <t>E4438C</t>
  </si>
  <si>
    <t>MY43350132</t>
  </si>
  <si>
    <t>MY44270498</t>
  </si>
  <si>
    <t>SMBV100A</t>
  </si>
  <si>
    <t>AMP2027</t>
  </si>
  <si>
    <t>1029 D/C 0341</t>
  </si>
  <si>
    <t>2092-BBS5K8CAJ</t>
  </si>
  <si>
    <t>MY52180578</t>
  </si>
  <si>
    <t>MY52180259</t>
  </si>
  <si>
    <t>777D</t>
  </si>
  <si>
    <t>86205A</t>
  </si>
  <si>
    <t>MY31402302</t>
  </si>
  <si>
    <t>WLJ6-700-980-5000-60EF</t>
  </si>
  <si>
    <t>WLJ5-1500-2355-6000-60EF</t>
  </si>
  <si>
    <t>WLJ4-3000-5850-8000-60EF</t>
  </si>
  <si>
    <t>WLJ8-6000-7440-8000-60EF</t>
  </si>
  <si>
    <t>LA-07N</t>
  </si>
  <si>
    <t>LF01</t>
  </si>
  <si>
    <t>LA-60N</t>
  </si>
  <si>
    <t>LF04</t>
  </si>
  <si>
    <t>BY6201</t>
  </si>
  <si>
    <t>CB6049</t>
  </si>
  <si>
    <t>A2</t>
  </si>
  <si>
    <t>11708A</t>
  </si>
  <si>
    <t>HTC-1</t>
  </si>
  <si>
    <t>14032782-1</t>
  </si>
  <si>
    <t>TE-201</t>
  </si>
  <si>
    <t>TE-201-1</t>
  </si>
  <si>
    <t>TE-201-2</t>
  </si>
  <si>
    <t>TE-201-3</t>
  </si>
  <si>
    <t>Hygro-Thermometer</t>
  </si>
  <si>
    <t>MT8820C</t>
  </si>
  <si>
    <t>DAKS_VNA R140</t>
  </si>
  <si>
    <t>FSV7</t>
  </si>
  <si>
    <t>Spectrum Analyzer</t>
  </si>
  <si>
    <t>Annual</t>
  </si>
  <si>
    <t>-</t>
  </si>
  <si>
    <t>Mid</t>
    <phoneticPr fontId="1" type="noConversion"/>
  </si>
  <si>
    <t>channel</t>
    <phoneticPr fontId="1" type="noConversion"/>
  </si>
  <si>
    <t>GSM max</t>
    <phoneticPr fontId="1" type="noConversion"/>
  </si>
  <si>
    <t>WCMDA</t>
    <phoneticPr fontId="1" type="noConversion"/>
  </si>
  <si>
    <t>LTE TDD</t>
    <phoneticPr fontId="1" type="noConversion"/>
  </si>
  <si>
    <t>GSM</t>
    <phoneticPr fontId="1" type="noConversion"/>
  </si>
  <si>
    <t>WCDMA</t>
    <phoneticPr fontId="1" type="noConversion"/>
  </si>
  <si>
    <t>Mid</t>
  </si>
  <si>
    <t>Mid</t>
    <phoneticPr fontId="1" type="noConversion"/>
  </si>
  <si>
    <t>Mid</t>
    <phoneticPr fontId="1" type="noConversion"/>
  </si>
  <si>
    <t>Mid</t>
    <phoneticPr fontId="1" type="noConversion"/>
  </si>
  <si>
    <t>LTE FDD1</t>
    <phoneticPr fontId="1" type="noConversion"/>
  </si>
  <si>
    <t>LTE FDD2</t>
    <phoneticPr fontId="1" type="noConversion"/>
  </si>
  <si>
    <t>LTE FDD3</t>
    <phoneticPr fontId="1" type="noConversion"/>
  </si>
  <si>
    <t>LTE FDD4</t>
    <phoneticPr fontId="1" type="noConversion"/>
  </si>
  <si>
    <t>AS</t>
    <phoneticPr fontId="1" type="noConversion"/>
  </si>
  <si>
    <t>AS_GSM</t>
    <phoneticPr fontId="1" type="noConversion"/>
  </si>
  <si>
    <t>AS_WCDMA</t>
    <phoneticPr fontId="1" type="noConversion"/>
  </si>
  <si>
    <t>AS_LTE FDD1</t>
    <phoneticPr fontId="1" type="noConversion"/>
  </si>
  <si>
    <t>AS_LTE FDD2</t>
    <phoneticPr fontId="1" type="noConversion"/>
  </si>
  <si>
    <t>AS_LTE FDD3</t>
    <phoneticPr fontId="1" type="noConversion"/>
  </si>
  <si>
    <t>AS_LTE FDD4</t>
    <phoneticPr fontId="1" type="noConversion"/>
  </si>
  <si>
    <t>AS_LTE TDD</t>
    <phoneticPr fontId="1" type="noConversion"/>
  </si>
  <si>
    <t>Serial Number</t>
    <phoneticPr fontId="1" type="noConversion"/>
  </si>
  <si>
    <t>Software Reference</t>
  </si>
  <si>
    <t>Equipments Used During Test</t>
    <phoneticPr fontId="1" type="noConversion"/>
  </si>
  <si>
    <t>Test Engineer</t>
    <phoneticPr fontId="1" type="noConversion"/>
  </si>
  <si>
    <t>Test Specification</t>
    <phoneticPr fontId="1" type="noConversion"/>
  </si>
  <si>
    <t>Test Date</t>
    <phoneticPr fontId="1" type="noConversion"/>
  </si>
  <si>
    <t>Dipole List</t>
    <phoneticPr fontId="1" type="noConversion"/>
  </si>
  <si>
    <t>10g SAR</t>
    <phoneticPr fontId="1" type="noConversion"/>
  </si>
  <si>
    <t>1g SAR</t>
    <phoneticPr fontId="1" type="noConversion"/>
  </si>
  <si>
    <t>Frequency</t>
    <phoneticPr fontId="1" type="noConversion"/>
  </si>
  <si>
    <t>Verification Target</t>
    <phoneticPr fontId="1" type="noConversion"/>
  </si>
  <si>
    <t>Serial Number</t>
    <phoneticPr fontId="1" type="noConversion"/>
  </si>
  <si>
    <t>Seongyeon Yu</t>
    <phoneticPr fontId="1" type="noConversion"/>
  </si>
  <si>
    <t>Minsoo Kim</t>
    <phoneticPr fontId="1" type="noConversion"/>
  </si>
  <si>
    <t>CHINA</t>
    <phoneticPr fontId="1" type="noConversion"/>
  </si>
  <si>
    <t>Jongho Park</t>
    <phoneticPr fontId="1" type="noConversion"/>
  </si>
  <si>
    <t>INDIA</t>
    <phoneticPr fontId="1" type="noConversion"/>
  </si>
  <si>
    <t>James Kim</t>
    <phoneticPr fontId="1" type="noConversion"/>
  </si>
  <si>
    <t>ACMA</t>
    <phoneticPr fontId="1" type="noConversion"/>
  </si>
  <si>
    <t>Matthew Park</t>
    <phoneticPr fontId="1" type="noConversion"/>
  </si>
  <si>
    <t>IC</t>
    <phoneticPr fontId="1" type="noConversion"/>
  </si>
  <si>
    <t>Jamie Kim</t>
    <phoneticPr fontId="1" type="noConversion"/>
  </si>
  <si>
    <t>CE</t>
    <phoneticPr fontId="1" type="noConversion"/>
  </si>
  <si>
    <t>Minhyuk Han</t>
    <phoneticPr fontId="1" type="noConversion"/>
  </si>
  <si>
    <t>KC</t>
    <phoneticPr fontId="1" type="noConversion"/>
  </si>
  <si>
    <t>Inwoo Whang</t>
    <phoneticPr fontId="1" type="noConversion"/>
  </si>
  <si>
    <t xml:space="preserve">FCC </t>
    <phoneticPr fontId="1" type="noConversion"/>
  </si>
  <si>
    <t>Test Engineer</t>
    <phoneticPr fontId="1" type="noConversion"/>
  </si>
  <si>
    <t>Test Shield Room</t>
    <phoneticPr fontId="1" type="noConversion"/>
  </si>
  <si>
    <t>Test Specification</t>
    <phoneticPr fontId="1" type="noConversion"/>
  </si>
  <si>
    <t>Deviation (%)</t>
  </si>
  <si>
    <t>Target Tissue</t>
  </si>
  <si>
    <t>f (㎒)</t>
  </si>
  <si>
    <t>10g Deviation (%)</t>
  </si>
  <si>
    <t>1g Deviation (%)</t>
  </si>
  <si>
    <t>Normalized
SAR 10 g
(1 W)</t>
    <phoneticPr fontId="1" type="noConversion"/>
  </si>
  <si>
    <t>Normalized
SAR 1 g
(1 W)</t>
    <phoneticPr fontId="1" type="noConversion"/>
  </si>
  <si>
    <t>Target SAR 10 g from Standard
(1 W)</t>
    <phoneticPr fontId="1" type="noConversion"/>
  </si>
  <si>
    <t>Target SAR 1 g from Standard
(1 W)</t>
    <phoneticPr fontId="1" type="noConversion"/>
  </si>
  <si>
    <t>Tissue
(MHz)</t>
    <phoneticPr fontId="1" type="noConversion"/>
  </si>
  <si>
    <t>Probe
S/N</t>
    <phoneticPr fontId="1" type="noConversion"/>
  </si>
  <si>
    <t>Finn Kim</t>
    <phoneticPr fontId="1" type="noConversion"/>
  </si>
  <si>
    <t>기본정보</t>
    <phoneticPr fontId="1" type="noConversion"/>
  </si>
  <si>
    <t>장비 교정</t>
    <phoneticPr fontId="1" type="noConversion"/>
  </si>
  <si>
    <t>다이폴 정보</t>
    <phoneticPr fontId="1" type="noConversion"/>
  </si>
  <si>
    <t>용액 유도전율</t>
    <phoneticPr fontId="1" type="noConversion"/>
  </si>
  <si>
    <t>-</t>
    <phoneticPr fontId="1" type="noConversion"/>
  </si>
  <si>
    <t>GUNPO1 Room #1</t>
    <phoneticPr fontId="1" type="noConversion"/>
  </si>
  <si>
    <t>GUNPO1 Room #2</t>
    <phoneticPr fontId="1" type="noConversion"/>
  </si>
  <si>
    <t>GUNPO1 Room #3</t>
    <phoneticPr fontId="1" type="noConversion"/>
  </si>
  <si>
    <t>GUNPO3 Room #1</t>
    <phoneticPr fontId="1" type="noConversion"/>
  </si>
  <si>
    <t>GUNPO3 Room #2</t>
    <phoneticPr fontId="1" type="noConversion"/>
  </si>
  <si>
    <t>Position</t>
    <phoneticPr fontId="1" type="noConversion"/>
  </si>
  <si>
    <t>Head / Body</t>
    <phoneticPr fontId="1" type="noConversion"/>
  </si>
  <si>
    <t>Band</t>
    <phoneticPr fontId="1" type="noConversion"/>
  </si>
  <si>
    <t>대역</t>
    <phoneticPr fontId="1" type="noConversion"/>
  </si>
  <si>
    <t>측정값</t>
    <phoneticPr fontId="1" type="noConversion"/>
  </si>
  <si>
    <t>Head</t>
    <phoneticPr fontId="1" type="noConversion"/>
  </si>
  <si>
    <t>Body</t>
    <phoneticPr fontId="1" type="noConversion"/>
  </si>
  <si>
    <t xml:space="preserve">Measured, </t>
    <phoneticPr fontId="1" type="noConversion"/>
  </si>
  <si>
    <t>Order No.</t>
    <phoneticPr fontId="1" type="noConversion"/>
  </si>
  <si>
    <t>Report No.</t>
    <phoneticPr fontId="1" type="noConversion"/>
  </si>
  <si>
    <t>DUT No.</t>
    <phoneticPr fontId="1" type="noConversion"/>
  </si>
  <si>
    <t>Applicant</t>
    <phoneticPr fontId="1" type="noConversion"/>
  </si>
  <si>
    <t>DUT Name</t>
    <phoneticPr fontId="1" type="noConversion"/>
  </si>
  <si>
    <t>Model Name</t>
    <phoneticPr fontId="1" type="noConversion"/>
  </si>
  <si>
    <t>Test Shield Room</t>
    <phoneticPr fontId="1" type="noConversion"/>
  </si>
  <si>
    <t>Test Platform</t>
    <phoneticPr fontId="1" type="noConversion"/>
  </si>
  <si>
    <t>Manufacture</t>
    <phoneticPr fontId="1" type="noConversion"/>
  </si>
  <si>
    <t>Description</t>
    <phoneticPr fontId="1" type="noConversion"/>
  </si>
  <si>
    <t>Software Reference</t>
    <phoneticPr fontId="1" type="noConversion"/>
  </si>
  <si>
    <t>SPEAG DASY System</t>
    <phoneticPr fontId="1" type="noConversion"/>
  </si>
  <si>
    <t>SPEAG</t>
    <phoneticPr fontId="1" type="noConversion"/>
  </si>
  <si>
    <t>SAR Test System (Frequency range 300 MHz – 6 GHz)</t>
    <phoneticPr fontId="1" type="noConversion"/>
  </si>
  <si>
    <t>Tissue type</t>
    <phoneticPr fontId="1" type="noConversion"/>
  </si>
  <si>
    <t>Limits / Measured</t>
    <phoneticPr fontId="1" type="noConversion"/>
  </si>
  <si>
    <t>Permittivity</t>
    <phoneticPr fontId="1" type="noConversion"/>
  </si>
  <si>
    <t>Conductivity</t>
    <phoneticPr fontId="1" type="noConversion"/>
  </si>
  <si>
    <t>Simulated Tissue Temp(℃)</t>
    <phoneticPr fontId="1" type="noConversion"/>
  </si>
  <si>
    <t>Band</t>
    <phoneticPr fontId="1" type="noConversion"/>
  </si>
  <si>
    <t>Chamber</t>
    <phoneticPr fontId="1" type="noConversion"/>
  </si>
  <si>
    <t>Verification
Kit</t>
    <phoneticPr fontId="1" type="noConversion"/>
  </si>
  <si>
    <t>Date</t>
    <phoneticPr fontId="1" type="noConversion"/>
  </si>
  <si>
    <t>Liquid Temp. (°C)</t>
    <phoneticPr fontId="1" type="noConversion"/>
  </si>
  <si>
    <t>Chamber</t>
    <phoneticPr fontId="1" type="noConversion"/>
  </si>
  <si>
    <t>1g</t>
    <phoneticPr fontId="1" type="noConversion"/>
  </si>
  <si>
    <t>10g</t>
    <phoneticPr fontId="1" type="noConversion"/>
  </si>
  <si>
    <t>TP-1720</t>
  </si>
  <si>
    <t>TP-1721</t>
  </si>
  <si>
    <t>TP-1821</t>
  </si>
  <si>
    <t>TP-1843</t>
  </si>
  <si>
    <t>TP-1169</t>
  </si>
  <si>
    <t>TP-1200</t>
  </si>
  <si>
    <t>TP-1244</t>
  </si>
  <si>
    <t>TP-1910</t>
  </si>
  <si>
    <t>TP-1911</t>
  </si>
  <si>
    <t>TP-1905</t>
  </si>
  <si>
    <t>TP-1908</t>
  </si>
  <si>
    <t>MY42100282</t>
  </si>
  <si>
    <t>GB41291455</t>
  </si>
  <si>
    <t>Site</t>
  </si>
  <si>
    <t>Gunpo1</t>
  </si>
  <si>
    <t>Gunpo3</t>
  </si>
  <si>
    <t>LTE 28</t>
  </si>
  <si>
    <t>LTE 20</t>
  </si>
  <si>
    <t>GSM 900, WCDMA 8, 
LTE 8</t>
  </si>
  <si>
    <t>GSM 1800, 
LTE 3</t>
  </si>
  <si>
    <t>WCDMA 1, 
LTE 1</t>
  </si>
  <si>
    <t>LTE 40</t>
  </si>
  <si>
    <t>WLAN 2.4 GHz</t>
  </si>
  <si>
    <t>LTE 7, 38</t>
  </si>
  <si>
    <t>5G NR n78</t>
  </si>
  <si>
    <t>WLAN 5.2 GHz</t>
  </si>
  <si>
    <t>WLAN 5.6 GHz</t>
  </si>
  <si>
    <t>WLAN 5.8 GHz</t>
  </si>
  <si>
    <t>Site</t>
    <phoneticPr fontId="1" type="noConversion"/>
  </si>
  <si>
    <t>D750V3
SN:1085</t>
  </si>
  <si>
    <t>D835V2
SN:490</t>
  </si>
  <si>
    <t>D900V2
SN:188</t>
  </si>
  <si>
    <t>D1800V2
SN:2d074</t>
  </si>
  <si>
    <t>D1900V2
SN:5d033</t>
  </si>
  <si>
    <t>D1950V3
SN:1110</t>
  </si>
  <si>
    <t>D2300V2
SN:1037</t>
  </si>
  <si>
    <t>D2450V2
SN:734</t>
  </si>
  <si>
    <t>D2600V2
SN:1038</t>
  </si>
  <si>
    <t>D3500V2
SN:1058</t>
  </si>
  <si>
    <t>D3700V2
SN:1005</t>
  </si>
  <si>
    <t>D5GHzV2
SN:1106</t>
  </si>
  <si>
    <t>D835V2
SN:4d138</t>
  </si>
  <si>
    <t>D900V2
SN:1d136</t>
  </si>
  <si>
    <t>D1800V2
SN:2d193</t>
  </si>
  <si>
    <t>D1900V2
SN:5d158</t>
  </si>
  <si>
    <t>D2300V2
SN:1071</t>
  </si>
  <si>
    <t>D2450V2
SN:892</t>
  </si>
  <si>
    <t>D2600V2
SN:1124</t>
  </si>
  <si>
    <t>D5GHzV2
SN:1130</t>
  </si>
  <si>
    <t>GSM 900, WCDMA 8, LTE 8</t>
  </si>
  <si>
    <t>GSM 1800, LTE 3</t>
  </si>
  <si>
    <t>WCDMA 1, LTE 1</t>
  </si>
  <si>
    <t>N/A</t>
  </si>
  <si>
    <t>ELI Phantom</t>
  </si>
  <si>
    <t>Verification Dipole</t>
  </si>
  <si>
    <t>D3700V2</t>
  </si>
  <si>
    <t>Radio Communication Test Station</t>
  </si>
  <si>
    <t>MT8000A</t>
  </si>
  <si>
    <t>D1750V2
SN:1116</t>
  </si>
  <si>
    <t>CLA150
SN:4013</t>
  </si>
  <si>
    <t>D300V3
SN:1020</t>
  </si>
  <si>
    <t>D450V3
SN:1084</t>
  </si>
  <si>
    <t>D600V3
SN:1004</t>
  </si>
  <si>
    <t>D1450V2
SN:1060</t>
  </si>
  <si>
    <t>D1640V2
SN:331</t>
  </si>
  <si>
    <t>D1750V2
SN:1070</t>
  </si>
  <si>
    <t>HPUE</t>
    <phoneticPr fontId="1" type="noConversion"/>
  </si>
  <si>
    <t>Mid</t>
    <phoneticPr fontId="1" type="noConversion"/>
  </si>
  <si>
    <t>Mid</t>
    <phoneticPr fontId="1" type="noConversion"/>
  </si>
  <si>
    <t>D4900V2</t>
    <phoneticPr fontId="1" type="noConversion"/>
  </si>
  <si>
    <t>D4900V2
SN:1020</t>
    <phoneticPr fontId="1" type="noConversion"/>
  </si>
  <si>
    <t>DASY52: 52.10.3(1513) / SEMCAD X: 14.6.13(7474)</t>
    <phoneticPr fontId="1" type="noConversion"/>
  </si>
  <si>
    <t>DASY52: 52.10.3(1513) / SEMCAD X: 14.6.13(7474)</t>
  </si>
  <si>
    <t>FSP</t>
    <phoneticPr fontId="1" type="noConversion"/>
  </si>
  <si>
    <t>CE</t>
  </si>
  <si>
    <t>Mid</t>
    <phoneticPr fontId="1" type="noConversion"/>
  </si>
  <si>
    <t>TP-1997</t>
  </si>
  <si>
    <t>TP-1997</t>
    <phoneticPr fontId="1" type="noConversion"/>
  </si>
  <si>
    <t>TP-1998</t>
  </si>
  <si>
    <t>TP-1998</t>
    <phoneticPr fontId="1" type="noConversion"/>
  </si>
  <si>
    <t>D3900V2</t>
    <phoneticPr fontId="1" type="noConversion"/>
  </si>
  <si>
    <t>D4600V2</t>
    <phoneticPr fontId="1" type="noConversion"/>
  </si>
  <si>
    <t>EUmmWV4</t>
    <phoneticPr fontId="1" type="noConversion"/>
  </si>
  <si>
    <t>5G Verification Source 30GHz</t>
    <phoneticPr fontId="1" type="noConversion"/>
  </si>
  <si>
    <t xml:space="preserve">5G Verification Source </t>
    <phoneticPr fontId="1" type="noConversion"/>
  </si>
  <si>
    <t>303C</t>
    <phoneticPr fontId="1" type="noConversion"/>
  </si>
  <si>
    <t>A5</t>
    <phoneticPr fontId="1" type="noConversion"/>
  </si>
  <si>
    <t>A6</t>
  </si>
  <si>
    <t>A7</t>
  </si>
  <si>
    <t>A8</t>
  </si>
  <si>
    <t>A9</t>
  </si>
  <si>
    <t>RFHB1210NC2</t>
    <phoneticPr fontId="1" type="noConversion"/>
  </si>
  <si>
    <t>RFHB1203NC2</t>
    <phoneticPr fontId="1" type="noConversion"/>
  </si>
  <si>
    <t>RFHB1203NC2</t>
    <phoneticPr fontId="1" type="noConversion"/>
  </si>
  <si>
    <t>D3900V2
SN:1036</t>
    <phoneticPr fontId="1" type="noConversion"/>
  </si>
  <si>
    <t>D4600V2
SN:1036</t>
    <phoneticPr fontId="1" type="noConversion"/>
  </si>
  <si>
    <t>5G Verification Source 30GHz
SN:1062</t>
    <phoneticPr fontId="1" type="noConversion"/>
  </si>
  <si>
    <t>4600 Dipole 1036 자리</t>
    <phoneticPr fontId="1" type="noConversion"/>
  </si>
  <si>
    <t>4900 Dipole 1020 자리</t>
    <phoneticPr fontId="1" type="noConversion"/>
  </si>
  <si>
    <t>1.5GHz LP Filter 자리</t>
    <phoneticPr fontId="1" type="noConversion"/>
  </si>
  <si>
    <t>3.0GHz LP Filter 자리</t>
    <phoneticPr fontId="1" type="noConversion"/>
  </si>
  <si>
    <t>6.0GHz LP Filter 자리</t>
    <phoneticPr fontId="1" type="noConversion"/>
  </si>
  <si>
    <t>A5</t>
    <phoneticPr fontId="1" type="noConversion"/>
  </si>
  <si>
    <t>A6</t>
    <phoneticPr fontId="1" type="noConversion"/>
  </si>
  <si>
    <t>A7</t>
    <phoneticPr fontId="1" type="noConversion"/>
  </si>
  <si>
    <t>A8</t>
    <phoneticPr fontId="1" type="noConversion"/>
  </si>
  <si>
    <t>A9</t>
    <phoneticPr fontId="1" type="noConversion"/>
  </si>
  <si>
    <t>Measured, 2020-00-00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</si>
</sst>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9" x14ac:knownFonts="1">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theme="1"/>
      <name val="맑은 고딕"/>
      <family val="3"/>
      <charset val="129"/>
      <scheme val="major"/>
    </font>
    <font>
      <sz val="10"/>
      <color rgb="FF000000"/>
      <name val="맑은 고딕"/>
      <family val="3"/>
      <charset val="129"/>
      <scheme val="major"/>
    </font>
    <font>
      <b/>
      <sz val="10"/>
      <color theme="1"/>
      <name val="맑은 고딕"/>
      <family val="3"/>
      <charset val="129"/>
      <scheme val="major"/>
    </font>
    <font>
      <sz val="11"/>
      <name val="돋움"/>
      <family val="3"/>
      <charset val="129"/>
    </font>
    <font>
      <sz val="9"/>
      <color theme="1"/>
      <name val="맑은 고딕"/>
      <family val="3"/>
      <charset val="129"/>
      <scheme val="minor"/>
    </font>
  </fonts>
  <fills count="7">
    <fill>
      <patternFill patternType="none"/>
    </fill>
    <fill>
      <patternFill patternType="gray125"/>
    </fill>
    <fill>
      <patternFill patternType="solid">
        <fgColor rgb="FFDAEEF3"/>
        <bgColor indexed="64"/>
      </patternFill>
    </fill>
    <fill>
      <patternFill patternType="solid">
        <fgColor theme="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0" tint="-0.249977111117893"/>
        <bgColor indexed="64"/>
      </patternFill>
    </fill>
  </fills>
  <borders count="1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auto="1"/>
      </left>
      <right style="thin">
        <color auto="1"/>
      </right>
      <top style="thin">
        <color auto="1"/>
      </top>
      <bottom style="thin">
        <color auto="1"/>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right style="thin">
        <color theme="0"/>
      </right>
      <top/>
      <bottom style="thin">
        <color theme="0"/>
      </bottom>
      <diagonal/>
    </border>
    <border>
      <left/>
      <right/>
      <top style="thin">
        <color theme="0"/>
      </top>
      <bottom style="thin">
        <color theme="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theme="0"/>
      </right>
      <top style="thin">
        <color theme="0"/>
      </top>
      <bottom/>
      <diagonal/>
    </border>
    <border>
      <left style="thin">
        <color theme="0"/>
      </left>
      <right/>
      <top/>
      <bottom style="thin">
        <color theme="0"/>
      </bottom>
      <diagonal/>
    </border>
  </borders>
  <cellStyleXfs count="2">
    <xf numFmtId="0" fontId="0" fillId="0" borderId="0">
      <alignment vertical="center"/>
    </xf>
    <xf numFmtId="0" fontId="7" fillId="0" borderId="0" applyBorder="0">
      <alignment vertical="center"/>
    </xf>
  </cellStyleXfs>
  <cellXfs count="109">
    <xf numFmtId="0" fontId="0" fillId="0" borderId="0" xfId="0">
      <alignment vertical="center"/>
    </xf>
    <xf numFmtId="0" fontId="4" fillId="0" borderId="1" xfId="0" applyFont="1" applyBorder="1">
      <alignment vertical="center"/>
    </xf>
    <xf numFmtId="2" fontId="4" fillId="0" borderId="4" xfId="0" applyNumberFormat="1" applyFont="1" applyBorder="1" applyAlignment="1">
      <alignment horizontal="center" vertical="center"/>
    </xf>
    <xf numFmtId="0" fontId="4" fillId="0" borderId="3" xfId="0" applyFont="1" applyBorder="1">
      <alignment vertical="center"/>
    </xf>
    <xf numFmtId="0" fontId="4" fillId="0" borderId="2" xfId="0" applyFont="1" applyBorder="1">
      <alignment vertical="center"/>
    </xf>
    <xf numFmtId="0" fontId="4" fillId="0" borderId="7" xfId="0" applyFont="1" applyBorder="1">
      <alignment vertical="center"/>
    </xf>
    <xf numFmtId="0" fontId="4" fillId="0" borderId="8" xfId="0" applyFont="1" applyBorder="1">
      <alignment vertical="center"/>
    </xf>
    <xf numFmtId="0" fontId="4" fillId="0" borderId="5" xfId="0" applyFont="1" applyBorder="1">
      <alignment vertical="center"/>
    </xf>
    <xf numFmtId="0" fontId="4" fillId="0" borderId="6" xfId="0" applyFont="1" applyBorder="1">
      <alignment vertical="center"/>
    </xf>
    <xf numFmtId="0" fontId="6" fillId="4" borderId="4" xfId="0" applyFont="1" applyFill="1" applyBorder="1" applyAlignment="1">
      <alignment horizontal="center" vertical="center" wrapText="1"/>
    </xf>
    <xf numFmtId="0" fontId="2" fillId="0" borderId="2" xfId="0" applyFont="1" applyBorder="1">
      <alignment vertical="center"/>
    </xf>
    <xf numFmtId="0" fontId="2" fillId="0" borderId="1" xfId="0" applyFont="1" applyBorder="1">
      <alignment vertical="center"/>
    </xf>
    <xf numFmtId="0" fontId="4" fillId="0" borderId="4" xfId="0" applyFont="1" applyBorder="1" applyAlignment="1">
      <alignment horizontal="center" vertical="center"/>
    </xf>
    <xf numFmtId="0" fontId="4" fillId="0" borderId="4" xfId="0" applyFont="1" applyBorder="1" applyAlignment="1">
      <alignment horizontal="center" vertical="center" wrapText="1"/>
    </xf>
    <xf numFmtId="0" fontId="4" fillId="0" borderId="1" xfId="0" applyFont="1" applyBorder="1" applyAlignment="1">
      <alignment horizontal="center" vertical="center"/>
    </xf>
    <xf numFmtId="2" fontId="8" fillId="0" borderId="4" xfId="0" applyNumberFormat="1" applyFont="1" applyFill="1" applyBorder="1" applyAlignment="1">
      <alignment horizontal="center" vertical="center"/>
    </xf>
    <xf numFmtId="0" fontId="4" fillId="0" borderId="4" xfId="0" applyFont="1" applyBorder="1">
      <alignment vertical="center"/>
    </xf>
    <xf numFmtId="0" fontId="4" fillId="0" borderId="12" xfId="0" applyFont="1" applyBorder="1">
      <alignment vertical="center"/>
    </xf>
    <xf numFmtId="0" fontId="6" fillId="4" borderId="12"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2" borderId="4" xfId="0" applyFont="1" applyFill="1" applyBorder="1" applyAlignment="1">
      <alignment horizontal="center" vertical="center" wrapText="1"/>
    </xf>
    <xf numFmtId="0" fontId="4" fillId="0" borderId="15" xfId="0" applyFont="1" applyBorder="1">
      <alignment vertical="center"/>
    </xf>
    <xf numFmtId="0" fontId="6" fillId="6" borderId="4" xfId="0" applyFont="1" applyFill="1" applyBorder="1" applyAlignment="1">
      <alignment horizontal="center" vertical="center"/>
    </xf>
    <xf numFmtId="0" fontId="4" fillId="0" borderId="12" xfId="0" applyFont="1" applyBorder="1" applyAlignment="1">
      <alignment horizontal="left" vertical="center"/>
    </xf>
    <xf numFmtId="0" fontId="3" fillId="5" borderId="4" xfId="0" applyFont="1" applyFill="1" applyBorder="1" applyAlignment="1">
      <alignment horizontal="left" vertical="center"/>
    </xf>
    <xf numFmtId="0" fontId="3" fillId="5" borderId="4" xfId="0" applyFont="1" applyFill="1" applyBorder="1" applyAlignment="1">
      <alignment horizontal="left" vertical="center" wrapText="1"/>
    </xf>
    <xf numFmtId="0" fontId="3" fillId="5" borderId="4" xfId="0" applyFont="1" applyFill="1" applyBorder="1" applyAlignment="1">
      <alignment horizontal="center" vertical="center" wrapText="1"/>
    </xf>
    <xf numFmtId="0" fontId="3" fillId="5" borderId="4" xfId="0" applyFont="1" applyFill="1" applyBorder="1" applyAlignment="1">
      <alignment horizontal="justify" vertical="center" wrapText="1"/>
    </xf>
    <xf numFmtId="0" fontId="2" fillId="0" borderId="2" xfId="0" applyFont="1" applyBorder="1">
      <alignment vertical="center"/>
    </xf>
    <xf numFmtId="0" fontId="2" fillId="0" borderId="2" xfId="0" applyFont="1" applyBorder="1">
      <alignment vertical="center"/>
    </xf>
    <xf numFmtId="0" fontId="4" fillId="0" borderId="3" xfId="0" applyFont="1" applyBorder="1">
      <alignment vertical="center"/>
    </xf>
    <xf numFmtId="0" fontId="4" fillId="0" borderId="2" xfId="0" applyFont="1" applyBorder="1">
      <alignment vertical="center"/>
    </xf>
    <xf numFmtId="0" fontId="4" fillId="0" borderId="5" xfId="0" applyFont="1" applyBorder="1">
      <alignment vertical="center"/>
    </xf>
    <xf numFmtId="0" fontId="2" fillId="0" borderId="4" xfId="0" applyFont="1" applyBorder="1" applyAlignment="1">
      <alignment horizontal="center" vertical="center"/>
    </xf>
    <xf numFmtId="2" fontId="8" fillId="0" borderId="4" xfId="0" applyNumberFormat="1" applyFont="1" applyFill="1" applyBorder="1" applyAlignment="1">
      <alignment horizontal="center" vertical="center"/>
    </xf>
    <xf numFmtId="0" fontId="4" fillId="0" borderId="13" xfId="0" applyFont="1" applyBorder="1">
      <alignment vertical="center"/>
    </xf>
    <xf numFmtId="0" fontId="4" fillId="0" borderId="16" xfId="0" applyFont="1" applyBorder="1">
      <alignment vertical="center"/>
    </xf>
    <xf numFmtId="0" fontId="2" fillId="0" borderId="4" xfId="0" applyFont="1" applyBorder="1" applyAlignment="1">
      <alignment horizontal="center" vertical="center"/>
    </xf>
    <xf numFmtId="0" fontId="2" fillId="0" borderId="4"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4" xfId="0" applyNumberFormat="1" applyFont="1" applyBorder="1" applyAlignment="1" applyProtection="1">
      <alignment horizontal="center" vertical="center" wrapText="1"/>
    </xf>
    <xf numFmtId="14" fontId="2" fillId="0" borderId="4" xfId="0" applyNumberFormat="1" applyFont="1" applyBorder="1" applyAlignment="1" applyProtection="1">
      <alignment horizontal="center" vertical="center" wrapText="1"/>
    </xf>
    <xf numFmtId="0" fontId="4" fillId="0" borderId="4" xfId="0" applyFont="1" applyBorder="1" applyAlignment="1" applyProtection="1">
      <alignment horizontal="center" vertical="center" wrapText="1"/>
      <protection locked="0"/>
    </xf>
    <xf numFmtId="2" fontId="4" fillId="0" borderId="4" xfId="0" applyNumberFormat="1" applyFont="1" applyBorder="1" applyAlignment="1" applyProtection="1">
      <alignment horizontal="center" vertical="center"/>
      <protection locked="0"/>
    </xf>
    <xf numFmtId="0" fontId="2" fillId="0" borderId="4" xfId="0" applyFont="1" applyBorder="1" applyProtection="1">
      <alignment vertical="center"/>
      <protection locked="0"/>
    </xf>
    <xf numFmtId="14" fontId="8" fillId="0" borderId="4" xfId="0" applyNumberFormat="1" applyFont="1" applyFill="1" applyBorder="1" applyAlignment="1" applyProtection="1">
      <alignment horizontal="center" vertical="center"/>
      <protection locked="0"/>
    </xf>
    <xf numFmtId="0" fontId="8" fillId="0" borderId="4" xfId="0" applyFont="1" applyFill="1" applyBorder="1" applyAlignment="1" applyProtection="1">
      <alignment horizontal="center" vertical="center"/>
      <protection locked="0"/>
    </xf>
    <xf numFmtId="0" fontId="2" fillId="0" borderId="4" xfId="0" applyFont="1" applyBorder="1" applyAlignment="1">
      <alignment horizontal="center" vertical="center"/>
    </xf>
    <xf numFmtId="0" fontId="2" fillId="0" borderId="1" xfId="0" applyFont="1" applyBorder="1">
      <alignment vertical="center"/>
    </xf>
    <xf numFmtId="0" fontId="8" fillId="0" borderId="4" xfId="0" applyFont="1" applyFill="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4" fillId="0" borderId="1" xfId="0" applyFont="1" applyBorder="1">
      <alignment vertical="center"/>
    </xf>
    <xf numFmtId="0" fontId="4" fillId="0" borderId="2" xfId="0" applyFont="1" applyBorder="1">
      <alignment vertical="center"/>
    </xf>
    <xf numFmtId="0" fontId="4" fillId="0" borderId="5" xfId="0" applyFont="1" applyBorder="1">
      <alignment vertical="center"/>
    </xf>
    <xf numFmtId="0" fontId="8" fillId="0" borderId="4" xfId="0" applyFont="1" applyFill="1" applyBorder="1" applyAlignment="1" applyProtection="1">
      <alignment horizontal="center" vertical="center"/>
      <protection locked="0"/>
    </xf>
    <xf numFmtId="0" fontId="4" fillId="0" borderId="1" xfId="0" applyFont="1" applyBorder="1">
      <alignment vertical="center"/>
    </xf>
    <xf numFmtId="0" fontId="4" fillId="0" borderId="2" xfId="0" applyFont="1" applyBorder="1">
      <alignment vertical="center"/>
    </xf>
    <xf numFmtId="0" fontId="4" fillId="0" borderId="5" xfId="0" applyFont="1" applyBorder="1">
      <alignment vertical="center"/>
    </xf>
    <xf numFmtId="0" fontId="5" fillId="3" borderId="4"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4" xfId="0" applyFont="1" applyFill="1" applyBorder="1" applyAlignment="1">
      <alignment horizontal="center" vertical="center"/>
    </xf>
    <xf numFmtId="14" fontId="5" fillId="3" borderId="4" xfId="0" applyNumberFormat="1" applyFont="1" applyFill="1" applyBorder="1" applyAlignment="1">
      <alignment horizontal="center" vertical="center" wrapText="1"/>
    </xf>
    <xf numFmtId="14" fontId="4" fillId="3" borderId="4" xfId="0" applyNumberFormat="1" applyFont="1" applyFill="1" applyBorder="1" applyAlignment="1">
      <alignment horizontal="center" vertical="center" wrapText="1"/>
    </xf>
    <xf numFmtId="14" fontId="4" fillId="3" borderId="4" xfId="0" applyNumberFormat="1" applyFont="1" applyFill="1" applyBorder="1" applyAlignment="1">
      <alignment horizontal="center" vertical="center"/>
    </xf>
    <xf numFmtId="14" fontId="5" fillId="3" borderId="4" xfId="0" applyNumberFormat="1" applyFont="1" applyFill="1" applyBorder="1" applyAlignment="1">
      <alignment horizontal="center" vertical="center"/>
    </xf>
    <xf numFmtId="0" fontId="5" fillId="3" borderId="9" xfId="0" applyFont="1" applyFill="1" applyBorder="1" applyAlignment="1">
      <alignment horizontal="center" vertical="center" wrapText="1"/>
    </xf>
    <xf numFmtId="0" fontId="4" fillId="3" borderId="9" xfId="0" applyFont="1" applyFill="1" applyBorder="1" applyAlignment="1">
      <alignment horizontal="center" vertical="center"/>
    </xf>
    <xf numFmtId="0" fontId="5" fillId="3" borderId="4" xfId="0" applyFont="1" applyFill="1" applyBorder="1" applyAlignment="1">
      <alignment horizontal="center" vertical="center" wrapText="1"/>
    </xf>
    <xf numFmtId="0" fontId="4" fillId="3" borderId="4" xfId="0" applyFont="1" applyFill="1" applyBorder="1" applyAlignment="1">
      <alignment horizontal="center" vertical="center" wrapText="1"/>
    </xf>
    <xf numFmtId="177" fontId="2" fillId="0" borderId="4" xfId="0" applyNumberFormat="1" applyFont="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6" fillId="5" borderId="4" xfId="0" applyFont="1" applyFill="1" applyBorder="1" applyAlignment="1">
      <alignment horizontal="center" vertical="center" wrapText="1"/>
    </xf>
    <xf numFmtId="0" fontId="2" fillId="0" borderId="4" xfId="0" applyFont="1" applyBorder="1" applyAlignment="1">
      <alignment horizontal="center" vertical="center"/>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2" fillId="0" borderId="10" xfId="0" applyFont="1" applyBorder="1" applyAlignment="1">
      <alignment horizontal="center" vertical="center"/>
    </xf>
    <xf numFmtId="0" fontId="2" fillId="0" borderId="4" xfId="0" applyFont="1" applyBorder="1" applyAlignment="1" applyProtection="1">
      <alignment vertical="center"/>
      <protection locked="0"/>
    </xf>
    <xf numFmtId="0" fontId="2" fillId="0" borderId="13" xfId="0" applyFont="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3" fillId="5" borderId="4" xfId="0" applyFont="1" applyFill="1" applyBorder="1" applyAlignment="1">
      <alignment vertical="center"/>
    </xf>
    <xf numFmtId="0" fontId="2" fillId="0" borderId="0" xfId="0" applyFont="1" applyBorder="1" applyAlignment="1">
      <alignment horizontal="center" vertical="center"/>
    </xf>
    <xf numFmtId="0" fontId="3" fillId="5" borderId="9" xfId="0" applyFont="1" applyFill="1" applyBorder="1" applyAlignment="1">
      <alignment horizontal="left" vertical="center"/>
    </xf>
    <xf numFmtId="0" fontId="3" fillId="5" borderId="11" xfId="0" applyFont="1" applyFill="1" applyBorder="1" applyAlignment="1">
      <alignment horizontal="left" vertical="center"/>
    </xf>
    <xf numFmtId="0" fontId="3" fillId="5" borderId="10" xfId="0" applyFont="1" applyFill="1" applyBorder="1" applyAlignment="1">
      <alignment horizontal="left" vertical="center"/>
    </xf>
    <xf numFmtId="0" fontId="2" fillId="0" borderId="9" xfId="0" applyFont="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2" fillId="0" borderId="10" xfId="0" applyFont="1" applyBorder="1" applyAlignment="1" applyProtection="1">
      <alignment horizontal="center" vertical="center" wrapText="1"/>
      <protection locked="0"/>
    </xf>
    <xf numFmtId="0" fontId="3" fillId="5" borderId="9" xfId="0" applyFont="1" applyFill="1" applyBorder="1" applyAlignment="1">
      <alignment horizontal="left" vertical="center" wrapText="1"/>
    </xf>
    <xf numFmtId="0" fontId="3" fillId="5" borderId="11" xfId="0" applyFont="1" applyFill="1" applyBorder="1" applyAlignment="1">
      <alignment horizontal="left" vertical="center" wrapText="1"/>
    </xf>
    <xf numFmtId="0" fontId="3" fillId="5" borderId="10" xfId="0" applyFont="1" applyFill="1" applyBorder="1" applyAlignment="1">
      <alignment horizontal="left" vertical="center" wrapText="1"/>
    </xf>
    <xf numFmtId="14" fontId="2" fillId="0" borderId="13" xfId="0" applyNumberFormat="1" applyFont="1" applyBorder="1" applyAlignment="1" applyProtection="1">
      <alignment horizontal="center" vertical="center"/>
      <protection locked="0"/>
    </xf>
    <xf numFmtId="0" fontId="2" fillId="0" borderId="4" xfId="0" applyFont="1" applyBorder="1" applyAlignment="1" applyProtection="1">
      <alignment horizontal="center" vertical="center" wrapText="1"/>
      <protection locked="0"/>
    </xf>
    <xf numFmtId="2" fontId="4" fillId="0" borderId="4" xfId="0" applyNumberFormat="1" applyFont="1" applyBorder="1" applyAlignment="1" applyProtection="1">
      <alignment horizontal="center" vertical="center" wrapText="1"/>
      <protection locked="0"/>
    </xf>
    <xf numFmtId="0" fontId="4" fillId="0" borderId="4" xfId="0" applyFont="1" applyBorder="1" applyAlignment="1" applyProtection="1">
      <alignment horizontal="center" vertical="center"/>
      <protection locked="0"/>
    </xf>
    <xf numFmtId="176" fontId="4" fillId="0" borderId="4" xfId="0" applyNumberFormat="1" applyFont="1" applyBorder="1" applyAlignment="1" applyProtection="1">
      <alignment horizontal="center" vertical="center"/>
      <protection locked="0"/>
    </xf>
    <xf numFmtId="0" fontId="6" fillId="5" borderId="4" xfId="0" applyFont="1" applyFill="1" applyBorder="1" applyAlignment="1">
      <alignment horizontal="center" vertical="center" wrapText="1"/>
    </xf>
    <xf numFmtId="176" fontId="4" fillId="0" borderId="4" xfId="0" applyNumberFormat="1" applyFont="1" applyBorder="1" applyAlignment="1" applyProtection="1">
      <alignment horizontal="center" vertical="center" wrapText="1"/>
      <protection locked="0"/>
    </xf>
    <xf numFmtId="0" fontId="2" fillId="0" borderId="9"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3" fillId="5" borderId="4" xfId="0" applyFont="1" applyFill="1" applyBorder="1" applyAlignment="1">
      <alignment horizontal="center" vertical="center" wrapText="1"/>
    </xf>
    <xf numFmtId="0" fontId="2" fillId="5" borderId="4" xfId="0" applyFont="1" applyFill="1" applyBorder="1" applyAlignment="1">
      <alignment vertical="center" wrapText="1"/>
    </xf>
    <xf numFmtId="0" fontId="2" fillId="5" borderId="4" xfId="0" applyFont="1" applyFill="1" applyBorder="1" applyAlignment="1">
      <alignment vertical="center"/>
    </xf>
    <xf numFmtId="0" fontId="2" fillId="5" borderId="4" xfId="0" applyFont="1" applyFill="1" applyBorder="1" applyAlignment="1">
      <alignment horizontal="center" vertical="center" wrapText="1"/>
    </xf>
    <xf numFmtId="0" fontId="6" fillId="4" borderId="4" xfId="0" applyFont="1" applyFill="1" applyBorder="1" applyAlignment="1">
      <alignment horizontal="center" vertical="center" wrapText="1"/>
    </xf>
  </cellXfs>
  <cellStyles count="2">
    <cellStyle name="표준" xfId="0" builtinId="0"/>
    <cellStyle name="표준 2 2" xfId="1" xr:uid="{00000000-0005-0000-0000-000001000000}"/>
  </cellStyles>
  <dxfs count="3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H145"/>
  <sheetViews>
    <sheetView view="pageBreakPreview" zoomScaleNormal="100" zoomScaleSheetLayoutView="100" zoomScalePageLayoutView="86" workbookViewId="0">
      <pane ySplit="16" topLeftCell="A17" activePane="bottomLeft" state="frozen"/>
      <selection pane="bottomLeft" activeCell="B12" sqref="B12:F12"/>
    </sheetView>
  </sheetViews>
  <sheetFormatPr defaultColWidth="9" defaultRowHeight="15.6" x14ac:dyDescent="0.4"/>
  <cols>
    <col min="1" max="1" width="22" style="11" customWidth="1"/>
    <col min="2" max="2" width="27" style="11" customWidth="1"/>
    <col min="3" max="3" width="21.19921875" style="11" customWidth="1"/>
    <col min="4" max="4" width="14.69921875" style="11" customWidth="1"/>
    <col min="5" max="5" width="15.19921875" style="11" customWidth="1"/>
    <col min="6" max="6" width="17" style="11" customWidth="1"/>
    <col min="7" max="7" width="0" style="11" hidden="1" customWidth="1"/>
    <col min="8" max="16384" width="9" style="11"/>
  </cols>
  <sheetData>
    <row r="1" spans="1:7" x14ac:dyDescent="0.4">
      <c r="A1" s="24" t="s">
        <v>216</v>
      </c>
      <c r="B1" s="38"/>
      <c r="C1" s="24" t="s">
        <v>217</v>
      </c>
      <c r="D1" s="79"/>
      <c r="E1" s="80"/>
      <c r="F1" s="81"/>
      <c r="G1" s="10"/>
    </row>
    <row r="2" spans="1:7" x14ac:dyDescent="0.4">
      <c r="A2" s="24" t="s">
        <v>161</v>
      </c>
      <c r="B2" s="94"/>
      <c r="C2" s="80"/>
      <c r="D2" s="80"/>
      <c r="E2" s="80"/>
      <c r="F2" s="81"/>
      <c r="G2" s="10"/>
    </row>
    <row r="3" spans="1:7" x14ac:dyDescent="0.4">
      <c r="A3" s="24" t="s">
        <v>219</v>
      </c>
      <c r="B3" s="38"/>
      <c r="C3" s="25" t="s">
        <v>160</v>
      </c>
      <c r="D3" s="95" t="s">
        <v>317</v>
      </c>
      <c r="E3" s="95"/>
      <c r="F3" s="95"/>
      <c r="G3" s="10"/>
    </row>
    <row r="4" spans="1:7" x14ac:dyDescent="0.4">
      <c r="A4" s="24" t="s">
        <v>220</v>
      </c>
      <c r="B4" s="38"/>
      <c r="C4" s="25" t="s">
        <v>221</v>
      </c>
      <c r="D4" s="82"/>
      <c r="E4" s="82"/>
      <c r="F4" s="82"/>
      <c r="G4" s="10"/>
    </row>
    <row r="5" spans="1:7" x14ac:dyDescent="0.4">
      <c r="A5" s="85" t="s">
        <v>218</v>
      </c>
      <c r="B5" s="88"/>
      <c r="C5" s="91" t="s">
        <v>222</v>
      </c>
      <c r="D5" s="79" t="s">
        <v>132</v>
      </c>
      <c r="E5" s="80"/>
      <c r="F5" s="81"/>
      <c r="G5" s="10"/>
    </row>
    <row r="6" spans="1:7" x14ac:dyDescent="0.4">
      <c r="A6" s="86"/>
      <c r="B6" s="89"/>
      <c r="C6" s="92"/>
      <c r="D6" s="79" t="s">
        <v>132</v>
      </c>
      <c r="E6" s="80"/>
      <c r="F6" s="81"/>
      <c r="G6" s="10"/>
    </row>
    <row r="7" spans="1:7" x14ac:dyDescent="0.4">
      <c r="A7" s="86"/>
      <c r="B7" s="89"/>
      <c r="C7" s="92"/>
      <c r="D7" s="79" t="s">
        <v>132</v>
      </c>
      <c r="E7" s="80"/>
      <c r="F7" s="81"/>
      <c r="G7" s="10"/>
    </row>
    <row r="8" spans="1:7" x14ac:dyDescent="0.4">
      <c r="A8" s="87"/>
      <c r="B8" s="90"/>
      <c r="C8" s="93"/>
      <c r="D8" s="79" t="s">
        <v>132</v>
      </c>
      <c r="E8" s="80"/>
      <c r="F8" s="81"/>
      <c r="G8" s="10"/>
    </row>
    <row r="9" spans="1:7" x14ac:dyDescent="0.4">
      <c r="A9" s="24" t="s">
        <v>159</v>
      </c>
      <c r="B9" s="38"/>
      <c r="C9" s="25" t="s">
        <v>19</v>
      </c>
      <c r="D9" s="82"/>
      <c r="E9" s="82"/>
      <c r="F9" s="82"/>
      <c r="G9" s="10"/>
    </row>
    <row r="10" spans="1:7" ht="14.25" customHeight="1" x14ac:dyDescent="0.4">
      <c r="A10" s="84"/>
      <c r="B10" s="84"/>
      <c r="C10" s="84"/>
      <c r="D10" s="84"/>
      <c r="E10" s="84"/>
      <c r="F10" s="84"/>
      <c r="G10" s="10"/>
    </row>
    <row r="11" spans="1:7" x14ac:dyDescent="0.4">
      <c r="A11" s="83" t="s">
        <v>158</v>
      </c>
      <c r="B11" s="83"/>
      <c r="C11" s="83"/>
      <c r="D11" s="83"/>
      <c r="E11" s="83"/>
      <c r="F11" s="83"/>
      <c r="G11" s="10"/>
    </row>
    <row r="12" spans="1:7" x14ac:dyDescent="0.4">
      <c r="A12" s="25" t="s">
        <v>223</v>
      </c>
      <c r="B12" s="78" t="s">
        <v>227</v>
      </c>
      <c r="C12" s="78"/>
      <c r="D12" s="78"/>
      <c r="E12" s="78"/>
      <c r="F12" s="78"/>
      <c r="G12" s="10"/>
    </row>
    <row r="13" spans="1:7" x14ac:dyDescent="0.4">
      <c r="A13" s="27" t="s">
        <v>224</v>
      </c>
      <c r="B13" s="78" t="s">
        <v>228</v>
      </c>
      <c r="C13" s="78"/>
      <c r="D13" s="78"/>
      <c r="E13" s="78"/>
      <c r="F13" s="78"/>
      <c r="G13" s="10"/>
    </row>
    <row r="14" spans="1:7" x14ac:dyDescent="0.4">
      <c r="A14" s="27" t="s">
        <v>225</v>
      </c>
      <c r="B14" s="78" t="s">
        <v>229</v>
      </c>
      <c r="C14" s="78"/>
      <c r="D14" s="78"/>
      <c r="E14" s="78"/>
      <c r="F14" s="78"/>
      <c r="G14" s="10"/>
    </row>
    <row r="15" spans="1:7" x14ac:dyDescent="0.4">
      <c r="A15" s="27" t="s">
        <v>226</v>
      </c>
      <c r="B15" s="78" t="s">
        <v>315</v>
      </c>
      <c r="C15" s="78"/>
      <c r="D15" s="78"/>
      <c r="E15" s="78"/>
      <c r="F15" s="78"/>
      <c r="G15" s="10"/>
    </row>
    <row r="16" spans="1:7" x14ac:dyDescent="0.4">
      <c r="A16" s="26" t="s">
        <v>0</v>
      </c>
      <c r="B16" s="26" t="s">
        <v>1</v>
      </c>
      <c r="C16" s="26" t="s">
        <v>156</v>
      </c>
      <c r="D16" s="26" t="s">
        <v>2</v>
      </c>
      <c r="E16" s="26" t="s">
        <v>3</v>
      </c>
      <c r="F16" s="26" t="s">
        <v>4</v>
      </c>
      <c r="G16" s="47" t="s">
        <v>256</v>
      </c>
    </row>
    <row r="17" spans="1:7" x14ac:dyDescent="0.4">
      <c r="A17" s="40" t="str">
        <f>INDEX('Equipment list'!$B$17:$B$146, (MATCH(C17,'Equipment list'!$D$17:$D$146,0)),1)</f>
        <v>Phantom</v>
      </c>
      <c r="B17" s="40" t="str">
        <f>INDEX('Equipment list'!$C$17:$C$146, (MATCH(C17,'Equipment list'!$D$17:$D$146,0)),1)</f>
        <v>SAM Phantom</v>
      </c>
      <c r="C17" s="69" t="s">
        <v>319</v>
      </c>
      <c r="D17" s="41" t="str">
        <f>INDEX('Equipment list'!$E$17:$E$146, (MATCH(C17,'Equipment list'!$D$17:$D$146,0)),1)</f>
        <v>N/A</v>
      </c>
      <c r="E17" s="41" t="str">
        <f>INDEX('Equipment list'!$F$17:$F$146, (MATCH(C17,'Equipment list'!$D$17:$D$146,0)),1)</f>
        <v>N/A</v>
      </c>
      <c r="F17" s="41" t="str">
        <f>INDEX('Equipment list'!$G$17:$G$146, (MATCH(C17,'Equipment list'!$D$17:$D$146,0)),1)</f>
        <v>N/A</v>
      </c>
      <c r="G17" s="75" t="s">
        <v>257</v>
      </c>
    </row>
    <row r="18" spans="1:7" x14ac:dyDescent="0.4">
      <c r="A18" s="40" t="str">
        <f>INDEX('Equipment list'!$B$17:$B$146, (MATCH(C18,'Equipment list'!$D$17:$D$146,0)),1)</f>
        <v>Phantom</v>
      </c>
      <c r="B18" s="40" t="str">
        <f>INDEX('Equipment list'!$C$17:$C$146, (MATCH(C18,'Equipment list'!$D$17:$D$146,0)),1)</f>
        <v>SAM Phantom</v>
      </c>
      <c r="C18" s="69" t="s">
        <v>321</v>
      </c>
      <c r="D18" s="41" t="str">
        <f>INDEX('Equipment list'!$E$17:$E$146, (MATCH(C18,'Equipment list'!$D$17:$D$146,0)),1)</f>
        <v>N/A</v>
      </c>
      <c r="E18" s="41" t="str">
        <f>INDEX('Equipment list'!$F$17:$F$146, (MATCH(C18,'Equipment list'!$D$17:$D$146,0)),1)</f>
        <v>N/A</v>
      </c>
      <c r="F18" s="41" t="str">
        <f>INDEX('Equipment list'!$G$17:$G$146, (MATCH(C18,'Equipment list'!$D$17:$D$146,0)),1)</f>
        <v>N/A</v>
      </c>
      <c r="G18" s="76"/>
    </row>
    <row r="19" spans="1:7" x14ac:dyDescent="0.4">
      <c r="A19" s="40" t="str">
        <f>INDEX('Equipment list'!$B$17:$B$146, (MATCH(C19,'Equipment list'!$D$17:$D$146,0)),1)</f>
        <v>Phantom</v>
      </c>
      <c r="B19" s="40" t="str">
        <f>INDEX('Equipment list'!$C$17:$C$146, (MATCH(C19,'Equipment list'!$D$17:$D$146,0)),1)</f>
        <v>SAM Phantom</v>
      </c>
      <c r="C19" s="69" t="s">
        <v>243</v>
      </c>
      <c r="D19" s="41" t="str">
        <f>INDEX('Equipment list'!$E$17:$E$146, (MATCH(C19,'Equipment list'!$D$17:$D$146,0)),1)</f>
        <v>N/A</v>
      </c>
      <c r="E19" s="41" t="str">
        <f>INDEX('Equipment list'!$F$17:$F$146, (MATCH(C19,'Equipment list'!$D$17:$D$146,0)),1)</f>
        <v>N/A</v>
      </c>
      <c r="F19" s="41" t="str">
        <f>INDEX('Equipment list'!$G$17:$G$146, (MATCH(C19,'Equipment list'!$D$17:$D$146,0)),1)</f>
        <v>N/A</v>
      </c>
      <c r="G19" s="76"/>
    </row>
    <row r="20" spans="1:7" x14ac:dyDescent="0.4">
      <c r="A20" s="40" t="str">
        <f>INDEX('Equipment list'!$B$17:$B$146, (MATCH(C20,'Equipment list'!$D$17:$D$146,0)),1)</f>
        <v>Phantom</v>
      </c>
      <c r="B20" s="40" t="str">
        <f>INDEX('Equipment list'!$C$17:$C$146, (MATCH(C20,'Equipment list'!$D$17:$D$146,0)),1)</f>
        <v>SAM Phantom</v>
      </c>
      <c r="C20" s="69" t="s">
        <v>244</v>
      </c>
      <c r="D20" s="41" t="str">
        <f>INDEX('Equipment list'!$E$17:$E$146, (MATCH(C20,'Equipment list'!$D$17:$D$146,0)),1)</f>
        <v>N/A</v>
      </c>
      <c r="E20" s="41" t="str">
        <f>INDEX('Equipment list'!$F$17:$F$146, (MATCH(C20,'Equipment list'!$D$17:$D$146,0)),1)</f>
        <v>N/A</v>
      </c>
      <c r="F20" s="41" t="str">
        <f>INDEX('Equipment list'!$G$17:$G$146, (MATCH(C20,'Equipment list'!$D$17:$D$146,0)),1)</f>
        <v>N/A</v>
      </c>
      <c r="G20" s="76"/>
    </row>
    <row r="21" spans="1:7" x14ac:dyDescent="0.4">
      <c r="A21" s="40" t="str">
        <f>INDEX('Equipment list'!$B$17:$B$146, (MATCH(C21,'Equipment list'!$D$17:$D$146,0)),1)</f>
        <v>Phantom</v>
      </c>
      <c r="B21" s="40" t="str">
        <f>INDEX('Equipment list'!$C$17:$C$146, (MATCH(C21,'Equipment list'!$D$17:$D$146,0)),1)</f>
        <v>SAM Phantom</v>
      </c>
      <c r="C21" s="69" t="s">
        <v>245</v>
      </c>
      <c r="D21" s="41" t="str">
        <f>INDEX('Equipment list'!$E$17:$E$146, (MATCH(C21,'Equipment list'!$D$17:$D$146,0)),1)</f>
        <v>N/A</v>
      </c>
      <c r="E21" s="41" t="str">
        <f>INDEX('Equipment list'!$F$17:$F$146, (MATCH(C21,'Equipment list'!$D$17:$D$146,0)),1)</f>
        <v>N/A</v>
      </c>
      <c r="F21" s="41" t="str">
        <f>INDEX('Equipment list'!$G$17:$G$146, (MATCH(C21,'Equipment list'!$D$17:$D$146,0)),1)</f>
        <v>N/A</v>
      </c>
      <c r="G21" s="76"/>
    </row>
    <row r="22" spans="1:7" x14ac:dyDescent="0.4">
      <c r="A22" s="40" t="str">
        <f>INDEX('Equipment list'!$B$17:$B$146, (MATCH(C22,'Equipment list'!$D$17:$D$146,0)),1)</f>
        <v>Phantom</v>
      </c>
      <c r="B22" s="40" t="str">
        <f>INDEX('Equipment list'!$C$17:$C$146, (MATCH(C22,'Equipment list'!$D$17:$D$146,0)),1)</f>
        <v>SAM Phantom</v>
      </c>
      <c r="C22" s="69" t="s">
        <v>246</v>
      </c>
      <c r="D22" s="41" t="str">
        <f>INDEX('Equipment list'!$E$17:$E$146, (MATCH(C22,'Equipment list'!$D$17:$D$146,0)),1)</f>
        <v>N/A</v>
      </c>
      <c r="E22" s="41" t="str">
        <f>INDEX('Equipment list'!$F$17:$F$146, (MATCH(C22,'Equipment list'!$D$17:$D$146,0)),1)</f>
        <v>N/A</v>
      </c>
      <c r="F22" s="41" t="str">
        <f>INDEX('Equipment list'!$G$17:$G$146, (MATCH(C22,'Equipment list'!$D$17:$D$146,0)),1)</f>
        <v>N/A</v>
      </c>
      <c r="G22" s="76"/>
    </row>
    <row r="23" spans="1:7" x14ac:dyDescent="0.4">
      <c r="A23" s="40" t="str">
        <f>INDEX('Equipment list'!$B$17:$B$146, (MATCH(C23,'Equipment list'!$D$17:$D$146,0)),1)</f>
        <v>Phantom</v>
      </c>
      <c r="B23" s="40" t="str">
        <f>INDEX('Equipment list'!$C$17:$C$146, (MATCH(C23,'Equipment list'!$D$17:$D$146,0)),1)</f>
        <v>ELI Phantom</v>
      </c>
      <c r="C23" s="69" t="s">
        <v>247</v>
      </c>
      <c r="D23" s="41" t="str">
        <f>INDEX('Equipment list'!$E$17:$E$146, (MATCH(C23,'Equipment list'!$D$17:$D$146,0)),1)</f>
        <v>N/A</v>
      </c>
      <c r="E23" s="41" t="str">
        <f>INDEX('Equipment list'!$F$17:$F$146, (MATCH(C23,'Equipment list'!$D$17:$D$146,0)),1)</f>
        <v>N/A</v>
      </c>
      <c r="F23" s="41" t="str">
        <f>INDEX('Equipment list'!$G$17:$G$146, (MATCH(C23,'Equipment list'!$D$17:$D$146,0)),1)</f>
        <v>N/A</v>
      </c>
      <c r="G23" s="76"/>
    </row>
    <row r="24" spans="1:7" x14ac:dyDescent="0.4">
      <c r="A24" s="40" t="str">
        <f>INDEX('Equipment list'!$B$17:$B$146, (MATCH(C24,'Equipment list'!$D$17:$D$146,0)),1)</f>
        <v>Phantom</v>
      </c>
      <c r="B24" s="40" t="str">
        <f>INDEX('Equipment list'!$C$17:$C$146, (MATCH(C24,'Equipment list'!$D$17:$D$146,0)),1)</f>
        <v>ELI Phantom</v>
      </c>
      <c r="C24" s="69" t="s">
        <v>248</v>
      </c>
      <c r="D24" s="41" t="str">
        <f>INDEX('Equipment list'!$E$17:$E$146, (MATCH(C24,'Equipment list'!$D$17:$D$146,0)),1)</f>
        <v>N/A</v>
      </c>
      <c r="E24" s="41" t="str">
        <f>INDEX('Equipment list'!$F$17:$F$146, (MATCH(C24,'Equipment list'!$D$17:$D$146,0)),1)</f>
        <v>N/A</v>
      </c>
      <c r="F24" s="41" t="str">
        <f>INDEX('Equipment list'!$G$17:$G$146, (MATCH(C24,'Equipment list'!$D$17:$D$146,0)),1)</f>
        <v>N/A</v>
      </c>
      <c r="G24" s="76"/>
    </row>
    <row r="25" spans="1:7" x14ac:dyDescent="0.4">
      <c r="A25" s="40" t="str">
        <f>INDEX('Equipment list'!$B$17:$B$146, (MATCH(C25,'Equipment list'!$D$17:$D$146,0)),1)</f>
        <v>Phantom</v>
      </c>
      <c r="B25" s="40" t="str">
        <f>INDEX('Equipment list'!$C$17:$C$146, (MATCH(C25,'Equipment list'!$D$17:$D$146,0)),1)</f>
        <v>ELI Phantom</v>
      </c>
      <c r="C25" s="69" t="s">
        <v>249</v>
      </c>
      <c r="D25" s="41" t="str">
        <f>INDEX('Equipment list'!$E$17:$E$146, (MATCH(C25,'Equipment list'!$D$17:$D$146,0)),1)</f>
        <v>N/A</v>
      </c>
      <c r="E25" s="41" t="str">
        <f>INDEX('Equipment list'!$F$17:$F$146, (MATCH(C25,'Equipment list'!$D$17:$D$146,0)),1)</f>
        <v>N/A</v>
      </c>
      <c r="F25" s="41" t="str">
        <f>INDEX('Equipment list'!$G$17:$G$146, (MATCH(C25,'Equipment list'!$D$17:$D$146,0)),1)</f>
        <v>N/A</v>
      </c>
      <c r="G25" s="77"/>
    </row>
    <row r="26" spans="1:7" x14ac:dyDescent="0.4">
      <c r="A26" s="40" t="str">
        <f>INDEX('Equipment list'!$B$17:$B$146, (MATCH(C26,'Equipment list'!$D$17:$D$146,0)),1)</f>
        <v>Phantom</v>
      </c>
      <c r="B26" s="40" t="str">
        <f>INDEX('Equipment list'!$C$17:$C$146, (MATCH(C26,'Equipment list'!$D$17:$D$146,0)),1)</f>
        <v>SAM Phantom</v>
      </c>
      <c r="C26" s="69" t="s">
        <v>250</v>
      </c>
      <c r="D26" s="41" t="str">
        <f>INDEX('Equipment list'!$E$17:$E$146, (MATCH(C26,'Equipment list'!$D$17:$D$146,0)),1)</f>
        <v>N/A</v>
      </c>
      <c r="E26" s="41" t="str">
        <f>INDEX('Equipment list'!$F$17:$F$146, (MATCH(C26,'Equipment list'!$D$17:$D$146,0)),1)</f>
        <v>N/A</v>
      </c>
      <c r="F26" s="41" t="str">
        <f>INDEX('Equipment list'!$G$17:$G$146, (MATCH(C26,'Equipment list'!$D$17:$D$146,0)),1)</f>
        <v>N/A</v>
      </c>
      <c r="G26" s="75" t="s">
        <v>258</v>
      </c>
    </row>
    <row r="27" spans="1:7" x14ac:dyDescent="0.4">
      <c r="A27" s="40" t="str">
        <f>INDEX('Equipment list'!$B$17:$B$146, (MATCH(C27,'Equipment list'!$D$17:$D$146,0)),1)</f>
        <v>Phantom</v>
      </c>
      <c r="B27" s="40" t="str">
        <f>INDEX('Equipment list'!$C$17:$C$146, (MATCH(C27,'Equipment list'!$D$17:$D$146,0)),1)</f>
        <v>SAM Phantom</v>
      </c>
      <c r="C27" s="69" t="s">
        <v>251</v>
      </c>
      <c r="D27" s="41" t="str">
        <f>INDEX('Equipment list'!$E$17:$E$146, (MATCH(C27,'Equipment list'!$D$17:$D$146,0)),1)</f>
        <v>N/A</v>
      </c>
      <c r="E27" s="41" t="str">
        <f>INDEX('Equipment list'!$F$17:$F$146, (MATCH(C27,'Equipment list'!$D$17:$D$146,0)),1)</f>
        <v>N/A</v>
      </c>
      <c r="F27" s="41" t="str">
        <f>INDEX('Equipment list'!$G$17:$G$146, (MATCH(C27,'Equipment list'!$D$17:$D$146,0)),1)</f>
        <v>N/A</v>
      </c>
      <c r="G27" s="76"/>
    </row>
    <row r="28" spans="1:7" x14ac:dyDescent="0.4">
      <c r="A28" s="40" t="str">
        <f>INDEX('Equipment list'!$B$17:$B$146, (MATCH(C28,'Equipment list'!$D$17:$D$146,0)),1)</f>
        <v>Phantom</v>
      </c>
      <c r="B28" s="40" t="str">
        <f>INDEX('Equipment list'!$C$17:$C$146, (MATCH(C28,'Equipment list'!$D$17:$D$146,0)),1)</f>
        <v>SAM Phantom</v>
      </c>
      <c r="C28" s="69" t="s">
        <v>252</v>
      </c>
      <c r="D28" s="41" t="str">
        <f>INDEX('Equipment list'!$E$17:$E$146, (MATCH(C28,'Equipment list'!$D$17:$D$146,0)),1)</f>
        <v>N/A</v>
      </c>
      <c r="E28" s="41" t="str">
        <f>INDEX('Equipment list'!$F$17:$F$146, (MATCH(C28,'Equipment list'!$D$17:$D$146,0)),1)</f>
        <v>N/A</v>
      </c>
      <c r="F28" s="41" t="str">
        <f>INDEX('Equipment list'!$G$17:$G$146, (MATCH(C28,'Equipment list'!$D$17:$D$146,0)),1)</f>
        <v>N/A</v>
      </c>
      <c r="G28" s="76"/>
    </row>
    <row r="29" spans="1:7" x14ac:dyDescent="0.4">
      <c r="A29" s="40" t="str">
        <f>INDEX('Equipment list'!$B$17:$B$146, (MATCH(C29,'Equipment list'!$D$17:$D$146,0)),1)</f>
        <v>Phantom</v>
      </c>
      <c r="B29" s="40" t="str">
        <f>INDEX('Equipment list'!$C$17:$C$146, (MATCH(C29,'Equipment list'!$D$17:$D$146,0)),1)</f>
        <v>SAM Phantom</v>
      </c>
      <c r="C29" s="69" t="s">
        <v>253</v>
      </c>
      <c r="D29" s="41" t="str">
        <f>INDEX('Equipment list'!$E$17:$E$146, (MATCH(C29,'Equipment list'!$D$17:$D$146,0)),1)</f>
        <v>N/A</v>
      </c>
      <c r="E29" s="41" t="str">
        <f>INDEX('Equipment list'!$F$17:$F$146, (MATCH(C29,'Equipment list'!$D$17:$D$146,0)),1)</f>
        <v>N/A</v>
      </c>
      <c r="F29" s="41" t="str">
        <f>INDEX('Equipment list'!$G$17:$G$146, (MATCH(C29,'Equipment list'!$D$17:$D$146,0)),1)</f>
        <v>N/A</v>
      </c>
      <c r="G29" s="77"/>
    </row>
    <row r="30" spans="1:7" x14ac:dyDescent="0.4">
      <c r="A30" s="40" t="str">
        <f>INDEX('Equipment list'!$B$17:$B$146, (MATCH(C30,'Equipment list'!$D$17:$D$146,0)),1)</f>
        <v>Verification Dipole</v>
      </c>
      <c r="B30" s="40" t="str">
        <f>INDEX('Equipment list'!$C$17:$C$146, (MATCH(C30,'Equipment list'!$D$17:$D$146,0)),1)</f>
        <v>CLA150</v>
      </c>
      <c r="C30" s="69">
        <v>4013</v>
      </c>
      <c r="D30" s="41">
        <f>INDEX('Equipment list'!$E$17:$E$146, (MATCH(C30,'Equipment list'!$D$17:$D$146,0)),1)</f>
        <v>43304</v>
      </c>
      <c r="E30" s="41" t="str">
        <f>INDEX('Equipment list'!$F$17:$F$146, (MATCH(C30,'Equipment list'!$D$17:$D$146,0)),1)</f>
        <v>Biennial</v>
      </c>
      <c r="F30" s="41">
        <f>INDEX('Equipment list'!$G$17:$G$146, (MATCH(C30,'Equipment list'!$D$17:$D$146,0)),1)</f>
        <v>44035</v>
      </c>
      <c r="G30" s="75" t="s">
        <v>257</v>
      </c>
    </row>
    <row r="31" spans="1:7" x14ac:dyDescent="0.4">
      <c r="A31" s="40" t="str">
        <f>INDEX('Equipment list'!$B$17:$B$146, (MATCH(C31,'Equipment list'!$D$17:$D$146,0)),1)</f>
        <v>Verification Dipole</v>
      </c>
      <c r="B31" s="40" t="str">
        <f>INDEX('Equipment list'!$C$17:$C$146, (MATCH(C31,'Equipment list'!$D$17:$D$146,0)),1)</f>
        <v>D300V3</v>
      </c>
      <c r="C31" s="69">
        <v>1020</v>
      </c>
      <c r="D31" s="41">
        <f>INDEX('Equipment list'!$E$17:$E$146, (MATCH(C31,'Equipment list'!$D$17:$D$146,0)),1)</f>
        <v>43392</v>
      </c>
      <c r="E31" s="41" t="str">
        <f>INDEX('Equipment list'!$F$17:$F$146, (MATCH(C31,'Equipment list'!$D$17:$D$146,0)),1)</f>
        <v>Biennial</v>
      </c>
      <c r="F31" s="41">
        <f>INDEX('Equipment list'!$G$17:$G$146, (MATCH(C31,'Equipment list'!$D$17:$D$146,0)),1)</f>
        <v>44123</v>
      </c>
      <c r="G31" s="76"/>
    </row>
    <row r="32" spans="1:7" x14ac:dyDescent="0.4">
      <c r="A32" s="40" t="str">
        <f>INDEX('Equipment list'!$B$17:$B$146, (MATCH(C32,'Equipment list'!$D$17:$D$146,0)),1)</f>
        <v>Verification Dipole</v>
      </c>
      <c r="B32" s="40" t="str">
        <f>INDEX('Equipment list'!$C$17:$C$146, (MATCH(C32,'Equipment list'!$D$17:$D$146,0)),1)</f>
        <v>D450V3</v>
      </c>
      <c r="C32" s="69">
        <v>1084</v>
      </c>
      <c r="D32" s="41">
        <f>INDEX('Equipment list'!$E$17:$E$146, (MATCH(C32,'Equipment list'!$D$17:$D$146,0)),1)</f>
        <v>43392</v>
      </c>
      <c r="E32" s="41" t="str">
        <f>INDEX('Equipment list'!$F$17:$F$146, (MATCH(C32,'Equipment list'!$D$17:$D$146,0)),1)</f>
        <v>Biennial</v>
      </c>
      <c r="F32" s="41">
        <f>INDEX('Equipment list'!$G$17:$G$146, (MATCH(C32,'Equipment list'!$D$17:$D$146,0)),1)</f>
        <v>44123</v>
      </c>
      <c r="G32" s="76"/>
    </row>
    <row r="33" spans="1:7" x14ac:dyDescent="0.4">
      <c r="A33" s="40" t="str">
        <f>INDEX('Equipment list'!$B$17:$B$146, (MATCH(C33,'Equipment list'!$D$17:$D$146,0)),1)</f>
        <v>Verification Dipole</v>
      </c>
      <c r="B33" s="40" t="str">
        <f>INDEX('Equipment list'!$C$17:$C$146, (MATCH(C33,'Equipment list'!$D$17:$D$146,0)),1)</f>
        <v>D600V3</v>
      </c>
      <c r="C33" s="69">
        <v>1004</v>
      </c>
      <c r="D33" s="41">
        <f>INDEX('Equipment list'!$E$17:$E$146, (MATCH(C33,'Equipment list'!$D$17:$D$146,0)),1)</f>
        <v>43179</v>
      </c>
      <c r="E33" s="41" t="str">
        <f>INDEX('Equipment list'!$F$17:$F$146, (MATCH(C33,'Equipment list'!$D$17:$D$146,0)),1)</f>
        <v>Biennial</v>
      </c>
      <c r="F33" s="41">
        <f>INDEX('Equipment list'!$G$17:$G$146, (MATCH(C33,'Equipment list'!$D$17:$D$146,0)),1)</f>
        <v>43910</v>
      </c>
      <c r="G33" s="76"/>
    </row>
    <row r="34" spans="1:7" x14ac:dyDescent="0.4">
      <c r="A34" s="40" t="str">
        <f>INDEX('Equipment list'!$B$17:$B$146, (MATCH(C34,'Equipment list'!$D$17:$D$146,0)),1)</f>
        <v>Verification Dipole</v>
      </c>
      <c r="B34" s="40" t="str">
        <f>INDEX('Equipment list'!$C$17:$C$146, (MATCH(C34,'Equipment list'!$D$17:$D$146,0)),1)</f>
        <v>D750V3</v>
      </c>
      <c r="C34" s="69">
        <v>1085</v>
      </c>
      <c r="D34" s="41">
        <f>INDEX('Equipment list'!$E$17:$E$146, (MATCH(C34,'Equipment list'!$D$17:$D$146,0)),1)</f>
        <v>43545</v>
      </c>
      <c r="E34" s="41" t="str">
        <f>INDEX('Equipment list'!$F$17:$F$146, (MATCH(C34,'Equipment list'!$D$17:$D$146,0)),1)</f>
        <v>Biennial</v>
      </c>
      <c r="F34" s="41">
        <f>INDEX('Equipment list'!$G$17:$G$146, (MATCH(C34,'Equipment list'!$D$17:$D$146,0)),1)</f>
        <v>44276</v>
      </c>
      <c r="G34" s="76"/>
    </row>
    <row r="35" spans="1:7" x14ac:dyDescent="0.4">
      <c r="A35" s="40" t="str">
        <f>INDEX('Equipment list'!$B$17:$B$146, (MATCH(C35,'Equipment list'!$D$17:$D$146,0)),1)</f>
        <v>Verification Dipole</v>
      </c>
      <c r="B35" s="40" t="str">
        <f>INDEX('Equipment list'!$C$17:$C$146, (MATCH(C35,'Equipment list'!$D$17:$D$146,0)),1)</f>
        <v>D835V2</v>
      </c>
      <c r="C35" s="69">
        <v>490</v>
      </c>
      <c r="D35" s="41">
        <f>INDEX('Equipment list'!$E$17:$E$146, (MATCH(C35,'Equipment list'!$D$17:$D$146,0)),1)</f>
        <v>43252</v>
      </c>
      <c r="E35" s="41" t="str">
        <f>INDEX('Equipment list'!$F$17:$F$146, (MATCH(C35,'Equipment list'!$D$17:$D$146,0)),1)</f>
        <v>Biennial</v>
      </c>
      <c r="F35" s="41">
        <f>INDEX('Equipment list'!$G$17:$G$146, (MATCH(C35,'Equipment list'!$D$17:$D$146,0)),1)</f>
        <v>43983</v>
      </c>
      <c r="G35" s="76"/>
    </row>
    <row r="36" spans="1:7" x14ac:dyDescent="0.4">
      <c r="A36" s="40" t="str">
        <f>INDEX('Equipment list'!$B$17:$B$146, (MATCH(C36,'Equipment list'!$D$17:$D$146,0)),1)</f>
        <v>Verification Dipole</v>
      </c>
      <c r="B36" s="40" t="str">
        <f>INDEX('Equipment list'!$C$17:$C$146, (MATCH(C36,'Equipment list'!$D$17:$D$146,0)),1)</f>
        <v>D900V2</v>
      </c>
      <c r="C36" s="69">
        <v>188</v>
      </c>
      <c r="D36" s="41">
        <f>INDEX('Equipment list'!$E$17:$E$146, (MATCH(C36,'Equipment list'!$D$17:$D$146,0)),1)</f>
        <v>43700</v>
      </c>
      <c r="E36" s="41" t="str">
        <f>INDEX('Equipment list'!$F$17:$F$146, (MATCH(C36,'Equipment list'!$D$17:$D$146,0)),1)</f>
        <v>Biennial</v>
      </c>
      <c r="F36" s="41">
        <f>INDEX('Equipment list'!$G$17:$G$146, (MATCH(C36,'Equipment list'!$D$17:$D$146,0)),1)</f>
        <v>44431</v>
      </c>
      <c r="G36" s="76"/>
    </row>
    <row r="37" spans="1:7" x14ac:dyDescent="0.4">
      <c r="A37" s="40" t="str">
        <f>INDEX('Equipment list'!$B$17:$B$146, (MATCH(C37,'Equipment list'!$D$17:$D$146,0)),1)</f>
        <v>Verification Dipole</v>
      </c>
      <c r="B37" s="40" t="str">
        <f>INDEX('Equipment list'!$C$17:$C$146, (MATCH(C37,'Equipment list'!$D$17:$D$146,0)),1)</f>
        <v>D1450V2</v>
      </c>
      <c r="C37" s="69">
        <v>1060</v>
      </c>
      <c r="D37" s="41">
        <f>INDEX('Equipment list'!$E$17:$E$146, (MATCH(C37,'Equipment list'!$D$17:$D$146,0)),1)</f>
        <v>43665</v>
      </c>
      <c r="E37" s="41" t="str">
        <f>INDEX('Equipment list'!$F$17:$F$146, (MATCH(C37,'Equipment list'!$D$17:$D$146,0)),1)</f>
        <v>Biennial</v>
      </c>
      <c r="F37" s="41">
        <f>INDEX('Equipment list'!$G$17:$G$146, (MATCH(C37,'Equipment list'!$D$17:$D$146,0)),1)</f>
        <v>44396</v>
      </c>
      <c r="G37" s="76"/>
    </row>
    <row r="38" spans="1:7" x14ac:dyDescent="0.4">
      <c r="A38" s="40" t="str">
        <f>INDEX('Equipment list'!$B$17:$B$146, (MATCH(C38,'Equipment list'!$D$17:$D$146,0)),1)</f>
        <v>Verification Dipole</v>
      </c>
      <c r="B38" s="40" t="str">
        <f>INDEX('Equipment list'!$C$17:$C$146, (MATCH(C38,'Equipment list'!$D$17:$D$146,0)),1)</f>
        <v>D1640V2</v>
      </c>
      <c r="C38" s="69">
        <v>331</v>
      </c>
      <c r="D38" s="41">
        <f>INDEX('Equipment list'!$E$17:$E$146, (MATCH(C38,'Equipment list'!$D$17:$D$146,0)),1)</f>
        <v>43248</v>
      </c>
      <c r="E38" s="41" t="str">
        <f>INDEX('Equipment list'!$F$17:$F$146, (MATCH(C38,'Equipment list'!$D$17:$D$146,0)),1)</f>
        <v>Biennial</v>
      </c>
      <c r="F38" s="41">
        <f>INDEX('Equipment list'!$G$17:$G$146, (MATCH(C38,'Equipment list'!$D$17:$D$146,0)),1)</f>
        <v>43979</v>
      </c>
      <c r="G38" s="76"/>
    </row>
    <row r="39" spans="1:7" x14ac:dyDescent="0.4">
      <c r="A39" s="40" t="str">
        <f>INDEX('Equipment list'!$B$17:$B$146, (MATCH(C39,'Equipment list'!$D$17:$D$146,0)),1)</f>
        <v>Verification Dipole</v>
      </c>
      <c r="B39" s="40" t="str">
        <f>INDEX('Equipment list'!$C$17:$C$146, (MATCH(C39,'Equipment list'!$D$17:$D$146,0)),1)</f>
        <v>D1750V2</v>
      </c>
      <c r="C39" s="69">
        <v>1070</v>
      </c>
      <c r="D39" s="41">
        <f>INDEX('Equipment list'!$E$17:$E$146, (MATCH(C39,'Equipment list'!$D$17:$D$146,0)),1)</f>
        <v>43301</v>
      </c>
      <c r="E39" s="41" t="str">
        <f>INDEX('Equipment list'!$F$17:$F$146, (MATCH(C39,'Equipment list'!$D$17:$D$146,0)),1)</f>
        <v>Biennial</v>
      </c>
      <c r="F39" s="41">
        <f>INDEX('Equipment list'!$G$17:$G$146, (MATCH(C39,'Equipment list'!$D$17:$D$146,0)),1)</f>
        <v>44032</v>
      </c>
      <c r="G39" s="76"/>
    </row>
    <row r="40" spans="1:7" x14ac:dyDescent="0.4">
      <c r="A40" s="40" t="str">
        <f>INDEX('Equipment list'!$B$17:$B$146, (MATCH(C40,'Equipment list'!$D$17:$D$146,0)),1)</f>
        <v>Verification Dipole</v>
      </c>
      <c r="B40" s="40" t="str">
        <f>INDEX('Equipment list'!$C$17:$C$146, (MATCH(C40,'Equipment list'!$D$17:$D$146,0)),1)</f>
        <v>D1800V2</v>
      </c>
      <c r="C40" s="69" t="s">
        <v>43</v>
      </c>
      <c r="D40" s="41">
        <f>INDEX('Equipment list'!$E$17:$E$146, (MATCH(C40,'Equipment list'!$D$17:$D$146,0)),1)</f>
        <v>43707</v>
      </c>
      <c r="E40" s="41" t="str">
        <f>INDEX('Equipment list'!$F$17:$F$146, (MATCH(C40,'Equipment list'!$D$17:$D$146,0)),1)</f>
        <v>Biennial</v>
      </c>
      <c r="F40" s="41">
        <f>INDEX('Equipment list'!$G$17:$G$146, (MATCH(C40,'Equipment list'!$D$17:$D$146,0)),1)</f>
        <v>44438</v>
      </c>
      <c r="G40" s="76"/>
    </row>
    <row r="41" spans="1:7" x14ac:dyDescent="0.4">
      <c r="A41" s="40" t="str">
        <f>INDEX('Equipment list'!$B$17:$B$146, (MATCH(C41,'Equipment list'!$D$17:$D$146,0)),1)</f>
        <v>Verification Dipole</v>
      </c>
      <c r="B41" s="40" t="str">
        <f>INDEX('Equipment list'!$C$17:$C$146, (MATCH(C41,'Equipment list'!$D$17:$D$146,0)),1)</f>
        <v>D1900V2</v>
      </c>
      <c r="C41" s="69" t="s">
        <v>44</v>
      </c>
      <c r="D41" s="41">
        <f>INDEX('Equipment list'!$E$17:$E$146, (MATCH(C41,'Equipment list'!$D$17:$D$146,0)),1)</f>
        <v>43248</v>
      </c>
      <c r="E41" s="41" t="str">
        <f>INDEX('Equipment list'!$F$17:$F$146, (MATCH(C41,'Equipment list'!$D$17:$D$146,0)),1)</f>
        <v>Biennial</v>
      </c>
      <c r="F41" s="41">
        <f>INDEX('Equipment list'!$G$17:$G$146, (MATCH(C41,'Equipment list'!$D$17:$D$146,0)),1)</f>
        <v>43979</v>
      </c>
      <c r="G41" s="76"/>
    </row>
    <row r="42" spans="1:7" x14ac:dyDescent="0.4">
      <c r="A42" s="40" t="str">
        <f>INDEX('Equipment list'!$B$17:$B$146, (MATCH(C42,'Equipment list'!$D$17:$D$146,0)),1)</f>
        <v>Verification Dipole</v>
      </c>
      <c r="B42" s="40" t="str">
        <f>INDEX('Equipment list'!$C$17:$C$146, (MATCH(C42,'Equipment list'!$D$17:$D$146,0)),1)</f>
        <v>D1950V3</v>
      </c>
      <c r="C42" s="69">
        <v>1110</v>
      </c>
      <c r="D42" s="41">
        <f>INDEX('Equipment list'!$E$17:$E$146, (MATCH(C42,'Equipment list'!$D$17:$D$146,0)),1)</f>
        <v>43501</v>
      </c>
      <c r="E42" s="41" t="str">
        <f>INDEX('Equipment list'!$F$17:$F$146, (MATCH(C42,'Equipment list'!$D$17:$D$146,0)),1)</f>
        <v>Biennial</v>
      </c>
      <c r="F42" s="41">
        <f>INDEX('Equipment list'!$G$17:$G$146, (MATCH(C42,'Equipment list'!$D$17:$D$146,0)),1)</f>
        <v>44232</v>
      </c>
      <c r="G42" s="76"/>
    </row>
    <row r="43" spans="1:7" x14ac:dyDescent="0.4">
      <c r="A43" s="40" t="str">
        <f>INDEX('Equipment list'!$B$17:$B$146, (MATCH(C43,'Equipment list'!$D$17:$D$146,0)),1)</f>
        <v>Verification Dipole</v>
      </c>
      <c r="B43" s="40" t="str">
        <f>INDEX('Equipment list'!$C$17:$C$146, (MATCH(C43,'Equipment list'!$D$17:$D$146,0)),1)</f>
        <v>D2300V2</v>
      </c>
      <c r="C43" s="69">
        <v>1037</v>
      </c>
      <c r="D43" s="41">
        <f>INDEX('Equipment list'!$E$17:$E$146, (MATCH(C43,'Equipment list'!$D$17:$D$146,0)),1)</f>
        <v>43493</v>
      </c>
      <c r="E43" s="41" t="str">
        <f>INDEX('Equipment list'!$F$17:$F$146, (MATCH(C43,'Equipment list'!$D$17:$D$146,0)),1)</f>
        <v>Biennial</v>
      </c>
      <c r="F43" s="41">
        <f>INDEX('Equipment list'!$G$17:$G$146, (MATCH(C43,'Equipment list'!$D$17:$D$146,0)),1)</f>
        <v>44224</v>
      </c>
      <c r="G43" s="76"/>
    </row>
    <row r="44" spans="1:7" x14ac:dyDescent="0.4">
      <c r="A44" s="40" t="str">
        <f>INDEX('Equipment list'!$B$17:$B$146, (MATCH(C44,'Equipment list'!$D$17:$D$146,0)),1)</f>
        <v>Verification Dipole</v>
      </c>
      <c r="B44" s="40" t="str">
        <f>INDEX('Equipment list'!$C$17:$C$146, (MATCH(C44,'Equipment list'!$D$17:$D$146,0)),1)</f>
        <v>D2450V2</v>
      </c>
      <c r="C44" s="69">
        <v>734</v>
      </c>
      <c r="D44" s="41">
        <f>INDEX('Equipment list'!$E$17:$E$146, (MATCH(C44,'Equipment list'!$D$17:$D$146,0)),1)</f>
        <v>43865</v>
      </c>
      <c r="E44" s="41" t="str">
        <f>INDEX('Equipment list'!$F$17:$F$146, (MATCH(C44,'Equipment list'!$D$17:$D$146,0)),1)</f>
        <v>Biennial</v>
      </c>
      <c r="F44" s="41">
        <f>INDEX('Equipment list'!$G$17:$G$146, (MATCH(C44,'Equipment list'!$D$17:$D$146,0)),1)</f>
        <v>44596</v>
      </c>
      <c r="G44" s="76"/>
    </row>
    <row r="45" spans="1:7" x14ac:dyDescent="0.4">
      <c r="A45" s="40" t="str">
        <f>INDEX('Equipment list'!$B$17:$B$146, (MATCH(C45,'Equipment list'!$D$17:$D$146,0)),1)</f>
        <v>Verification Dipole</v>
      </c>
      <c r="B45" s="40" t="str">
        <f>INDEX('Equipment list'!$C$17:$C$146, (MATCH(C45,'Equipment list'!$D$17:$D$146,0)),1)</f>
        <v>D2600V2</v>
      </c>
      <c r="C45" s="69">
        <v>1038</v>
      </c>
      <c r="D45" s="41">
        <f>INDEX('Equipment list'!$E$17:$E$146, (MATCH(C45,'Equipment list'!$D$17:$D$146,0)),1)</f>
        <v>43613</v>
      </c>
      <c r="E45" s="41" t="str">
        <f>INDEX('Equipment list'!$F$17:$F$146, (MATCH(C45,'Equipment list'!$D$17:$D$146,0)),1)</f>
        <v>Biennial</v>
      </c>
      <c r="F45" s="41">
        <f>INDEX('Equipment list'!$G$17:$G$146, (MATCH(C45,'Equipment list'!$D$17:$D$146,0)),1)</f>
        <v>44344</v>
      </c>
      <c r="G45" s="76"/>
    </row>
    <row r="46" spans="1:7" x14ac:dyDescent="0.4">
      <c r="A46" s="40" t="str">
        <f>INDEX('Equipment list'!$B$17:$B$146, (MATCH(C46,'Equipment list'!$D$17:$D$146,0)),1)</f>
        <v>Verification Dipole</v>
      </c>
      <c r="B46" s="40" t="str">
        <f>INDEX('Equipment list'!$C$17:$C$146, (MATCH(C46,'Equipment list'!$D$17:$D$146,0)),1)</f>
        <v>D3500V2</v>
      </c>
      <c r="C46" s="69">
        <v>1058</v>
      </c>
      <c r="D46" s="41">
        <f>INDEX('Equipment list'!$E$17:$E$146, (MATCH(C46,'Equipment list'!$D$17:$D$146,0)),1)</f>
        <v>43762</v>
      </c>
      <c r="E46" s="41" t="str">
        <f>INDEX('Equipment list'!$F$17:$F$146, (MATCH(C46,'Equipment list'!$D$17:$D$146,0)),1)</f>
        <v>Biennial</v>
      </c>
      <c r="F46" s="41">
        <f>INDEX('Equipment list'!$G$17:$G$146, (MATCH(C46,'Equipment list'!$D$17:$D$146,0)),1)</f>
        <v>44493</v>
      </c>
      <c r="G46" s="76"/>
    </row>
    <row r="47" spans="1:7" x14ac:dyDescent="0.4">
      <c r="A47" s="40" t="str">
        <f>INDEX('Equipment list'!$B$17:$B$146, (MATCH(C47,'Equipment list'!$D$17:$D$146,0)),1)</f>
        <v>Verification Dipole</v>
      </c>
      <c r="B47" s="40" t="str">
        <f>INDEX('Equipment list'!$C$17:$C$146, (MATCH(C47,'Equipment list'!$D$17:$D$146,0)),1)</f>
        <v>D3700V2</v>
      </c>
      <c r="C47" s="69">
        <v>1005</v>
      </c>
      <c r="D47" s="41">
        <f>INDEX('Equipment list'!$E$17:$E$146, (MATCH(C47,'Equipment list'!$D$17:$D$146,0)),1)</f>
        <v>43762</v>
      </c>
      <c r="E47" s="41" t="str">
        <f>INDEX('Equipment list'!$F$17:$F$146, (MATCH(C47,'Equipment list'!$D$17:$D$146,0)),1)</f>
        <v>Biennial</v>
      </c>
      <c r="F47" s="41">
        <f>INDEX('Equipment list'!$G$17:$G$146, (MATCH(C47,'Equipment list'!$D$17:$D$146,0)),1)</f>
        <v>44493</v>
      </c>
      <c r="G47" s="76"/>
    </row>
    <row r="48" spans="1:7" s="48" customFormat="1" x14ac:dyDescent="0.4">
      <c r="A48" s="40" t="str">
        <f>INDEX('Equipment list'!$B$17:$B$146, (MATCH(C48,'Equipment list'!$D$17:$D$146,0)),1)</f>
        <v>Verification Dipole</v>
      </c>
      <c r="B48" s="40" t="str">
        <f>INDEX('Equipment list'!$C$17:$C$146, (MATCH(C48,'Equipment list'!$D$17:$D$146,0)),1)</f>
        <v>D3900V2</v>
      </c>
      <c r="C48" s="69">
        <v>1036</v>
      </c>
      <c r="D48" s="41">
        <f>INDEX('Equipment list'!$E$17:$E$146, (MATCH(C48,'Equipment list'!$D$17:$D$146,0)),1)</f>
        <v>43795</v>
      </c>
      <c r="E48" s="41" t="str">
        <f>INDEX('Equipment list'!$F$17:$F$146, (MATCH(C48,'Equipment list'!$D$17:$D$146,0)),1)</f>
        <v>Biennial</v>
      </c>
      <c r="F48" s="41">
        <f>INDEX('Equipment list'!$G$17:$G$146, (MATCH(C48,'Equipment list'!$D$17:$D$146,0)),1)</f>
        <v>44526</v>
      </c>
      <c r="G48" s="76"/>
    </row>
    <row r="49" spans="1:8" s="48" customFormat="1" x14ac:dyDescent="0.4">
      <c r="A49" s="40" t="e">
        <f>INDEX('Equipment list'!$B$17:$B$146, (MATCH(C49,'Equipment list'!$D$17:$D$146,0)),1)</f>
        <v>#N/A</v>
      </c>
      <c r="B49" s="40" t="e">
        <f>INDEX('Equipment list'!$C$17:$C$146, (MATCH(C49,'Equipment list'!$D$17:$D$146,0)),1)</f>
        <v>#N/A</v>
      </c>
      <c r="C49" s="69"/>
      <c r="D49" s="41" t="e">
        <f>INDEX('Equipment list'!$E$17:$E$146, (MATCH(C49,'Equipment list'!$D$17:$D$146,0)),1)</f>
        <v>#N/A</v>
      </c>
      <c r="E49" s="41" t="e">
        <f>INDEX('Equipment list'!$F$17:$F$146, (MATCH(C49,'Equipment list'!$D$17:$D$146,0)),1)</f>
        <v>#N/A</v>
      </c>
      <c r="F49" s="41" t="e">
        <f>INDEX('Equipment list'!$G$17:$G$146, (MATCH(C49,'Equipment list'!$D$17:$D$146,0)),1)</f>
        <v>#N/A</v>
      </c>
      <c r="G49" s="76"/>
      <c r="H49" s="48" t="s">
        <v>340</v>
      </c>
    </row>
    <row r="50" spans="1:8" s="48" customFormat="1" x14ac:dyDescent="0.4">
      <c r="A50" s="40" t="e">
        <f>INDEX('Equipment list'!$B$17:$B$146, (MATCH(C50,'Equipment list'!$D$17:$D$146,0)),1)</f>
        <v>#N/A</v>
      </c>
      <c r="B50" s="40" t="e">
        <f>INDEX('Equipment list'!$C$17:$C$146, (MATCH(C50,'Equipment list'!$D$17:$D$146,0)),1)</f>
        <v>#N/A</v>
      </c>
      <c r="C50" s="69"/>
      <c r="D50" s="41" t="e">
        <f>INDEX('Equipment list'!$E$17:$E$146, (MATCH(C50,'Equipment list'!$D$17:$D$146,0)),1)</f>
        <v>#N/A</v>
      </c>
      <c r="E50" s="41" t="e">
        <f>INDEX('Equipment list'!$F$17:$F$146, (MATCH(C50,'Equipment list'!$D$17:$D$146,0)),1)</f>
        <v>#N/A</v>
      </c>
      <c r="F50" s="41" t="e">
        <f>INDEX('Equipment list'!$G$17:$G$146, (MATCH(C50,'Equipment list'!$D$17:$D$146,0)),1)</f>
        <v>#N/A</v>
      </c>
      <c r="G50" s="76"/>
      <c r="H50" s="48" t="s">
        <v>341</v>
      </c>
    </row>
    <row r="51" spans="1:8" x14ac:dyDescent="0.4">
      <c r="A51" s="40" t="str">
        <f>INDEX('Equipment list'!$B$17:$B$146, (MATCH(C51,'Equipment list'!$D$17:$D$146,0)),1)</f>
        <v>Verification Dipole</v>
      </c>
      <c r="B51" s="40" t="str">
        <f>INDEX('Equipment list'!$C$17:$C$146, (MATCH(C51,'Equipment list'!$D$17:$D$146,0)),1)</f>
        <v>D5GHzV2</v>
      </c>
      <c r="C51" s="69">
        <v>1106</v>
      </c>
      <c r="D51" s="41">
        <f>INDEX('Equipment list'!$E$17:$E$146, (MATCH(C51,'Equipment list'!$D$17:$D$146,0)),1)</f>
        <v>43500</v>
      </c>
      <c r="E51" s="41" t="str">
        <f>INDEX('Equipment list'!$F$17:$F$146, (MATCH(C51,'Equipment list'!$D$17:$D$146,0)),1)</f>
        <v>Biennial</v>
      </c>
      <c r="F51" s="41">
        <f>INDEX('Equipment list'!$G$17:$G$146, (MATCH(C51,'Equipment list'!$D$17:$D$146,0)),1)</f>
        <v>44231</v>
      </c>
      <c r="G51" s="77"/>
    </row>
    <row r="52" spans="1:8" x14ac:dyDescent="0.4">
      <c r="A52" s="40" t="str">
        <f>INDEX('Equipment list'!$B$17:$B$146, (MATCH(C52,'Equipment list'!$D$17:$D$146,0)),1)</f>
        <v>Verification Dipole</v>
      </c>
      <c r="B52" s="40" t="str">
        <f>INDEX('Equipment list'!$C$17:$C$146, (MATCH(C52,'Equipment list'!$D$17:$D$146,0)),1)</f>
        <v>D835V2</v>
      </c>
      <c r="C52" s="69" t="s">
        <v>24</v>
      </c>
      <c r="D52" s="41">
        <f>INDEX('Equipment list'!$E$17:$E$146, (MATCH(C52,'Equipment list'!$D$17:$D$146,0)),1)</f>
        <v>43578</v>
      </c>
      <c r="E52" s="41" t="str">
        <f>INDEX('Equipment list'!$F$17:$F$146, (MATCH(C52,'Equipment list'!$D$17:$D$146,0)),1)</f>
        <v>Biennial</v>
      </c>
      <c r="F52" s="41">
        <f>INDEX('Equipment list'!$G$17:$G$146, (MATCH(C52,'Equipment list'!$D$17:$D$146,0)),1)</f>
        <v>44309</v>
      </c>
      <c r="G52" s="74" t="s">
        <v>258</v>
      </c>
    </row>
    <row r="53" spans="1:8" x14ac:dyDescent="0.4">
      <c r="A53" s="40" t="str">
        <f>INDEX('Equipment list'!$B$17:$B$146, (MATCH(C53,'Equipment list'!$D$17:$D$146,0)),1)</f>
        <v>Verification Dipole</v>
      </c>
      <c r="B53" s="40" t="str">
        <f>INDEX('Equipment list'!$C$17:$C$146, (MATCH(C53,'Equipment list'!$D$17:$D$146,0)),1)</f>
        <v>D900V2</v>
      </c>
      <c r="C53" s="69" t="s">
        <v>26</v>
      </c>
      <c r="D53" s="41">
        <f>INDEX('Equipment list'!$E$17:$E$146, (MATCH(C53,'Equipment list'!$D$17:$D$146,0)),1)</f>
        <v>43305</v>
      </c>
      <c r="E53" s="41" t="str">
        <f>INDEX('Equipment list'!$F$17:$F$146, (MATCH(C53,'Equipment list'!$D$17:$D$146,0)),1)</f>
        <v>Biennial</v>
      </c>
      <c r="F53" s="41">
        <f>INDEX('Equipment list'!$G$17:$G$146, (MATCH(C53,'Equipment list'!$D$17:$D$146,0)),1)</f>
        <v>44036</v>
      </c>
      <c r="G53" s="74"/>
    </row>
    <row r="54" spans="1:8" x14ac:dyDescent="0.4">
      <c r="A54" s="40" t="str">
        <f>INDEX('Equipment list'!$B$17:$B$146, (MATCH(C54,'Equipment list'!$D$17:$D$146,0)),1)</f>
        <v>Verification Dipole</v>
      </c>
      <c r="B54" s="40" t="str">
        <f>INDEX('Equipment list'!$C$17:$C$146, (MATCH(C54,'Equipment list'!$D$17:$D$146,0)),1)</f>
        <v>D1750V2</v>
      </c>
      <c r="C54" s="69">
        <v>1116</v>
      </c>
      <c r="D54" s="41">
        <f>INDEX('Equipment list'!$E$17:$E$146, (MATCH(C54,'Equipment list'!$D$17:$D$146,0)),1)</f>
        <v>43665</v>
      </c>
      <c r="E54" s="41" t="str">
        <f>INDEX('Equipment list'!$F$17:$F$146, (MATCH(C54,'Equipment list'!$D$17:$D$146,0)),1)</f>
        <v>Biennial</v>
      </c>
      <c r="F54" s="41">
        <f>INDEX('Equipment list'!$G$17:$G$146, (MATCH(C54,'Equipment list'!$D$17:$D$146,0)),1)</f>
        <v>44396</v>
      </c>
      <c r="G54" s="74"/>
    </row>
    <row r="55" spans="1:8" x14ac:dyDescent="0.4">
      <c r="A55" s="40" t="str">
        <f>INDEX('Equipment list'!$B$17:$B$146, (MATCH(C55,'Equipment list'!$D$17:$D$146,0)),1)</f>
        <v>Verification Dipole</v>
      </c>
      <c r="B55" s="40" t="str">
        <f>INDEX('Equipment list'!$C$17:$C$146, (MATCH(C55,'Equipment list'!$D$17:$D$146,0)),1)</f>
        <v>D1800V2</v>
      </c>
      <c r="C55" s="69" t="s">
        <v>29</v>
      </c>
      <c r="D55" s="41">
        <f>INDEX('Equipment list'!$E$17:$E$146, (MATCH(C55,'Equipment list'!$D$17:$D$146,0)),1)</f>
        <v>43326</v>
      </c>
      <c r="E55" s="41" t="str">
        <f>INDEX('Equipment list'!$F$17:$F$146, (MATCH(C55,'Equipment list'!$D$17:$D$146,0)),1)</f>
        <v>Biennial</v>
      </c>
      <c r="F55" s="41">
        <f>INDEX('Equipment list'!$G$17:$G$146, (MATCH(C55,'Equipment list'!$D$17:$D$146,0)),1)</f>
        <v>44057</v>
      </c>
      <c r="G55" s="74"/>
    </row>
    <row r="56" spans="1:8" x14ac:dyDescent="0.4">
      <c r="A56" s="40" t="str">
        <f>INDEX('Equipment list'!$B$17:$B$146, (MATCH(C56,'Equipment list'!$D$17:$D$146,0)),1)</f>
        <v>Verification Dipole</v>
      </c>
      <c r="B56" s="40" t="str">
        <f>INDEX('Equipment list'!$C$17:$C$146, (MATCH(C56,'Equipment list'!$D$17:$D$146,0)),1)</f>
        <v>D1900V2</v>
      </c>
      <c r="C56" s="69" t="s">
        <v>31</v>
      </c>
      <c r="D56" s="41">
        <f>INDEX('Equipment list'!$E$17:$E$146, (MATCH(C56,'Equipment list'!$D$17:$D$146,0)),1)</f>
        <v>43578</v>
      </c>
      <c r="E56" s="41" t="str">
        <f>INDEX('Equipment list'!$F$17:$F$146, (MATCH(C56,'Equipment list'!$D$17:$D$146,0)),1)</f>
        <v>Biennial</v>
      </c>
      <c r="F56" s="41">
        <f>INDEX('Equipment list'!$G$17:$G$146, (MATCH(C56,'Equipment list'!$D$17:$D$146,0)),1)</f>
        <v>44309</v>
      </c>
      <c r="G56" s="74"/>
    </row>
    <row r="57" spans="1:8" x14ac:dyDescent="0.4">
      <c r="A57" s="40" t="str">
        <f>INDEX('Equipment list'!$B$17:$B$146, (MATCH(C57,'Equipment list'!$D$17:$D$146,0)),1)</f>
        <v>Verification Dipole</v>
      </c>
      <c r="B57" s="40" t="str">
        <f>INDEX('Equipment list'!$C$17:$C$146, (MATCH(C57,'Equipment list'!$D$17:$D$146,0)),1)</f>
        <v>D2300V2</v>
      </c>
      <c r="C57" s="69">
        <v>1071</v>
      </c>
      <c r="D57" s="41">
        <f>INDEX('Equipment list'!$E$17:$E$146, (MATCH(C57,'Equipment list'!$D$17:$D$146,0)),1)</f>
        <v>43250</v>
      </c>
      <c r="E57" s="41" t="str">
        <f>INDEX('Equipment list'!$F$17:$F$146, (MATCH(C57,'Equipment list'!$D$17:$D$146,0)),1)</f>
        <v>Biennial</v>
      </c>
      <c r="F57" s="41">
        <f>INDEX('Equipment list'!$G$17:$G$146, (MATCH(C57,'Equipment list'!$D$17:$D$146,0)),1)</f>
        <v>43981</v>
      </c>
      <c r="G57" s="74"/>
    </row>
    <row r="58" spans="1:8" x14ac:dyDescent="0.4">
      <c r="A58" s="40" t="str">
        <f>INDEX('Equipment list'!$B$17:$B$146, (MATCH(C58,'Equipment list'!$D$17:$D$146,0)),1)</f>
        <v>Verification Dipole</v>
      </c>
      <c r="B58" s="40" t="str">
        <f>INDEX('Equipment list'!$C$17:$C$146, (MATCH(C58,'Equipment list'!$D$17:$D$146,0)),1)</f>
        <v>D2450V2</v>
      </c>
      <c r="C58" s="69">
        <v>892</v>
      </c>
      <c r="D58" s="41">
        <f>INDEX('Equipment list'!$E$17:$E$146, (MATCH(C58,'Equipment list'!$D$17:$D$146,0)),1)</f>
        <v>43579</v>
      </c>
      <c r="E58" s="41" t="str">
        <f>INDEX('Equipment list'!$F$17:$F$146, (MATCH(C58,'Equipment list'!$D$17:$D$146,0)),1)</f>
        <v>Biennial</v>
      </c>
      <c r="F58" s="41">
        <f>INDEX('Equipment list'!$G$17:$G$146, (MATCH(C58,'Equipment list'!$D$17:$D$146,0)),1)</f>
        <v>44310</v>
      </c>
      <c r="G58" s="74"/>
    </row>
    <row r="59" spans="1:8" x14ac:dyDescent="0.4">
      <c r="A59" s="40" t="str">
        <f>INDEX('Equipment list'!$B$17:$B$146, (MATCH(C59,'Equipment list'!$D$17:$D$146,0)),1)</f>
        <v>Verification Dipole</v>
      </c>
      <c r="B59" s="40" t="str">
        <f>INDEX('Equipment list'!$C$17:$C$146, (MATCH(C59,'Equipment list'!$D$17:$D$146,0)),1)</f>
        <v>D2600V2</v>
      </c>
      <c r="C59" s="69">
        <v>1124</v>
      </c>
      <c r="D59" s="41">
        <f>INDEX('Equipment list'!$E$17:$E$146, (MATCH(C59,'Equipment list'!$D$17:$D$146,0)),1)</f>
        <v>43307</v>
      </c>
      <c r="E59" s="41" t="str">
        <f>INDEX('Equipment list'!$F$17:$F$146, (MATCH(C59,'Equipment list'!$D$17:$D$146,0)),1)</f>
        <v>Biennial</v>
      </c>
      <c r="F59" s="41">
        <f>INDEX('Equipment list'!$G$17:$G$146, (MATCH(C59,'Equipment list'!$D$17:$D$146,0)),1)</f>
        <v>44038</v>
      </c>
      <c r="G59" s="74"/>
    </row>
    <row r="60" spans="1:8" x14ac:dyDescent="0.4">
      <c r="A60" s="40" t="str">
        <f>INDEX('Equipment list'!$B$17:$B$146, (MATCH(C60,'Equipment list'!$D$17:$D$146,0)),1)</f>
        <v>Verification Dipole</v>
      </c>
      <c r="B60" s="40" t="str">
        <f>INDEX('Equipment list'!$C$17:$C$146, (MATCH(C60,'Equipment list'!$D$17:$D$146,0)),1)</f>
        <v>D5GHzV2</v>
      </c>
      <c r="C60" s="69">
        <v>1130</v>
      </c>
      <c r="D60" s="41">
        <f>INDEX('Equipment list'!$E$17:$E$146, (MATCH(C60,'Equipment list'!$D$17:$D$146,0)),1)</f>
        <v>43245</v>
      </c>
      <c r="E60" s="41" t="str">
        <f>INDEX('Equipment list'!$F$17:$F$146, (MATCH(C60,'Equipment list'!$D$17:$D$146,0)),1)</f>
        <v>Biennial</v>
      </c>
      <c r="F60" s="41">
        <f>INDEX('Equipment list'!$G$17:$G$146, (MATCH(C60,'Equipment list'!$D$17:$D$146,0)),1)</f>
        <v>43976</v>
      </c>
      <c r="G60" s="74"/>
    </row>
    <row r="61" spans="1:8" x14ac:dyDescent="0.4">
      <c r="A61" s="40" t="str">
        <f>INDEX('Equipment list'!$B$17:$B$146, (MATCH(C61,'Equipment list'!$D$17:$D$146,0)),1)</f>
        <v>DAE</v>
      </c>
      <c r="B61" s="40" t="str">
        <f>INDEX('Equipment list'!$C$17:$C$146, (MATCH(C61,'Equipment list'!$D$17:$D$146,0)),1)</f>
        <v>DAE3</v>
      </c>
      <c r="C61" s="69">
        <v>567</v>
      </c>
      <c r="D61" s="41">
        <f>INDEX('Equipment list'!$E$17:$E$146, (MATCH(C61,'Equipment list'!$D$17:$D$146,0)),1)</f>
        <v>43521</v>
      </c>
      <c r="E61" s="41" t="str">
        <f>INDEX('Equipment list'!$F$17:$F$146, (MATCH(C61,'Equipment list'!$D$17:$D$146,0)),1)</f>
        <v>Annual</v>
      </c>
      <c r="F61" s="41">
        <f>INDEX('Equipment list'!$G$17:$G$146, (MATCH(C61,'Equipment list'!$D$17:$D$146,0)),1)</f>
        <v>43886</v>
      </c>
      <c r="G61" s="74" t="s">
        <v>257</v>
      </c>
    </row>
    <row r="62" spans="1:8" x14ac:dyDescent="0.4">
      <c r="A62" s="40" t="str">
        <f>INDEX('Equipment list'!$B$17:$B$146, (MATCH(C62,'Equipment list'!$D$17:$D$146,0)),1)</f>
        <v>DAE</v>
      </c>
      <c r="B62" s="40" t="str">
        <f>INDEX('Equipment list'!$C$17:$C$146, (MATCH(C62,'Equipment list'!$D$17:$D$146,0)),1)</f>
        <v>DAE4</v>
      </c>
      <c r="C62" s="69">
        <v>1340</v>
      </c>
      <c r="D62" s="41">
        <f>INDEX('Equipment list'!$E$17:$E$146, (MATCH(C62,'Equipment list'!$D$17:$D$146,0)),1)</f>
        <v>43608</v>
      </c>
      <c r="E62" s="41" t="str">
        <f>INDEX('Equipment list'!$F$17:$F$146, (MATCH(C62,'Equipment list'!$D$17:$D$146,0)),1)</f>
        <v>Annual</v>
      </c>
      <c r="F62" s="41">
        <f>INDEX('Equipment list'!$G$17:$G$146, (MATCH(C62,'Equipment list'!$D$17:$D$146,0)),1)</f>
        <v>43974</v>
      </c>
      <c r="G62" s="74"/>
    </row>
    <row r="63" spans="1:8" x14ac:dyDescent="0.4">
      <c r="A63" s="40" t="str">
        <f>INDEX('Equipment list'!$B$17:$B$146, (MATCH(C63,'Equipment list'!$D$17:$D$146,0)),1)</f>
        <v>DAE</v>
      </c>
      <c r="B63" s="40" t="str">
        <f>INDEX('Equipment list'!$C$17:$C$146, (MATCH(C63,'Equipment list'!$D$17:$D$146,0)),1)</f>
        <v>DAE4</v>
      </c>
      <c r="C63" s="69">
        <v>1430</v>
      </c>
      <c r="D63" s="41">
        <f>INDEX('Equipment list'!$E$17:$E$146, (MATCH(C63,'Equipment list'!$D$17:$D$146,0)),1)</f>
        <v>43545</v>
      </c>
      <c r="E63" s="41" t="str">
        <f>INDEX('Equipment list'!$F$17:$F$146, (MATCH(C63,'Equipment list'!$D$17:$D$146,0)),1)</f>
        <v>Annual</v>
      </c>
      <c r="F63" s="41">
        <f>INDEX('Equipment list'!$G$17:$G$146, (MATCH(C63,'Equipment list'!$D$17:$D$146,0)),1)</f>
        <v>43911</v>
      </c>
      <c r="G63" s="74"/>
    </row>
    <row r="64" spans="1:8" s="48" customFormat="1" x14ac:dyDescent="0.4">
      <c r="A64" s="40" t="str">
        <f>INDEX('Equipment list'!$B$17:$B$146, (MATCH(C64,'Equipment list'!$D$17:$D$146,0)),1)</f>
        <v>DAE</v>
      </c>
      <c r="B64" s="40" t="str">
        <f>INDEX('Equipment list'!$C$17:$C$146, (MATCH(C64,'Equipment list'!$D$17:$D$146,0)),1)</f>
        <v>DAE4</v>
      </c>
      <c r="C64" s="69">
        <v>1595</v>
      </c>
      <c r="D64" s="41">
        <f>INDEX('Equipment list'!$E$17:$E$146, (MATCH(C64,'Equipment list'!$D$17:$D$146,0)),1)</f>
        <v>43843</v>
      </c>
      <c r="E64" s="41" t="str">
        <f>INDEX('Equipment list'!$F$17:$F$146, (MATCH(C64,'Equipment list'!$D$17:$D$146,0)),1)</f>
        <v>Annual</v>
      </c>
      <c r="F64" s="41">
        <f>INDEX('Equipment list'!$G$17:$G$146, (MATCH(C64,'Equipment list'!$D$17:$D$146,0)),1)</f>
        <v>44209</v>
      </c>
      <c r="G64" s="73"/>
    </row>
    <row r="65" spans="1:7" x14ac:dyDescent="0.4">
      <c r="A65" s="40" t="str">
        <f>INDEX('Equipment list'!$B$17:$B$146, (MATCH(C65,'Equipment list'!$D$17:$D$146,0)),1)</f>
        <v>DAE</v>
      </c>
      <c r="B65" s="40" t="str">
        <f>INDEX('Equipment list'!$C$17:$C$146, (MATCH(C65,'Equipment list'!$D$17:$D$146,0)),1)</f>
        <v>DAE4</v>
      </c>
      <c r="C65" s="69">
        <v>1503</v>
      </c>
      <c r="D65" s="41">
        <f>INDEX('Equipment list'!$E$17:$E$146, (MATCH(C65,'Equipment list'!$D$17:$D$146,0)),1)</f>
        <v>43665</v>
      </c>
      <c r="E65" s="41" t="str">
        <f>INDEX('Equipment list'!$F$17:$F$146, (MATCH(C65,'Equipment list'!$D$17:$D$146,0)),1)</f>
        <v>Annual</v>
      </c>
      <c r="F65" s="41">
        <f>INDEX('Equipment list'!$G$17:$G$146, (MATCH(C65,'Equipment list'!$D$17:$D$146,0)),1)</f>
        <v>44031</v>
      </c>
      <c r="G65" s="74" t="s">
        <v>258</v>
      </c>
    </row>
    <row r="66" spans="1:7" x14ac:dyDescent="0.4">
      <c r="A66" s="40" t="str">
        <f>INDEX('Equipment list'!$B$17:$B$146, (MATCH(C66,'Equipment list'!$D$17:$D$146,0)),1)</f>
        <v>DAE</v>
      </c>
      <c r="B66" s="40" t="str">
        <f>INDEX('Equipment list'!$C$17:$C$146, (MATCH(C66,'Equipment list'!$D$17:$D$146,0)),1)</f>
        <v>DAE4</v>
      </c>
      <c r="C66" s="69">
        <v>1504</v>
      </c>
      <c r="D66" s="41">
        <f>INDEX('Equipment list'!$E$17:$E$146, (MATCH(C66,'Equipment list'!$D$17:$D$146,0)),1)</f>
        <v>43854</v>
      </c>
      <c r="E66" s="41" t="str">
        <f>INDEX('Equipment list'!$F$17:$F$146, (MATCH(C66,'Equipment list'!$D$17:$D$146,0)),1)</f>
        <v>Annual</v>
      </c>
      <c r="F66" s="41">
        <f>INDEX('Equipment list'!$G$17:$G$146, (MATCH(C66,'Equipment list'!$D$17:$D$146,0)),1)</f>
        <v>44220</v>
      </c>
      <c r="G66" s="74"/>
    </row>
    <row r="67" spans="1:7" x14ac:dyDescent="0.4">
      <c r="A67" s="40" t="str">
        <f>INDEX('Equipment list'!$B$17:$B$146, (MATCH(C67,'Equipment list'!$D$17:$D$146,0)),1)</f>
        <v>DAE</v>
      </c>
      <c r="B67" s="40" t="str">
        <f>INDEX('Equipment list'!$C$17:$C$146, (MATCH(C67,'Equipment list'!$D$17:$D$146,0)),1)</f>
        <v>DAE4</v>
      </c>
      <c r="C67" s="69">
        <v>1507</v>
      </c>
      <c r="D67" s="41">
        <f>INDEX('Equipment list'!$E$17:$E$146, (MATCH(C67,'Equipment list'!$D$17:$D$146,0)),1)</f>
        <v>43726</v>
      </c>
      <c r="E67" s="41" t="str">
        <f>INDEX('Equipment list'!$F$17:$F$146, (MATCH(C67,'Equipment list'!$D$17:$D$146,0)),1)</f>
        <v>Annual</v>
      </c>
      <c r="F67" s="41">
        <f>INDEX('Equipment list'!$G$17:$G$146, (MATCH(C67,'Equipment list'!$D$17:$D$146,0)),1)</f>
        <v>44092</v>
      </c>
      <c r="G67" s="74"/>
    </row>
    <row r="68" spans="1:7" x14ac:dyDescent="0.4">
      <c r="A68" s="40" t="str">
        <f>INDEX('Equipment list'!$B$17:$B$146, (MATCH(C68,'Equipment list'!$D$17:$D$146,0)),1)</f>
        <v>E-Field Probe</v>
      </c>
      <c r="B68" s="40" t="str">
        <f>INDEX('Equipment list'!$C$17:$C$146, (MATCH(C68,'Equipment list'!$D$17:$D$146,0)),1)</f>
        <v>EX3DV4</v>
      </c>
      <c r="C68" s="69">
        <v>3791</v>
      </c>
      <c r="D68" s="41">
        <f>INDEX('Equipment list'!$E$17:$E$146, (MATCH(C68,'Equipment list'!$D$17:$D$146,0)),1)</f>
        <v>43612</v>
      </c>
      <c r="E68" s="41" t="str">
        <f>INDEX('Equipment list'!$F$17:$F$146, (MATCH(C68,'Equipment list'!$D$17:$D$146,0)),1)</f>
        <v>Annual</v>
      </c>
      <c r="F68" s="41">
        <f>INDEX('Equipment list'!$G$17:$G$146, (MATCH(C68,'Equipment list'!$D$17:$D$146,0)),1)</f>
        <v>43978</v>
      </c>
      <c r="G68" s="74" t="s">
        <v>257</v>
      </c>
    </row>
    <row r="69" spans="1:7" x14ac:dyDescent="0.4">
      <c r="A69" s="40" t="str">
        <f>INDEX('Equipment list'!$B$17:$B$146, (MATCH(C69,'Equipment list'!$D$17:$D$146,0)),1)</f>
        <v>E-Field Probe</v>
      </c>
      <c r="B69" s="40" t="str">
        <f>INDEX('Equipment list'!$C$17:$C$146, (MATCH(C69,'Equipment list'!$D$17:$D$146,0)),1)</f>
        <v>EX3DV4</v>
      </c>
      <c r="C69" s="69">
        <v>3862</v>
      </c>
      <c r="D69" s="41">
        <f>INDEX('Equipment list'!$E$17:$E$146, (MATCH(C69,'Equipment list'!$D$17:$D$146,0)),1)</f>
        <v>43766</v>
      </c>
      <c r="E69" s="41" t="str">
        <f>INDEX('Equipment list'!$F$17:$F$146, (MATCH(C69,'Equipment list'!$D$17:$D$146,0)),1)</f>
        <v>Annual</v>
      </c>
      <c r="F69" s="41">
        <f>INDEX('Equipment list'!$G$17:$G$146, (MATCH(C69,'Equipment list'!$D$17:$D$146,0)),1)</f>
        <v>44132</v>
      </c>
      <c r="G69" s="74"/>
    </row>
    <row r="70" spans="1:7" x14ac:dyDescent="0.4">
      <c r="A70" s="40" t="str">
        <f>INDEX('Equipment list'!$B$17:$B$146, (MATCH(C70,'Equipment list'!$D$17:$D$146,0)),1)</f>
        <v>E-Field Probe</v>
      </c>
      <c r="B70" s="40" t="str">
        <f>INDEX('Equipment list'!$C$17:$C$146, (MATCH(C70,'Equipment list'!$D$17:$D$146,0)),1)</f>
        <v>EX3DV4</v>
      </c>
      <c r="C70" s="69">
        <v>3986</v>
      </c>
      <c r="D70" s="41">
        <f>INDEX('Equipment list'!$E$17:$E$146, (MATCH(C70,'Equipment list'!$D$17:$D$146,0)),1)</f>
        <v>43551</v>
      </c>
      <c r="E70" s="41" t="str">
        <f>INDEX('Equipment list'!$F$17:$F$146, (MATCH(C70,'Equipment list'!$D$17:$D$146,0)),1)</f>
        <v>Annual</v>
      </c>
      <c r="F70" s="41">
        <f>INDEX('Equipment list'!$G$17:$G$146, (MATCH(C70,'Equipment list'!$D$17:$D$146,0)),1)</f>
        <v>43917</v>
      </c>
      <c r="G70" s="74"/>
    </row>
    <row r="71" spans="1:7" s="48" customFormat="1" x14ac:dyDescent="0.4">
      <c r="A71" s="40" t="str">
        <f>INDEX('Equipment list'!$B$17:$B$146, (MATCH(C71,'Equipment list'!$D$17:$D$146,0)),1)</f>
        <v>E-Field Probe</v>
      </c>
      <c r="B71" s="40" t="str">
        <f>INDEX('Equipment list'!$C$17:$C$146, (MATCH(C71,'Equipment list'!$D$17:$D$146,0)),1)</f>
        <v>EX3DV4</v>
      </c>
      <c r="C71" s="69">
        <v>7574</v>
      </c>
      <c r="D71" s="41">
        <f>INDEX('Equipment list'!$E$17:$E$146, (MATCH(C71,'Equipment list'!$D$17:$D$146,0)),1)</f>
        <v>43850</v>
      </c>
      <c r="E71" s="41" t="str">
        <f>INDEX('Equipment list'!$F$17:$F$146, (MATCH(C71,'Equipment list'!$D$17:$D$146,0)),1)</f>
        <v>Annual</v>
      </c>
      <c r="F71" s="41">
        <f>INDEX('Equipment list'!$G$17:$G$146, (MATCH(C71,'Equipment list'!$D$17:$D$146,0)),1)</f>
        <v>44216</v>
      </c>
      <c r="G71" s="74"/>
    </row>
    <row r="72" spans="1:7" x14ac:dyDescent="0.4">
      <c r="A72" s="40" t="str">
        <f>INDEX('Equipment list'!$B$17:$B$146, (MATCH(C72,'Equipment list'!$D$17:$D$146,0)),1)</f>
        <v>E-Field Probe</v>
      </c>
      <c r="B72" s="40" t="str">
        <f>INDEX('Equipment list'!$C$17:$C$146, (MATCH(C72,'Equipment list'!$D$17:$D$146,0)),1)</f>
        <v>ET3DV6</v>
      </c>
      <c r="C72" s="69">
        <v>1782</v>
      </c>
      <c r="D72" s="41">
        <f>INDEX('Equipment list'!$E$17:$E$146, (MATCH(C72,'Equipment list'!$D$17:$D$146,0)),1)</f>
        <v>43522</v>
      </c>
      <c r="E72" s="41" t="str">
        <f>INDEX('Equipment list'!$F$17:$F$146, (MATCH(C72,'Equipment list'!$D$17:$D$146,0)),1)</f>
        <v>Annual</v>
      </c>
      <c r="F72" s="41">
        <f>INDEX('Equipment list'!$G$17:$G$146, (MATCH(C72,'Equipment list'!$D$17:$D$146,0)),1)</f>
        <v>43887</v>
      </c>
      <c r="G72" s="74"/>
    </row>
    <row r="73" spans="1:7" x14ac:dyDescent="0.4">
      <c r="A73" s="40" t="str">
        <f>INDEX('Equipment list'!$B$17:$B$146, (MATCH(C73,'Equipment list'!$D$17:$D$146,0)),1)</f>
        <v>E-Field Probe</v>
      </c>
      <c r="B73" s="40" t="str">
        <f>INDEX('Equipment list'!$C$17:$C$146, (MATCH(C73,'Equipment list'!$D$17:$D$146,0)),1)</f>
        <v>EX3DV4</v>
      </c>
      <c r="C73" s="69">
        <v>7412</v>
      </c>
      <c r="D73" s="41">
        <f>INDEX('Equipment list'!$E$17:$E$146, (MATCH(C73,'Equipment list'!$D$17:$D$146,0)),1)</f>
        <v>43581</v>
      </c>
      <c r="E73" s="41" t="str">
        <f>INDEX('Equipment list'!$F$17:$F$146, (MATCH(C73,'Equipment list'!$D$17:$D$146,0)),1)</f>
        <v>Annual</v>
      </c>
      <c r="F73" s="41">
        <f>INDEX('Equipment list'!$G$17:$G$146, (MATCH(C73,'Equipment list'!$D$17:$D$146,0)),1)</f>
        <v>43947</v>
      </c>
      <c r="G73" s="74" t="s">
        <v>258</v>
      </c>
    </row>
    <row r="74" spans="1:7" x14ac:dyDescent="0.4">
      <c r="A74" s="40" t="str">
        <f>INDEX('Equipment list'!$B$17:$B$146, (MATCH(C74,'Equipment list'!$D$17:$D$146,0)),1)</f>
        <v>E-Field Probe</v>
      </c>
      <c r="B74" s="40" t="str">
        <f>INDEX('Equipment list'!$C$17:$C$146, (MATCH(C74,'Equipment list'!$D$17:$D$146,0)),1)</f>
        <v>EX3DV4</v>
      </c>
      <c r="C74" s="69">
        <v>7413</v>
      </c>
      <c r="D74" s="41">
        <f>INDEX('Equipment list'!$E$17:$E$146, (MATCH(C74,'Equipment list'!$D$17:$D$146,0)),1)</f>
        <v>43734</v>
      </c>
      <c r="E74" s="41" t="str">
        <f>INDEX('Equipment list'!$F$17:$F$146, (MATCH(C74,'Equipment list'!$D$17:$D$146,0)),1)</f>
        <v>Annual</v>
      </c>
      <c r="F74" s="41">
        <f>INDEX('Equipment list'!$G$17:$G$146, (MATCH(C74,'Equipment list'!$D$17:$D$146,0)),1)</f>
        <v>44100</v>
      </c>
      <c r="G74" s="74"/>
    </row>
    <row r="75" spans="1:7" s="48" customFormat="1" x14ac:dyDescent="0.4">
      <c r="A75" s="40" t="str">
        <f>INDEX('Equipment list'!$B$17:$B$146, (MATCH(C75,'Equipment list'!$D$17:$D$146,0)),1)</f>
        <v>E-Field Probe</v>
      </c>
      <c r="B75" s="40" t="str">
        <f>INDEX('Equipment list'!$C$17:$C$146, (MATCH(C75,'Equipment list'!$D$17:$D$146,0)),1)</f>
        <v>EUmmWV4</v>
      </c>
      <c r="C75" s="69">
        <v>9462</v>
      </c>
      <c r="D75" s="41">
        <f>INDEX('Equipment list'!$E$17:$E$146, (MATCH(C75,'Equipment list'!$D$17:$D$146,0)),1)</f>
        <v>43850</v>
      </c>
      <c r="E75" s="41" t="str">
        <f>INDEX('Equipment list'!$F$17:$F$146, (MATCH(C75,'Equipment list'!$D$17:$D$146,0)),1)</f>
        <v>Annual</v>
      </c>
      <c r="F75" s="41">
        <f>INDEX('Equipment list'!$G$17:$G$146, (MATCH(C75,'Equipment list'!$D$17:$D$146,0)),1)</f>
        <v>44216</v>
      </c>
      <c r="G75" s="73"/>
    </row>
    <row r="76" spans="1:7" x14ac:dyDescent="0.4">
      <c r="A76" s="40" t="str">
        <f>INDEX('Equipment list'!$B$17:$B$146, (MATCH(C76,'Equipment list'!$D$17:$D$146,0)),1)</f>
        <v>Dielectric Assessment Kit</v>
      </c>
      <c r="B76" s="40" t="str">
        <f>INDEX('Equipment list'!$C$17:$C$146, (MATCH(C76,'Equipment list'!$D$17:$D$146,0)),1)</f>
        <v>DAK-3.5</v>
      </c>
      <c r="C76" s="69">
        <v>1107</v>
      </c>
      <c r="D76" s="41">
        <f>INDEX('Equipment list'!$E$17:$E$146, (MATCH(C76,'Equipment list'!$D$17:$D$146,0)),1)</f>
        <v>43607</v>
      </c>
      <c r="E76" s="41" t="str">
        <f>INDEX('Equipment list'!$F$17:$F$146, (MATCH(C76,'Equipment list'!$D$17:$D$146,0)),1)</f>
        <v>Annual</v>
      </c>
      <c r="F76" s="41">
        <f>INDEX('Equipment list'!$G$17:$G$146, (MATCH(C76,'Equipment list'!$D$17:$D$146,0)),1)</f>
        <v>43973</v>
      </c>
      <c r="G76" s="74" t="s">
        <v>257</v>
      </c>
    </row>
    <row r="77" spans="1:7" x14ac:dyDescent="0.4">
      <c r="A77" s="40" t="str">
        <f>INDEX('Equipment list'!$B$17:$B$146, (MATCH(C77,'Equipment list'!$D$17:$D$146,0)),1)</f>
        <v>Dielectric Assessment Kit</v>
      </c>
      <c r="B77" s="40" t="str">
        <f>INDEX('Equipment list'!$C$17:$C$146, (MATCH(C77,'Equipment list'!$D$17:$D$146,0)),1)</f>
        <v>DAK-3.5</v>
      </c>
      <c r="C77" s="69">
        <v>1228</v>
      </c>
      <c r="D77" s="41">
        <f>INDEX('Equipment list'!$E$17:$E$146, (MATCH(C77,'Equipment list'!$D$17:$D$146,0)),1)</f>
        <v>43788</v>
      </c>
      <c r="E77" s="41" t="str">
        <f>INDEX('Equipment list'!$F$17:$F$146, (MATCH(C77,'Equipment list'!$D$17:$D$146,0)),1)</f>
        <v>Annual</v>
      </c>
      <c r="F77" s="41">
        <f>INDEX('Equipment list'!$G$17:$G$146, (MATCH(C77,'Equipment list'!$D$17:$D$146,0)),1)</f>
        <v>44154</v>
      </c>
      <c r="G77" s="74"/>
    </row>
    <row r="78" spans="1:7" x14ac:dyDescent="0.4">
      <c r="A78" s="40" t="str">
        <f>INDEX('Equipment list'!$B$17:$B$146, (MATCH(C78,'Equipment list'!$D$17:$D$146,0)),1)</f>
        <v>Dielectric Assessment Kit</v>
      </c>
      <c r="B78" s="40" t="str">
        <f>INDEX('Equipment list'!$C$17:$C$146, (MATCH(C78,'Equipment list'!$D$17:$D$146,0)),1)</f>
        <v>DAKS-3.5</v>
      </c>
      <c r="C78" s="69">
        <v>1068</v>
      </c>
      <c r="D78" s="41">
        <f>INDEX('Equipment list'!$E$17:$E$146, (MATCH(C78,'Equipment list'!$D$17:$D$146,0)),1)</f>
        <v>43516</v>
      </c>
      <c r="E78" s="41" t="str">
        <f>INDEX('Equipment list'!$F$17:$F$146, (MATCH(C78,'Equipment list'!$D$17:$D$146,0)),1)</f>
        <v>Annual</v>
      </c>
      <c r="F78" s="41">
        <f>INDEX('Equipment list'!$G$17:$G$146, (MATCH(C78,'Equipment list'!$D$17:$D$146,0)),1)</f>
        <v>43881</v>
      </c>
      <c r="G78" s="47" t="s">
        <v>258</v>
      </c>
    </row>
    <row r="79" spans="1:7" x14ac:dyDescent="0.4">
      <c r="A79" s="40" t="str">
        <f>INDEX('Equipment list'!$B$17:$B$146, (MATCH(C79,'Equipment list'!$D$17:$D$146,0)),1)</f>
        <v>Network Analyzer</v>
      </c>
      <c r="B79" s="40" t="str">
        <f>INDEX('Equipment list'!$C$17:$C$146, (MATCH(C79,'Equipment list'!$D$17:$D$146,0)),1)</f>
        <v>E5071C</v>
      </c>
      <c r="C79" s="69" t="s">
        <v>53</v>
      </c>
      <c r="D79" s="41">
        <f>INDEX('Equipment list'!$E$17:$E$146, (MATCH(C79,'Equipment list'!$D$17:$D$146,0)),1)</f>
        <v>43599</v>
      </c>
      <c r="E79" s="41" t="str">
        <f>INDEX('Equipment list'!$F$17:$F$146, (MATCH(C79,'Equipment list'!$D$17:$D$146,0)),1)</f>
        <v>Annual</v>
      </c>
      <c r="F79" s="41">
        <f>INDEX('Equipment list'!$G$17:$G$146, (MATCH(C79,'Equipment list'!$D$17:$D$146,0)),1)</f>
        <v>43965</v>
      </c>
      <c r="G79" s="47" t="s">
        <v>257</v>
      </c>
    </row>
    <row r="80" spans="1:7" x14ac:dyDescent="0.4">
      <c r="A80" s="40" t="str">
        <f>INDEX('Equipment list'!$B$17:$B$146, (MATCH(C80,'Equipment list'!$D$17:$D$146,0)),1)</f>
        <v>Network Analyzer</v>
      </c>
      <c r="B80" s="40" t="str">
        <f>INDEX('Equipment list'!$C$17:$C$146, (MATCH(C80,'Equipment list'!$D$17:$D$146,0)),1)</f>
        <v>E5070B</v>
      </c>
      <c r="C80" s="69" t="s">
        <v>254</v>
      </c>
      <c r="D80" s="41">
        <f>INDEX('Equipment list'!$E$17:$E$146, (MATCH(C80,'Equipment list'!$D$17:$D$146,0)),1)</f>
        <v>43801</v>
      </c>
      <c r="E80" s="41" t="str">
        <f>INDEX('Equipment list'!$F$17:$F$146, (MATCH(C80,'Equipment list'!$D$17:$D$146,0)),1)</f>
        <v>Annual</v>
      </c>
      <c r="F80" s="41">
        <f>INDEX('Equipment list'!$G$17:$G$146, (MATCH(C80,'Equipment list'!$D$17:$D$146,0)),1)</f>
        <v>44167</v>
      </c>
      <c r="G80" s="74" t="s">
        <v>258</v>
      </c>
    </row>
    <row r="81" spans="1:7" x14ac:dyDescent="0.4">
      <c r="A81" s="40" t="str">
        <f>INDEX('Equipment list'!$B$17:$B$146, (MATCH(C81,'Equipment list'!$D$17:$D$146,0)),1)</f>
        <v>Network Analyzer</v>
      </c>
      <c r="B81" s="40" t="str">
        <f>INDEX('Equipment list'!$C$17:$C$146, (MATCH(C81,'Equipment list'!$D$17:$D$146,0)),1)</f>
        <v>DAKS_VNA R140</v>
      </c>
      <c r="C81" s="69">
        <v>160115</v>
      </c>
      <c r="D81" s="41">
        <f>INDEX('Equipment list'!$E$17:$E$146, (MATCH(C81,'Equipment list'!$D$17:$D$146,0)),1)</f>
        <v>43539</v>
      </c>
      <c r="E81" s="41" t="str">
        <f>INDEX('Equipment list'!$F$17:$F$146, (MATCH(C81,'Equipment list'!$D$17:$D$146,0)),1)</f>
        <v>Annual</v>
      </c>
      <c r="F81" s="41">
        <f>INDEX('Equipment list'!$G$17:$G$146, (MATCH(C81,'Equipment list'!$D$17:$D$146,0)),1)</f>
        <v>43905</v>
      </c>
      <c r="G81" s="74"/>
    </row>
    <row r="82" spans="1:7" x14ac:dyDescent="0.4">
      <c r="A82" s="40" t="str">
        <f>INDEX('Equipment list'!$B$17:$B$146, (MATCH(C82,'Equipment list'!$D$17:$D$146,0)),1)</f>
        <v>Power Meter</v>
      </c>
      <c r="B82" s="40" t="str">
        <f>INDEX('Equipment list'!$C$17:$C$146, (MATCH(C82,'Equipment list'!$D$17:$D$146,0)),1)</f>
        <v>E4416A</v>
      </c>
      <c r="C82" s="69" t="s">
        <v>57</v>
      </c>
      <c r="D82" s="41">
        <f>INDEX('Equipment list'!$E$17:$E$146, (MATCH(C82,'Equipment list'!$D$17:$D$146,0)),1)</f>
        <v>43850</v>
      </c>
      <c r="E82" s="41" t="str">
        <f>INDEX('Equipment list'!$F$17:$F$146, (MATCH(C82,'Equipment list'!$D$17:$D$146,0)),1)</f>
        <v>Annual</v>
      </c>
      <c r="F82" s="41">
        <f>INDEX('Equipment list'!$G$17:$G$146, (MATCH(C82,'Equipment list'!$D$17:$D$146,0)),1)</f>
        <v>44216</v>
      </c>
      <c r="G82" s="74" t="s">
        <v>257</v>
      </c>
    </row>
    <row r="83" spans="1:7" x14ac:dyDescent="0.4">
      <c r="A83" s="40" t="str">
        <f>INDEX('Equipment list'!$B$17:$B$146, (MATCH(C83,'Equipment list'!$D$17:$D$146,0)),1)</f>
        <v>Power Meter</v>
      </c>
      <c r="B83" s="40" t="str">
        <f>INDEX('Equipment list'!$C$17:$C$146, (MATCH(C83,'Equipment list'!$D$17:$D$146,0)),1)</f>
        <v>E4419B</v>
      </c>
      <c r="C83" s="69" t="s">
        <v>55</v>
      </c>
      <c r="D83" s="41">
        <f>INDEX('Equipment list'!$E$17:$E$146, (MATCH(C83,'Equipment list'!$D$17:$D$146,0)),1)</f>
        <v>43538</v>
      </c>
      <c r="E83" s="41" t="str">
        <f>INDEX('Equipment list'!$F$17:$F$146, (MATCH(C83,'Equipment list'!$D$17:$D$146,0)),1)</f>
        <v>Annual</v>
      </c>
      <c r="F83" s="41">
        <f>INDEX('Equipment list'!$G$17:$G$146, (MATCH(C83,'Equipment list'!$D$17:$D$146,0)),1)</f>
        <v>43904</v>
      </c>
      <c r="G83" s="74"/>
    </row>
    <row r="84" spans="1:7" x14ac:dyDescent="0.4">
      <c r="A84" s="40" t="str">
        <f>INDEX('Equipment list'!$B$17:$B$146, (MATCH(C84,'Equipment list'!$D$17:$D$146,0)),1)</f>
        <v>Power Meter</v>
      </c>
      <c r="B84" s="40" t="str">
        <f>INDEX('Equipment list'!$C$17:$C$146, (MATCH(C84,'Equipment list'!$D$17:$D$146,0)),1)</f>
        <v>E4419B</v>
      </c>
      <c r="C84" s="69" t="s">
        <v>88</v>
      </c>
      <c r="D84" s="41">
        <f>INDEX('Equipment list'!$E$17:$E$146, (MATCH(C84,'Equipment list'!$D$17:$D$146,0)),1)</f>
        <v>43538</v>
      </c>
      <c r="E84" s="41" t="str">
        <f>INDEX('Equipment list'!$F$17:$F$146, (MATCH(C84,'Equipment list'!$D$17:$D$146,0)),1)</f>
        <v>Annual</v>
      </c>
      <c r="F84" s="41">
        <f>INDEX('Equipment list'!$G$17:$G$146, (MATCH(C84,'Equipment list'!$D$17:$D$146,0)),1)</f>
        <v>43904</v>
      </c>
      <c r="G84" s="74"/>
    </row>
    <row r="85" spans="1:7" x14ac:dyDescent="0.4">
      <c r="A85" s="40" t="str">
        <f>INDEX('Equipment list'!$B$17:$B$146, (MATCH(C85,'Equipment list'!$D$17:$D$146,0)),1)</f>
        <v>Power Meter</v>
      </c>
      <c r="B85" s="40" t="str">
        <f>INDEX('Equipment list'!$C$17:$C$146, (MATCH(C85,'Equipment list'!$D$17:$D$146,0)),1)</f>
        <v>N1914A</v>
      </c>
      <c r="C85" s="69" t="s">
        <v>90</v>
      </c>
      <c r="D85" s="41">
        <f>INDEX('Equipment list'!$E$17:$E$146, (MATCH(C85,'Equipment list'!$D$17:$D$146,0)),1)</f>
        <v>43628</v>
      </c>
      <c r="E85" s="41" t="str">
        <f>INDEX('Equipment list'!$F$17:$F$146, (MATCH(C85,'Equipment list'!$D$17:$D$146,0)),1)</f>
        <v>Annual</v>
      </c>
      <c r="F85" s="41">
        <f>INDEX('Equipment list'!$G$17:$G$146, (MATCH(C85,'Equipment list'!$D$17:$D$146,0)),1)</f>
        <v>43994</v>
      </c>
      <c r="G85" s="74" t="s">
        <v>258</v>
      </c>
    </row>
    <row r="86" spans="1:7" x14ac:dyDescent="0.4">
      <c r="A86" s="40" t="str">
        <f>INDEX('Equipment list'!$B$17:$B$146, (MATCH(C86,'Equipment list'!$D$17:$D$146,0)),1)</f>
        <v>Power Meter</v>
      </c>
      <c r="B86" s="40" t="str">
        <f>INDEX('Equipment list'!$C$17:$C$146, (MATCH(C86,'Equipment list'!$D$17:$D$146,0)),1)</f>
        <v>E4416A</v>
      </c>
      <c r="C86" s="69" t="s">
        <v>255</v>
      </c>
      <c r="D86" s="41">
        <f>INDEX('Equipment list'!$E$17:$E$146, (MATCH(C86,'Equipment list'!$D$17:$D$146,0)),1)</f>
        <v>43803</v>
      </c>
      <c r="E86" s="41" t="str">
        <f>INDEX('Equipment list'!$F$17:$F$146, (MATCH(C86,'Equipment list'!$D$17:$D$146,0)),1)</f>
        <v>Annual</v>
      </c>
      <c r="F86" s="41">
        <f>INDEX('Equipment list'!$G$17:$G$146, (MATCH(C86,'Equipment list'!$D$17:$D$146,0)),1)</f>
        <v>44169</v>
      </c>
      <c r="G86" s="74"/>
    </row>
    <row r="87" spans="1:7" x14ac:dyDescent="0.4">
      <c r="A87" s="40" t="str">
        <f>INDEX('Equipment list'!$B$17:$B$146, (MATCH(C87,'Equipment list'!$D$17:$D$146,0)),1)</f>
        <v>Power Sensor</v>
      </c>
      <c r="B87" s="40" t="str">
        <f>INDEX('Equipment list'!$C$17:$C$146, (MATCH(C87,'Equipment list'!$D$17:$D$146,0)),1)</f>
        <v>E9300H</v>
      </c>
      <c r="C87" s="69" t="s">
        <v>59</v>
      </c>
      <c r="D87" s="41">
        <f>INDEX('Equipment list'!$E$17:$E$146, (MATCH(C87,'Equipment list'!$D$17:$D$146,0)),1)</f>
        <v>43600</v>
      </c>
      <c r="E87" s="41" t="str">
        <f>INDEX('Equipment list'!$F$17:$F$146, (MATCH(C87,'Equipment list'!$D$17:$D$146,0)),1)</f>
        <v>Annual</v>
      </c>
      <c r="F87" s="41">
        <f>INDEX('Equipment list'!$G$17:$G$146, (MATCH(C87,'Equipment list'!$D$17:$D$146,0)),1)</f>
        <v>43966</v>
      </c>
      <c r="G87" s="74" t="s">
        <v>257</v>
      </c>
    </row>
    <row r="88" spans="1:7" x14ac:dyDescent="0.4">
      <c r="A88" s="40" t="str">
        <f>INDEX('Equipment list'!$B$17:$B$146, (MATCH(C88,'Equipment list'!$D$17:$D$146,0)),1)</f>
        <v>Power Sensor</v>
      </c>
      <c r="B88" s="40" t="str">
        <f>INDEX('Equipment list'!$C$17:$C$146, (MATCH(C88,'Equipment list'!$D$17:$D$146,0)),1)</f>
        <v>E9327A</v>
      </c>
      <c r="C88" s="69" t="s">
        <v>62</v>
      </c>
      <c r="D88" s="41">
        <f>INDEX('Equipment list'!$E$17:$E$146, (MATCH(C88,'Equipment list'!$D$17:$D$146,0)),1)</f>
        <v>43803</v>
      </c>
      <c r="E88" s="41" t="str">
        <f>INDEX('Equipment list'!$F$17:$F$146, (MATCH(C88,'Equipment list'!$D$17:$D$146,0)),1)</f>
        <v>Annual</v>
      </c>
      <c r="F88" s="41">
        <f>INDEX('Equipment list'!$G$17:$G$146, (MATCH(C88,'Equipment list'!$D$17:$D$146,0)),1)</f>
        <v>44169</v>
      </c>
      <c r="G88" s="74"/>
    </row>
    <row r="89" spans="1:7" x14ac:dyDescent="0.4">
      <c r="A89" s="40" t="str">
        <f>INDEX('Equipment list'!$B$17:$B$146, (MATCH(C89,'Equipment list'!$D$17:$D$146,0)),1)</f>
        <v>Power Sensor</v>
      </c>
      <c r="B89" s="40" t="str">
        <f>INDEX('Equipment list'!$C$17:$C$146, (MATCH(C89,'Equipment list'!$D$17:$D$146,0)),1)</f>
        <v>E9300H</v>
      </c>
      <c r="C89" s="69" t="s">
        <v>60</v>
      </c>
      <c r="D89" s="41">
        <f>INDEX('Equipment list'!$E$17:$E$146, (MATCH(C89,'Equipment list'!$D$17:$D$146,0)),1)</f>
        <v>43538</v>
      </c>
      <c r="E89" s="41" t="str">
        <f>INDEX('Equipment list'!$F$17:$F$146, (MATCH(C89,'Equipment list'!$D$17:$D$146,0)),1)</f>
        <v>Annual</v>
      </c>
      <c r="F89" s="41">
        <f>INDEX('Equipment list'!$G$17:$G$146, (MATCH(C89,'Equipment list'!$D$17:$D$146,0)),1)</f>
        <v>43904</v>
      </c>
      <c r="G89" s="74"/>
    </row>
    <row r="90" spans="1:7" x14ac:dyDescent="0.4">
      <c r="A90" s="40" t="str">
        <f>INDEX('Equipment list'!$B$17:$B$146, (MATCH(C90,'Equipment list'!$D$17:$D$146,0)),1)</f>
        <v>Power Sensor</v>
      </c>
      <c r="B90" s="40" t="str">
        <f>INDEX('Equipment list'!$C$17:$C$146, (MATCH(C90,'Equipment list'!$D$17:$D$146,0)),1)</f>
        <v>NRP-Z81</v>
      </c>
      <c r="C90" s="69">
        <v>102909</v>
      </c>
      <c r="D90" s="41">
        <f>INDEX('Equipment list'!$E$17:$E$146, (MATCH(C90,'Equipment list'!$D$17:$D$146,0)),1)</f>
        <v>43538</v>
      </c>
      <c r="E90" s="41" t="str">
        <f>INDEX('Equipment list'!$F$17:$F$146, (MATCH(C90,'Equipment list'!$D$17:$D$146,0)),1)</f>
        <v>Annual</v>
      </c>
      <c r="F90" s="41">
        <f>INDEX('Equipment list'!$G$17:$G$146, (MATCH(C90,'Equipment list'!$D$17:$D$146,0)),1)</f>
        <v>43904</v>
      </c>
      <c r="G90" s="74"/>
    </row>
    <row r="91" spans="1:7" x14ac:dyDescent="0.4">
      <c r="A91" s="40" t="str">
        <f>INDEX('Equipment list'!$B$17:$B$146, (MATCH(C91,'Equipment list'!$D$17:$D$146,0)),1)</f>
        <v>Power Sensor</v>
      </c>
      <c r="B91" s="40" t="str">
        <f>INDEX('Equipment list'!$C$17:$C$146, (MATCH(C91,'Equipment list'!$D$17:$D$146,0)),1)</f>
        <v>N8481A</v>
      </c>
      <c r="C91" s="69" t="s">
        <v>92</v>
      </c>
      <c r="D91" s="41">
        <f>INDEX('Equipment list'!$E$17:$E$146, (MATCH(C91,'Equipment list'!$D$17:$D$146,0)),1)</f>
        <v>43628</v>
      </c>
      <c r="E91" s="41" t="str">
        <f>INDEX('Equipment list'!$F$17:$F$146, (MATCH(C91,'Equipment list'!$D$17:$D$146,0)),1)</f>
        <v>Annual</v>
      </c>
      <c r="F91" s="41">
        <f>INDEX('Equipment list'!$G$17:$G$146, (MATCH(C91,'Equipment list'!$D$17:$D$146,0)),1)</f>
        <v>43994</v>
      </c>
      <c r="G91" s="74" t="s">
        <v>258</v>
      </c>
    </row>
    <row r="92" spans="1:7" x14ac:dyDescent="0.4">
      <c r="A92" s="40" t="str">
        <f>INDEX('Equipment list'!$B$17:$B$146, (MATCH(C92,'Equipment list'!$D$17:$D$146,0)),1)</f>
        <v>Power Sensor</v>
      </c>
      <c r="B92" s="40" t="str">
        <f>INDEX('Equipment list'!$C$17:$C$146, (MATCH(C92,'Equipment list'!$D$17:$D$146,0)),1)</f>
        <v>N8481A</v>
      </c>
      <c r="C92" s="69" t="s">
        <v>93</v>
      </c>
      <c r="D92" s="41">
        <f>INDEX('Equipment list'!$E$17:$E$146, (MATCH(C92,'Equipment list'!$D$17:$D$146,0)),1)</f>
        <v>43628</v>
      </c>
      <c r="E92" s="41" t="str">
        <f>INDEX('Equipment list'!$F$17:$F$146, (MATCH(C92,'Equipment list'!$D$17:$D$146,0)),1)</f>
        <v>Annual</v>
      </c>
      <c r="F92" s="41">
        <f>INDEX('Equipment list'!$G$17:$G$146, (MATCH(C92,'Equipment list'!$D$17:$D$146,0)),1)</f>
        <v>43994</v>
      </c>
      <c r="G92" s="74"/>
    </row>
    <row r="93" spans="1:7" x14ac:dyDescent="0.4">
      <c r="A93" s="40" t="str">
        <f>INDEX('Equipment list'!$B$17:$B$146, (MATCH(C93,'Equipment list'!$D$17:$D$146,0)),1)</f>
        <v>Signal Generator</v>
      </c>
      <c r="B93" s="40" t="str">
        <f>INDEX('Equipment list'!$C$17:$C$146, (MATCH(C93,'Equipment list'!$D$17:$D$146,0)),1)</f>
        <v>E4421B</v>
      </c>
      <c r="C93" s="69" t="s">
        <v>97</v>
      </c>
      <c r="D93" s="41">
        <f>INDEX('Equipment list'!$E$17:$E$146, (MATCH(C93,'Equipment list'!$D$17:$D$146,0)),1)</f>
        <v>43537</v>
      </c>
      <c r="E93" s="41" t="str">
        <f>INDEX('Equipment list'!$F$17:$F$146, (MATCH(C93,'Equipment list'!$D$17:$D$146,0)),1)</f>
        <v>Annual</v>
      </c>
      <c r="F93" s="41">
        <f>INDEX('Equipment list'!$G$17:$G$146, (MATCH(C93,'Equipment list'!$D$17:$D$146,0)),1)</f>
        <v>43903</v>
      </c>
      <c r="G93" s="74" t="s">
        <v>257</v>
      </c>
    </row>
    <row r="94" spans="1:7" x14ac:dyDescent="0.4">
      <c r="A94" s="40" t="str">
        <f>INDEX('Equipment list'!$B$17:$B$146, (MATCH(C94,'Equipment list'!$D$17:$D$146,0)),1)</f>
        <v>Signal Generator</v>
      </c>
      <c r="B94" s="40" t="str">
        <f>INDEX('Equipment list'!$C$17:$C$146, (MATCH(C94,'Equipment list'!$D$17:$D$146,0)),1)</f>
        <v>E4438C</v>
      </c>
      <c r="C94" s="69" t="s">
        <v>98</v>
      </c>
      <c r="D94" s="41">
        <f>INDEX('Equipment list'!$E$17:$E$146, (MATCH(C94,'Equipment list'!$D$17:$D$146,0)),1)</f>
        <v>43537</v>
      </c>
      <c r="E94" s="41" t="str">
        <f>INDEX('Equipment list'!$F$17:$F$146, (MATCH(C94,'Equipment list'!$D$17:$D$146,0)),1)</f>
        <v>Annual</v>
      </c>
      <c r="F94" s="41">
        <f>INDEX('Equipment list'!$G$17:$G$146, (MATCH(C94,'Equipment list'!$D$17:$D$146,0)),1)</f>
        <v>43903</v>
      </c>
      <c r="G94" s="74"/>
    </row>
    <row r="95" spans="1:7" x14ac:dyDescent="0.4">
      <c r="A95" s="40" t="str">
        <f>INDEX('Equipment list'!$B$17:$B$146, (MATCH(C95,'Equipment list'!$D$17:$D$146,0)),1)</f>
        <v>Signal Generator</v>
      </c>
      <c r="B95" s="40" t="str">
        <f>INDEX('Equipment list'!$C$17:$C$146, (MATCH(C95,'Equipment list'!$D$17:$D$146,0)),1)</f>
        <v>E8247C</v>
      </c>
      <c r="C95" s="69" t="s">
        <v>64</v>
      </c>
      <c r="D95" s="41">
        <f>INDEX('Equipment list'!$E$17:$E$146, (MATCH(C95,'Equipment list'!$D$17:$D$146,0)),1)</f>
        <v>43626</v>
      </c>
      <c r="E95" s="41" t="str">
        <f>INDEX('Equipment list'!$F$17:$F$146, (MATCH(C95,'Equipment list'!$D$17:$D$146,0)),1)</f>
        <v>Annual</v>
      </c>
      <c r="F95" s="41">
        <f>INDEX('Equipment list'!$G$17:$G$146, (MATCH(C95,'Equipment list'!$D$17:$D$146,0)),1)</f>
        <v>43992</v>
      </c>
      <c r="G95" s="74"/>
    </row>
    <row r="96" spans="1:7" x14ac:dyDescent="0.4">
      <c r="A96" s="40" t="str">
        <f>INDEX('Equipment list'!$B$17:$B$146, (MATCH(C96,'Equipment list'!$D$17:$D$146,0)),1)</f>
        <v>Signal Generator</v>
      </c>
      <c r="B96" s="40" t="str">
        <f>INDEX('Equipment list'!$C$17:$C$146, (MATCH(C96,'Equipment list'!$D$17:$D$146,0)),1)</f>
        <v>SMBV100A</v>
      </c>
      <c r="C96" s="69">
        <v>262093</v>
      </c>
      <c r="D96" s="41">
        <f>INDEX('Equipment list'!$E$17:$E$146, (MATCH(C96,'Equipment list'!$D$17:$D$146,0)),1)</f>
        <v>43626</v>
      </c>
      <c r="E96" s="41" t="str">
        <f>INDEX('Equipment list'!$F$17:$F$146, (MATCH(C96,'Equipment list'!$D$17:$D$146,0)),1)</f>
        <v>Annual</v>
      </c>
      <c r="F96" s="41">
        <f>INDEX('Equipment list'!$G$17:$G$146, (MATCH(C96,'Equipment list'!$D$17:$D$146,0)),1)</f>
        <v>43992</v>
      </c>
      <c r="G96" s="47" t="s">
        <v>258</v>
      </c>
    </row>
    <row r="97" spans="1:8" x14ac:dyDescent="0.4">
      <c r="A97" s="40" t="str">
        <f>INDEX('Equipment list'!$B$17:$B$146, (MATCH(C97,'Equipment list'!$D$17:$D$146,0)),1)</f>
        <v>Power Amplifier</v>
      </c>
      <c r="B97" s="40" t="str">
        <f>INDEX('Equipment list'!$C$17:$C$146, (MATCH(C97,'Equipment list'!$D$17:$D$146,0)),1)</f>
        <v>2002-BBS2C4AEL</v>
      </c>
      <c r="C97" s="69" t="s">
        <v>101</v>
      </c>
      <c r="D97" s="41">
        <f>INDEX('Equipment list'!$E$17:$E$146, (MATCH(C97,'Equipment list'!$D$17:$D$146,0)),1)</f>
        <v>43801</v>
      </c>
      <c r="E97" s="41" t="str">
        <f>INDEX('Equipment list'!$F$17:$F$146, (MATCH(C97,'Equipment list'!$D$17:$D$146,0)),1)</f>
        <v>Annual</v>
      </c>
      <c r="F97" s="41">
        <f>INDEX('Equipment list'!$G$17:$G$146, (MATCH(C97,'Equipment list'!$D$17:$D$146,0)),1)</f>
        <v>44167</v>
      </c>
      <c r="G97" s="74" t="s">
        <v>257</v>
      </c>
    </row>
    <row r="98" spans="1:8" x14ac:dyDescent="0.4">
      <c r="A98" s="40" t="str">
        <f>INDEX('Equipment list'!$B$17:$B$146, (MATCH(C98,'Equipment list'!$D$17:$D$146,0)),1)</f>
        <v>Power Amplifier</v>
      </c>
      <c r="B98" s="40" t="str">
        <f>INDEX('Equipment list'!$C$17:$C$146, (MATCH(C98,'Equipment list'!$D$17:$D$146,0)),1)</f>
        <v>2092-BBS5K8CAJ</v>
      </c>
      <c r="C98" s="69">
        <v>1010</v>
      </c>
      <c r="D98" s="41">
        <f>INDEX('Equipment list'!$E$17:$E$146, (MATCH(C98,'Equipment list'!$D$17:$D$146,0)),1)</f>
        <v>43628</v>
      </c>
      <c r="E98" s="41" t="str">
        <f>INDEX('Equipment list'!$F$17:$F$146, (MATCH(C98,'Equipment list'!$D$17:$D$146,0)),1)</f>
        <v>Annual</v>
      </c>
      <c r="F98" s="41">
        <f>INDEX('Equipment list'!$G$17:$G$146, (MATCH(C98,'Equipment list'!$D$17:$D$146,0)),1)</f>
        <v>43994</v>
      </c>
      <c r="G98" s="74"/>
    </row>
    <row r="99" spans="1:8" x14ac:dyDescent="0.4">
      <c r="A99" s="40" t="str">
        <f>INDEX('Equipment list'!$B$17:$B$146, (MATCH(C99,'Equipment list'!$D$17:$D$146,0)),1)</f>
        <v>Power Amplifier</v>
      </c>
      <c r="B99" s="40" t="str">
        <f>INDEX('Equipment list'!$C$17:$C$146, (MATCH(C99,'Equipment list'!$D$17:$D$146,0)),1)</f>
        <v>BLMA1060-10</v>
      </c>
      <c r="C99" s="69">
        <v>1711221</v>
      </c>
      <c r="D99" s="41">
        <f>INDEX('Equipment list'!$E$17:$E$146, (MATCH(C99,'Equipment list'!$D$17:$D$146,0)),1)</f>
        <v>43628</v>
      </c>
      <c r="E99" s="41" t="str">
        <f>INDEX('Equipment list'!$F$17:$F$146, (MATCH(C99,'Equipment list'!$D$17:$D$146,0)),1)</f>
        <v>Annual</v>
      </c>
      <c r="F99" s="41">
        <f>INDEX('Equipment list'!$G$17:$G$146, (MATCH(C99,'Equipment list'!$D$17:$D$146,0)),1)</f>
        <v>43994</v>
      </c>
      <c r="G99" s="74"/>
    </row>
    <row r="100" spans="1:8" x14ac:dyDescent="0.4">
      <c r="A100" s="40" t="str">
        <f>INDEX('Equipment list'!$B$17:$B$146, (MATCH(C100,'Equipment list'!$D$17:$D$146,0)),1)</f>
        <v>Power Amplifier</v>
      </c>
      <c r="B100" s="40" t="str">
        <f>INDEX('Equipment list'!$C$17:$C$146, (MATCH(C100,'Equipment list'!$D$17:$D$146,0)),1)</f>
        <v>AMP2027</v>
      </c>
      <c r="C100" s="69">
        <v>10008</v>
      </c>
      <c r="D100" s="41">
        <f>INDEX('Equipment list'!$E$17:$E$146, (MATCH(C100,'Equipment list'!$D$17:$D$146,0)),1)</f>
        <v>43539</v>
      </c>
      <c r="E100" s="41" t="str">
        <f>INDEX('Equipment list'!$F$17:$F$146, (MATCH(C100,'Equipment list'!$D$17:$D$146,0)),1)</f>
        <v>Annual</v>
      </c>
      <c r="F100" s="41">
        <f>INDEX('Equipment list'!$G$17:$G$146, (MATCH(C100,'Equipment list'!$D$17:$D$146,0)),1)</f>
        <v>43905</v>
      </c>
      <c r="G100" s="47" t="s">
        <v>258</v>
      </c>
    </row>
    <row r="101" spans="1:8" x14ac:dyDescent="0.4">
      <c r="A101" s="40" t="str">
        <f>INDEX('Equipment list'!$B$17:$B$146, (MATCH(C101,'Equipment list'!$D$17:$D$146,0)),1)</f>
        <v>Dual Directional Coupler</v>
      </c>
      <c r="B101" s="40" t="str">
        <f>INDEX('Equipment list'!$C$17:$C$146, (MATCH(C101,'Equipment list'!$D$17:$D$146,0)),1)</f>
        <v>777D</v>
      </c>
      <c r="C101" s="69">
        <v>50128</v>
      </c>
      <c r="D101" s="41">
        <f>INDEX('Equipment list'!$E$17:$E$146, (MATCH(C101,'Equipment list'!$D$17:$D$146,0)),1)</f>
        <v>43628</v>
      </c>
      <c r="E101" s="41" t="str">
        <f>INDEX('Equipment list'!$F$17:$F$146, (MATCH(C101,'Equipment list'!$D$17:$D$146,0)),1)</f>
        <v>Annual</v>
      </c>
      <c r="F101" s="41">
        <f>INDEX('Equipment list'!$G$17:$G$146, (MATCH(C101,'Equipment list'!$D$17:$D$146,0)),1)</f>
        <v>43994</v>
      </c>
      <c r="G101" s="74" t="s">
        <v>257</v>
      </c>
    </row>
    <row r="102" spans="1:8" x14ac:dyDescent="0.4">
      <c r="A102" s="40" t="str">
        <f>INDEX('Equipment list'!$B$17:$B$146, (MATCH(C102,'Equipment list'!$D$17:$D$146,0)),1)</f>
        <v>Dual Directional Coupler</v>
      </c>
      <c r="B102" s="40" t="str">
        <f>INDEX('Equipment list'!$C$17:$C$146, (MATCH(C102,'Equipment list'!$D$17:$D$146,0)),1)</f>
        <v>778D</v>
      </c>
      <c r="C102" s="69" t="s">
        <v>68</v>
      </c>
      <c r="D102" s="41">
        <f>INDEX('Equipment list'!$E$17:$E$146, (MATCH(C102,'Equipment list'!$D$17:$D$146,0)),1)</f>
        <v>43537</v>
      </c>
      <c r="E102" s="41" t="str">
        <f>INDEX('Equipment list'!$F$17:$F$146, (MATCH(C102,'Equipment list'!$D$17:$D$146,0)),1)</f>
        <v>Annual</v>
      </c>
      <c r="F102" s="41">
        <f>INDEX('Equipment list'!$G$17:$G$146, (MATCH(C102,'Equipment list'!$D$17:$D$146,0)),1)</f>
        <v>43903</v>
      </c>
      <c r="G102" s="74"/>
    </row>
    <row r="103" spans="1:8" x14ac:dyDescent="0.4">
      <c r="A103" s="40" t="str">
        <f>INDEX('Equipment list'!$B$17:$B$146, (MATCH(C103,'Equipment list'!$D$17:$D$146,0)),1)</f>
        <v>Dual Directional Coupler</v>
      </c>
      <c r="B103" s="40" t="str">
        <f>INDEX('Equipment list'!$C$17:$C$146, (MATCH(C103,'Equipment list'!$D$17:$D$146,0)),1)</f>
        <v>772D</v>
      </c>
      <c r="C103" s="69" t="s">
        <v>70</v>
      </c>
      <c r="D103" s="41">
        <f>INDEX('Equipment list'!$E$17:$E$146, (MATCH(C103,'Equipment list'!$D$17:$D$146,0)),1)</f>
        <v>43537</v>
      </c>
      <c r="E103" s="41" t="str">
        <f>INDEX('Equipment list'!$F$17:$F$146, (MATCH(C103,'Equipment list'!$D$17:$D$146,0)),1)</f>
        <v>Annual</v>
      </c>
      <c r="F103" s="41">
        <f>INDEX('Equipment list'!$G$17:$G$146, (MATCH(C103,'Equipment list'!$D$17:$D$146,0)),1)</f>
        <v>43903</v>
      </c>
      <c r="G103" s="74"/>
    </row>
    <row r="104" spans="1:8" x14ac:dyDescent="0.4">
      <c r="A104" s="40" t="str">
        <f>INDEX('Equipment list'!$B$17:$B$146, (MATCH(C104,'Equipment list'!$D$17:$D$146,0)),1)</f>
        <v>Dual Directional Coupler</v>
      </c>
      <c r="B104" s="40" t="str">
        <f>INDEX('Equipment list'!$C$17:$C$146, (MATCH(C104,'Equipment list'!$D$17:$D$146,0)),1)</f>
        <v>86205A</v>
      </c>
      <c r="C104" s="69" t="s">
        <v>107</v>
      </c>
      <c r="D104" s="41">
        <f>INDEX('Equipment list'!$E$17:$E$146, (MATCH(C104,'Equipment list'!$D$17:$D$146,0)),1)</f>
        <v>43628</v>
      </c>
      <c r="E104" s="41" t="str">
        <f>INDEX('Equipment list'!$F$17:$F$146, (MATCH(C104,'Equipment list'!$D$17:$D$146,0)),1)</f>
        <v>Annual</v>
      </c>
      <c r="F104" s="41">
        <f>INDEX('Equipment list'!$G$17:$G$146, (MATCH(C104,'Equipment list'!$D$17:$D$146,0)),1)</f>
        <v>43994</v>
      </c>
      <c r="G104" s="74"/>
    </row>
    <row r="105" spans="1:8" x14ac:dyDescent="0.4">
      <c r="A105" s="40" t="str">
        <f>INDEX('Equipment list'!$B$17:$B$146, (MATCH(C105,'Equipment list'!$D$17:$D$146,0)),1)</f>
        <v>Dual Directional Coupler</v>
      </c>
      <c r="B105" s="40" t="str">
        <f>INDEX('Equipment list'!$C$17:$C$146, (MATCH(C105,'Equipment list'!$D$17:$D$146,0)),1)</f>
        <v>778D</v>
      </c>
      <c r="C105" s="69" t="s">
        <v>103</v>
      </c>
      <c r="D105" s="41">
        <f>INDEX('Equipment list'!$E$17:$E$146, (MATCH(C105,'Equipment list'!$D$17:$D$146,0)),1)</f>
        <v>43628</v>
      </c>
      <c r="E105" s="41" t="str">
        <f>INDEX('Equipment list'!$F$17:$F$146, (MATCH(C105,'Equipment list'!$D$17:$D$146,0)),1)</f>
        <v>Annual</v>
      </c>
      <c r="F105" s="41">
        <f>INDEX('Equipment list'!$G$17:$G$146, (MATCH(C105,'Equipment list'!$D$17:$D$146,0)),1)</f>
        <v>43994</v>
      </c>
      <c r="G105" s="74" t="s">
        <v>258</v>
      </c>
    </row>
    <row r="106" spans="1:8" x14ac:dyDescent="0.4">
      <c r="A106" s="40" t="str">
        <f>INDEX('Equipment list'!$B$17:$B$146, (MATCH(C106,'Equipment list'!$D$17:$D$146,0)),1)</f>
        <v>Dual Directional Coupler</v>
      </c>
      <c r="B106" s="40" t="str">
        <f>INDEX('Equipment list'!$C$17:$C$146, (MATCH(C106,'Equipment list'!$D$17:$D$146,0)),1)</f>
        <v>772D</v>
      </c>
      <c r="C106" s="69" t="s">
        <v>104</v>
      </c>
      <c r="D106" s="41">
        <f>INDEX('Equipment list'!$E$17:$E$146, (MATCH(C106,'Equipment list'!$D$17:$D$146,0)),1)</f>
        <v>43628</v>
      </c>
      <c r="E106" s="41" t="str">
        <f>INDEX('Equipment list'!$F$17:$F$146, (MATCH(C106,'Equipment list'!$D$17:$D$146,0)),1)</f>
        <v>Annual</v>
      </c>
      <c r="F106" s="41">
        <f>INDEX('Equipment list'!$G$17:$G$146, (MATCH(C106,'Equipment list'!$D$17:$D$146,0)),1)</f>
        <v>43994</v>
      </c>
      <c r="G106" s="74"/>
    </row>
    <row r="107" spans="1:8" x14ac:dyDescent="0.4">
      <c r="A107" s="40" t="str">
        <f>INDEX('Equipment list'!$B$17:$B$146, (MATCH(C107,'Equipment list'!$D$17:$D$146,0)),1)</f>
        <v>LP Filter</v>
      </c>
      <c r="B107" s="40" t="str">
        <f>INDEX('Equipment list'!$C$17:$C$146, (MATCH(C107,'Equipment list'!$D$17:$D$146,0)),1)</f>
        <v>LA-07N</v>
      </c>
      <c r="C107" s="69" t="s">
        <v>113</v>
      </c>
      <c r="D107" s="41">
        <f>INDEX('Equipment list'!$E$17:$E$146, (MATCH(C107,'Equipment list'!$D$17:$D$146,0)),1)</f>
        <v>43537</v>
      </c>
      <c r="E107" s="41" t="str">
        <f>INDEX('Equipment list'!$F$17:$F$146, (MATCH(C107,'Equipment list'!$D$17:$D$146,0)),1)</f>
        <v>Annual</v>
      </c>
      <c r="F107" s="41">
        <f>INDEX('Equipment list'!$G$17:$G$146, (MATCH(C107,'Equipment list'!$D$17:$D$146,0)),1)</f>
        <v>43903</v>
      </c>
      <c r="G107" s="74" t="s">
        <v>257</v>
      </c>
    </row>
    <row r="108" spans="1:8" x14ac:dyDescent="0.4">
      <c r="A108" s="40" t="str">
        <f>INDEX('Equipment list'!$B$17:$B$146, (MATCH(C108,'Equipment list'!$D$17:$D$146,0)),1)</f>
        <v>LP Filter</v>
      </c>
      <c r="B108" s="40" t="str">
        <f>INDEX('Equipment list'!$C$17:$C$146, (MATCH(C108,'Equipment list'!$D$17:$D$146,0)),1)</f>
        <v>LA-15N</v>
      </c>
      <c r="C108" s="69" t="s">
        <v>72</v>
      </c>
      <c r="D108" s="41">
        <f>INDEX('Equipment list'!$E$17:$E$146, (MATCH(C108,'Equipment list'!$D$17:$D$146,0)),1)</f>
        <v>43537</v>
      </c>
      <c r="E108" s="41" t="str">
        <f>INDEX('Equipment list'!$F$17:$F$146, (MATCH(C108,'Equipment list'!$D$17:$D$146,0)),1)</f>
        <v>Annual</v>
      </c>
      <c r="F108" s="41">
        <f>INDEX('Equipment list'!$G$17:$G$146, (MATCH(C108,'Equipment list'!$D$17:$D$146,0)),1)</f>
        <v>43903</v>
      </c>
      <c r="G108" s="74"/>
    </row>
    <row r="109" spans="1:8" x14ac:dyDescent="0.4">
      <c r="A109" s="40" t="str">
        <f>INDEX('Equipment list'!$B$17:$B$146, (MATCH(C109,'Equipment list'!$D$17:$D$146,0)),1)</f>
        <v>LP Filter</v>
      </c>
      <c r="B109" s="40" t="str">
        <f>INDEX('Equipment list'!$C$17:$C$146, (MATCH(C109,'Equipment list'!$D$17:$D$146,0)),1)</f>
        <v>LA-30N</v>
      </c>
      <c r="C109" s="69" t="s">
        <v>74</v>
      </c>
      <c r="D109" s="41">
        <f>INDEX('Equipment list'!$E$17:$E$146, (MATCH(C109,'Equipment list'!$D$17:$D$146,0)),1)</f>
        <v>43537</v>
      </c>
      <c r="E109" s="41" t="str">
        <f>INDEX('Equipment list'!$F$17:$F$146, (MATCH(C109,'Equipment list'!$D$17:$D$146,0)),1)</f>
        <v>Annual</v>
      </c>
      <c r="F109" s="41">
        <f>INDEX('Equipment list'!$G$17:$G$146, (MATCH(C109,'Equipment list'!$D$17:$D$146,0)),1)</f>
        <v>43903</v>
      </c>
      <c r="G109" s="74"/>
    </row>
    <row r="110" spans="1:8" x14ac:dyDescent="0.4">
      <c r="A110" s="40" t="str">
        <f>INDEX('Equipment list'!$B$17:$B$146, (MATCH(C110,'Equipment list'!$D$17:$D$146,0)),1)</f>
        <v>LP Filter</v>
      </c>
      <c r="B110" s="40" t="str">
        <f>INDEX('Equipment list'!$C$17:$C$146, (MATCH(C110,'Equipment list'!$D$17:$D$146,0)),1)</f>
        <v>LA-60N</v>
      </c>
      <c r="C110" s="69" t="s">
        <v>115</v>
      </c>
      <c r="D110" s="41">
        <f>INDEX('Equipment list'!$E$17:$E$146, (MATCH(C110,'Equipment list'!$D$17:$D$146,0)),1)</f>
        <v>43537</v>
      </c>
      <c r="E110" s="41" t="str">
        <f>INDEX('Equipment list'!$F$17:$F$146, (MATCH(C110,'Equipment list'!$D$17:$D$146,0)),1)</f>
        <v>Annual</v>
      </c>
      <c r="F110" s="41">
        <f>INDEX('Equipment list'!$G$17:$G$146, (MATCH(C110,'Equipment list'!$D$17:$D$146,0)),1)</f>
        <v>43903</v>
      </c>
      <c r="G110" s="74"/>
    </row>
    <row r="111" spans="1:8" x14ac:dyDescent="0.4">
      <c r="A111" s="40" t="str">
        <f>INDEX('Equipment list'!$B$17:$B$146, (MATCH(C111,'Equipment list'!$D$17:$D$146,0)),1)</f>
        <v>LP Filter</v>
      </c>
      <c r="B111" s="40" t="str">
        <f>INDEX('Equipment list'!$C$17:$C$146, (MATCH(C111,'Equipment list'!$D$17:$D$146,0)),1)</f>
        <v>WLJ6-700-980-5000-60EF</v>
      </c>
      <c r="C111" s="69">
        <v>1</v>
      </c>
      <c r="D111" s="41">
        <f>INDEX('Equipment list'!$E$17:$E$146, (MATCH(C111,'Equipment list'!$D$17:$D$146,0)),1)</f>
        <v>43628</v>
      </c>
      <c r="E111" s="41" t="str">
        <f>INDEX('Equipment list'!$F$17:$F$146, (MATCH(C111,'Equipment list'!$D$17:$D$146,0)),1)</f>
        <v>Annual</v>
      </c>
      <c r="F111" s="41">
        <f>INDEX('Equipment list'!$G$17:$G$146, (MATCH(C111,'Equipment list'!$D$17:$D$146,0)),1)</f>
        <v>43994</v>
      </c>
      <c r="G111" s="74" t="s">
        <v>258</v>
      </c>
    </row>
    <row r="112" spans="1:8" x14ac:dyDescent="0.4">
      <c r="A112" s="40" t="str">
        <f>INDEX('Equipment list'!$B$17:$B$146, (MATCH(C112,'Equipment list'!$D$17:$D$146,0)),1)</f>
        <v>LP Filter</v>
      </c>
      <c r="B112" s="40" t="str">
        <f>INDEX('Equipment list'!$C$17:$C$146, (MATCH(C112,'Equipment list'!$D$17:$D$146,0)),1)</f>
        <v>WLJ6-700-980-5000-60EF</v>
      </c>
      <c r="C112" s="69">
        <v>1</v>
      </c>
      <c r="D112" s="41">
        <f>INDEX('Equipment list'!$E$17:$E$146, (MATCH(C112,'Equipment list'!$D$17:$D$146,0)),1)</f>
        <v>43628</v>
      </c>
      <c r="E112" s="41" t="str">
        <f>INDEX('Equipment list'!$F$17:$F$146, (MATCH(C112,'Equipment list'!$D$17:$D$146,0)),1)</f>
        <v>Annual</v>
      </c>
      <c r="F112" s="41">
        <f>INDEX('Equipment list'!$G$17:$G$146, (MATCH(C112,'Equipment list'!$D$17:$D$146,0)),1)</f>
        <v>43994</v>
      </c>
      <c r="G112" s="74"/>
      <c r="H112" s="48" t="s">
        <v>342</v>
      </c>
    </row>
    <row r="113" spans="1:8" x14ac:dyDescent="0.4">
      <c r="A113" s="40" t="str">
        <f>INDEX('Equipment list'!$B$17:$B$146, (MATCH(C113,'Equipment list'!$D$17:$D$146,0)),1)</f>
        <v>LP Filter</v>
      </c>
      <c r="B113" s="40" t="str">
        <f>INDEX('Equipment list'!$C$17:$C$146, (MATCH(C113,'Equipment list'!$D$17:$D$146,0)),1)</f>
        <v>WLJ6-700-980-5000-60EF</v>
      </c>
      <c r="C113" s="69">
        <v>1</v>
      </c>
      <c r="D113" s="41">
        <f>INDEX('Equipment list'!$E$17:$E$146, (MATCH(C113,'Equipment list'!$D$17:$D$146,0)),1)</f>
        <v>43628</v>
      </c>
      <c r="E113" s="41" t="str">
        <f>INDEX('Equipment list'!$F$17:$F$146, (MATCH(C113,'Equipment list'!$D$17:$D$146,0)),1)</f>
        <v>Annual</v>
      </c>
      <c r="F113" s="41">
        <f>INDEX('Equipment list'!$G$17:$G$146, (MATCH(C113,'Equipment list'!$D$17:$D$146,0)),1)</f>
        <v>43994</v>
      </c>
      <c r="G113" s="74"/>
      <c r="H113" s="48" t="s">
        <v>343</v>
      </c>
    </row>
    <row r="114" spans="1:8" x14ac:dyDescent="0.4">
      <c r="A114" s="40" t="str">
        <f>INDEX('Equipment list'!$B$17:$B$146, (MATCH(C114,'Equipment list'!$D$17:$D$146,0)),1)</f>
        <v>LP Filter</v>
      </c>
      <c r="B114" s="40" t="str">
        <f>INDEX('Equipment list'!$C$17:$C$146, (MATCH(C114,'Equipment list'!$D$17:$D$146,0)),1)</f>
        <v>WLJ6-700-980-5000-60EF</v>
      </c>
      <c r="C114" s="69">
        <v>1</v>
      </c>
      <c r="D114" s="41">
        <f>INDEX('Equipment list'!$E$17:$E$146, (MATCH(C114,'Equipment list'!$D$17:$D$146,0)),1)</f>
        <v>43628</v>
      </c>
      <c r="E114" s="41" t="str">
        <f>INDEX('Equipment list'!$F$17:$F$146, (MATCH(C114,'Equipment list'!$D$17:$D$146,0)),1)</f>
        <v>Annual</v>
      </c>
      <c r="F114" s="41">
        <f>INDEX('Equipment list'!$G$17:$G$146, (MATCH(C114,'Equipment list'!$D$17:$D$146,0)),1)</f>
        <v>43994</v>
      </c>
      <c r="G114" s="74"/>
      <c r="H114" s="48" t="s">
        <v>344</v>
      </c>
    </row>
    <row r="115" spans="1:8" x14ac:dyDescent="0.4">
      <c r="A115" s="40" t="str">
        <f>INDEX('Equipment list'!$B$17:$B$146, (MATCH(C115,'Equipment list'!$D$17:$D$146,0)),1)</f>
        <v>Attenuator</v>
      </c>
      <c r="B115" s="40" t="str">
        <f>INDEX('Equipment list'!$C$17:$C$146, (MATCH(C115,'Equipment list'!$D$17:$D$146,0)),1)</f>
        <v>05AS102-K03</v>
      </c>
      <c r="C115" s="69" t="s">
        <v>76</v>
      </c>
      <c r="D115" s="41">
        <f>INDEX('Equipment list'!$E$17:$E$146, (MATCH(C115,'Equipment list'!$D$17:$D$146,0)),1)</f>
        <v>43802</v>
      </c>
      <c r="E115" s="41" t="str">
        <f>INDEX('Equipment list'!$F$17:$F$146, (MATCH(C115,'Equipment list'!$D$17:$D$146,0)),1)</f>
        <v>Annual</v>
      </c>
      <c r="F115" s="41">
        <f>INDEX('Equipment list'!$G$17:$G$146, (MATCH(C115,'Equipment list'!$D$17:$D$146,0)),1)</f>
        <v>44168</v>
      </c>
      <c r="G115" s="74" t="s">
        <v>257</v>
      </c>
    </row>
    <row r="116" spans="1:8" x14ac:dyDescent="0.4">
      <c r="A116" s="40" t="str">
        <f>INDEX('Equipment list'!$B$17:$B$146, (MATCH(C116,'Equipment list'!$D$17:$D$146,0)),1)</f>
        <v>Attenuator</v>
      </c>
      <c r="B116" s="40" t="str">
        <f>INDEX('Equipment list'!$C$17:$C$146, (MATCH(C116,'Equipment list'!$D$17:$D$146,0)),1)</f>
        <v>05AS102-K20</v>
      </c>
      <c r="C116" s="69" t="s">
        <v>78</v>
      </c>
      <c r="D116" s="41">
        <f>INDEX('Equipment list'!$E$17:$E$146, (MATCH(C116,'Equipment list'!$D$17:$D$146,0)),1)</f>
        <v>43802</v>
      </c>
      <c r="E116" s="41" t="str">
        <f>INDEX('Equipment list'!$F$17:$F$146, (MATCH(C116,'Equipment list'!$D$17:$D$146,0)),1)</f>
        <v>Annual</v>
      </c>
      <c r="F116" s="41">
        <f>INDEX('Equipment list'!$G$17:$G$146, (MATCH(C116,'Equipment list'!$D$17:$D$146,0)),1)</f>
        <v>44168</v>
      </c>
      <c r="G116" s="74"/>
    </row>
    <row r="117" spans="1:8" s="48" customFormat="1" x14ac:dyDescent="0.4">
      <c r="A117" s="40" t="str">
        <f>INDEX('Equipment list'!$B$17:$B$146, (MATCH(C117,'Equipment list'!$D$17:$D$146,0)),1)</f>
        <v>Attenuator</v>
      </c>
      <c r="B117" s="40" t="str">
        <f>INDEX('Equipment list'!$C$17:$C$146, (MATCH(C117,'Equipment list'!$D$17:$D$146,0)),1)</f>
        <v>RFHB1210NC2</v>
      </c>
      <c r="C117" s="69" t="s">
        <v>345</v>
      </c>
      <c r="D117" s="41">
        <f>INDEX('Equipment list'!$E$17:$E$146, (MATCH(C117,'Equipment list'!$D$17:$D$146,0)),1)</f>
        <v>43803</v>
      </c>
      <c r="E117" s="41" t="str">
        <f>INDEX('Equipment list'!$F$17:$F$146, (MATCH(C117,'Equipment list'!$D$17:$D$146,0)),1)</f>
        <v>Annual</v>
      </c>
      <c r="F117" s="41">
        <f>INDEX('Equipment list'!$G$17:$G$146, (MATCH(C117,'Equipment list'!$D$17:$D$146,0)),1)</f>
        <v>44169</v>
      </c>
      <c r="G117" s="74"/>
    </row>
    <row r="118" spans="1:8" s="48" customFormat="1" x14ac:dyDescent="0.4">
      <c r="A118" s="40" t="str">
        <f>INDEX('Equipment list'!$B$17:$B$146, (MATCH(C118,'Equipment list'!$D$17:$D$146,0)),1)</f>
        <v>Attenuator</v>
      </c>
      <c r="B118" s="40" t="str">
        <f>INDEX('Equipment list'!$C$17:$C$146, (MATCH(C118,'Equipment list'!$D$17:$D$146,0)),1)</f>
        <v>RFHB1210NC2</v>
      </c>
      <c r="C118" s="69" t="s">
        <v>346</v>
      </c>
      <c r="D118" s="41">
        <f>INDEX('Equipment list'!$E$17:$E$146, (MATCH(C118,'Equipment list'!$D$17:$D$146,0)),1)</f>
        <v>43803</v>
      </c>
      <c r="E118" s="41" t="str">
        <f>INDEX('Equipment list'!$F$17:$F$146, (MATCH(C118,'Equipment list'!$D$17:$D$146,0)),1)</f>
        <v>Annual</v>
      </c>
      <c r="F118" s="41">
        <f>INDEX('Equipment list'!$G$17:$G$146, (MATCH(C118,'Equipment list'!$D$17:$D$146,0)),1)</f>
        <v>44169</v>
      </c>
      <c r="G118" s="74"/>
    </row>
    <row r="119" spans="1:8" s="48" customFormat="1" x14ac:dyDescent="0.4">
      <c r="A119" s="40" t="str">
        <f>INDEX('Equipment list'!$B$17:$B$146, (MATCH(C119,'Equipment list'!$D$17:$D$146,0)),1)</f>
        <v>Attenuator</v>
      </c>
      <c r="B119" s="40" t="str">
        <f>INDEX('Equipment list'!$C$17:$C$146, (MATCH(C119,'Equipment list'!$D$17:$D$146,0)),1)</f>
        <v>RFHB1203NC2</v>
      </c>
      <c r="C119" s="69" t="s">
        <v>347</v>
      </c>
      <c r="D119" s="41">
        <f>INDEX('Equipment list'!$E$17:$E$146, (MATCH(C119,'Equipment list'!$D$17:$D$146,0)),1)</f>
        <v>43803</v>
      </c>
      <c r="E119" s="41" t="str">
        <f>INDEX('Equipment list'!$F$17:$F$146, (MATCH(C119,'Equipment list'!$D$17:$D$146,0)),1)</f>
        <v>Annual</v>
      </c>
      <c r="F119" s="41">
        <f>INDEX('Equipment list'!$G$17:$G$146, (MATCH(C119,'Equipment list'!$D$17:$D$146,0)),1)</f>
        <v>44169</v>
      </c>
      <c r="G119" s="74"/>
    </row>
    <row r="120" spans="1:8" s="48" customFormat="1" x14ac:dyDescent="0.4">
      <c r="A120" s="40" t="str">
        <f>INDEX('Equipment list'!$B$17:$B$146, (MATCH(C120,'Equipment list'!$D$17:$D$146,0)),1)</f>
        <v>Attenuator</v>
      </c>
      <c r="B120" s="40" t="str">
        <f>INDEX('Equipment list'!$C$17:$C$146, (MATCH(C120,'Equipment list'!$D$17:$D$146,0)),1)</f>
        <v>RFHB1210NC2</v>
      </c>
      <c r="C120" s="69" t="s">
        <v>348</v>
      </c>
      <c r="D120" s="41">
        <f>INDEX('Equipment list'!$E$17:$E$146, (MATCH(C120,'Equipment list'!$D$17:$D$146,0)),1)</f>
        <v>43803</v>
      </c>
      <c r="E120" s="41" t="str">
        <f>INDEX('Equipment list'!$F$17:$F$146, (MATCH(C120,'Equipment list'!$D$17:$D$146,0)),1)</f>
        <v>Annual</v>
      </c>
      <c r="F120" s="41">
        <f>INDEX('Equipment list'!$G$17:$G$146, (MATCH(C120,'Equipment list'!$D$17:$D$146,0)),1)</f>
        <v>44169</v>
      </c>
      <c r="G120" s="74"/>
    </row>
    <row r="121" spans="1:8" s="48" customFormat="1" x14ac:dyDescent="0.4">
      <c r="A121" s="40" t="str">
        <f>INDEX('Equipment list'!$B$17:$B$146, (MATCH(C121,'Equipment list'!$D$17:$D$146,0)),1)</f>
        <v>Attenuator</v>
      </c>
      <c r="B121" s="40" t="str">
        <f>INDEX('Equipment list'!$C$17:$C$146, (MATCH(C121,'Equipment list'!$D$17:$D$146,0)),1)</f>
        <v>RFHB1203NC2</v>
      </c>
      <c r="C121" s="69" t="s">
        <v>349</v>
      </c>
      <c r="D121" s="41">
        <f>INDEX('Equipment list'!$E$17:$E$146, (MATCH(C121,'Equipment list'!$D$17:$D$146,0)),1)</f>
        <v>43803</v>
      </c>
      <c r="E121" s="41" t="str">
        <f>INDEX('Equipment list'!$F$17:$F$146, (MATCH(C121,'Equipment list'!$D$17:$D$146,0)),1)</f>
        <v>Annual</v>
      </c>
      <c r="F121" s="41">
        <f>INDEX('Equipment list'!$G$17:$G$146, (MATCH(C121,'Equipment list'!$D$17:$D$146,0)),1)</f>
        <v>44169</v>
      </c>
      <c r="G121" s="74"/>
    </row>
    <row r="122" spans="1:8" x14ac:dyDescent="0.4">
      <c r="A122" s="40" t="str">
        <f>INDEX('Equipment list'!$B$17:$B$146, (MATCH(C122,'Equipment list'!$D$17:$D$146,0)),1)</f>
        <v>Attenuator</v>
      </c>
      <c r="B122" s="40" t="str">
        <f>INDEX('Equipment list'!$C$17:$C$146, (MATCH(C122,'Equipment list'!$D$17:$D$146,0)),1)</f>
        <v>11708A</v>
      </c>
      <c r="C122" s="69">
        <v>34744</v>
      </c>
      <c r="D122" s="41">
        <f>INDEX('Equipment list'!$E$17:$E$146, (MATCH(C122,'Equipment list'!$D$17:$D$146,0)),1)</f>
        <v>43537</v>
      </c>
      <c r="E122" s="41" t="str">
        <f>INDEX('Equipment list'!$F$17:$F$146, (MATCH(C122,'Equipment list'!$D$17:$D$146,0)),1)</f>
        <v>Annual</v>
      </c>
      <c r="F122" s="41">
        <f>INDEX('Equipment list'!$G$17:$G$146, (MATCH(C122,'Equipment list'!$D$17:$D$146,0)),1)</f>
        <v>43903</v>
      </c>
      <c r="G122" s="74"/>
    </row>
    <row r="123" spans="1:8" x14ac:dyDescent="0.4">
      <c r="A123" s="40" t="str">
        <f>INDEX('Equipment list'!$B$17:$B$146, (MATCH(C123,'Equipment list'!$D$17:$D$146,0)),1)</f>
        <v>Attenuator</v>
      </c>
      <c r="B123" s="40">
        <f>INDEX('Equipment list'!$C$17:$C$146, (MATCH(C123,'Equipment list'!$D$17:$D$146,0)),1)</f>
        <v>2</v>
      </c>
      <c r="C123" s="69" t="s">
        <v>116</v>
      </c>
      <c r="D123" s="41">
        <f>INDEX('Equipment list'!$E$17:$E$146, (MATCH(C123,'Equipment list'!$D$17:$D$146,0)),1)</f>
        <v>43628</v>
      </c>
      <c r="E123" s="41" t="str">
        <f>INDEX('Equipment list'!$F$17:$F$146, (MATCH(C123,'Equipment list'!$D$17:$D$146,0)),1)</f>
        <v>Annual</v>
      </c>
      <c r="F123" s="41">
        <f>INDEX('Equipment list'!$G$17:$G$146, (MATCH(C123,'Equipment list'!$D$17:$D$146,0)),1)</f>
        <v>43994</v>
      </c>
      <c r="G123" s="74" t="s">
        <v>258</v>
      </c>
    </row>
    <row r="124" spans="1:8" x14ac:dyDescent="0.4">
      <c r="A124" s="40" t="str">
        <f>INDEX('Equipment list'!$B$17:$B$146, (MATCH(C124,'Equipment list'!$D$17:$D$146,0)),1)</f>
        <v>Attenuator</v>
      </c>
      <c r="B124" s="40">
        <f>INDEX('Equipment list'!$C$17:$C$146, (MATCH(C124,'Equipment list'!$D$17:$D$146,0)),1)</f>
        <v>2</v>
      </c>
      <c r="C124" s="69" t="s">
        <v>117</v>
      </c>
      <c r="D124" s="41">
        <f>INDEX('Equipment list'!$E$17:$E$146, (MATCH(C124,'Equipment list'!$D$17:$D$146,0)),1)</f>
        <v>43628</v>
      </c>
      <c r="E124" s="41" t="str">
        <f>INDEX('Equipment list'!$F$17:$F$146, (MATCH(C124,'Equipment list'!$D$17:$D$146,0)),1)</f>
        <v>Annual</v>
      </c>
      <c r="F124" s="41">
        <f>INDEX('Equipment list'!$G$17:$G$146, (MATCH(C124,'Equipment list'!$D$17:$D$146,0)),1)</f>
        <v>43994</v>
      </c>
      <c r="G124" s="74"/>
    </row>
    <row r="125" spans="1:8" x14ac:dyDescent="0.4">
      <c r="A125" s="40" t="str">
        <f>INDEX('Equipment list'!$B$17:$B$146, (MATCH(C125,'Equipment list'!$D$17:$D$146,0)),1)</f>
        <v>Attenuator</v>
      </c>
      <c r="B125" s="40" t="str">
        <f>INDEX('Equipment list'!$C$17:$C$146, (MATCH(C125,'Equipment list'!$D$17:$D$146,0)),1)</f>
        <v>05AS102-K03</v>
      </c>
      <c r="C125" s="69" t="s">
        <v>118</v>
      </c>
      <c r="D125" s="41">
        <f>INDEX('Equipment list'!$E$17:$E$146, (MATCH(C125,'Equipment list'!$D$17:$D$146,0)),1)</f>
        <v>43628</v>
      </c>
      <c r="E125" s="41" t="str">
        <f>INDEX('Equipment list'!$F$17:$F$146, (MATCH(C125,'Equipment list'!$D$17:$D$146,0)),1)</f>
        <v>Annual</v>
      </c>
      <c r="F125" s="41">
        <f>INDEX('Equipment list'!$G$17:$G$146, (MATCH(C125,'Equipment list'!$D$17:$D$146,0)),1)</f>
        <v>43994</v>
      </c>
      <c r="G125" s="74"/>
    </row>
    <row r="126" spans="1:8" x14ac:dyDescent="0.4">
      <c r="A126" s="40" t="str">
        <f>INDEX('Equipment list'!$B$17:$B$146, (MATCH(C126,'Equipment list'!$D$17:$D$146,0)),1)</f>
        <v>Hygro-Thermometer</v>
      </c>
      <c r="B126" s="40" t="str">
        <f>INDEX('Equipment list'!$C$17:$C$146, (MATCH(C126,'Equipment list'!$D$17:$D$146,0)),1)</f>
        <v>BJ5478</v>
      </c>
      <c r="C126" s="69" t="s">
        <v>80</v>
      </c>
      <c r="D126" s="41">
        <f>INDEX('Equipment list'!$E$17:$E$146, (MATCH(C126,'Equipment list'!$D$17:$D$146,0)),1)</f>
        <v>43628</v>
      </c>
      <c r="E126" s="41" t="str">
        <f>INDEX('Equipment list'!$F$17:$F$146, (MATCH(C126,'Equipment list'!$D$17:$D$146,0)),1)</f>
        <v>Annual</v>
      </c>
      <c r="F126" s="41">
        <f>INDEX('Equipment list'!$G$17:$G$146, (MATCH(C126,'Equipment list'!$D$17:$D$146,0)),1)</f>
        <v>43994</v>
      </c>
      <c r="G126" s="74" t="s">
        <v>257</v>
      </c>
    </row>
    <row r="127" spans="1:8" x14ac:dyDescent="0.4">
      <c r="A127" s="40" t="str">
        <f>INDEX('Equipment list'!$B$17:$B$146, (MATCH(C127,'Equipment list'!$D$17:$D$146,0)),1)</f>
        <v>Hygro-Thermometer</v>
      </c>
      <c r="B127" s="40" t="str">
        <f>INDEX('Equipment list'!$C$17:$C$146, (MATCH(C127,'Equipment list'!$D$17:$D$146,0)),1)</f>
        <v>HTC-1</v>
      </c>
      <c r="C127" s="69" t="s">
        <v>121</v>
      </c>
      <c r="D127" s="41">
        <f>INDEX('Equipment list'!$E$17:$E$146, (MATCH(C127,'Equipment list'!$D$17:$D$146,0)),1)</f>
        <v>43537</v>
      </c>
      <c r="E127" s="41" t="str">
        <f>INDEX('Equipment list'!$F$17:$F$146, (MATCH(C127,'Equipment list'!$D$17:$D$146,0)),1)</f>
        <v>Annual</v>
      </c>
      <c r="F127" s="41">
        <f>INDEX('Equipment list'!$G$17:$G$146, (MATCH(C127,'Equipment list'!$D$17:$D$146,0)),1)</f>
        <v>43903</v>
      </c>
      <c r="G127" s="74"/>
    </row>
    <row r="128" spans="1:8" x14ac:dyDescent="0.4">
      <c r="A128" s="40" t="str">
        <f>INDEX('Equipment list'!$B$17:$B$146, (MATCH(C128,'Equipment list'!$D$17:$D$146,0)),1)</f>
        <v>Hygro-Thermometer</v>
      </c>
      <c r="B128" s="40">
        <f>INDEX('Equipment list'!$C$17:$C$146, (MATCH(C128,'Equipment list'!$D$17:$D$146,0)),1)</f>
        <v>98585</v>
      </c>
      <c r="C128" s="69">
        <v>130188</v>
      </c>
      <c r="D128" s="41">
        <f>INDEX('Equipment list'!$E$17:$E$146, (MATCH(C128,'Equipment list'!$D$17:$D$146,0)),1)</f>
        <v>43538</v>
      </c>
      <c r="E128" s="41" t="str">
        <f>INDEX('Equipment list'!$F$17:$F$146, (MATCH(C128,'Equipment list'!$D$17:$D$146,0)),1)</f>
        <v>Annual</v>
      </c>
      <c r="F128" s="41">
        <f>INDEX('Equipment list'!$G$17:$G$146, (MATCH(C128,'Equipment list'!$D$17:$D$146,0)),1)</f>
        <v>43904</v>
      </c>
      <c r="G128" s="74"/>
    </row>
    <row r="129" spans="1:7" x14ac:dyDescent="0.4">
      <c r="A129" s="40" t="str">
        <f>INDEX('Equipment list'!$B$17:$B$146, (MATCH(C129,'Equipment list'!$D$17:$D$146,0)),1)</f>
        <v>Hygro-Thermometer</v>
      </c>
      <c r="B129" s="40">
        <f>INDEX('Equipment list'!$C$17:$C$146, (MATCH(C129,'Equipment list'!$D$17:$D$146,0)),1)</f>
        <v>98585</v>
      </c>
      <c r="C129" s="69">
        <v>130205</v>
      </c>
      <c r="D129" s="41">
        <f>INDEX('Equipment list'!$E$17:$E$146, (MATCH(C129,'Equipment list'!$D$17:$D$146,0)),1)</f>
        <v>43537</v>
      </c>
      <c r="E129" s="41" t="str">
        <f>INDEX('Equipment list'!$F$17:$F$146, (MATCH(C129,'Equipment list'!$D$17:$D$146,0)),1)</f>
        <v>Annual</v>
      </c>
      <c r="F129" s="41">
        <f>INDEX('Equipment list'!$G$17:$G$146, (MATCH(C129,'Equipment list'!$D$17:$D$146,0)),1)</f>
        <v>43903</v>
      </c>
      <c r="G129" s="74"/>
    </row>
    <row r="130" spans="1:7" s="48" customFormat="1" x14ac:dyDescent="0.4">
      <c r="A130" s="40" t="str">
        <f>INDEX('Equipment list'!$B$17:$B$146, (MATCH(C130,'Equipment list'!$D$17:$D$146,0)),1)</f>
        <v>Hygro-Thermometer</v>
      </c>
      <c r="B130" s="40" t="str">
        <f>INDEX('Equipment list'!$C$17:$C$146, (MATCH(C130,'Equipment list'!$D$17:$D$146,0)),1)</f>
        <v>303C</v>
      </c>
      <c r="C130" s="69">
        <v>180718830</v>
      </c>
      <c r="D130" s="41">
        <f>INDEX('Equipment list'!$E$17:$E$146, (MATCH(C130,'Equipment list'!$D$17:$D$146,0)),1)</f>
        <v>43802</v>
      </c>
      <c r="E130" s="41" t="str">
        <f>INDEX('Equipment list'!$F$17:$F$146, (MATCH(C130,'Equipment list'!$D$17:$D$146,0)),1)</f>
        <v>Annual</v>
      </c>
      <c r="F130" s="41">
        <f>INDEX('Equipment list'!$G$17:$G$146, (MATCH(C130,'Equipment list'!$D$17:$D$146,0)),1)</f>
        <v>44168</v>
      </c>
      <c r="G130" s="73"/>
    </row>
    <row r="131" spans="1:7" s="48" customFormat="1" x14ac:dyDescent="0.4">
      <c r="A131" s="40" t="str">
        <f>INDEX('Equipment list'!$B$17:$B$146, (MATCH(C131,'Equipment list'!$D$17:$D$146,0)),1)</f>
        <v>Hygro-Thermometer</v>
      </c>
      <c r="B131" s="40" t="str">
        <f>INDEX('Equipment list'!$C$17:$C$146, (MATCH(C131,'Equipment list'!$D$17:$D$146,0)),1)</f>
        <v>303C</v>
      </c>
      <c r="C131" s="69">
        <v>180718881</v>
      </c>
      <c r="D131" s="41">
        <f>INDEX('Equipment list'!$E$17:$E$146, (MATCH(C131,'Equipment list'!$D$17:$D$146,0)),1)</f>
        <v>43847</v>
      </c>
      <c r="E131" s="41" t="str">
        <f>INDEX('Equipment list'!$F$17:$F$146, (MATCH(C131,'Equipment list'!$D$17:$D$146,0)),1)</f>
        <v>Annual</v>
      </c>
      <c r="F131" s="41">
        <f>INDEX('Equipment list'!$G$17:$G$146, (MATCH(C131,'Equipment list'!$D$17:$D$146,0)),1)</f>
        <v>44213</v>
      </c>
      <c r="G131" s="73"/>
    </row>
    <row r="132" spans="1:7" x14ac:dyDescent="0.4">
      <c r="A132" s="40" t="str">
        <f>INDEX('Equipment list'!$B$17:$B$146, (MATCH(C132,'Equipment list'!$D$17:$D$146,0)),1)</f>
        <v>Hygro-Thermometer</v>
      </c>
      <c r="B132" s="40" t="str">
        <f>INDEX('Equipment list'!$C$17:$C$146, (MATCH(C132,'Equipment list'!$D$17:$D$146,0)),1)</f>
        <v>TE-201</v>
      </c>
      <c r="C132" s="69" t="s">
        <v>123</v>
      </c>
      <c r="D132" s="41">
        <f>INDEX('Equipment list'!$E$17:$E$146, (MATCH(C132,'Equipment list'!$D$17:$D$146,0)),1)</f>
        <v>43628</v>
      </c>
      <c r="E132" s="41" t="str">
        <f>INDEX('Equipment list'!$F$17:$F$146, (MATCH(C132,'Equipment list'!$D$17:$D$146,0)),1)</f>
        <v>Annual</v>
      </c>
      <c r="F132" s="41">
        <f>INDEX('Equipment list'!$G$17:$G$146, (MATCH(C132,'Equipment list'!$D$17:$D$146,0)),1)</f>
        <v>43994</v>
      </c>
      <c r="G132" s="74" t="s">
        <v>258</v>
      </c>
    </row>
    <row r="133" spans="1:7" x14ac:dyDescent="0.4">
      <c r="A133" s="40" t="str">
        <f>INDEX('Equipment list'!$B$17:$B$146, (MATCH(C133,'Equipment list'!$D$17:$D$146,0)),1)</f>
        <v>Hygro-Thermometer</v>
      </c>
      <c r="B133" s="40" t="str">
        <f>INDEX('Equipment list'!$C$17:$C$146, (MATCH(C133,'Equipment list'!$D$17:$D$146,0)),1)</f>
        <v>TE-201</v>
      </c>
      <c r="C133" s="69" t="s">
        <v>124</v>
      </c>
      <c r="D133" s="41">
        <f>INDEX('Equipment list'!$E$17:$E$146, (MATCH(C133,'Equipment list'!$D$17:$D$146,0)),1)</f>
        <v>43628</v>
      </c>
      <c r="E133" s="41" t="str">
        <f>INDEX('Equipment list'!$F$17:$F$146, (MATCH(C133,'Equipment list'!$D$17:$D$146,0)),1)</f>
        <v>Annual</v>
      </c>
      <c r="F133" s="41">
        <f>INDEX('Equipment list'!$G$17:$G$146, (MATCH(C133,'Equipment list'!$D$17:$D$146,0)),1)</f>
        <v>43994</v>
      </c>
      <c r="G133" s="74"/>
    </row>
    <row r="134" spans="1:7" x14ac:dyDescent="0.4">
      <c r="A134" s="40" t="str">
        <f>INDEX('Equipment list'!$B$17:$B$146, (MATCH(C134,'Equipment list'!$D$17:$D$146,0)),1)</f>
        <v>Hygro-Thermometer</v>
      </c>
      <c r="B134" s="40" t="str">
        <f>INDEX('Equipment list'!$C$17:$C$146, (MATCH(C134,'Equipment list'!$D$17:$D$146,0)),1)</f>
        <v>TE-201</v>
      </c>
      <c r="C134" s="69" t="s">
        <v>125</v>
      </c>
      <c r="D134" s="41">
        <f>INDEX('Equipment list'!$E$17:$E$146, (MATCH(C134,'Equipment list'!$D$17:$D$146,0)),1)</f>
        <v>43628</v>
      </c>
      <c r="E134" s="41" t="str">
        <f>INDEX('Equipment list'!$F$17:$F$146, (MATCH(C134,'Equipment list'!$D$17:$D$146,0)),1)</f>
        <v>Annual</v>
      </c>
      <c r="F134" s="41">
        <f>INDEX('Equipment list'!$G$17:$G$146, (MATCH(C134,'Equipment list'!$D$17:$D$146,0)),1)</f>
        <v>43994</v>
      </c>
      <c r="G134" s="74"/>
    </row>
    <row r="135" spans="1:7" s="48" customFormat="1" x14ac:dyDescent="0.4">
      <c r="A135" s="40" t="str">
        <f>INDEX('Equipment list'!$B$17:$B$146, (MATCH(C135,'Equipment list'!$D$17:$D$146,0)),1)</f>
        <v>Hygro-Thermometer</v>
      </c>
      <c r="B135" s="40" t="str">
        <f>INDEX('Equipment list'!$C$17:$C$146, (MATCH(C135,'Equipment list'!$D$17:$D$146,0)),1)</f>
        <v>303C</v>
      </c>
      <c r="C135" s="69">
        <v>180718913</v>
      </c>
      <c r="D135" s="41">
        <f>INDEX('Equipment list'!$E$17:$E$146, (MATCH(C135,'Equipment list'!$D$17:$D$146,0)),1)</f>
        <v>43847</v>
      </c>
      <c r="E135" s="41" t="str">
        <f>INDEX('Equipment list'!$F$17:$F$146, (MATCH(C135,'Equipment list'!$D$17:$D$146,0)),1)</f>
        <v>Annual</v>
      </c>
      <c r="F135" s="41">
        <f>INDEX('Equipment list'!$G$17:$G$146, (MATCH(C135,'Equipment list'!$D$17:$D$146,0)),1)</f>
        <v>44213</v>
      </c>
      <c r="G135" s="73"/>
    </row>
    <row r="136" spans="1:7" x14ac:dyDescent="0.4">
      <c r="A136" s="40" t="str">
        <f>INDEX('Equipment list'!$B$17:$B$146, (MATCH(C136,'Equipment list'!$D$17:$D$146,0)),1)</f>
        <v>Digital Thermometer</v>
      </c>
      <c r="B136" s="40" t="str">
        <f>INDEX('Equipment list'!$C$17:$C$146, (MATCH(C136,'Equipment list'!$D$17:$D$146,0)),1)</f>
        <v>SDT25</v>
      </c>
      <c r="C136" s="69">
        <v>19041500179</v>
      </c>
      <c r="D136" s="41">
        <f>INDEX('Equipment list'!$E$17:$E$146, (MATCH(C136,'Equipment list'!$D$17:$D$146,0)),1)</f>
        <v>43739</v>
      </c>
      <c r="E136" s="41" t="str">
        <f>INDEX('Equipment list'!$F$17:$F$146, (MATCH(C136,'Equipment list'!$D$17:$D$146,0)),1)</f>
        <v>Annual</v>
      </c>
      <c r="F136" s="41">
        <f>INDEX('Equipment list'!$G$17:$G$146, (MATCH(C136,'Equipment list'!$D$17:$D$146,0)),1)</f>
        <v>44105</v>
      </c>
      <c r="G136" s="47" t="s">
        <v>257</v>
      </c>
    </row>
    <row r="137" spans="1:7" x14ac:dyDescent="0.4">
      <c r="A137" s="40" t="str">
        <f>INDEX('Equipment list'!$B$17:$B$146, (MATCH(C137,'Equipment list'!$D$17:$D$146,0)),1)</f>
        <v>Digital Thermometer</v>
      </c>
      <c r="B137" s="40" t="str">
        <f>INDEX('Equipment list'!$C$17:$C$146, (MATCH(C137,'Equipment list'!$D$17:$D$146,0)),1)</f>
        <v>SDT25</v>
      </c>
      <c r="C137" s="69">
        <v>16031500243</v>
      </c>
      <c r="D137" s="41">
        <f>INDEX('Equipment list'!$E$17:$E$146, (MATCH(C137,'Equipment list'!$D$17:$D$146,0)),1)</f>
        <v>43628</v>
      </c>
      <c r="E137" s="41" t="str">
        <f>INDEX('Equipment list'!$F$17:$F$146, (MATCH(C137,'Equipment list'!$D$17:$D$146,0)),1)</f>
        <v>Annual</v>
      </c>
      <c r="F137" s="41">
        <f>INDEX('Equipment list'!$G$17:$G$146, (MATCH(C137,'Equipment list'!$D$17:$D$146,0)),1)</f>
        <v>43994</v>
      </c>
      <c r="G137" s="47" t="s">
        <v>258</v>
      </c>
    </row>
    <row r="138" spans="1:7" x14ac:dyDescent="0.4">
      <c r="A138" s="40" t="str">
        <f>INDEX('Equipment list'!$B$17:$B$146, (MATCH(C138,'Equipment list'!$D$17:$D$146,0)),1)</f>
        <v>Communication Tester</v>
      </c>
      <c r="B138" s="40" t="str">
        <f>INDEX('Equipment list'!$C$17:$C$146, (MATCH(C138,'Equipment list'!$D$17:$D$146,0)),1)</f>
        <v>CMW500</v>
      </c>
      <c r="C138" s="69">
        <v>144031</v>
      </c>
      <c r="D138" s="41">
        <f>INDEX('Equipment list'!$E$17:$E$146, (MATCH(C138,'Equipment list'!$D$17:$D$146,0)),1)</f>
        <v>43514</v>
      </c>
      <c r="E138" s="41" t="str">
        <f>INDEX('Equipment list'!$F$17:$F$146, (MATCH(C138,'Equipment list'!$D$17:$D$146,0)),1)</f>
        <v>Annual</v>
      </c>
      <c r="F138" s="41">
        <f>INDEX('Equipment list'!$G$17:$G$146, (MATCH(C138,'Equipment list'!$D$17:$D$146,0)),1)</f>
        <v>43879</v>
      </c>
      <c r="G138" s="74" t="s">
        <v>257</v>
      </c>
    </row>
    <row r="139" spans="1:7" s="48" customFormat="1" x14ac:dyDescent="0.4">
      <c r="A139" s="40" t="str">
        <f>INDEX('Equipment list'!$B$17:$B$146, (MATCH(C139,'Equipment list'!$D$17:$D$146,0)),1)</f>
        <v>Communication Tester</v>
      </c>
      <c r="B139" s="40" t="str">
        <f>INDEX('Equipment list'!$C$17:$C$146, (MATCH(C139,'Equipment list'!$D$17:$D$146,0)),1)</f>
        <v>MT8820C</v>
      </c>
      <c r="C139" s="69">
        <v>6201074216</v>
      </c>
      <c r="D139" s="41">
        <f>INDEX('Equipment list'!$E$17:$E$146, (MATCH(C139,'Equipment list'!$D$17:$D$146,0)),1)</f>
        <v>43819</v>
      </c>
      <c r="E139" s="41" t="str">
        <f>INDEX('Equipment list'!$F$17:$F$146, (MATCH(C139,'Equipment list'!$D$17:$D$146,0)),1)</f>
        <v>Annual</v>
      </c>
      <c r="F139" s="41">
        <f>INDEX('Equipment list'!$G$17:$G$146, (MATCH(C139,'Equipment list'!$D$17:$D$146,0)),1)</f>
        <v>44185</v>
      </c>
      <c r="G139" s="74"/>
    </row>
    <row r="140" spans="1:7" s="48" customFormat="1" x14ac:dyDescent="0.4">
      <c r="A140" s="40" t="str">
        <f>INDEX('Equipment list'!$B$17:$B$146, (MATCH(C140,'Equipment list'!$D$17:$D$146,0)),1)</f>
        <v>Communication Tester</v>
      </c>
      <c r="B140" s="40" t="str">
        <f>INDEX('Equipment list'!$C$17:$C$146, (MATCH(C140,'Equipment list'!$D$17:$D$146,0)),1)</f>
        <v>MT8821C</v>
      </c>
      <c r="C140" s="69">
        <v>6201502996</v>
      </c>
      <c r="D140" s="41">
        <f>INDEX('Equipment list'!$E$17:$E$146, (MATCH(C140,'Equipment list'!$D$17:$D$146,0)),1)</f>
        <v>43724</v>
      </c>
      <c r="E140" s="41" t="str">
        <f>INDEX('Equipment list'!$F$17:$F$146, (MATCH(C140,'Equipment list'!$D$17:$D$146,0)),1)</f>
        <v>Annual</v>
      </c>
      <c r="F140" s="41">
        <f>INDEX('Equipment list'!$G$17:$G$146, (MATCH(C140,'Equipment list'!$D$17:$D$146,0)),1)</f>
        <v>44090</v>
      </c>
      <c r="G140" s="74"/>
    </row>
    <row r="141" spans="1:7" s="48" customFormat="1" x14ac:dyDescent="0.4">
      <c r="A141" s="40" t="str">
        <f>INDEX('Equipment list'!$B$17:$B$146, (MATCH(C141,'Equipment list'!$D$17:$D$146,0)),1)</f>
        <v>Communication Tester</v>
      </c>
      <c r="B141" s="40" t="str">
        <f>INDEX('Equipment list'!$C$17:$C$146, (MATCH(C141,'Equipment list'!$D$17:$D$146,0)),1)</f>
        <v>MT8821C</v>
      </c>
      <c r="C141" s="69">
        <v>6262044721</v>
      </c>
      <c r="D141" s="41">
        <f>INDEX('Equipment list'!$E$17:$E$146, (MATCH(C141,'Equipment list'!$D$17:$D$146,0)),1)</f>
        <v>43811</v>
      </c>
      <c r="E141" s="41" t="str">
        <f>INDEX('Equipment list'!$F$17:$F$146, (MATCH(C141,'Equipment list'!$D$17:$D$146,0)),1)</f>
        <v>Annual</v>
      </c>
      <c r="F141" s="41">
        <f>INDEX('Equipment list'!$G$17:$G$146, (MATCH(C141,'Equipment list'!$D$17:$D$146,0)),1)</f>
        <v>44177</v>
      </c>
      <c r="G141" s="74"/>
    </row>
    <row r="142" spans="1:7" s="48" customFormat="1" ht="31.2" x14ac:dyDescent="0.4">
      <c r="A142" s="40" t="str">
        <f>INDEX('Equipment list'!$B$17:$B$146, (MATCH(C142,'Equipment list'!$D$17:$D$146,0)),1)</f>
        <v>Radio Communication Test Station</v>
      </c>
      <c r="B142" s="40" t="str">
        <f>INDEX('Equipment list'!$C$17:$C$146, (MATCH(C142,'Equipment list'!$D$17:$D$146,0)),1)</f>
        <v>MT8000A</v>
      </c>
      <c r="C142" s="69">
        <v>6261906013</v>
      </c>
      <c r="D142" s="41">
        <f>INDEX('Equipment list'!$E$17:$E$146, (MATCH(C142,'Equipment list'!$D$17:$D$146,0)),1)</f>
        <v>43724</v>
      </c>
      <c r="E142" s="41" t="str">
        <f>INDEX('Equipment list'!$F$17:$F$146, (MATCH(C142,'Equipment list'!$D$17:$D$146,0)),1)</f>
        <v>Annual</v>
      </c>
      <c r="F142" s="41">
        <f>INDEX('Equipment list'!$G$17:$G$146, (MATCH(C142,'Equipment list'!$D$17:$D$146,0)),1)</f>
        <v>44090</v>
      </c>
      <c r="G142" s="74"/>
    </row>
    <row r="143" spans="1:7" s="48" customFormat="1" ht="31.2" x14ac:dyDescent="0.4">
      <c r="A143" s="40" t="str">
        <f>INDEX('Equipment list'!$B$17:$B$146, (MATCH(C143,'Equipment list'!$D$17:$D$146,0)),1)</f>
        <v>Radio Communication Test Station</v>
      </c>
      <c r="B143" s="40" t="str">
        <f>INDEX('Equipment list'!$C$17:$C$146, (MATCH(C143,'Equipment list'!$D$17:$D$146,0)),1)</f>
        <v>MT8000A</v>
      </c>
      <c r="C143" s="69">
        <v>6262036831</v>
      </c>
      <c r="D143" s="41">
        <f>INDEX('Equipment list'!$E$17:$E$146, (MATCH(C143,'Equipment list'!$D$17:$D$146,0)),1)</f>
        <v>43811</v>
      </c>
      <c r="E143" s="41" t="str">
        <f>INDEX('Equipment list'!$F$17:$F$146, (MATCH(C143,'Equipment list'!$D$17:$D$146,0)),1)</f>
        <v>Annual</v>
      </c>
      <c r="F143" s="41">
        <f>INDEX('Equipment list'!$G$17:$G$146, (MATCH(C143,'Equipment list'!$D$17:$D$146,0)),1)</f>
        <v>44177</v>
      </c>
      <c r="G143" s="74"/>
    </row>
    <row r="144" spans="1:7" x14ac:dyDescent="0.4">
      <c r="A144" s="40" t="str">
        <f>INDEX('Equipment list'!$B$17:$B$146, (MATCH(C144,'Equipment list'!$D$17:$D$146,0)),1)</f>
        <v>Spectrum Analyzer</v>
      </c>
      <c r="B144" s="40" t="str">
        <f>INDEX('Equipment list'!$C$17:$C$146, (MATCH(C144,'Equipment list'!$D$17:$D$146,0)),1)</f>
        <v>FSP</v>
      </c>
      <c r="C144" s="69">
        <v>100007</v>
      </c>
      <c r="D144" s="41">
        <f>INDEX('Equipment list'!$E$17:$E$146, (MATCH(C144,'Equipment list'!$D$17:$D$146,0)),1)</f>
        <v>43804</v>
      </c>
      <c r="E144" s="41" t="str">
        <f>INDEX('Equipment list'!$F$17:$F$146, (MATCH(C144,'Equipment list'!$D$17:$D$146,0)),1)</f>
        <v>Annual</v>
      </c>
      <c r="F144" s="41">
        <f>INDEX('Equipment list'!$G$17:$G$146, (MATCH(C144,'Equipment list'!$D$17:$D$146,0)),1)</f>
        <v>44170</v>
      </c>
      <c r="G144" s="47" t="s">
        <v>257</v>
      </c>
    </row>
    <row r="145" spans="1:7" x14ac:dyDescent="0.4">
      <c r="A145" s="40" t="str">
        <f>INDEX('Equipment list'!$B$17:$B$146, (MATCH(C145,'Equipment list'!$D$17:$D$146,0)),1)</f>
        <v>Spectrum Analyzer</v>
      </c>
      <c r="B145" s="40" t="str">
        <f>INDEX('Equipment list'!$C$17:$C$146, (MATCH(C145,'Equipment list'!$D$17:$D$146,0)),1)</f>
        <v>FSV7</v>
      </c>
      <c r="C145" s="69">
        <v>103082</v>
      </c>
      <c r="D145" s="41">
        <f>INDEX('Equipment list'!$E$17:$E$146, (MATCH(C145,'Equipment list'!$D$17:$D$146,0)),1)</f>
        <v>43537</v>
      </c>
      <c r="E145" s="41" t="str">
        <f>INDEX('Equipment list'!$F$17:$F$146, (MATCH(C145,'Equipment list'!$D$17:$D$146,0)),1)</f>
        <v>Annual</v>
      </c>
      <c r="F145" s="41">
        <f>INDEX('Equipment list'!$G$17:$G$146, (MATCH(C145,'Equipment list'!$D$17:$D$146,0)),1)</f>
        <v>43903</v>
      </c>
      <c r="G145" s="47" t="s">
        <v>258</v>
      </c>
    </row>
  </sheetData>
  <sheetProtection formatCells="0" formatColumns="0" formatRows="0" insertColumns="0" insertRows="0"/>
  <mergeCells count="43">
    <mergeCell ref="B2:F2"/>
    <mergeCell ref="D1:F1"/>
    <mergeCell ref="D3:F3"/>
    <mergeCell ref="D4:F4"/>
    <mergeCell ref="B14:F14"/>
    <mergeCell ref="B15:F15"/>
    <mergeCell ref="D5:F5"/>
    <mergeCell ref="D6:F6"/>
    <mergeCell ref="D9:F9"/>
    <mergeCell ref="A11:F11"/>
    <mergeCell ref="B12:F12"/>
    <mergeCell ref="B13:F13"/>
    <mergeCell ref="A10:F10"/>
    <mergeCell ref="A5:A8"/>
    <mergeCell ref="B5:B8"/>
    <mergeCell ref="C5:C8"/>
    <mergeCell ref="D7:F7"/>
    <mergeCell ref="D8:F8"/>
    <mergeCell ref="G132:G134"/>
    <mergeCell ref="G138:G143"/>
    <mergeCell ref="G107:G110"/>
    <mergeCell ref="G111:G114"/>
    <mergeCell ref="G115:G122"/>
    <mergeCell ref="G123:G125"/>
    <mergeCell ref="G126:G129"/>
    <mergeCell ref="G97:G99"/>
    <mergeCell ref="G101:G104"/>
    <mergeCell ref="G105:G106"/>
    <mergeCell ref="G80:G81"/>
    <mergeCell ref="G85:G86"/>
    <mergeCell ref="G82:G84"/>
    <mergeCell ref="G91:G92"/>
    <mergeCell ref="G87:G90"/>
    <mergeCell ref="G65:G67"/>
    <mergeCell ref="G68:G72"/>
    <mergeCell ref="G73:G74"/>
    <mergeCell ref="G76:G77"/>
    <mergeCell ref="G93:G95"/>
    <mergeCell ref="G52:G60"/>
    <mergeCell ref="G17:G25"/>
    <mergeCell ref="G26:G29"/>
    <mergeCell ref="G30:G51"/>
    <mergeCell ref="G61:G63"/>
  </mergeCells>
  <phoneticPr fontId="1" type="noConversion"/>
  <conditionalFormatting sqref="F17:F47 F51:F63 F65:F70 F72:F74 F76:F116 F122:F129 F132:F134 F136:F138 F144:F145">
    <cfRule type="cellIs" dxfId="333" priority="18" operator="lessThan">
      <formula>NOW()</formula>
    </cfRule>
  </conditionalFormatting>
  <conditionalFormatting sqref="F48:F50">
    <cfRule type="cellIs" dxfId="332" priority="14" operator="lessThan">
      <formula>NOW()</formula>
    </cfRule>
  </conditionalFormatting>
  <conditionalFormatting sqref="F71">
    <cfRule type="cellIs" dxfId="331" priority="11" operator="lessThan">
      <formula>NOW()</formula>
    </cfRule>
  </conditionalFormatting>
  <conditionalFormatting sqref="F64">
    <cfRule type="cellIs" dxfId="330" priority="12" operator="lessThan">
      <formula>NOW()</formula>
    </cfRule>
  </conditionalFormatting>
  <conditionalFormatting sqref="F75">
    <cfRule type="cellIs" dxfId="329" priority="9" operator="lessThan">
      <formula>NOW()</formula>
    </cfRule>
  </conditionalFormatting>
  <conditionalFormatting sqref="F117:F121">
    <cfRule type="cellIs" dxfId="328" priority="8" operator="lessThan">
      <formula>NOW()</formula>
    </cfRule>
  </conditionalFormatting>
  <conditionalFormatting sqref="F130:F131">
    <cfRule type="cellIs" dxfId="327" priority="7" operator="lessThan">
      <formula>NOW()</formula>
    </cfRule>
  </conditionalFormatting>
  <conditionalFormatting sqref="F135">
    <cfRule type="cellIs" dxfId="326" priority="6" operator="lessThan">
      <formula>NOW()</formula>
    </cfRule>
  </conditionalFormatting>
  <conditionalFormatting sqref="F139">
    <cfRule type="cellIs" dxfId="325" priority="5" operator="lessThan">
      <formula>NOW()</formula>
    </cfRule>
  </conditionalFormatting>
  <conditionalFormatting sqref="F140">
    <cfRule type="cellIs" dxfId="324" priority="4" operator="lessThan">
      <formula>NOW()</formula>
    </cfRule>
  </conditionalFormatting>
  <conditionalFormatting sqref="F142">
    <cfRule type="cellIs" dxfId="323" priority="3" operator="lessThan">
      <formula>NOW()</formula>
    </cfRule>
  </conditionalFormatting>
  <conditionalFormatting sqref="F141">
    <cfRule type="cellIs" dxfId="322" priority="2" operator="lessThan">
      <formula>NOW()</formula>
    </cfRule>
  </conditionalFormatting>
  <conditionalFormatting sqref="F143">
    <cfRule type="cellIs" dxfId="321" priority="1" operator="lessThan">
      <formula>NOW()</formula>
    </cfRule>
  </conditionalFormatting>
  <dataValidations xWindow="350" yWindow="234" count="10">
    <dataValidation allowBlank="1" showInputMessage="1" showErrorMessage="1" promptTitle="Order No." prompt="마스터 파일의 Project No. 입력_x000a_예) G-44-2019-02829" sqref="B1" xr:uid="{00000000-0002-0000-0000-000000000000}"/>
    <dataValidation allowBlank="1" showInputMessage="1" showErrorMessage="1" promptTitle="Report No." prompt="성적서 번호 입력_x000a_예) F690501/RF-SAR002801" sqref="D1:F1" xr:uid="{00000000-0002-0000-0000-000001000000}"/>
    <dataValidation allowBlank="1" showInputMessage="1" showErrorMessage="1" promptTitle="Test Data" prompt="시험 기간 입력_x000a_예) 2019-09-17 ~ 2019-09-18" sqref="B2:F2" xr:uid="{00000000-0002-0000-0000-000002000000}"/>
    <dataValidation allowBlank="1" showInputMessage="1" showErrorMessage="1" promptTitle="Applicant" prompt="신청 회사 입력_x000a_예) SAMSUNG ELECTRONICS CO., LTD" sqref="B3" xr:uid="{00000000-0002-0000-0000-000003000000}"/>
    <dataValidation allowBlank="1" showInputMessage="1" showErrorMessage="1" promptTitle="DUT Name" prompt="시료 종류_x000a_예) SAMSUNG Mobile Phone" sqref="B4" xr:uid="{00000000-0002-0000-0000-000004000000}"/>
    <dataValidation allowBlank="1" showInputMessage="1" showErrorMessage="1" promptTitle="Model Name" prompt="모델 이름_x000a_예) SM-A908B" sqref="D4:F4" xr:uid="{00000000-0002-0000-0000-000005000000}"/>
    <dataValidation allowBlank="1" showInputMessage="1" showErrorMessage="1" promptTitle="DUT No." prompt="시험 시료 시리얼 넘버_x000a_예) R3CM609FV0Y" sqref="B5:B8" xr:uid="{00000000-0002-0000-0000-000006000000}"/>
    <dataValidation allowBlank="1" showInputMessage="1" showErrorMessage="1" promptTitle="Test Platform" prompt="시험 장비_x000a_예) SPEAG DASY System" sqref="B12:F12" xr:uid="{00000000-0002-0000-0000-000007000000}"/>
    <dataValidation allowBlank="1" showInputMessage="1" showErrorMessage="1" promptTitle="Manufacture" prompt="시험 장비 제조업체_x000a_예) SPEAG" sqref="B13:F13" xr:uid="{00000000-0002-0000-0000-000008000000}"/>
    <dataValidation allowBlank="1" showInputMessage="1" showErrorMessage="1" promptTitle="Description" prompt="시험장비 종류_x000a_예) SAR Test System (Frequency range 300 MHz – 6 GHz)" sqref="B14:F14" xr:uid="{00000000-0002-0000-0000-000009000000}"/>
  </dataValidations>
  <printOptions horizontalCentered="1"/>
  <pageMargins left="0.23622047244094491" right="0.23622047244094491" top="0.98425196850393704" bottom="0.74803149606299213" header="0.47244094488188981" footer="0.31496062992125984"/>
  <pageSetup paperSize="9" scale="78" fitToHeight="0" orientation="portrait" useFirstPageNumber="1" r:id="rId1"/>
  <headerFooter>
    <oddHeader>&amp;L&amp;G&amp;C&amp;"-,굵게"&amp;25SAR Test Worksheet</oddHeader>
    <oddFooter>&amp;LRTT5041-49(2018.01.01)(5)                                                      &amp;C&amp;P/&amp;N&amp;RA4(210mm*297mm)</oddFooter>
  </headerFooter>
  <legacyDrawingHF r:id="rId2"/>
  <extLst>
    <ext xmlns:x14="http://schemas.microsoft.com/office/spreadsheetml/2009/9/main" uri="{CCE6A557-97BC-4b89-ADB6-D9C93CAAB3DF}">
      <x14:dataValidations xmlns:xm="http://schemas.microsoft.com/office/excel/2006/main" xWindow="350" yWindow="234" count="6">
        <x14:dataValidation type="list" allowBlank="1" showInputMessage="1" showErrorMessage="1" promptTitle="Technical Manager" prompt="검토 기술책임자를 선택하시오." xr:uid="{00000000-0002-0000-0000-00000A000000}">
          <x14:formula1>
            <xm:f>'Equipment list'!$E$4:$E$5</xm:f>
          </x14:formula1>
          <xm:sqref>D9:F9</xm:sqref>
        </x14:dataValidation>
        <x14:dataValidation type="list" allowBlank="1" showInputMessage="1" showErrorMessage="1" promptTitle="Test Engineer" prompt="시험원을 선택하시오." xr:uid="{00000000-0002-0000-0000-00000B000000}">
          <x14:formula1>
            <xm:f>'Equipment list'!$D$4:$D$12</xm:f>
          </x14:formula1>
          <xm:sqref>B9</xm:sqref>
        </x14:dataValidation>
        <x14:dataValidation type="list" allowBlank="1" showInputMessage="1" showErrorMessage="1" promptTitle="Test Specification" prompt="진행 국가를 선택하시오." xr:uid="{00000000-0002-0000-0000-00000C000000}">
          <x14:formula1>
            <xm:f>'Equipment list'!$B$4:$B$10</xm:f>
          </x14:formula1>
          <xm:sqref>D3:F3</xm:sqref>
        </x14:dataValidation>
        <x14:dataValidation type="list" allowBlank="1" showInputMessage="1" showErrorMessage="1" promptTitle="Test Shield Room" prompt="시험 진행 챔버" xr:uid="{00000000-0002-0000-0000-00000D000000}">
          <x14:formula1>
            <xm:f>'Equipment list'!$C$4:$C$9</xm:f>
          </x14:formula1>
          <xm:sqref>D5:F8</xm:sqref>
        </x14:dataValidation>
        <x14:dataValidation type="list" allowBlank="1" showInputMessage="1" showErrorMessage="1" promptTitle="Software Reference" prompt="소프트웨어 버전" xr:uid="{00000000-0002-0000-0000-00000E000000}">
          <x14:formula1>
            <xm:f>'Equipment list'!$F$4</xm:f>
          </x14:formula1>
          <xm:sqref>B15:F15</xm:sqref>
        </x14:dataValidation>
        <x14:dataValidation type="list" allowBlank="1" showInputMessage="1" showErrorMessage="1" promptTitle="Serial Number" prompt="사용장비의 S/N 선택하시오." xr:uid="{00000000-0002-0000-0000-00000F000000}">
          <x14:formula1>
            <xm:f>'Equipment list'!$D$17:$D$146</xm:f>
          </x14:formula1>
          <xm:sqref>C17:C145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I1043"/>
  <sheetViews>
    <sheetView view="pageBreakPreview" zoomScale="85" zoomScaleNormal="100" zoomScaleSheetLayoutView="85" zoomScalePageLayoutView="40" workbookViewId="0">
      <pane xSplit="2" ySplit="2" topLeftCell="C3" activePane="bottomRight" state="frozen"/>
      <selection pane="topRight" activeCell="C1" sqref="C1"/>
      <selection pane="bottomLeft" activeCell="A3" sqref="A3"/>
      <selection pane="bottomRight" activeCell="C46" sqref="C46"/>
    </sheetView>
  </sheetViews>
  <sheetFormatPr defaultColWidth="9" defaultRowHeight="15.6" x14ac:dyDescent="0.4"/>
  <cols>
    <col min="1" max="1" width="14.5" style="14" customWidth="1"/>
    <col min="2" max="2" width="18.19921875" style="14" customWidth="1"/>
    <col min="3" max="3" width="20.3984375" style="14" customWidth="1"/>
    <col min="4" max="4" width="16.69921875" style="14" customWidth="1"/>
    <col min="5" max="5" width="17.19921875" style="14" customWidth="1"/>
    <col min="6" max="6" width="25.5" style="14" customWidth="1"/>
    <col min="7" max="7" width="10.69921875" style="11" customWidth="1"/>
    <col min="8" max="8" width="11" style="11" customWidth="1"/>
    <col min="9" max="16384" width="9" style="11"/>
  </cols>
  <sheetData>
    <row r="1" spans="1:9" x14ac:dyDescent="0.4">
      <c r="A1" s="99" t="s">
        <v>188</v>
      </c>
      <c r="B1" s="99" t="s">
        <v>230</v>
      </c>
      <c r="C1" s="99" t="s">
        <v>231</v>
      </c>
      <c r="D1" s="99" t="s">
        <v>20</v>
      </c>
      <c r="E1" s="99"/>
      <c r="F1" s="99"/>
      <c r="G1" s="74" t="s">
        <v>235</v>
      </c>
      <c r="H1" s="74" t="s">
        <v>236</v>
      </c>
      <c r="I1" s="28"/>
    </row>
    <row r="2" spans="1:9" x14ac:dyDescent="0.4">
      <c r="A2" s="99"/>
      <c r="B2" s="99"/>
      <c r="C2" s="99"/>
      <c r="D2" s="72" t="s">
        <v>232</v>
      </c>
      <c r="E2" s="72" t="s">
        <v>233</v>
      </c>
      <c r="F2" s="72" t="s">
        <v>234</v>
      </c>
      <c r="G2" s="74"/>
      <c r="H2" s="74"/>
      <c r="I2" s="28"/>
    </row>
    <row r="3" spans="1:9" x14ac:dyDescent="0.4">
      <c r="A3" s="96">
        <v>750</v>
      </c>
      <c r="B3" s="97"/>
      <c r="C3" s="42" t="s">
        <v>350</v>
      </c>
      <c r="D3" s="43"/>
      <c r="E3" s="43"/>
      <c r="F3" s="98"/>
      <c r="G3" s="95" t="s">
        <v>259</v>
      </c>
      <c r="H3" s="82"/>
      <c r="I3" s="28"/>
    </row>
    <row r="4" spans="1:9" x14ac:dyDescent="0.4">
      <c r="A4" s="96"/>
      <c r="B4" s="97"/>
      <c r="C4" s="13" t="s">
        <v>187</v>
      </c>
      <c r="D4" s="2">
        <f>INDEX('Equipment list'!$B$189:$B$220, (MATCH(A3,'Equipment list'!$D$189:$D$220,0)),1)</f>
        <v>41.9</v>
      </c>
      <c r="E4" s="2">
        <f>INDEX('Equipment list'!$C$189:$C$220, (MATCH(A3,'Equipment list'!$D$189:$D$220,0)),1)</f>
        <v>0.89</v>
      </c>
      <c r="F4" s="98"/>
      <c r="G4" s="95"/>
      <c r="H4" s="82"/>
      <c r="I4" s="28"/>
    </row>
    <row r="5" spans="1:9" x14ac:dyDescent="0.4">
      <c r="A5" s="96"/>
      <c r="B5" s="97"/>
      <c r="C5" s="13" t="s">
        <v>186</v>
      </c>
      <c r="D5" s="2">
        <f>(D3-D4)/D4*100</f>
        <v>-100</v>
      </c>
      <c r="E5" s="2">
        <f>(E3-E4)/E4*100</f>
        <v>-100</v>
      </c>
      <c r="F5" s="98"/>
      <c r="G5" s="95"/>
      <c r="H5" s="82"/>
      <c r="I5" s="28"/>
    </row>
    <row r="6" spans="1:9" x14ac:dyDescent="0.4">
      <c r="A6" s="96"/>
      <c r="B6" s="97"/>
      <c r="C6" s="13" t="str">
        <f>C3</f>
        <v>Measured, 2020-00-00</v>
      </c>
      <c r="D6" s="43"/>
      <c r="E6" s="43"/>
      <c r="F6" s="98"/>
      <c r="G6" s="95"/>
      <c r="H6" s="82"/>
      <c r="I6" s="28"/>
    </row>
    <row r="7" spans="1:9" x14ac:dyDescent="0.4">
      <c r="A7" s="96"/>
      <c r="B7" s="97"/>
      <c r="C7" s="13" t="s">
        <v>186</v>
      </c>
      <c r="D7" s="2">
        <f>(D6-D4)/D4*100</f>
        <v>-100</v>
      </c>
      <c r="E7" s="2">
        <f>(E6-E4)/E4*100</f>
        <v>-100</v>
      </c>
      <c r="F7" s="98"/>
      <c r="G7" s="95"/>
      <c r="H7" s="82"/>
      <c r="I7" s="28"/>
    </row>
    <row r="8" spans="1:9" x14ac:dyDescent="0.4">
      <c r="A8" s="96"/>
      <c r="B8" s="97"/>
      <c r="C8" s="13" t="str">
        <f>C3</f>
        <v>Measured, 2020-00-00</v>
      </c>
      <c r="D8" s="43"/>
      <c r="E8" s="43"/>
      <c r="F8" s="98"/>
      <c r="G8" s="95"/>
      <c r="H8" s="82"/>
      <c r="I8" s="28"/>
    </row>
    <row r="9" spans="1:9" x14ac:dyDescent="0.4">
      <c r="A9" s="96"/>
      <c r="B9" s="97"/>
      <c r="C9" s="13" t="s">
        <v>186</v>
      </c>
      <c r="D9" s="2">
        <f>(D8-D4)/D4*100</f>
        <v>-100</v>
      </c>
      <c r="E9" s="2">
        <f>(E8-E4)/E4*100</f>
        <v>-100</v>
      </c>
      <c r="F9" s="98"/>
      <c r="G9" s="95"/>
      <c r="H9" s="82"/>
      <c r="I9" s="28"/>
    </row>
    <row r="10" spans="1:9" ht="14.25" customHeight="1" x14ac:dyDescent="0.4">
      <c r="A10" s="96">
        <v>835</v>
      </c>
      <c r="B10" s="97"/>
      <c r="C10" s="42" t="s">
        <v>215</v>
      </c>
      <c r="D10" s="43"/>
      <c r="E10" s="43"/>
      <c r="F10" s="98"/>
      <c r="G10" s="95" t="s">
        <v>260</v>
      </c>
      <c r="H10" s="82"/>
    </row>
    <row r="11" spans="1:9" ht="14.25" customHeight="1" x14ac:dyDescent="0.4">
      <c r="A11" s="96"/>
      <c r="B11" s="97"/>
      <c r="C11" s="13" t="s">
        <v>187</v>
      </c>
      <c r="D11" s="2">
        <f>INDEX('Equipment list'!$B$189:$B$220, (MATCH(A10,'Equipment list'!$D$189:$D$220,0)),1)</f>
        <v>41.5</v>
      </c>
      <c r="E11" s="2">
        <f>INDEX('Equipment list'!$C$189:$C$220, (MATCH(A10,'Equipment list'!$D$189:$D$220,0)),1)</f>
        <v>0.9</v>
      </c>
      <c r="F11" s="98"/>
      <c r="G11" s="95"/>
      <c r="H11" s="82"/>
    </row>
    <row r="12" spans="1:9" ht="14.25" customHeight="1" x14ac:dyDescent="0.4">
      <c r="A12" s="96"/>
      <c r="B12" s="97"/>
      <c r="C12" s="13" t="s">
        <v>186</v>
      </c>
      <c r="D12" s="2">
        <f>(D10-D11)/D11*100</f>
        <v>-100</v>
      </c>
      <c r="E12" s="2">
        <f>(E10-E11)/E11*100</f>
        <v>-100</v>
      </c>
      <c r="F12" s="98"/>
      <c r="G12" s="95"/>
      <c r="H12" s="82"/>
    </row>
    <row r="13" spans="1:9" ht="14.25" customHeight="1" x14ac:dyDescent="0.4">
      <c r="A13" s="96"/>
      <c r="B13" s="97"/>
      <c r="C13" s="13" t="str">
        <f>C10</f>
        <v xml:space="preserve">Measured, </v>
      </c>
      <c r="D13" s="43"/>
      <c r="E13" s="43"/>
      <c r="F13" s="98"/>
      <c r="G13" s="95"/>
      <c r="H13" s="82"/>
    </row>
    <row r="14" spans="1:9" ht="14.25" customHeight="1" x14ac:dyDescent="0.4">
      <c r="A14" s="96"/>
      <c r="B14" s="97"/>
      <c r="C14" s="13" t="s">
        <v>186</v>
      </c>
      <c r="D14" s="2">
        <f>(D13-D11)/D11*100</f>
        <v>-100</v>
      </c>
      <c r="E14" s="2">
        <f>(E13-E11)/E11*100</f>
        <v>-100</v>
      </c>
      <c r="F14" s="98"/>
      <c r="G14" s="95"/>
      <c r="H14" s="82"/>
    </row>
    <row r="15" spans="1:9" ht="14.25" customHeight="1" x14ac:dyDescent="0.4">
      <c r="A15" s="96"/>
      <c r="B15" s="97"/>
      <c r="C15" s="13" t="str">
        <f>C10</f>
        <v xml:space="preserve">Measured, </v>
      </c>
      <c r="D15" s="43"/>
      <c r="E15" s="43"/>
      <c r="F15" s="98"/>
      <c r="G15" s="95"/>
      <c r="H15" s="82"/>
    </row>
    <row r="16" spans="1:9" ht="14.25" customHeight="1" x14ac:dyDescent="0.4">
      <c r="A16" s="96"/>
      <c r="B16" s="97"/>
      <c r="C16" s="13" t="s">
        <v>186</v>
      </c>
      <c r="D16" s="2">
        <f>(D15-D11)/D11*100</f>
        <v>-100</v>
      </c>
      <c r="E16" s="2">
        <f>(E15-E11)/E11*100</f>
        <v>-100</v>
      </c>
      <c r="F16" s="98"/>
      <c r="G16" s="95"/>
      <c r="H16" s="82"/>
    </row>
    <row r="17" spans="1:8" x14ac:dyDescent="0.4">
      <c r="A17" s="96">
        <v>900</v>
      </c>
      <c r="B17" s="97"/>
      <c r="C17" s="42" t="s">
        <v>215</v>
      </c>
      <c r="D17" s="43"/>
      <c r="E17" s="43"/>
      <c r="F17" s="98"/>
      <c r="G17" s="95" t="s">
        <v>261</v>
      </c>
      <c r="H17" s="82"/>
    </row>
    <row r="18" spans="1:8" x14ac:dyDescent="0.4">
      <c r="A18" s="96"/>
      <c r="B18" s="97"/>
      <c r="C18" s="13" t="s">
        <v>187</v>
      </c>
      <c r="D18" s="2">
        <f>INDEX('Equipment list'!$B$189:$B$220, (MATCH(A17,'Equipment list'!$D$189:$D$220,0)),1)</f>
        <v>41.5</v>
      </c>
      <c r="E18" s="2">
        <f>INDEX('Equipment list'!$C$189:$C$220, (MATCH(A17,'Equipment list'!$D$189:$D$220,0)),1)</f>
        <v>0.97</v>
      </c>
      <c r="F18" s="98"/>
      <c r="G18" s="95"/>
      <c r="H18" s="82"/>
    </row>
    <row r="19" spans="1:8" x14ac:dyDescent="0.4">
      <c r="A19" s="96"/>
      <c r="B19" s="97"/>
      <c r="C19" s="13" t="s">
        <v>186</v>
      </c>
      <c r="D19" s="2">
        <f>(D17-D18)/D18*100</f>
        <v>-100</v>
      </c>
      <c r="E19" s="2">
        <f>(E17-E18)/E18*100</f>
        <v>-100</v>
      </c>
      <c r="F19" s="98"/>
      <c r="G19" s="95"/>
      <c r="H19" s="82"/>
    </row>
    <row r="20" spans="1:8" x14ac:dyDescent="0.4">
      <c r="A20" s="96"/>
      <c r="B20" s="97"/>
      <c r="C20" s="13" t="str">
        <f>C17</f>
        <v xml:space="preserve">Measured, </v>
      </c>
      <c r="D20" s="43"/>
      <c r="E20" s="43"/>
      <c r="F20" s="98"/>
      <c r="G20" s="95"/>
      <c r="H20" s="82"/>
    </row>
    <row r="21" spans="1:8" x14ac:dyDescent="0.4">
      <c r="A21" s="96"/>
      <c r="B21" s="97"/>
      <c r="C21" s="13" t="s">
        <v>186</v>
      </c>
      <c r="D21" s="2">
        <f>(D20-D18)/D18*100</f>
        <v>-100</v>
      </c>
      <c r="E21" s="2">
        <f>(E20-E18)/E18*100</f>
        <v>-100</v>
      </c>
      <c r="F21" s="98"/>
      <c r="G21" s="95"/>
      <c r="H21" s="82"/>
    </row>
    <row r="22" spans="1:8" x14ac:dyDescent="0.4">
      <c r="A22" s="96"/>
      <c r="B22" s="97"/>
      <c r="C22" s="13" t="str">
        <f>C17</f>
        <v xml:space="preserve">Measured, </v>
      </c>
      <c r="D22" s="43"/>
      <c r="E22" s="43"/>
      <c r="F22" s="98"/>
      <c r="G22" s="95"/>
      <c r="H22" s="82"/>
    </row>
    <row r="23" spans="1:8" x14ac:dyDescent="0.4">
      <c r="A23" s="96"/>
      <c r="B23" s="97"/>
      <c r="C23" s="13" t="s">
        <v>186</v>
      </c>
      <c r="D23" s="2">
        <f>(D22-D18)/D18*100</f>
        <v>-100</v>
      </c>
      <c r="E23" s="2">
        <f>(E22-E18)/E18*100</f>
        <v>-100</v>
      </c>
      <c r="F23" s="98"/>
      <c r="G23" s="95"/>
      <c r="H23" s="82"/>
    </row>
    <row r="24" spans="1:8" x14ac:dyDescent="0.4">
      <c r="A24" s="96">
        <v>1800</v>
      </c>
      <c r="B24" s="97"/>
      <c r="C24" s="42" t="s">
        <v>215</v>
      </c>
      <c r="D24" s="43"/>
      <c r="E24" s="43"/>
      <c r="F24" s="98"/>
      <c r="G24" s="95" t="s">
        <v>262</v>
      </c>
      <c r="H24" s="82"/>
    </row>
    <row r="25" spans="1:8" x14ac:dyDescent="0.4">
      <c r="A25" s="96"/>
      <c r="B25" s="97"/>
      <c r="C25" s="13" t="s">
        <v>187</v>
      </c>
      <c r="D25" s="2">
        <f>INDEX('Equipment list'!$B$189:$B$220, (MATCH(A24,'Equipment list'!$D$189:$D$220,0)),1)</f>
        <v>40</v>
      </c>
      <c r="E25" s="2">
        <f>INDEX('Equipment list'!$C$189:$C$220, (MATCH(A24,'Equipment list'!$D$189:$D$220,0)),1)</f>
        <v>1.4</v>
      </c>
      <c r="F25" s="98"/>
      <c r="G25" s="95"/>
      <c r="H25" s="82"/>
    </row>
    <row r="26" spans="1:8" x14ac:dyDescent="0.4">
      <c r="A26" s="96"/>
      <c r="B26" s="97"/>
      <c r="C26" s="13" t="s">
        <v>186</v>
      </c>
      <c r="D26" s="2">
        <f>(D24-D25)/D25*100</f>
        <v>-100</v>
      </c>
      <c r="E26" s="2">
        <f>(E24-E25)/E25*100</f>
        <v>-100</v>
      </c>
      <c r="F26" s="98"/>
      <c r="G26" s="95"/>
      <c r="H26" s="82"/>
    </row>
    <row r="27" spans="1:8" x14ac:dyDescent="0.4">
      <c r="A27" s="96"/>
      <c r="B27" s="97"/>
      <c r="C27" s="13" t="str">
        <f>C24</f>
        <v xml:space="preserve">Measured, </v>
      </c>
      <c r="D27" s="43"/>
      <c r="E27" s="43"/>
      <c r="F27" s="98"/>
      <c r="G27" s="95"/>
      <c r="H27" s="82"/>
    </row>
    <row r="28" spans="1:8" x14ac:dyDescent="0.4">
      <c r="A28" s="96"/>
      <c r="B28" s="97"/>
      <c r="C28" s="13" t="s">
        <v>186</v>
      </c>
      <c r="D28" s="2">
        <f>(D27-D25)/D25*100</f>
        <v>-100</v>
      </c>
      <c r="E28" s="2">
        <f>(E27-E25)/E25*100</f>
        <v>-100</v>
      </c>
      <c r="F28" s="98"/>
      <c r="G28" s="95"/>
      <c r="H28" s="82"/>
    </row>
    <row r="29" spans="1:8" x14ac:dyDescent="0.4">
      <c r="A29" s="96"/>
      <c r="B29" s="97"/>
      <c r="C29" s="13" t="str">
        <f>C24</f>
        <v xml:space="preserve">Measured, </v>
      </c>
      <c r="D29" s="43"/>
      <c r="E29" s="43"/>
      <c r="F29" s="98"/>
      <c r="G29" s="95"/>
      <c r="H29" s="82"/>
    </row>
    <row r="30" spans="1:8" x14ac:dyDescent="0.4">
      <c r="A30" s="96"/>
      <c r="B30" s="97"/>
      <c r="C30" s="13" t="s">
        <v>186</v>
      </c>
      <c r="D30" s="2">
        <f>(D29-D25)/D25*100</f>
        <v>-100</v>
      </c>
      <c r="E30" s="2">
        <f>(E29-E25)/E25*100</f>
        <v>-100</v>
      </c>
      <c r="F30" s="98"/>
      <c r="G30" s="95"/>
      <c r="H30" s="82"/>
    </row>
    <row r="31" spans="1:8" x14ac:dyDescent="0.4">
      <c r="A31" s="96">
        <v>1900</v>
      </c>
      <c r="B31" s="97"/>
      <c r="C31" s="42" t="s">
        <v>215</v>
      </c>
      <c r="D31" s="43"/>
      <c r="E31" s="43"/>
      <c r="F31" s="98"/>
      <c r="G31" s="95" t="s">
        <v>263</v>
      </c>
      <c r="H31" s="82"/>
    </row>
    <row r="32" spans="1:8" x14ac:dyDescent="0.4">
      <c r="A32" s="96"/>
      <c r="B32" s="97"/>
      <c r="C32" s="13" t="s">
        <v>187</v>
      </c>
      <c r="D32" s="2">
        <f>INDEX('Equipment list'!$B$189:$B$220, (MATCH(A31,'Equipment list'!$D$189:$D$220,0)),1)</f>
        <v>40</v>
      </c>
      <c r="E32" s="2">
        <f>INDEX('Equipment list'!$C$189:$C$220, (MATCH(A31,'Equipment list'!$D$189:$D$220,0)),1)</f>
        <v>1.4</v>
      </c>
      <c r="F32" s="98"/>
      <c r="G32" s="95"/>
      <c r="H32" s="82"/>
    </row>
    <row r="33" spans="1:8" x14ac:dyDescent="0.4">
      <c r="A33" s="96"/>
      <c r="B33" s="97"/>
      <c r="C33" s="13" t="s">
        <v>186</v>
      </c>
      <c r="D33" s="2">
        <f>(D31-D32)/D32*100</f>
        <v>-100</v>
      </c>
      <c r="E33" s="2">
        <f>(E31-E32)/E32*100</f>
        <v>-100</v>
      </c>
      <c r="F33" s="98"/>
      <c r="G33" s="95"/>
      <c r="H33" s="82"/>
    </row>
    <row r="34" spans="1:8" x14ac:dyDescent="0.4">
      <c r="A34" s="96"/>
      <c r="B34" s="97"/>
      <c r="C34" s="13" t="str">
        <f>C31</f>
        <v xml:space="preserve">Measured, </v>
      </c>
      <c r="D34" s="43"/>
      <c r="E34" s="43"/>
      <c r="F34" s="98"/>
      <c r="G34" s="95"/>
      <c r="H34" s="82"/>
    </row>
    <row r="35" spans="1:8" x14ac:dyDescent="0.4">
      <c r="A35" s="96"/>
      <c r="B35" s="97"/>
      <c r="C35" s="13" t="s">
        <v>186</v>
      </c>
      <c r="D35" s="2">
        <f>(D34-D32)/D32*100</f>
        <v>-100</v>
      </c>
      <c r="E35" s="2">
        <f>(E34-E32)/E32*100</f>
        <v>-100</v>
      </c>
      <c r="F35" s="98"/>
      <c r="G35" s="95"/>
      <c r="H35" s="82"/>
    </row>
    <row r="36" spans="1:8" x14ac:dyDescent="0.4">
      <c r="A36" s="96"/>
      <c r="B36" s="97"/>
      <c r="C36" s="13" t="str">
        <f>C31</f>
        <v xml:space="preserve">Measured, </v>
      </c>
      <c r="D36" s="43"/>
      <c r="E36" s="43"/>
      <c r="F36" s="98"/>
      <c r="G36" s="95"/>
      <c r="H36" s="82"/>
    </row>
    <row r="37" spans="1:8" x14ac:dyDescent="0.4">
      <c r="A37" s="96"/>
      <c r="B37" s="97"/>
      <c r="C37" s="13" t="s">
        <v>186</v>
      </c>
      <c r="D37" s="2">
        <f>(D36-D32)/D32*100</f>
        <v>-100</v>
      </c>
      <c r="E37" s="2">
        <f>(E36-E32)/E32*100</f>
        <v>-100</v>
      </c>
      <c r="F37" s="98"/>
      <c r="G37" s="95"/>
      <c r="H37" s="82"/>
    </row>
    <row r="38" spans="1:8" x14ac:dyDescent="0.4">
      <c r="A38" s="96">
        <v>2300</v>
      </c>
      <c r="B38" s="97"/>
      <c r="C38" s="42" t="s">
        <v>215</v>
      </c>
      <c r="D38" s="43"/>
      <c r="E38" s="43"/>
      <c r="F38" s="98"/>
      <c r="G38" s="95" t="s">
        <v>264</v>
      </c>
      <c r="H38" s="82"/>
    </row>
    <row r="39" spans="1:8" x14ac:dyDescent="0.4">
      <c r="A39" s="96"/>
      <c r="B39" s="97"/>
      <c r="C39" s="13" t="s">
        <v>187</v>
      </c>
      <c r="D39" s="2">
        <f>INDEX('Equipment list'!$B$189:$B$220, (MATCH(A38,'Equipment list'!$D$189:$D$220,0)),1)</f>
        <v>39.5</v>
      </c>
      <c r="E39" s="2">
        <f>INDEX('Equipment list'!$C$189:$C$220, (MATCH(A38,'Equipment list'!$D$189:$D$220,0)),1)</f>
        <v>1.67</v>
      </c>
      <c r="F39" s="98"/>
      <c r="G39" s="95"/>
      <c r="H39" s="82"/>
    </row>
    <row r="40" spans="1:8" x14ac:dyDescent="0.4">
      <c r="A40" s="96"/>
      <c r="B40" s="97"/>
      <c r="C40" s="13" t="s">
        <v>186</v>
      </c>
      <c r="D40" s="2">
        <f>(D38-D39)/D39*100</f>
        <v>-100</v>
      </c>
      <c r="E40" s="2">
        <f>(E38-E39)/E39*100</f>
        <v>-100</v>
      </c>
      <c r="F40" s="98"/>
      <c r="G40" s="95"/>
      <c r="H40" s="82"/>
    </row>
    <row r="41" spans="1:8" x14ac:dyDescent="0.4">
      <c r="A41" s="96"/>
      <c r="B41" s="97"/>
      <c r="C41" s="13" t="str">
        <f>C38</f>
        <v xml:space="preserve">Measured, </v>
      </c>
      <c r="D41" s="43"/>
      <c r="E41" s="43"/>
      <c r="F41" s="98"/>
      <c r="G41" s="95"/>
      <c r="H41" s="82"/>
    </row>
    <row r="42" spans="1:8" x14ac:dyDescent="0.4">
      <c r="A42" s="96"/>
      <c r="B42" s="97"/>
      <c r="C42" s="13" t="s">
        <v>186</v>
      </c>
      <c r="D42" s="2">
        <f>(D41-D39)/D39*100</f>
        <v>-100</v>
      </c>
      <c r="E42" s="2">
        <f>(E41-E39)/E39*100</f>
        <v>-100</v>
      </c>
      <c r="F42" s="98"/>
      <c r="G42" s="95"/>
      <c r="H42" s="82"/>
    </row>
    <row r="43" spans="1:8" x14ac:dyDescent="0.4">
      <c r="A43" s="96"/>
      <c r="B43" s="97"/>
      <c r="C43" s="13" t="str">
        <f>C38</f>
        <v xml:space="preserve">Measured, </v>
      </c>
      <c r="D43" s="43"/>
      <c r="E43" s="43"/>
      <c r="F43" s="98"/>
      <c r="G43" s="95"/>
      <c r="H43" s="82"/>
    </row>
    <row r="44" spans="1:8" x14ac:dyDescent="0.4">
      <c r="A44" s="96"/>
      <c r="B44" s="97"/>
      <c r="C44" s="13" t="s">
        <v>186</v>
      </c>
      <c r="D44" s="2">
        <f>(D43-D39)/D39*100</f>
        <v>-100</v>
      </c>
      <c r="E44" s="2">
        <f>(E43-E39)/E39*100</f>
        <v>-100</v>
      </c>
      <c r="F44" s="98"/>
      <c r="G44" s="95"/>
      <c r="H44" s="82"/>
    </row>
    <row r="45" spans="1:8" x14ac:dyDescent="0.4">
      <c r="A45" s="96">
        <v>2450</v>
      </c>
      <c r="B45" s="97"/>
      <c r="C45" s="42" t="s">
        <v>215</v>
      </c>
      <c r="D45" s="43"/>
      <c r="E45" s="43"/>
      <c r="F45" s="98"/>
      <c r="G45" s="95" t="s">
        <v>265</v>
      </c>
      <c r="H45" s="82"/>
    </row>
    <row r="46" spans="1:8" x14ac:dyDescent="0.4">
      <c r="A46" s="96"/>
      <c r="B46" s="97"/>
      <c r="C46" s="13" t="s">
        <v>187</v>
      </c>
      <c r="D46" s="2">
        <f>INDEX('Equipment list'!$B$189:$B$220, (MATCH(A45,'Equipment list'!$D$189:$D$220,0)),1)</f>
        <v>39.200000000000003</v>
      </c>
      <c r="E46" s="2">
        <f>INDEX('Equipment list'!$C$189:$C$220, (MATCH(A45,'Equipment list'!$D$189:$D$220,0)),1)</f>
        <v>1.8</v>
      </c>
      <c r="F46" s="98"/>
      <c r="G46" s="95"/>
      <c r="H46" s="82"/>
    </row>
    <row r="47" spans="1:8" x14ac:dyDescent="0.4">
      <c r="A47" s="96"/>
      <c r="B47" s="97"/>
      <c r="C47" s="13" t="s">
        <v>186</v>
      </c>
      <c r="D47" s="2">
        <f>(D45-D46)/D46*100</f>
        <v>-100</v>
      </c>
      <c r="E47" s="2">
        <f>(E45-E46)/E46*100</f>
        <v>-100</v>
      </c>
      <c r="F47" s="98"/>
      <c r="G47" s="95"/>
      <c r="H47" s="82"/>
    </row>
    <row r="48" spans="1:8" x14ac:dyDescent="0.4">
      <c r="A48" s="96"/>
      <c r="B48" s="97"/>
      <c r="C48" s="13" t="str">
        <f>C45</f>
        <v xml:space="preserve">Measured, </v>
      </c>
      <c r="D48" s="43"/>
      <c r="E48" s="43"/>
      <c r="F48" s="98"/>
      <c r="G48" s="95"/>
      <c r="H48" s="82"/>
    </row>
    <row r="49" spans="1:8" x14ac:dyDescent="0.4">
      <c r="A49" s="96"/>
      <c r="B49" s="97"/>
      <c r="C49" s="13" t="s">
        <v>186</v>
      </c>
      <c r="D49" s="2">
        <f>(D48-D46)/D46*100</f>
        <v>-100</v>
      </c>
      <c r="E49" s="2">
        <f>(E48-E46)/E46*100</f>
        <v>-100</v>
      </c>
      <c r="F49" s="98"/>
      <c r="G49" s="95"/>
      <c r="H49" s="82"/>
    </row>
    <row r="50" spans="1:8" x14ac:dyDescent="0.4">
      <c r="A50" s="96"/>
      <c r="B50" s="97"/>
      <c r="C50" s="13" t="str">
        <f>C45</f>
        <v xml:space="preserve">Measured, </v>
      </c>
      <c r="D50" s="43"/>
      <c r="E50" s="43"/>
      <c r="F50" s="98"/>
      <c r="G50" s="95"/>
      <c r="H50" s="82"/>
    </row>
    <row r="51" spans="1:8" x14ac:dyDescent="0.4">
      <c r="A51" s="96"/>
      <c r="B51" s="97"/>
      <c r="C51" s="13" t="s">
        <v>186</v>
      </c>
      <c r="D51" s="2">
        <f>(D50-D46)/D46*100</f>
        <v>-100</v>
      </c>
      <c r="E51" s="2">
        <f>(E50-E46)/E46*100</f>
        <v>-100</v>
      </c>
      <c r="F51" s="98"/>
      <c r="G51" s="95"/>
      <c r="H51" s="82"/>
    </row>
    <row r="52" spans="1:8" x14ac:dyDescent="0.4">
      <c r="A52" s="96">
        <v>2600</v>
      </c>
      <c r="B52" s="97"/>
      <c r="C52" s="42" t="s">
        <v>215</v>
      </c>
      <c r="D52" s="43"/>
      <c r="E52" s="43"/>
      <c r="F52" s="98"/>
      <c r="G52" s="95" t="s">
        <v>266</v>
      </c>
      <c r="H52" s="82"/>
    </row>
    <row r="53" spans="1:8" x14ac:dyDescent="0.4">
      <c r="A53" s="96"/>
      <c r="B53" s="97"/>
      <c r="C53" s="13" t="s">
        <v>187</v>
      </c>
      <c r="D53" s="2">
        <f>INDEX('Equipment list'!$B$189:$B$220, (MATCH(A52,'Equipment list'!$D$189:$D$220,0)),1)</f>
        <v>39</v>
      </c>
      <c r="E53" s="2">
        <f>INDEX('Equipment list'!$C$189:$C$220, (MATCH(A52,'Equipment list'!$D$189:$D$220,0)),1)</f>
        <v>1.96</v>
      </c>
      <c r="F53" s="98"/>
      <c r="G53" s="95"/>
      <c r="H53" s="82"/>
    </row>
    <row r="54" spans="1:8" x14ac:dyDescent="0.4">
      <c r="A54" s="96"/>
      <c r="B54" s="97"/>
      <c r="C54" s="13" t="s">
        <v>186</v>
      </c>
      <c r="D54" s="2">
        <f>(D52-D53)/D53*100</f>
        <v>-100</v>
      </c>
      <c r="E54" s="2">
        <f>(E52-E53)/E53*100</f>
        <v>-100</v>
      </c>
      <c r="F54" s="98"/>
      <c r="G54" s="95"/>
      <c r="H54" s="82"/>
    </row>
    <row r="55" spans="1:8" x14ac:dyDescent="0.4">
      <c r="A55" s="96"/>
      <c r="B55" s="97"/>
      <c r="C55" s="13" t="str">
        <f>C52</f>
        <v xml:space="preserve">Measured, </v>
      </c>
      <c r="D55" s="43"/>
      <c r="E55" s="43"/>
      <c r="F55" s="98"/>
      <c r="G55" s="95"/>
      <c r="H55" s="82"/>
    </row>
    <row r="56" spans="1:8" x14ac:dyDescent="0.4">
      <c r="A56" s="96"/>
      <c r="B56" s="97"/>
      <c r="C56" s="13" t="s">
        <v>186</v>
      </c>
      <c r="D56" s="2">
        <f>(D55-D53)/D53*100</f>
        <v>-100</v>
      </c>
      <c r="E56" s="2">
        <f>(E55-E53)/E53*100</f>
        <v>-100</v>
      </c>
      <c r="F56" s="98"/>
      <c r="G56" s="95"/>
      <c r="H56" s="82"/>
    </row>
    <row r="57" spans="1:8" x14ac:dyDescent="0.4">
      <c r="A57" s="96"/>
      <c r="B57" s="97"/>
      <c r="C57" s="13" t="str">
        <f>C52</f>
        <v xml:space="preserve">Measured, </v>
      </c>
      <c r="D57" s="43"/>
      <c r="E57" s="43"/>
      <c r="F57" s="98"/>
      <c r="G57" s="95"/>
      <c r="H57" s="82"/>
    </row>
    <row r="58" spans="1:8" x14ac:dyDescent="0.4">
      <c r="A58" s="96"/>
      <c r="B58" s="97"/>
      <c r="C58" s="13" t="s">
        <v>186</v>
      </c>
      <c r="D58" s="2">
        <f>(D57-D53)/D53*100</f>
        <v>-100</v>
      </c>
      <c r="E58" s="2">
        <f>(E57-E53)/E53*100</f>
        <v>-100</v>
      </c>
      <c r="F58" s="98"/>
      <c r="G58" s="95"/>
      <c r="H58" s="82"/>
    </row>
    <row r="59" spans="1:8" x14ac:dyDescent="0.4">
      <c r="A59" s="96">
        <v>3500</v>
      </c>
      <c r="B59" s="97"/>
      <c r="C59" s="42" t="s">
        <v>215</v>
      </c>
      <c r="D59" s="43"/>
      <c r="E59" s="43"/>
      <c r="F59" s="98"/>
      <c r="G59" s="88" t="s">
        <v>267</v>
      </c>
      <c r="H59" s="82"/>
    </row>
    <row r="60" spans="1:8" x14ac:dyDescent="0.4">
      <c r="A60" s="96"/>
      <c r="B60" s="97"/>
      <c r="C60" s="13" t="s">
        <v>187</v>
      </c>
      <c r="D60" s="2">
        <f>INDEX('Equipment list'!$B$189:$B$220, (MATCH(A59,'Equipment list'!$D$189:$D$220,0)),1)</f>
        <v>37.9</v>
      </c>
      <c r="E60" s="2">
        <f>INDEX('Equipment list'!$C$189:$C$220, (MATCH(A59,'Equipment list'!$D$189:$D$220,0)),1)</f>
        <v>2.91</v>
      </c>
      <c r="F60" s="98"/>
      <c r="G60" s="89"/>
      <c r="H60" s="82"/>
    </row>
    <row r="61" spans="1:8" x14ac:dyDescent="0.4">
      <c r="A61" s="96"/>
      <c r="B61" s="97"/>
      <c r="C61" s="13" t="s">
        <v>186</v>
      </c>
      <c r="D61" s="2">
        <f>(D59-D60)/D60*100</f>
        <v>-100</v>
      </c>
      <c r="E61" s="2">
        <f>(E59-E60)/E60*100</f>
        <v>-100</v>
      </c>
      <c r="F61" s="98"/>
      <c r="G61" s="89"/>
      <c r="H61" s="82"/>
    </row>
    <row r="62" spans="1:8" x14ac:dyDescent="0.4">
      <c r="A62" s="96"/>
      <c r="B62" s="97"/>
      <c r="C62" s="13" t="str">
        <f>C59</f>
        <v xml:space="preserve">Measured, </v>
      </c>
      <c r="D62" s="43"/>
      <c r="E62" s="43"/>
      <c r="F62" s="98"/>
      <c r="G62" s="89"/>
      <c r="H62" s="82"/>
    </row>
    <row r="63" spans="1:8" x14ac:dyDescent="0.4">
      <c r="A63" s="96"/>
      <c r="B63" s="97"/>
      <c r="C63" s="13" t="s">
        <v>186</v>
      </c>
      <c r="D63" s="2">
        <f>(D62-D60)/D60*100</f>
        <v>-100</v>
      </c>
      <c r="E63" s="2">
        <f>(E62-E60)/E60*100</f>
        <v>-100</v>
      </c>
      <c r="F63" s="98"/>
      <c r="G63" s="89"/>
      <c r="H63" s="82"/>
    </row>
    <row r="64" spans="1:8" x14ac:dyDescent="0.4">
      <c r="A64" s="96"/>
      <c r="B64" s="97"/>
      <c r="C64" s="13" t="str">
        <f>C59</f>
        <v xml:space="preserve">Measured, </v>
      </c>
      <c r="D64" s="43"/>
      <c r="E64" s="43"/>
      <c r="F64" s="98"/>
      <c r="G64" s="89"/>
      <c r="H64" s="82"/>
    </row>
    <row r="65" spans="1:8" x14ac:dyDescent="0.4">
      <c r="A65" s="96"/>
      <c r="B65" s="97"/>
      <c r="C65" s="13" t="s">
        <v>186</v>
      </c>
      <c r="D65" s="2">
        <f>(D64-D60)/D60*100</f>
        <v>-100</v>
      </c>
      <c r="E65" s="2">
        <f>(E64-E60)/E60*100</f>
        <v>-100</v>
      </c>
      <c r="F65" s="98"/>
      <c r="G65" s="89"/>
      <c r="H65" s="82"/>
    </row>
    <row r="66" spans="1:8" x14ac:dyDescent="0.4">
      <c r="A66" s="96">
        <v>3700</v>
      </c>
      <c r="B66" s="97"/>
      <c r="C66" s="42" t="s">
        <v>215</v>
      </c>
      <c r="D66" s="43"/>
      <c r="E66" s="43"/>
      <c r="F66" s="98"/>
      <c r="G66" s="89"/>
      <c r="H66" s="82"/>
    </row>
    <row r="67" spans="1:8" x14ac:dyDescent="0.4">
      <c r="A67" s="96"/>
      <c r="B67" s="97"/>
      <c r="C67" s="13" t="s">
        <v>187</v>
      </c>
      <c r="D67" s="2">
        <f>INDEX('Equipment list'!$B$189:$B$220, (MATCH(A66,'Equipment list'!$D$189:$D$220,0)),1)</f>
        <v>37.700000000000003</v>
      </c>
      <c r="E67" s="2">
        <f>INDEX('Equipment list'!$C$189:$C$220, (MATCH(A66,'Equipment list'!$D$189:$D$220,0)),1)</f>
        <v>3.12</v>
      </c>
      <c r="F67" s="98"/>
      <c r="G67" s="89"/>
      <c r="H67" s="82"/>
    </row>
    <row r="68" spans="1:8" x14ac:dyDescent="0.4">
      <c r="A68" s="96"/>
      <c r="B68" s="97"/>
      <c r="C68" s="13" t="s">
        <v>186</v>
      </c>
      <c r="D68" s="2">
        <f>(D66-D67)/D67*100</f>
        <v>-100</v>
      </c>
      <c r="E68" s="2">
        <f>(E66-E67)/E67*100</f>
        <v>-100</v>
      </c>
      <c r="F68" s="98"/>
      <c r="G68" s="89"/>
      <c r="H68" s="82"/>
    </row>
    <row r="69" spans="1:8" x14ac:dyDescent="0.4">
      <c r="A69" s="96"/>
      <c r="B69" s="97"/>
      <c r="C69" s="13" t="str">
        <f>C66</f>
        <v xml:space="preserve">Measured, </v>
      </c>
      <c r="D69" s="43"/>
      <c r="E69" s="43"/>
      <c r="F69" s="98"/>
      <c r="G69" s="89"/>
      <c r="H69" s="82"/>
    </row>
    <row r="70" spans="1:8" x14ac:dyDescent="0.4">
      <c r="A70" s="96"/>
      <c r="B70" s="97"/>
      <c r="C70" s="13" t="s">
        <v>186</v>
      </c>
      <c r="D70" s="2">
        <f>(D69-D67)/D67*100</f>
        <v>-100</v>
      </c>
      <c r="E70" s="2">
        <f>(E69-E67)/E67*100</f>
        <v>-100</v>
      </c>
      <c r="F70" s="98"/>
      <c r="G70" s="89"/>
      <c r="H70" s="82"/>
    </row>
    <row r="71" spans="1:8" x14ac:dyDescent="0.4">
      <c r="A71" s="96"/>
      <c r="B71" s="97"/>
      <c r="C71" s="13" t="str">
        <f>C66</f>
        <v xml:space="preserve">Measured, </v>
      </c>
      <c r="D71" s="43"/>
      <c r="E71" s="43"/>
      <c r="F71" s="98"/>
      <c r="G71" s="89"/>
      <c r="H71" s="82"/>
    </row>
    <row r="72" spans="1:8" x14ac:dyDescent="0.4">
      <c r="A72" s="96"/>
      <c r="B72" s="97"/>
      <c r="C72" s="13" t="s">
        <v>186</v>
      </c>
      <c r="D72" s="2">
        <f>(D71-D67)/D67*100</f>
        <v>-100</v>
      </c>
      <c r="E72" s="2">
        <f>(E71-E67)/E67*100</f>
        <v>-100</v>
      </c>
      <c r="F72" s="98"/>
      <c r="G72" s="90"/>
      <c r="H72" s="82"/>
    </row>
    <row r="73" spans="1:8" x14ac:dyDescent="0.4">
      <c r="A73" s="96">
        <v>5200</v>
      </c>
      <c r="B73" s="97"/>
      <c r="C73" s="42" t="s">
        <v>215</v>
      </c>
      <c r="D73" s="43"/>
      <c r="E73" s="43"/>
      <c r="F73" s="98"/>
      <c r="G73" s="88" t="s">
        <v>268</v>
      </c>
      <c r="H73" s="82"/>
    </row>
    <row r="74" spans="1:8" x14ac:dyDescent="0.4">
      <c r="A74" s="96"/>
      <c r="B74" s="97"/>
      <c r="C74" s="13" t="s">
        <v>187</v>
      </c>
      <c r="D74" s="2">
        <f>INDEX('Equipment list'!$B$189:$B$220, (MATCH(A73,'Equipment list'!$D$189:$D$220,0)),1)</f>
        <v>36</v>
      </c>
      <c r="E74" s="2">
        <f>INDEX('Equipment list'!$C$189:$C$220, (MATCH(A73,'Equipment list'!$D$189:$D$220,0)),1)</f>
        <v>4.66</v>
      </c>
      <c r="F74" s="98"/>
      <c r="G74" s="89"/>
      <c r="H74" s="82"/>
    </row>
    <row r="75" spans="1:8" x14ac:dyDescent="0.4">
      <c r="A75" s="96"/>
      <c r="B75" s="97"/>
      <c r="C75" s="13" t="s">
        <v>186</v>
      </c>
      <c r="D75" s="2">
        <f>(D73-D74)/D74*100</f>
        <v>-100</v>
      </c>
      <c r="E75" s="2">
        <f>(E73-E74)/E74*100</f>
        <v>-100</v>
      </c>
      <c r="F75" s="98"/>
      <c r="G75" s="89"/>
      <c r="H75" s="82"/>
    </row>
    <row r="76" spans="1:8" x14ac:dyDescent="0.4">
      <c r="A76" s="96"/>
      <c r="B76" s="97"/>
      <c r="C76" s="13" t="str">
        <f>C73</f>
        <v xml:space="preserve">Measured, </v>
      </c>
      <c r="D76" s="43"/>
      <c r="E76" s="43"/>
      <c r="F76" s="98"/>
      <c r="G76" s="89"/>
      <c r="H76" s="82"/>
    </row>
    <row r="77" spans="1:8" x14ac:dyDescent="0.4">
      <c r="A77" s="96"/>
      <c r="B77" s="97"/>
      <c r="C77" s="13" t="s">
        <v>186</v>
      </c>
      <c r="D77" s="2">
        <f>(D76-D74)/D74*100</f>
        <v>-100</v>
      </c>
      <c r="E77" s="2">
        <f>(E76-E74)/E74*100</f>
        <v>-100</v>
      </c>
      <c r="F77" s="98"/>
      <c r="G77" s="89"/>
      <c r="H77" s="82"/>
    </row>
    <row r="78" spans="1:8" x14ac:dyDescent="0.4">
      <c r="A78" s="96"/>
      <c r="B78" s="97"/>
      <c r="C78" s="13" t="str">
        <f>C73</f>
        <v xml:space="preserve">Measured, </v>
      </c>
      <c r="D78" s="43"/>
      <c r="E78" s="43"/>
      <c r="F78" s="98"/>
      <c r="G78" s="89"/>
      <c r="H78" s="82"/>
    </row>
    <row r="79" spans="1:8" x14ac:dyDescent="0.4">
      <c r="A79" s="96"/>
      <c r="B79" s="97"/>
      <c r="C79" s="13" t="s">
        <v>186</v>
      </c>
      <c r="D79" s="2">
        <f>(D78-D74)/D74*100</f>
        <v>-100</v>
      </c>
      <c r="E79" s="2">
        <f>(E78-E74)/E74*100</f>
        <v>-100</v>
      </c>
      <c r="F79" s="98"/>
      <c r="G79" s="89"/>
      <c r="H79" s="82"/>
    </row>
    <row r="80" spans="1:8" x14ac:dyDescent="0.4">
      <c r="A80" s="96">
        <v>5300</v>
      </c>
      <c r="B80" s="97"/>
      <c r="C80" s="42" t="s">
        <v>215</v>
      </c>
      <c r="D80" s="43"/>
      <c r="E80" s="43"/>
      <c r="F80" s="98"/>
      <c r="G80" s="89"/>
      <c r="H80" s="82"/>
    </row>
    <row r="81" spans="1:8" x14ac:dyDescent="0.4">
      <c r="A81" s="96"/>
      <c r="B81" s="97"/>
      <c r="C81" s="13" t="s">
        <v>187</v>
      </c>
      <c r="D81" s="2">
        <f>INDEX('Equipment list'!$B$189:$B$220, (MATCH(A80,'Equipment list'!$D$189:$D$220,0)),1)</f>
        <v>35.9</v>
      </c>
      <c r="E81" s="2">
        <f>INDEX('Equipment list'!$C$189:$C$220, (MATCH(A80,'Equipment list'!$D$189:$D$220,0)),1)</f>
        <v>4.76</v>
      </c>
      <c r="F81" s="98"/>
      <c r="G81" s="89"/>
      <c r="H81" s="82"/>
    </row>
    <row r="82" spans="1:8" x14ac:dyDescent="0.4">
      <c r="A82" s="96"/>
      <c r="B82" s="97"/>
      <c r="C82" s="13" t="s">
        <v>186</v>
      </c>
      <c r="D82" s="2">
        <f>(D80-D81)/D81*100</f>
        <v>-100</v>
      </c>
      <c r="E82" s="2">
        <f>(E80-E81)/E81*100</f>
        <v>-100</v>
      </c>
      <c r="F82" s="98"/>
      <c r="G82" s="89"/>
      <c r="H82" s="82"/>
    </row>
    <row r="83" spans="1:8" x14ac:dyDescent="0.4">
      <c r="A83" s="96"/>
      <c r="B83" s="97"/>
      <c r="C83" s="13" t="str">
        <f>C80</f>
        <v xml:space="preserve">Measured, </v>
      </c>
      <c r="D83" s="43"/>
      <c r="E83" s="43"/>
      <c r="F83" s="98"/>
      <c r="G83" s="89"/>
      <c r="H83" s="82"/>
    </row>
    <row r="84" spans="1:8" x14ac:dyDescent="0.4">
      <c r="A84" s="96"/>
      <c r="B84" s="97"/>
      <c r="C84" s="13" t="s">
        <v>186</v>
      </c>
      <c r="D84" s="2">
        <f>(D83-D81)/D81*100</f>
        <v>-100</v>
      </c>
      <c r="E84" s="2">
        <f>(E83-E81)/E81*100</f>
        <v>-100</v>
      </c>
      <c r="F84" s="98"/>
      <c r="G84" s="90"/>
      <c r="H84" s="82"/>
    </row>
    <row r="85" spans="1:8" x14ac:dyDescent="0.4">
      <c r="A85" s="96">
        <v>5600</v>
      </c>
      <c r="B85" s="97"/>
      <c r="C85" s="42" t="s">
        <v>215</v>
      </c>
      <c r="D85" s="43"/>
      <c r="E85" s="43"/>
      <c r="F85" s="98"/>
      <c r="G85" s="95" t="s">
        <v>269</v>
      </c>
      <c r="H85" s="82"/>
    </row>
    <row r="86" spans="1:8" x14ac:dyDescent="0.4">
      <c r="A86" s="96"/>
      <c r="B86" s="97"/>
      <c r="C86" s="13" t="s">
        <v>187</v>
      </c>
      <c r="D86" s="2">
        <f>INDEX('Equipment list'!$B$189:$B$220, (MATCH(A85,'Equipment list'!$D$189:$D$220,0)),1)</f>
        <v>35.5</v>
      </c>
      <c r="E86" s="2">
        <f>INDEX('Equipment list'!$C$189:$C$220, (MATCH(A85,'Equipment list'!$D$189:$D$220,0)),1)</f>
        <v>5.07</v>
      </c>
      <c r="F86" s="98"/>
      <c r="G86" s="95"/>
      <c r="H86" s="82"/>
    </row>
    <row r="87" spans="1:8" x14ac:dyDescent="0.4">
      <c r="A87" s="96"/>
      <c r="B87" s="97"/>
      <c r="C87" s="13" t="s">
        <v>186</v>
      </c>
      <c r="D87" s="2">
        <f>(D85-D86)/D86*100</f>
        <v>-100</v>
      </c>
      <c r="E87" s="2">
        <f>(E85-E86)/E86*100</f>
        <v>-100</v>
      </c>
      <c r="F87" s="98"/>
      <c r="G87" s="95"/>
      <c r="H87" s="82"/>
    </row>
    <row r="88" spans="1:8" x14ac:dyDescent="0.4">
      <c r="A88" s="96"/>
      <c r="B88" s="97"/>
      <c r="C88" s="13" t="str">
        <f>C85</f>
        <v xml:space="preserve">Measured, </v>
      </c>
      <c r="D88" s="43"/>
      <c r="E88" s="43"/>
      <c r="F88" s="98"/>
      <c r="G88" s="95"/>
      <c r="H88" s="82"/>
    </row>
    <row r="89" spans="1:8" x14ac:dyDescent="0.4">
      <c r="A89" s="96"/>
      <c r="B89" s="97"/>
      <c r="C89" s="13" t="s">
        <v>186</v>
      </c>
      <c r="D89" s="2">
        <f>(D88-D86)/D86*100</f>
        <v>-100</v>
      </c>
      <c r="E89" s="2">
        <f>(E88-E86)/E86*100</f>
        <v>-100</v>
      </c>
      <c r="F89" s="98"/>
      <c r="G89" s="95"/>
      <c r="H89" s="82"/>
    </row>
    <row r="90" spans="1:8" x14ac:dyDescent="0.4">
      <c r="A90" s="96"/>
      <c r="B90" s="97"/>
      <c r="C90" s="13" t="str">
        <f>C85</f>
        <v xml:space="preserve">Measured, </v>
      </c>
      <c r="D90" s="43"/>
      <c r="E90" s="43"/>
      <c r="F90" s="98"/>
      <c r="G90" s="95"/>
      <c r="H90" s="82"/>
    </row>
    <row r="91" spans="1:8" x14ac:dyDescent="0.4">
      <c r="A91" s="96"/>
      <c r="B91" s="97"/>
      <c r="C91" s="13" t="s">
        <v>186</v>
      </c>
      <c r="D91" s="2">
        <f>(D90-D86)/D86*100</f>
        <v>-100</v>
      </c>
      <c r="E91" s="2">
        <f>(E90-E86)/E86*100</f>
        <v>-100</v>
      </c>
      <c r="F91" s="98"/>
      <c r="G91" s="95"/>
      <c r="H91" s="82"/>
    </row>
    <row r="92" spans="1:8" x14ac:dyDescent="0.4">
      <c r="A92" s="96">
        <v>5800</v>
      </c>
      <c r="B92" s="97"/>
      <c r="C92" s="42" t="s">
        <v>215</v>
      </c>
      <c r="D92" s="43"/>
      <c r="E92" s="43"/>
      <c r="F92" s="98"/>
      <c r="G92" s="95" t="s">
        <v>270</v>
      </c>
      <c r="H92" s="82"/>
    </row>
    <row r="93" spans="1:8" x14ac:dyDescent="0.4">
      <c r="A93" s="96"/>
      <c r="B93" s="97"/>
      <c r="C93" s="13" t="s">
        <v>187</v>
      </c>
      <c r="D93" s="2">
        <f>INDEX('Equipment list'!$B$189:$B$220, (MATCH(A92,'Equipment list'!$D$189:$D$220,0)),1)</f>
        <v>35.299999999999997</v>
      </c>
      <c r="E93" s="2">
        <f>INDEX('Equipment list'!$C$189:$C$220, (MATCH(A92,'Equipment list'!$D$189:$D$220,0)),1)</f>
        <v>5.27</v>
      </c>
      <c r="F93" s="98"/>
      <c r="G93" s="95"/>
      <c r="H93" s="82"/>
    </row>
    <row r="94" spans="1:8" x14ac:dyDescent="0.4">
      <c r="A94" s="96"/>
      <c r="B94" s="97"/>
      <c r="C94" s="13" t="s">
        <v>186</v>
      </c>
      <c r="D94" s="2">
        <f>(D92-D93)/D93*100</f>
        <v>-100</v>
      </c>
      <c r="E94" s="2">
        <f>(E92-E93)/E93*100</f>
        <v>-100</v>
      </c>
      <c r="F94" s="98"/>
      <c r="G94" s="95"/>
      <c r="H94" s="82"/>
    </row>
    <row r="95" spans="1:8" x14ac:dyDescent="0.4">
      <c r="A95" s="96"/>
      <c r="B95" s="97"/>
      <c r="C95" s="13" t="str">
        <f>C92</f>
        <v xml:space="preserve">Measured, </v>
      </c>
      <c r="D95" s="43"/>
      <c r="E95" s="43"/>
      <c r="F95" s="98"/>
      <c r="G95" s="95"/>
      <c r="H95" s="82"/>
    </row>
    <row r="96" spans="1:8" x14ac:dyDescent="0.4">
      <c r="A96" s="96"/>
      <c r="B96" s="97"/>
      <c r="C96" s="13" t="s">
        <v>186</v>
      </c>
      <c r="D96" s="2">
        <f>(D95-D93)/D93*100</f>
        <v>-100</v>
      </c>
      <c r="E96" s="2">
        <f>(E95-E93)/E93*100</f>
        <v>-100</v>
      </c>
      <c r="F96" s="98"/>
      <c r="G96" s="95"/>
      <c r="H96" s="82"/>
    </row>
    <row r="97" spans="1:8" x14ac:dyDescent="0.4">
      <c r="A97" s="96"/>
      <c r="B97" s="97"/>
      <c r="C97" s="13" t="str">
        <f>C92</f>
        <v xml:space="preserve">Measured, </v>
      </c>
      <c r="D97" s="43"/>
      <c r="E97" s="43"/>
      <c r="F97" s="98"/>
      <c r="G97" s="95"/>
      <c r="H97" s="82"/>
    </row>
    <row r="98" spans="1:8" x14ac:dyDescent="0.4">
      <c r="A98" s="96"/>
      <c r="B98" s="97"/>
      <c r="C98" s="13" t="s">
        <v>186</v>
      </c>
      <c r="D98" s="2">
        <f>(D97-D93)/D93*100</f>
        <v>-100</v>
      </c>
      <c r="E98" s="2">
        <f>(E97-E93)/E93*100</f>
        <v>-100</v>
      </c>
      <c r="F98" s="98"/>
      <c r="G98" s="95"/>
      <c r="H98" s="82"/>
    </row>
    <row r="99" spans="1:8" x14ac:dyDescent="0.4">
      <c r="A99" s="96"/>
      <c r="B99" s="97"/>
      <c r="C99" s="42" t="s">
        <v>215</v>
      </c>
      <c r="D99" s="43"/>
      <c r="E99" s="43"/>
      <c r="F99" s="98"/>
      <c r="G99" s="95"/>
      <c r="H99" s="82"/>
    </row>
    <row r="100" spans="1:8" x14ac:dyDescent="0.4">
      <c r="A100" s="96"/>
      <c r="B100" s="97"/>
      <c r="C100" s="13" t="s">
        <v>187</v>
      </c>
      <c r="D100" s="2" t="e">
        <f>INDEX('Equipment list'!$B$189:$B$220, (MATCH(A99,'Equipment list'!$D$189:$D$220,0)),1)</f>
        <v>#N/A</v>
      </c>
      <c r="E100" s="2" t="e">
        <f>INDEX('Equipment list'!$C$189:$C$220, (MATCH(A99,'Equipment list'!$D$189:$D$220,0)),1)</f>
        <v>#N/A</v>
      </c>
      <c r="F100" s="98"/>
      <c r="G100" s="95"/>
      <c r="H100" s="82"/>
    </row>
    <row r="101" spans="1:8" x14ac:dyDescent="0.4">
      <c r="A101" s="96"/>
      <c r="B101" s="97"/>
      <c r="C101" s="13" t="s">
        <v>186</v>
      </c>
      <c r="D101" s="2" t="e">
        <f>(D99-D100)/D100*100</f>
        <v>#N/A</v>
      </c>
      <c r="E101" s="2" t="e">
        <f>(E99-E100)/E100*100</f>
        <v>#N/A</v>
      </c>
      <c r="F101" s="98"/>
      <c r="G101" s="95"/>
      <c r="H101" s="82"/>
    </row>
    <row r="102" spans="1:8" x14ac:dyDescent="0.4">
      <c r="A102" s="96"/>
      <c r="B102" s="97"/>
      <c r="C102" s="13" t="str">
        <f>C99</f>
        <v xml:space="preserve">Measured, </v>
      </c>
      <c r="D102" s="43"/>
      <c r="E102" s="43"/>
      <c r="F102" s="98"/>
      <c r="G102" s="95"/>
      <c r="H102" s="82"/>
    </row>
    <row r="103" spans="1:8" x14ac:dyDescent="0.4">
      <c r="A103" s="96"/>
      <c r="B103" s="97"/>
      <c r="C103" s="13" t="s">
        <v>186</v>
      </c>
      <c r="D103" s="2" t="e">
        <f>(D102-D100)/D100*100</f>
        <v>#N/A</v>
      </c>
      <c r="E103" s="2" t="e">
        <f>(E102-E100)/E100*100</f>
        <v>#N/A</v>
      </c>
      <c r="F103" s="98"/>
      <c r="G103" s="95"/>
      <c r="H103" s="82"/>
    </row>
    <row r="104" spans="1:8" x14ac:dyDescent="0.4">
      <c r="A104" s="96"/>
      <c r="B104" s="97"/>
      <c r="C104" s="13" t="str">
        <f>C99</f>
        <v xml:space="preserve">Measured, </v>
      </c>
      <c r="D104" s="43"/>
      <c r="E104" s="43"/>
      <c r="F104" s="98"/>
      <c r="G104" s="95"/>
      <c r="H104" s="82"/>
    </row>
    <row r="105" spans="1:8" x14ac:dyDescent="0.4">
      <c r="A105" s="96"/>
      <c r="B105" s="97"/>
      <c r="C105" s="13" t="s">
        <v>186</v>
      </c>
      <c r="D105" s="2" t="e">
        <f>(D104-D100)/D100*100</f>
        <v>#N/A</v>
      </c>
      <c r="E105" s="2" t="e">
        <f>(E104-E100)/E100*100</f>
        <v>#N/A</v>
      </c>
      <c r="F105" s="98"/>
      <c r="G105" s="95"/>
      <c r="H105" s="82"/>
    </row>
    <row r="106" spans="1:8" x14ac:dyDescent="0.4">
      <c r="A106" s="96"/>
      <c r="B106" s="97"/>
      <c r="C106" s="42" t="s">
        <v>215</v>
      </c>
      <c r="D106" s="43"/>
      <c r="E106" s="43"/>
      <c r="F106" s="98"/>
      <c r="G106" s="95"/>
      <c r="H106" s="82"/>
    </row>
    <row r="107" spans="1:8" x14ac:dyDescent="0.4">
      <c r="A107" s="96"/>
      <c r="B107" s="97"/>
      <c r="C107" s="13" t="s">
        <v>187</v>
      </c>
      <c r="D107" s="2" t="e">
        <f>INDEX('Equipment list'!$B$189:$B$220, (MATCH(A106,'Equipment list'!$D$189:$D$220,0)),1)</f>
        <v>#N/A</v>
      </c>
      <c r="E107" s="2" t="e">
        <f>INDEX('Equipment list'!$C$189:$C$220, (MATCH(A106,'Equipment list'!$D$189:$D$220,0)),1)</f>
        <v>#N/A</v>
      </c>
      <c r="F107" s="98"/>
      <c r="G107" s="95"/>
      <c r="H107" s="82"/>
    </row>
    <row r="108" spans="1:8" x14ac:dyDescent="0.4">
      <c r="A108" s="96"/>
      <c r="B108" s="97"/>
      <c r="C108" s="13" t="s">
        <v>186</v>
      </c>
      <c r="D108" s="2" t="e">
        <f>(D106-D107)/D107*100</f>
        <v>#N/A</v>
      </c>
      <c r="E108" s="2" t="e">
        <f>(E106-E107)/E107*100</f>
        <v>#N/A</v>
      </c>
      <c r="F108" s="98"/>
      <c r="G108" s="95"/>
      <c r="H108" s="82"/>
    </row>
    <row r="109" spans="1:8" x14ac:dyDescent="0.4">
      <c r="A109" s="96"/>
      <c r="B109" s="97"/>
      <c r="C109" s="13" t="str">
        <f>C106</f>
        <v xml:space="preserve">Measured, </v>
      </c>
      <c r="D109" s="43"/>
      <c r="E109" s="43"/>
      <c r="F109" s="98"/>
      <c r="G109" s="95"/>
      <c r="H109" s="82"/>
    </row>
    <row r="110" spans="1:8" x14ac:dyDescent="0.4">
      <c r="A110" s="96"/>
      <c r="B110" s="97"/>
      <c r="C110" s="13" t="s">
        <v>186</v>
      </c>
      <c r="D110" s="2" t="e">
        <f>(D109-D107)/D107*100</f>
        <v>#N/A</v>
      </c>
      <c r="E110" s="2" t="e">
        <f>(E109-E107)/E107*100</f>
        <v>#N/A</v>
      </c>
      <c r="F110" s="98"/>
      <c r="G110" s="95"/>
      <c r="H110" s="82"/>
    </row>
    <row r="111" spans="1:8" x14ac:dyDescent="0.4">
      <c r="A111" s="96"/>
      <c r="B111" s="97"/>
      <c r="C111" s="13" t="str">
        <f>C106</f>
        <v xml:space="preserve">Measured, </v>
      </c>
      <c r="D111" s="43"/>
      <c r="E111" s="43"/>
      <c r="F111" s="98"/>
      <c r="G111" s="95"/>
      <c r="H111" s="82"/>
    </row>
    <row r="112" spans="1:8" x14ac:dyDescent="0.4">
      <c r="A112" s="96"/>
      <c r="B112" s="97"/>
      <c r="C112" s="13" t="s">
        <v>186</v>
      </c>
      <c r="D112" s="2" t="e">
        <f>(D111-D107)/D107*100</f>
        <v>#N/A</v>
      </c>
      <c r="E112" s="2" t="e">
        <f>(E111-E107)/E107*100</f>
        <v>#N/A</v>
      </c>
      <c r="F112" s="98"/>
      <c r="G112" s="95"/>
      <c r="H112" s="82"/>
    </row>
    <row r="113" spans="1:8" x14ac:dyDescent="0.4">
      <c r="A113" s="96"/>
      <c r="B113" s="97"/>
      <c r="C113" s="42" t="s">
        <v>215</v>
      </c>
      <c r="D113" s="43"/>
      <c r="E113" s="43"/>
      <c r="F113" s="98"/>
      <c r="G113" s="95"/>
      <c r="H113" s="82"/>
    </row>
    <row r="114" spans="1:8" x14ac:dyDescent="0.4">
      <c r="A114" s="96"/>
      <c r="B114" s="97"/>
      <c r="C114" s="13" t="s">
        <v>187</v>
      </c>
      <c r="D114" s="2" t="e">
        <f>INDEX('Equipment list'!$B$189:$B$220, (MATCH(A113,'Equipment list'!$D$189:$D$220,0)),1)</f>
        <v>#N/A</v>
      </c>
      <c r="E114" s="2" t="e">
        <f>INDEX('Equipment list'!$C$189:$C$220, (MATCH(A113,'Equipment list'!$D$189:$D$220,0)),1)</f>
        <v>#N/A</v>
      </c>
      <c r="F114" s="98"/>
      <c r="G114" s="95"/>
      <c r="H114" s="82"/>
    </row>
    <row r="115" spans="1:8" x14ac:dyDescent="0.4">
      <c r="A115" s="96"/>
      <c r="B115" s="97"/>
      <c r="C115" s="13" t="s">
        <v>186</v>
      </c>
      <c r="D115" s="2" t="e">
        <f>(D113-D114)/D114*100</f>
        <v>#N/A</v>
      </c>
      <c r="E115" s="2" t="e">
        <f>(E113-E114)/E114*100</f>
        <v>#N/A</v>
      </c>
      <c r="F115" s="98"/>
      <c r="G115" s="95"/>
      <c r="H115" s="82"/>
    </row>
    <row r="116" spans="1:8" x14ac:dyDescent="0.4">
      <c r="A116" s="96"/>
      <c r="B116" s="97"/>
      <c r="C116" s="13" t="str">
        <f>C113</f>
        <v xml:space="preserve">Measured, </v>
      </c>
      <c r="D116" s="43"/>
      <c r="E116" s="43"/>
      <c r="F116" s="98"/>
      <c r="G116" s="95"/>
      <c r="H116" s="82"/>
    </row>
    <row r="117" spans="1:8" x14ac:dyDescent="0.4">
      <c r="A117" s="96"/>
      <c r="B117" s="97"/>
      <c r="C117" s="13" t="s">
        <v>186</v>
      </c>
      <c r="D117" s="2" t="e">
        <f>(D116-D114)/D114*100</f>
        <v>#N/A</v>
      </c>
      <c r="E117" s="2" t="e">
        <f>(E116-E114)/E114*100</f>
        <v>#N/A</v>
      </c>
      <c r="F117" s="98"/>
      <c r="G117" s="95"/>
      <c r="H117" s="82"/>
    </row>
    <row r="118" spans="1:8" x14ac:dyDescent="0.4">
      <c r="A118" s="96"/>
      <c r="B118" s="97"/>
      <c r="C118" s="13" t="str">
        <f>C113</f>
        <v xml:space="preserve">Measured, </v>
      </c>
      <c r="D118" s="43"/>
      <c r="E118" s="43"/>
      <c r="F118" s="98"/>
      <c r="G118" s="95"/>
      <c r="H118" s="82"/>
    </row>
    <row r="119" spans="1:8" x14ac:dyDescent="0.4">
      <c r="A119" s="96"/>
      <c r="B119" s="97"/>
      <c r="C119" s="13" t="s">
        <v>186</v>
      </c>
      <c r="D119" s="2" t="e">
        <f>(D118-D114)/D114*100</f>
        <v>#N/A</v>
      </c>
      <c r="E119" s="2" t="e">
        <f>(E118-E114)/E114*100</f>
        <v>#N/A</v>
      </c>
      <c r="F119" s="98"/>
      <c r="G119" s="95"/>
      <c r="H119" s="82"/>
    </row>
    <row r="120" spans="1:8" x14ac:dyDescent="0.4">
      <c r="A120" s="96"/>
      <c r="B120" s="97"/>
      <c r="C120" s="42" t="s">
        <v>215</v>
      </c>
      <c r="D120" s="43"/>
      <c r="E120" s="43"/>
      <c r="F120" s="98"/>
      <c r="G120" s="95"/>
      <c r="H120" s="82"/>
    </row>
    <row r="121" spans="1:8" x14ac:dyDescent="0.4">
      <c r="A121" s="96"/>
      <c r="B121" s="97"/>
      <c r="C121" s="13" t="s">
        <v>187</v>
      </c>
      <c r="D121" s="2" t="e">
        <f>INDEX('Equipment list'!$B$189:$B$220, (MATCH(A120,'Equipment list'!$D$189:$D$220,0)),1)</f>
        <v>#N/A</v>
      </c>
      <c r="E121" s="2" t="e">
        <f>INDEX('Equipment list'!$C$189:$C$220, (MATCH(A120,'Equipment list'!$D$189:$D$220,0)),1)</f>
        <v>#N/A</v>
      </c>
      <c r="F121" s="98"/>
      <c r="G121" s="95"/>
      <c r="H121" s="82"/>
    </row>
    <row r="122" spans="1:8" x14ac:dyDescent="0.4">
      <c r="A122" s="96"/>
      <c r="B122" s="97"/>
      <c r="C122" s="13" t="s">
        <v>186</v>
      </c>
      <c r="D122" s="2" t="e">
        <f>(D120-D121)/D121*100</f>
        <v>#N/A</v>
      </c>
      <c r="E122" s="2" t="e">
        <f>(E120-E121)/E121*100</f>
        <v>#N/A</v>
      </c>
      <c r="F122" s="98"/>
      <c r="G122" s="95"/>
      <c r="H122" s="82"/>
    </row>
    <row r="123" spans="1:8" x14ac:dyDescent="0.4">
      <c r="A123" s="96"/>
      <c r="B123" s="97"/>
      <c r="C123" s="13" t="str">
        <f>C120</f>
        <v xml:space="preserve">Measured, </v>
      </c>
      <c r="D123" s="43"/>
      <c r="E123" s="43"/>
      <c r="F123" s="98"/>
      <c r="G123" s="95"/>
      <c r="H123" s="82"/>
    </row>
    <row r="124" spans="1:8" x14ac:dyDescent="0.4">
      <c r="A124" s="96"/>
      <c r="B124" s="97"/>
      <c r="C124" s="13" t="s">
        <v>186</v>
      </c>
      <c r="D124" s="2" t="e">
        <f>(D123-D121)/D121*100</f>
        <v>#N/A</v>
      </c>
      <c r="E124" s="2" t="e">
        <f>(E123-E121)/E121*100</f>
        <v>#N/A</v>
      </c>
      <c r="F124" s="98"/>
      <c r="G124" s="95"/>
      <c r="H124" s="82"/>
    </row>
    <row r="125" spans="1:8" x14ac:dyDescent="0.4">
      <c r="A125" s="96"/>
      <c r="B125" s="97"/>
      <c r="C125" s="13" t="str">
        <f>C120</f>
        <v xml:space="preserve">Measured, </v>
      </c>
      <c r="D125" s="43"/>
      <c r="E125" s="43"/>
      <c r="F125" s="98"/>
      <c r="G125" s="95"/>
      <c r="H125" s="82"/>
    </row>
    <row r="126" spans="1:8" x14ac:dyDescent="0.4">
      <c r="A126" s="96"/>
      <c r="B126" s="97"/>
      <c r="C126" s="13" t="s">
        <v>186</v>
      </c>
      <c r="D126" s="2" t="e">
        <f>(D125-D121)/D121*100</f>
        <v>#N/A</v>
      </c>
      <c r="E126" s="2" t="e">
        <f>(E125-E121)/E121*100</f>
        <v>#N/A</v>
      </c>
      <c r="F126" s="98"/>
      <c r="G126" s="95"/>
      <c r="H126" s="82"/>
    </row>
    <row r="127" spans="1:8" x14ac:dyDescent="0.4">
      <c r="A127" s="96"/>
      <c r="B127" s="97"/>
      <c r="C127" s="42" t="s">
        <v>215</v>
      </c>
      <c r="D127" s="43"/>
      <c r="E127" s="43"/>
      <c r="F127" s="98"/>
      <c r="G127" s="95"/>
      <c r="H127" s="82"/>
    </row>
    <row r="128" spans="1:8" x14ac:dyDescent="0.4">
      <c r="A128" s="96"/>
      <c r="B128" s="97"/>
      <c r="C128" s="13" t="s">
        <v>187</v>
      </c>
      <c r="D128" s="2" t="e">
        <f>INDEX('Equipment list'!$B$189:$B$220, (MATCH(A127,'Equipment list'!$D$189:$D$220,0)),1)</f>
        <v>#N/A</v>
      </c>
      <c r="E128" s="2" t="e">
        <f>INDEX('Equipment list'!$C$189:$C$220, (MATCH(A127,'Equipment list'!$D$189:$D$220,0)),1)</f>
        <v>#N/A</v>
      </c>
      <c r="F128" s="98"/>
      <c r="G128" s="95"/>
      <c r="H128" s="82"/>
    </row>
    <row r="129" spans="1:8" x14ac:dyDescent="0.4">
      <c r="A129" s="96"/>
      <c r="B129" s="97"/>
      <c r="C129" s="13" t="s">
        <v>186</v>
      </c>
      <c r="D129" s="2" t="e">
        <f>(D127-D128)/D128*100</f>
        <v>#N/A</v>
      </c>
      <c r="E129" s="2" t="e">
        <f>(E127-E128)/E128*100</f>
        <v>#N/A</v>
      </c>
      <c r="F129" s="98"/>
      <c r="G129" s="95"/>
      <c r="H129" s="82"/>
    </row>
    <row r="130" spans="1:8" x14ac:dyDescent="0.4">
      <c r="A130" s="96"/>
      <c r="B130" s="97"/>
      <c r="C130" s="13" t="str">
        <f>C127</f>
        <v xml:space="preserve">Measured, </v>
      </c>
      <c r="D130" s="43"/>
      <c r="E130" s="43"/>
      <c r="F130" s="98"/>
      <c r="G130" s="95"/>
      <c r="H130" s="82"/>
    </row>
    <row r="131" spans="1:8" x14ac:dyDescent="0.4">
      <c r="A131" s="96"/>
      <c r="B131" s="97"/>
      <c r="C131" s="13" t="s">
        <v>186</v>
      </c>
      <c r="D131" s="2" t="e">
        <f>(D130-D128)/D128*100</f>
        <v>#N/A</v>
      </c>
      <c r="E131" s="2" t="e">
        <f>(E130-E128)/E128*100</f>
        <v>#N/A</v>
      </c>
      <c r="F131" s="98"/>
      <c r="G131" s="95"/>
      <c r="H131" s="82"/>
    </row>
    <row r="132" spans="1:8" x14ac:dyDescent="0.4">
      <c r="A132" s="96"/>
      <c r="B132" s="97"/>
      <c r="C132" s="13" t="str">
        <f>C127</f>
        <v xml:space="preserve">Measured, </v>
      </c>
      <c r="D132" s="43"/>
      <c r="E132" s="43"/>
      <c r="F132" s="98"/>
      <c r="G132" s="95"/>
      <c r="H132" s="82"/>
    </row>
    <row r="133" spans="1:8" x14ac:dyDescent="0.4">
      <c r="A133" s="96"/>
      <c r="B133" s="97"/>
      <c r="C133" s="13" t="s">
        <v>186</v>
      </c>
      <c r="D133" s="2" t="e">
        <f>(D132-D128)/D128*100</f>
        <v>#N/A</v>
      </c>
      <c r="E133" s="2" t="e">
        <f>(E132-E128)/E128*100</f>
        <v>#N/A</v>
      </c>
      <c r="F133" s="98"/>
      <c r="G133" s="95"/>
      <c r="H133" s="82"/>
    </row>
    <row r="134" spans="1:8" x14ac:dyDescent="0.4">
      <c r="A134" s="96"/>
      <c r="B134" s="97"/>
      <c r="C134" s="42" t="s">
        <v>215</v>
      </c>
      <c r="D134" s="43"/>
      <c r="E134" s="43"/>
      <c r="F134" s="98"/>
      <c r="G134" s="95"/>
      <c r="H134" s="82"/>
    </row>
    <row r="135" spans="1:8" x14ac:dyDescent="0.4">
      <c r="A135" s="96"/>
      <c r="B135" s="97"/>
      <c r="C135" s="13" t="s">
        <v>187</v>
      </c>
      <c r="D135" s="2" t="e">
        <f>INDEX('Equipment list'!$B$189:$B$220, (MATCH(A134,'Equipment list'!$D$189:$D$220,0)),1)</f>
        <v>#N/A</v>
      </c>
      <c r="E135" s="2" t="e">
        <f>INDEX('Equipment list'!$C$189:$C$220, (MATCH(A134,'Equipment list'!$D$189:$D$220,0)),1)</f>
        <v>#N/A</v>
      </c>
      <c r="F135" s="98"/>
      <c r="G135" s="95"/>
      <c r="H135" s="82"/>
    </row>
    <row r="136" spans="1:8" x14ac:dyDescent="0.4">
      <c r="A136" s="96"/>
      <c r="B136" s="97"/>
      <c r="C136" s="13" t="s">
        <v>186</v>
      </c>
      <c r="D136" s="2" t="e">
        <f>(D134-D135)/D135*100</f>
        <v>#N/A</v>
      </c>
      <c r="E136" s="2" t="e">
        <f>(E134-E135)/E135*100</f>
        <v>#N/A</v>
      </c>
      <c r="F136" s="98"/>
      <c r="G136" s="95"/>
      <c r="H136" s="82"/>
    </row>
    <row r="137" spans="1:8" x14ac:dyDescent="0.4">
      <c r="A137" s="96"/>
      <c r="B137" s="97"/>
      <c r="C137" s="13" t="str">
        <f>C134</f>
        <v xml:space="preserve">Measured, </v>
      </c>
      <c r="D137" s="43"/>
      <c r="E137" s="43"/>
      <c r="F137" s="98"/>
      <c r="G137" s="95"/>
      <c r="H137" s="82"/>
    </row>
    <row r="138" spans="1:8" x14ac:dyDescent="0.4">
      <c r="A138" s="96"/>
      <c r="B138" s="97"/>
      <c r="C138" s="13" t="s">
        <v>186</v>
      </c>
      <c r="D138" s="2" t="e">
        <f>(D137-D135)/D135*100</f>
        <v>#N/A</v>
      </c>
      <c r="E138" s="2" t="e">
        <f>(E137-E135)/E135*100</f>
        <v>#N/A</v>
      </c>
      <c r="F138" s="98"/>
      <c r="G138" s="95"/>
      <c r="H138" s="82"/>
    </row>
    <row r="139" spans="1:8" x14ac:dyDescent="0.4">
      <c r="A139" s="96"/>
      <c r="B139" s="97"/>
      <c r="C139" s="13" t="str">
        <f>C134</f>
        <v xml:space="preserve">Measured, </v>
      </c>
      <c r="D139" s="43"/>
      <c r="E139" s="43"/>
      <c r="F139" s="98"/>
      <c r="G139" s="95"/>
      <c r="H139" s="82"/>
    </row>
    <row r="140" spans="1:8" x14ac:dyDescent="0.4">
      <c r="A140" s="96"/>
      <c r="B140" s="97"/>
      <c r="C140" s="13" t="s">
        <v>186</v>
      </c>
      <c r="D140" s="2" t="e">
        <f>(D139-D135)/D135*100</f>
        <v>#N/A</v>
      </c>
      <c r="E140" s="2" t="e">
        <f>(E139-E135)/E135*100</f>
        <v>#N/A</v>
      </c>
      <c r="F140" s="98"/>
      <c r="G140" s="95"/>
      <c r="H140" s="82"/>
    </row>
    <row r="141" spans="1:8" x14ac:dyDescent="0.4">
      <c r="A141" s="96"/>
      <c r="B141" s="97"/>
      <c r="C141" s="42" t="s">
        <v>215</v>
      </c>
      <c r="D141" s="43"/>
      <c r="E141" s="43"/>
      <c r="F141" s="98"/>
      <c r="G141" s="95"/>
      <c r="H141" s="82"/>
    </row>
    <row r="142" spans="1:8" x14ac:dyDescent="0.4">
      <c r="A142" s="96"/>
      <c r="B142" s="97"/>
      <c r="C142" s="13" t="s">
        <v>187</v>
      </c>
      <c r="D142" s="2" t="e">
        <f>INDEX('Equipment list'!$B$189:$B$220, (MATCH(A141,'Equipment list'!$D$189:$D$220,0)),1)</f>
        <v>#N/A</v>
      </c>
      <c r="E142" s="2" t="e">
        <f>INDEX('Equipment list'!$C$189:$C$220, (MATCH(A141,'Equipment list'!$D$189:$D$220,0)),1)</f>
        <v>#N/A</v>
      </c>
      <c r="F142" s="98"/>
      <c r="G142" s="95"/>
      <c r="H142" s="82"/>
    </row>
    <row r="143" spans="1:8" x14ac:dyDescent="0.4">
      <c r="A143" s="96"/>
      <c r="B143" s="97"/>
      <c r="C143" s="13" t="s">
        <v>186</v>
      </c>
      <c r="D143" s="2" t="e">
        <f>(D141-D142)/D142*100</f>
        <v>#N/A</v>
      </c>
      <c r="E143" s="2" t="e">
        <f>(E141-E142)/E142*100</f>
        <v>#N/A</v>
      </c>
      <c r="F143" s="98"/>
      <c r="G143" s="95"/>
      <c r="H143" s="82"/>
    </row>
    <row r="144" spans="1:8" x14ac:dyDescent="0.4">
      <c r="A144" s="96"/>
      <c r="B144" s="97"/>
      <c r="C144" s="13" t="str">
        <f>C141</f>
        <v xml:space="preserve">Measured, </v>
      </c>
      <c r="D144" s="43"/>
      <c r="E144" s="43"/>
      <c r="F144" s="98"/>
      <c r="G144" s="95"/>
      <c r="H144" s="82"/>
    </row>
    <row r="145" spans="1:8" x14ac:dyDescent="0.4">
      <c r="A145" s="96"/>
      <c r="B145" s="97"/>
      <c r="C145" s="13" t="s">
        <v>186</v>
      </c>
      <c r="D145" s="2" t="e">
        <f>(D144-D142)/D142*100</f>
        <v>#N/A</v>
      </c>
      <c r="E145" s="2" t="e">
        <f>(E144-E142)/E142*100</f>
        <v>#N/A</v>
      </c>
      <c r="F145" s="98"/>
      <c r="G145" s="95"/>
      <c r="H145" s="82"/>
    </row>
    <row r="146" spans="1:8" x14ac:dyDescent="0.4">
      <c r="A146" s="96"/>
      <c r="B146" s="97"/>
      <c r="C146" s="13" t="str">
        <f>C141</f>
        <v xml:space="preserve">Measured, </v>
      </c>
      <c r="D146" s="43"/>
      <c r="E146" s="43"/>
      <c r="F146" s="98"/>
      <c r="G146" s="95"/>
      <c r="H146" s="82"/>
    </row>
    <row r="147" spans="1:8" x14ac:dyDescent="0.4">
      <c r="A147" s="96"/>
      <c r="B147" s="97"/>
      <c r="C147" s="13" t="s">
        <v>186</v>
      </c>
      <c r="D147" s="2" t="e">
        <f>(D146-D142)/D142*100</f>
        <v>#N/A</v>
      </c>
      <c r="E147" s="2" t="e">
        <f>(E146-E142)/E142*100</f>
        <v>#N/A</v>
      </c>
      <c r="F147" s="98"/>
      <c r="G147" s="95"/>
      <c r="H147" s="82"/>
    </row>
    <row r="148" spans="1:8" x14ac:dyDescent="0.4">
      <c r="A148" s="96"/>
      <c r="B148" s="97"/>
      <c r="C148" s="42" t="s">
        <v>215</v>
      </c>
      <c r="D148" s="43"/>
      <c r="E148" s="43"/>
      <c r="F148" s="98"/>
      <c r="G148" s="95"/>
      <c r="H148" s="82"/>
    </row>
    <row r="149" spans="1:8" x14ac:dyDescent="0.4">
      <c r="A149" s="96"/>
      <c r="B149" s="97"/>
      <c r="C149" s="13" t="s">
        <v>187</v>
      </c>
      <c r="D149" s="2" t="e">
        <f>INDEX('Equipment list'!$B$189:$B$220, (MATCH(A148,'Equipment list'!$D$189:$D$220,0)),1)</f>
        <v>#N/A</v>
      </c>
      <c r="E149" s="2" t="e">
        <f>INDEX('Equipment list'!$C$189:$C$220, (MATCH(A148,'Equipment list'!$D$189:$D$220,0)),1)</f>
        <v>#N/A</v>
      </c>
      <c r="F149" s="98"/>
      <c r="G149" s="95"/>
      <c r="H149" s="82"/>
    </row>
    <row r="150" spans="1:8" x14ac:dyDescent="0.4">
      <c r="A150" s="96"/>
      <c r="B150" s="97"/>
      <c r="C150" s="13" t="s">
        <v>186</v>
      </c>
      <c r="D150" s="2" t="e">
        <f>(D148-D149)/D149*100</f>
        <v>#N/A</v>
      </c>
      <c r="E150" s="2" t="e">
        <f>(E148-E149)/E149*100</f>
        <v>#N/A</v>
      </c>
      <c r="F150" s="98"/>
      <c r="G150" s="95"/>
      <c r="H150" s="82"/>
    </row>
    <row r="151" spans="1:8" x14ac:dyDescent="0.4">
      <c r="A151" s="96"/>
      <c r="B151" s="97"/>
      <c r="C151" s="13" t="str">
        <f>C148</f>
        <v xml:space="preserve">Measured, </v>
      </c>
      <c r="D151" s="43"/>
      <c r="E151" s="43"/>
      <c r="F151" s="98"/>
      <c r="G151" s="95"/>
      <c r="H151" s="82"/>
    </row>
    <row r="152" spans="1:8" x14ac:dyDescent="0.4">
      <c r="A152" s="96"/>
      <c r="B152" s="97"/>
      <c r="C152" s="13" t="s">
        <v>186</v>
      </c>
      <c r="D152" s="2" t="e">
        <f>(D151-D149)/D149*100</f>
        <v>#N/A</v>
      </c>
      <c r="E152" s="2" t="e">
        <f>(E151-E149)/E149*100</f>
        <v>#N/A</v>
      </c>
      <c r="F152" s="98"/>
      <c r="G152" s="95"/>
      <c r="H152" s="82"/>
    </row>
    <row r="153" spans="1:8" x14ac:dyDescent="0.4">
      <c r="A153" s="96"/>
      <c r="B153" s="97"/>
      <c r="C153" s="13" t="str">
        <f>C148</f>
        <v xml:space="preserve">Measured, </v>
      </c>
      <c r="D153" s="43"/>
      <c r="E153" s="43"/>
      <c r="F153" s="98"/>
      <c r="G153" s="95"/>
      <c r="H153" s="82"/>
    </row>
    <row r="154" spans="1:8" x14ac:dyDescent="0.4">
      <c r="A154" s="96"/>
      <c r="B154" s="97"/>
      <c r="C154" s="13" t="s">
        <v>186</v>
      </c>
      <c r="D154" s="2" t="e">
        <f>(D153-D149)/D149*100</f>
        <v>#N/A</v>
      </c>
      <c r="E154" s="2" t="e">
        <f>(E153-E149)/E149*100</f>
        <v>#N/A</v>
      </c>
      <c r="F154" s="98"/>
      <c r="G154" s="95"/>
      <c r="H154" s="82"/>
    </row>
    <row r="155" spans="1:8" x14ac:dyDescent="0.4">
      <c r="A155" s="96"/>
      <c r="B155" s="97"/>
      <c r="C155" s="42" t="s">
        <v>215</v>
      </c>
      <c r="D155" s="43"/>
      <c r="E155" s="43"/>
      <c r="F155" s="98"/>
      <c r="G155" s="95"/>
      <c r="H155" s="82"/>
    </row>
    <row r="156" spans="1:8" x14ac:dyDescent="0.4">
      <c r="A156" s="96"/>
      <c r="B156" s="97"/>
      <c r="C156" s="13" t="s">
        <v>187</v>
      </c>
      <c r="D156" s="2" t="e">
        <f>INDEX('Equipment list'!$B$189:$B$220, (MATCH(A155,'Equipment list'!$D$189:$D$220,0)),1)</f>
        <v>#N/A</v>
      </c>
      <c r="E156" s="2" t="e">
        <f>INDEX('Equipment list'!$C$189:$C$220, (MATCH(A155,'Equipment list'!$D$189:$D$220,0)),1)</f>
        <v>#N/A</v>
      </c>
      <c r="F156" s="98"/>
      <c r="G156" s="95"/>
      <c r="H156" s="82"/>
    </row>
    <row r="157" spans="1:8" x14ac:dyDescent="0.4">
      <c r="A157" s="96"/>
      <c r="B157" s="97"/>
      <c r="C157" s="13" t="s">
        <v>186</v>
      </c>
      <c r="D157" s="2" t="e">
        <f>(D155-D156)/D156*100</f>
        <v>#N/A</v>
      </c>
      <c r="E157" s="2" t="e">
        <f>(E155-E156)/E156*100</f>
        <v>#N/A</v>
      </c>
      <c r="F157" s="98"/>
      <c r="G157" s="95"/>
      <c r="H157" s="82"/>
    </row>
    <row r="158" spans="1:8" x14ac:dyDescent="0.4">
      <c r="A158" s="96"/>
      <c r="B158" s="97"/>
      <c r="C158" s="13" t="str">
        <f>C155</f>
        <v xml:space="preserve">Measured, </v>
      </c>
      <c r="D158" s="43"/>
      <c r="E158" s="43"/>
      <c r="F158" s="98"/>
      <c r="G158" s="95"/>
      <c r="H158" s="82"/>
    </row>
    <row r="159" spans="1:8" x14ac:dyDescent="0.4">
      <c r="A159" s="96"/>
      <c r="B159" s="97"/>
      <c r="C159" s="13" t="s">
        <v>186</v>
      </c>
      <c r="D159" s="2" t="e">
        <f>(D158-D156)/D156*100</f>
        <v>#N/A</v>
      </c>
      <c r="E159" s="2" t="e">
        <f>(E158-E156)/E156*100</f>
        <v>#N/A</v>
      </c>
      <c r="F159" s="98"/>
      <c r="G159" s="95"/>
      <c r="H159" s="82"/>
    </row>
    <row r="160" spans="1:8" x14ac:dyDescent="0.4">
      <c r="A160" s="96"/>
      <c r="B160" s="97"/>
      <c r="C160" s="13" t="str">
        <f>C155</f>
        <v xml:space="preserve">Measured, </v>
      </c>
      <c r="D160" s="43"/>
      <c r="E160" s="43"/>
      <c r="F160" s="98"/>
      <c r="G160" s="95"/>
      <c r="H160" s="82"/>
    </row>
    <row r="161" spans="1:8" x14ac:dyDescent="0.4">
      <c r="A161" s="96"/>
      <c r="B161" s="97"/>
      <c r="C161" s="13" t="s">
        <v>186</v>
      </c>
      <c r="D161" s="2" t="e">
        <f>(D160-D156)/D156*100</f>
        <v>#N/A</v>
      </c>
      <c r="E161" s="2" t="e">
        <f>(E160-E156)/E156*100</f>
        <v>#N/A</v>
      </c>
      <c r="F161" s="98"/>
      <c r="G161" s="95"/>
      <c r="H161" s="82"/>
    </row>
    <row r="162" spans="1:8" x14ac:dyDescent="0.4">
      <c r="A162" s="96"/>
      <c r="B162" s="97"/>
      <c r="C162" s="42" t="s">
        <v>215</v>
      </c>
      <c r="D162" s="43"/>
      <c r="E162" s="43"/>
      <c r="F162" s="98"/>
      <c r="G162" s="95"/>
      <c r="H162" s="82"/>
    </row>
    <row r="163" spans="1:8" x14ac:dyDescent="0.4">
      <c r="A163" s="96"/>
      <c r="B163" s="97"/>
      <c r="C163" s="13" t="s">
        <v>187</v>
      </c>
      <c r="D163" s="2" t="e">
        <f>INDEX('Equipment list'!$B$189:$B$220, (MATCH(A162,'Equipment list'!$D$189:$D$220,0)),1)</f>
        <v>#N/A</v>
      </c>
      <c r="E163" s="2" t="e">
        <f>INDEX('Equipment list'!$C$189:$C$220, (MATCH(A162,'Equipment list'!$D$189:$D$220,0)),1)</f>
        <v>#N/A</v>
      </c>
      <c r="F163" s="98"/>
      <c r="G163" s="95"/>
      <c r="H163" s="82"/>
    </row>
    <row r="164" spans="1:8" x14ac:dyDescent="0.4">
      <c r="A164" s="96"/>
      <c r="B164" s="97"/>
      <c r="C164" s="13" t="s">
        <v>186</v>
      </c>
      <c r="D164" s="2" t="e">
        <f>(D162-D163)/D163*100</f>
        <v>#N/A</v>
      </c>
      <c r="E164" s="2" t="e">
        <f>(E162-E163)/E163*100</f>
        <v>#N/A</v>
      </c>
      <c r="F164" s="98"/>
      <c r="G164" s="95"/>
      <c r="H164" s="82"/>
    </row>
    <row r="165" spans="1:8" x14ac:dyDescent="0.4">
      <c r="A165" s="96"/>
      <c r="B165" s="97"/>
      <c r="C165" s="13" t="str">
        <f>C162</f>
        <v xml:space="preserve">Measured, </v>
      </c>
      <c r="D165" s="43"/>
      <c r="E165" s="43"/>
      <c r="F165" s="98"/>
      <c r="G165" s="95"/>
      <c r="H165" s="82"/>
    </row>
    <row r="166" spans="1:8" x14ac:dyDescent="0.4">
      <c r="A166" s="96"/>
      <c r="B166" s="97"/>
      <c r="C166" s="13" t="s">
        <v>186</v>
      </c>
      <c r="D166" s="2" t="e">
        <f>(D165-D163)/D163*100</f>
        <v>#N/A</v>
      </c>
      <c r="E166" s="2" t="e">
        <f>(E165-E163)/E163*100</f>
        <v>#N/A</v>
      </c>
      <c r="F166" s="98"/>
      <c r="G166" s="95"/>
      <c r="H166" s="82"/>
    </row>
    <row r="167" spans="1:8" x14ac:dyDescent="0.4">
      <c r="A167" s="96"/>
      <c r="B167" s="97"/>
      <c r="C167" s="13" t="str">
        <f>C162</f>
        <v xml:space="preserve">Measured, </v>
      </c>
      <c r="D167" s="43"/>
      <c r="E167" s="43"/>
      <c r="F167" s="98"/>
      <c r="G167" s="95"/>
      <c r="H167" s="82"/>
    </row>
    <row r="168" spans="1:8" x14ac:dyDescent="0.4">
      <c r="A168" s="96"/>
      <c r="B168" s="97"/>
      <c r="C168" s="13" t="s">
        <v>186</v>
      </c>
      <c r="D168" s="2" t="e">
        <f>(D167-D163)/D163*100</f>
        <v>#N/A</v>
      </c>
      <c r="E168" s="2" t="e">
        <f>(E167-E163)/E163*100</f>
        <v>#N/A</v>
      </c>
      <c r="F168" s="98"/>
      <c r="G168" s="95"/>
      <c r="H168" s="82"/>
    </row>
    <row r="169" spans="1:8" x14ac:dyDescent="0.4">
      <c r="A169" s="96"/>
      <c r="B169" s="97"/>
      <c r="C169" s="42" t="s">
        <v>215</v>
      </c>
      <c r="D169" s="43"/>
      <c r="E169" s="43"/>
      <c r="F169" s="98"/>
      <c r="G169" s="95"/>
      <c r="H169" s="82"/>
    </row>
    <row r="170" spans="1:8" x14ac:dyDescent="0.4">
      <c r="A170" s="96"/>
      <c r="B170" s="97"/>
      <c r="C170" s="13" t="s">
        <v>187</v>
      </c>
      <c r="D170" s="2" t="e">
        <f>INDEX('Equipment list'!$B$189:$B$220, (MATCH(A169,'Equipment list'!$D$189:$D$220,0)),1)</f>
        <v>#N/A</v>
      </c>
      <c r="E170" s="2" t="e">
        <f>INDEX('Equipment list'!$C$189:$C$220, (MATCH(A169,'Equipment list'!$D$189:$D$220,0)),1)</f>
        <v>#N/A</v>
      </c>
      <c r="F170" s="98"/>
      <c r="G170" s="95"/>
      <c r="H170" s="82"/>
    </row>
    <row r="171" spans="1:8" x14ac:dyDescent="0.4">
      <c r="A171" s="96"/>
      <c r="B171" s="97"/>
      <c r="C171" s="13" t="s">
        <v>186</v>
      </c>
      <c r="D171" s="2" t="e">
        <f>(D169-D170)/D170*100</f>
        <v>#N/A</v>
      </c>
      <c r="E171" s="2" t="e">
        <f>(E169-E170)/E170*100</f>
        <v>#N/A</v>
      </c>
      <c r="F171" s="98"/>
      <c r="G171" s="95"/>
      <c r="H171" s="82"/>
    </row>
    <row r="172" spans="1:8" x14ac:dyDescent="0.4">
      <c r="A172" s="96"/>
      <c r="B172" s="97"/>
      <c r="C172" s="13" t="str">
        <f>C169</f>
        <v xml:space="preserve">Measured, </v>
      </c>
      <c r="D172" s="43"/>
      <c r="E172" s="43"/>
      <c r="F172" s="98"/>
      <c r="G172" s="95"/>
      <c r="H172" s="82"/>
    </row>
    <row r="173" spans="1:8" x14ac:dyDescent="0.4">
      <c r="A173" s="96"/>
      <c r="B173" s="97"/>
      <c r="C173" s="13" t="s">
        <v>186</v>
      </c>
      <c r="D173" s="2" t="e">
        <f>(D172-D170)/D170*100</f>
        <v>#N/A</v>
      </c>
      <c r="E173" s="2" t="e">
        <f>(E172-E170)/E170*100</f>
        <v>#N/A</v>
      </c>
      <c r="F173" s="98"/>
      <c r="G173" s="95"/>
      <c r="H173" s="82"/>
    </row>
    <row r="174" spans="1:8" x14ac:dyDescent="0.4">
      <c r="A174" s="96"/>
      <c r="B174" s="97"/>
      <c r="C174" s="13" t="str">
        <f>C169</f>
        <v xml:space="preserve">Measured, </v>
      </c>
      <c r="D174" s="43"/>
      <c r="E174" s="43"/>
      <c r="F174" s="98"/>
      <c r="G174" s="95"/>
      <c r="H174" s="82"/>
    </row>
    <row r="175" spans="1:8" x14ac:dyDescent="0.4">
      <c r="A175" s="96"/>
      <c r="B175" s="97"/>
      <c r="C175" s="13" t="s">
        <v>186</v>
      </c>
      <c r="D175" s="2" t="e">
        <f>(D174-D170)/D170*100</f>
        <v>#N/A</v>
      </c>
      <c r="E175" s="2" t="e">
        <f>(E174-E170)/E170*100</f>
        <v>#N/A</v>
      </c>
      <c r="F175" s="98"/>
      <c r="G175" s="95"/>
      <c r="H175" s="82"/>
    </row>
    <row r="176" spans="1:8" x14ac:dyDescent="0.4">
      <c r="A176" s="96"/>
      <c r="B176" s="97"/>
      <c r="C176" s="42" t="s">
        <v>215</v>
      </c>
      <c r="D176" s="43"/>
      <c r="E176" s="43"/>
      <c r="F176" s="98"/>
      <c r="G176" s="95"/>
      <c r="H176" s="82"/>
    </row>
    <row r="177" spans="1:8" x14ac:dyDescent="0.4">
      <c r="A177" s="96"/>
      <c r="B177" s="97"/>
      <c r="C177" s="13" t="s">
        <v>187</v>
      </c>
      <c r="D177" s="2" t="e">
        <f>INDEX('Equipment list'!$B$189:$B$220, (MATCH(A176,'Equipment list'!$D$189:$D$220,0)),1)</f>
        <v>#N/A</v>
      </c>
      <c r="E177" s="2" t="e">
        <f>INDEX('Equipment list'!$C$189:$C$220, (MATCH(A176,'Equipment list'!$D$189:$D$220,0)),1)</f>
        <v>#N/A</v>
      </c>
      <c r="F177" s="98"/>
      <c r="G177" s="95"/>
      <c r="H177" s="82"/>
    </row>
    <row r="178" spans="1:8" x14ac:dyDescent="0.4">
      <c r="A178" s="96"/>
      <c r="B178" s="97"/>
      <c r="C178" s="13" t="s">
        <v>186</v>
      </c>
      <c r="D178" s="2" t="e">
        <f>(D176-D177)/D177*100</f>
        <v>#N/A</v>
      </c>
      <c r="E178" s="2" t="e">
        <f>(E176-E177)/E177*100</f>
        <v>#N/A</v>
      </c>
      <c r="F178" s="98"/>
      <c r="G178" s="95"/>
      <c r="H178" s="82"/>
    </row>
    <row r="179" spans="1:8" x14ac:dyDescent="0.4">
      <c r="A179" s="96"/>
      <c r="B179" s="97"/>
      <c r="C179" s="13" t="str">
        <f>C176</f>
        <v xml:space="preserve">Measured, </v>
      </c>
      <c r="D179" s="43"/>
      <c r="E179" s="43"/>
      <c r="F179" s="98"/>
      <c r="G179" s="95"/>
      <c r="H179" s="82"/>
    </row>
    <row r="180" spans="1:8" x14ac:dyDescent="0.4">
      <c r="A180" s="96"/>
      <c r="B180" s="97"/>
      <c r="C180" s="13" t="s">
        <v>186</v>
      </c>
      <c r="D180" s="2" t="e">
        <f>(D179-D177)/D177*100</f>
        <v>#N/A</v>
      </c>
      <c r="E180" s="2" t="e">
        <f>(E179-E177)/E177*100</f>
        <v>#N/A</v>
      </c>
      <c r="F180" s="98"/>
      <c r="G180" s="95"/>
      <c r="H180" s="82"/>
    </row>
    <row r="181" spans="1:8" x14ac:dyDescent="0.4">
      <c r="A181" s="96"/>
      <c r="B181" s="97"/>
      <c r="C181" s="13" t="str">
        <f>C176</f>
        <v xml:space="preserve">Measured, </v>
      </c>
      <c r="D181" s="43"/>
      <c r="E181" s="43"/>
      <c r="F181" s="98"/>
      <c r="G181" s="95"/>
      <c r="H181" s="82"/>
    </row>
    <row r="182" spans="1:8" x14ac:dyDescent="0.4">
      <c r="A182" s="96"/>
      <c r="B182" s="97"/>
      <c r="C182" s="13" t="s">
        <v>186</v>
      </c>
      <c r="D182" s="2" t="e">
        <f>(D181-D177)/D177*100</f>
        <v>#N/A</v>
      </c>
      <c r="E182" s="2" t="e">
        <f>(E181-E177)/E177*100</f>
        <v>#N/A</v>
      </c>
      <c r="F182" s="98"/>
      <c r="G182" s="95"/>
      <c r="H182" s="82"/>
    </row>
    <row r="183" spans="1:8" x14ac:dyDescent="0.4">
      <c r="A183" s="96"/>
      <c r="B183" s="97"/>
      <c r="C183" s="42" t="s">
        <v>215</v>
      </c>
      <c r="D183" s="43"/>
      <c r="E183" s="43"/>
      <c r="F183" s="98"/>
      <c r="G183" s="95"/>
      <c r="H183" s="82"/>
    </row>
    <row r="184" spans="1:8" x14ac:dyDescent="0.4">
      <c r="A184" s="96"/>
      <c r="B184" s="97"/>
      <c r="C184" s="13" t="s">
        <v>187</v>
      </c>
      <c r="D184" s="2" t="e">
        <f>INDEX('Equipment list'!$B$189:$B$220, (MATCH(A183,'Equipment list'!$D$189:$D$220,0)),1)</f>
        <v>#N/A</v>
      </c>
      <c r="E184" s="2" t="e">
        <f>INDEX('Equipment list'!$C$189:$C$220, (MATCH(A183,'Equipment list'!$D$189:$D$220,0)),1)</f>
        <v>#N/A</v>
      </c>
      <c r="F184" s="98"/>
      <c r="G184" s="95"/>
      <c r="H184" s="82"/>
    </row>
    <row r="185" spans="1:8" x14ac:dyDescent="0.4">
      <c r="A185" s="96"/>
      <c r="B185" s="97"/>
      <c r="C185" s="13" t="s">
        <v>186</v>
      </c>
      <c r="D185" s="2" t="e">
        <f>(D183-D184)/D184*100</f>
        <v>#N/A</v>
      </c>
      <c r="E185" s="2" t="e">
        <f>(E183-E184)/E184*100</f>
        <v>#N/A</v>
      </c>
      <c r="F185" s="98"/>
      <c r="G185" s="95"/>
      <c r="H185" s="82"/>
    </row>
    <row r="186" spans="1:8" x14ac:dyDescent="0.4">
      <c r="A186" s="96"/>
      <c r="B186" s="97"/>
      <c r="C186" s="13" t="str">
        <f>C183</f>
        <v xml:space="preserve">Measured, </v>
      </c>
      <c r="D186" s="43"/>
      <c r="E186" s="43"/>
      <c r="F186" s="98"/>
      <c r="G186" s="95"/>
      <c r="H186" s="82"/>
    </row>
    <row r="187" spans="1:8" x14ac:dyDescent="0.4">
      <c r="A187" s="96"/>
      <c r="B187" s="97"/>
      <c r="C187" s="13" t="s">
        <v>186</v>
      </c>
      <c r="D187" s="2" t="e">
        <f>(D186-D184)/D184*100</f>
        <v>#N/A</v>
      </c>
      <c r="E187" s="2" t="e">
        <f>(E186-E184)/E184*100</f>
        <v>#N/A</v>
      </c>
      <c r="F187" s="98"/>
      <c r="G187" s="95"/>
      <c r="H187" s="82"/>
    </row>
    <row r="188" spans="1:8" x14ac:dyDescent="0.4">
      <c r="A188" s="96"/>
      <c r="B188" s="97"/>
      <c r="C188" s="13" t="str">
        <f>C183</f>
        <v xml:space="preserve">Measured, </v>
      </c>
      <c r="D188" s="43"/>
      <c r="E188" s="43"/>
      <c r="F188" s="98"/>
      <c r="G188" s="95"/>
      <c r="H188" s="82"/>
    </row>
    <row r="189" spans="1:8" x14ac:dyDescent="0.4">
      <c r="A189" s="96"/>
      <c r="B189" s="97"/>
      <c r="C189" s="13" t="s">
        <v>186</v>
      </c>
      <c r="D189" s="2" t="e">
        <f>(D188-D184)/D184*100</f>
        <v>#N/A</v>
      </c>
      <c r="E189" s="2" t="e">
        <f>(E188-E184)/E184*100</f>
        <v>#N/A</v>
      </c>
      <c r="F189" s="98"/>
      <c r="G189" s="95"/>
      <c r="H189" s="82"/>
    </row>
    <row r="190" spans="1:8" x14ac:dyDescent="0.4">
      <c r="A190" s="96"/>
      <c r="B190" s="97"/>
      <c r="C190" s="42" t="s">
        <v>215</v>
      </c>
      <c r="D190" s="43"/>
      <c r="E190" s="43"/>
      <c r="F190" s="98"/>
      <c r="G190" s="95"/>
      <c r="H190" s="82"/>
    </row>
    <row r="191" spans="1:8" x14ac:dyDescent="0.4">
      <c r="A191" s="96"/>
      <c r="B191" s="97"/>
      <c r="C191" s="13" t="s">
        <v>187</v>
      </c>
      <c r="D191" s="2" t="e">
        <f>INDEX('Equipment list'!$B$189:$B$220, (MATCH(A190,'Equipment list'!$D$189:$D$220,0)),1)</f>
        <v>#N/A</v>
      </c>
      <c r="E191" s="2" t="e">
        <f>INDEX('Equipment list'!$C$189:$C$220, (MATCH(A190,'Equipment list'!$D$189:$D$220,0)),1)</f>
        <v>#N/A</v>
      </c>
      <c r="F191" s="98"/>
      <c r="G191" s="95"/>
      <c r="H191" s="82"/>
    </row>
    <row r="192" spans="1:8" x14ac:dyDescent="0.4">
      <c r="A192" s="96"/>
      <c r="B192" s="97"/>
      <c r="C192" s="13" t="s">
        <v>186</v>
      </c>
      <c r="D192" s="2" t="e">
        <f>(D190-D191)/D191*100</f>
        <v>#N/A</v>
      </c>
      <c r="E192" s="2" t="e">
        <f>(E190-E191)/E191*100</f>
        <v>#N/A</v>
      </c>
      <c r="F192" s="98"/>
      <c r="G192" s="95"/>
      <c r="H192" s="82"/>
    </row>
    <row r="193" spans="1:8" x14ac:dyDescent="0.4">
      <c r="A193" s="96"/>
      <c r="B193" s="97"/>
      <c r="C193" s="13" t="str">
        <f>C190</f>
        <v xml:space="preserve">Measured, </v>
      </c>
      <c r="D193" s="43"/>
      <c r="E193" s="43"/>
      <c r="F193" s="98"/>
      <c r="G193" s="95"/>
      <c r="H193" s="82"/>
    </row>
    <row r="194" spans="1:8" x14ac:dyDescent="0.4">
      <c r="A194" s="96"/>
      <c r="B194" s="97"/>
      <c r="C194" s="13" t="s">
        <v>186</v>
      </c>
      <c r="D194" s="2" t="e">
        <f>(D193-D191)/D191*100</f>
        <v>#N/A</v>
      </c>
      <c r="E194" s="2" t="e">
        <f>(E193-E191)/E191*100</f>
        <v>#N/A</v>
      </c>
      <c r="F194" s="98"/>
      <c r="G194" s="95"/>
      <c r="H194" s="82"/>
    </row>
    <row r="195" spans="1:8" x14ac:dyDescent="0.4">
      <c r="A195" s="96"/>
      <c r="B195" s="97"/>
      <c r="C195" s="13" t="str">
        <f>C190</f>
        <v xml:space="preserve">Measured, </v>
      </c>
      <c r="D195" s="43"/>
      <c r="E195" s="43"/>
      <c r="F195" s="98"/>
      <c r="G195" s="95"/>
      <c r="H195" s="82"/>
    </row>
    <row r="196" spans="1:8" x14ac:dyDescent="0.4">
      <c r="A196" s="96"/>
      <c r="B196" s="97"/>
      <c r="C196" s="13" t="s">
        <v>186</v>
      </c>
      <c r="D196" s="2" t="e">
        <f>(D195-D191)/D191*100</f>
        <v>#N/A</v>
      </c>
      <c r="E196" s="2" t="e">
        <f>(E195-E191)/E191*100</f>
        <v>#N/A</v>
      </c>
      <c r="F196" s="98"/>
      <c r="G196" s="95"/>
      <c r="H196" s="82"/>
    </row>
    <row r="197" spans="1:8" x14ac:dyDescent="0.4">
      <c r="A197" s="96"/>
      <c r="B197" s="97"/>
      <c r="C197" s="42" t="s">
        <v>215</v>
      </c>
      <c r="D197" s="43"/>
      <c r="E197" s="43"/>
      <c r="F197" s="98"/>
      <c r="G197" s="95"/>
      <c r="H197" s="82"/>
    </row>
    <row r="198" spans="1:8" x14ac:dyDescent="0.4">
      <c r="A198" s="96"/>
      <c r="B198" s="97"/>
      <c r="C198" s="13" t="s">
        <v>187</v>
      </c>
      <c r="D198" s="2" t="e">
        <f>INDEX('Equipment list'!$B$189:$B$220, (MATCH(A197,'Equipment list'!$D$189:$D$220,0)),1)</f>
        <v>#N/A</v>
      </c>
      <c r="E198" s="2" t="e">
        <f>INDEX('Equipment list'!$C$189:$C$220, (MATCH(A197,'Equipment list'!$D$189:$D$220,0)),1)</f>
        <v>#N/A</v>
      </c>
      <c r="F198" s="98"/>
      <c r="G198" s="95"/>
      <c r="H198" s="82"/>
    </row>
    <row r="199" spans="1:8" x14ac:dyDescent="0.4">
      <c r="A199" s="96"/>
      <c r="B199" s="97"/>
      <c r="C199" s="13" t="s">
        <v>186</v>
      </c>
      <c r="D199" s="2" t="e">
        <f>(D197-D198)/D198*100</f>
        <v>#N/A</v>
      </c>
      <c r="E199" s="2" t="e">
        <f>(E197-E198)/E198*100</f>
        <v>#N/A</v>
      </c>
      <c r="F199" s="98"/>
      <c r="G199" s="95"/>
      <c r="H199" s="82"/>
    </row>
    <row r="200" spans="1:8" x14ac:dyDescent="0.4">
      <c r="A200" s="96"/>
      <c r="B200" s="97"/>
      <c r="C200" s="13" t="str">
        <f>C197</f>
        <v xml:space="preserve">Measured, </v>
      </c>
      <c r="D200" s="43"/>
      <c r="E200" s="43"/>
      <c r="F200" s="98"/>
      <c r="G200" s="95"/>
      <c r="H200" s="82"/>
    </row>
    <row r="201" spans="1:8" x14ac:dyDescent="0.4">
      <c r="A201" s="96"/>
      <c r="B201" s="97"/>
      <c r="C201" s="13" t="s">
        <v>186</v>
      </c>
      <c r="D201" s="2" t="e">
        <f>(D200-D198)/D198*100</f>
        <v>#N/A</v>
      </c>
      <c r="E201" s="2" t="e">
        <f>(E200-E198)/E198*100</f>
        <v>#N/A</v>
      </c>
      <c r="F201" s="98"/>
      <c r="G201" s="95"/>
      <c r="H201" s="82"/>
    </row>
    <row r="202" spans="1:8" x14ac:dyDescent="0.4">
      <c r="A202" s="96"/>
      <c r="B202" s="97"/>
      <c r="C202" s="13" t="str">
        <f>C197</f>
        <v xml:space="preserve">Measured, </v>
      </c>
      <c r="D202" s="43"/>
      <c r="E202" s="43"/>
      <c r="F202" s="98"/>
      <c r="G202" s="95"/>
      <c r="H202" s="82"/>
    </row>
    <row r="203" spans="1:8" x14ac:dyDescent="0.4">
      <c r="A203" s="96"/>
      <c r="B203" s="97"/>
      <c r="C203" s="13" t="s">
        <v>186</v>
      </c>
      <c r="D203" s="2" t="e">
        <f>(D202-D198)/D198*100</f>
        <v>#N/A</v>
      </c>
      <c r="E203" s="2" t="e">
        <f>(E202-E198)/E198*100</f>
        <v>#N/A</v>
      </c>
      <c r="F203" s="98"/>
      <c r="G203" s="95"/>
      <c r="H203" s="82"/>
    </row>
    <row r="204" spans="1:8" x14ac:dyDescent="0.4">
      <c r="A204" s="96"/>
      <c r="B204" s="97"/>
      <c r="C204" s="42" t="s">
        <v>215</v>
      </c>
      <c r="D204" s="43"/>
      <c r="E204" s="43"/>
      <c r="F204" s="98"/>
      <c r="G204" s="95"/>
      <c r="H204" s="82"/>
    </row>
    <row r="205" spans="1:8" x14ac:dyDescent="0.4">
      <c r="A205" s="96"/>
      <c r="B205" s="97"/>
      <c r="C205" s="13" t="s">
        <v>187</v>
      </c>
      <c r="D205" s="2" t="e">
        <f>INDEX('Equipment list'!$B$189:$B$220, (MATCH(A204,'Equipment list'!$D$189:$D$220,0)),1)</f>
        <v>#N/A</v>
      </c>
      <c r="E205" s="2" t="e">
        <f>INDEX('Equipment list'!$C$189:$C$220, (MATCH(A204,'Equipment list'!$D$189:$D$220,0)),1)</f>
        <v>#N/A</v>
      </c>
      <c r="F205" s="98"/>
      <c r="G205" s="95"/>
      <c r="H205" s="82"/>
    </row>
    <row r="206" spans="1:8" x14ac:dyDescent="0.4">
      <c r="A206" s="96"/>
      <c r="B206" s="97"/>
      <c r="C206" s="13" t="s">
        <v>186</v>
      </c>
      <c r="D206" s="2" t="e">
        <f>(D204-D205)/D205*100</f>
        <v>#N/A</v>
      </c>
      <c r="E206" s="2" t="e">
        <f>(E204-E205)/E205*100</f>
        <v>#N/A</v>
      </c>
      <c r="F206" s="98"/>
      <c r="G206" s="95"/>
      <c r="H206" s="82"/>
    </row>
    <row r="207" spans="1:8" x14ac:dyDescent="0.4">
      <c r="A207" s="96"/>
      <c r="B207" s="97"/>
      <c r="C207" s="13" t="str">
        <f>C204</f>
        <v xml:space="preserve">Measured, </v>
      </c>
      <c r="D207" s="43"/>
      <c r="E207" s="43"/>
      <c r="F207" s="98"/>
      <c r="G207" s="95"/>
      <c r="H207" s="82"/>
    </row>
    <row r="208" spans="1:8" x14ac:dyDescent="0.4">
      <c r="A208" s="96"/>
      <c r="B208" s="97"/>
      <c r="C208" s="13" t="s">
        <v>186</v>
      </c>
      <c r="D208" s="2" t="e">
        <f>(D207-D205)/D205*100</f>
        <v>#N/A</v>
      </c>
      <c r="E208" s="2" t="e">
        <f>(E207-E205)/E205*100</f>
        <v>#N/A</v>
      </c>
      <c r="F208" s="98"/>
      <c r="G208" s="95"/>
      <c r="H208" s="82"/>
    </row>
    <row r="209" spans="1:8" x14ac:dyDescent="0.4">
      <c r="A209" s="96"/>
      <c r="B209" s="97"/>
      <c r="C209" s="13" t="str">
        <f>C204</f>
        <v xml:space="preserve">Measured, </v>
      </c>
      <c r="D209" s="43"/>
      <c r="E209" s="43"/>
      <c r="F209" s="98"/>
      <c r="G209" s="95"/>
      <c r="H209" s="82"/>
    </row>
    <row r="210" spans="1:8" x14ac:dyDescent="0.4">
      <c r="A210" s="96"/>
      <c r="B210" s="97"/>
      <c r="C210" s="13" t="s">
        <v>186</v>
      </c>
      <c r="D210" s="2" t="e">
        <f>(D209-D205)/D205*100</f>
        <v>#N/A</v>
      </c>
      <c r="E210" s="2" t="e">
        <f>(E209-E205)/E205*100</f>
        <v>#N/A</v>
      </c>
      <c r="F210" s="98"/>
      <c r="G210" s="95"/>
      <c r="H210" s="82"/>
    </row>
    <row r="211" spans="1:8" x14ac:dyDescent="0.4">
      <c r="A211" s="96"/>
      <c r="B211" s="97"/>
      <c r="C211" s="42" t="s">
        <v>215</v>
      </c>
      <c r="D211" s="43"/>
      <c r="E211" s="43"/>
      <c r="F211" s="98"/>
      <c r="G211" s="95"/>
      <c r="H211" s="82"/>
    </row>
    <row r="212" spans="1:8" x14ac:dyDescent="0.4">
      <c r="A212" s="96"/>
      <c r="B212" s="97"/>
      <c r="C212" s="13" t="s">
        <v>187</v>
      </c>
      <c r="D212" s="2" t="e">
        <f>INDEX('Equipment list'!$B$189:$B$220, (MATCH(A211,'Equipment list'!$D$189:$D$220,0)),1)</f>
        <v>#N/A</v>
      </c>
      <c r="E212" s="2" t="e">
        <f>INDEX('Equipment list'!$C$189:$C$220, (MATCH(A211,'Equipment list'!$D$189:$D$220,0)),1)</f>
        <v>#N/A</v>
      </c>
      <c r="F212" s="98"/>
      <c r="G212" s="95"/>
      <c r="H212" s="82"/>
    </row>
    <row r="213" spans="1:8" x14ac:dyDescent="0.4">
      <c r="A213" s="96"/>
      <c r="B213" s="97"/>
      <c r="C213" s="13" t="s">
        <v>186</v>
      </c>
      <c r="D213" s="2" t="e">
        <f>(D211-D212)/D212*100</f>
        <v>#N/A</v>
      </c>
      <c r="E213" s="2" t="e">
        <f>(E211-E212)/E212*100</f>
        <v>#N/A</v>
      </c>
      <c r="F213" s="98"/>
      <c r="G213" s="95"/>
      <c r="H213" s="82"/>
    </row>
    <row r="214" spans="1:8" x14ac:dyDescent="0.4">
      <c r="A214" s="96"/>
      <c r="B214" s="97"/>
      <c r="C214" s="13" t="str">
        <f>C211</f>
        <v xml:space="preserve">Measured, </v>
      </c>
      <c r="D214" s="43"/>
      <c r="E214" s="43"/>
      <c r="F214" s="98"/>
      <c r="G214" s="95"/>
      <c r="H214" s="82"/>
    </row>
    <row r="215" spans="1:8" x14ac:dyDescent="0.4">
      <c r="A215" s="96"/>
      <c r="B215" s="97"/>
      <c r="C215" s="13" t="s">
        <v>186</v>
      </c>
      <c r="D215" s="2" t="e">
        <f>(D214-D212)/D212*100</f>
        <v>#N/A</v>
      </c>
      <c r="E215" s="2" t="e">
        <f>(E214-E212)/E212*100</f>
        <v>#N/A</v>
      </c>
      <c r="F215" s="98"/>
      <c r="G215" s="95"/>
      <c r="H215" s="82"/>
    </row>
    <row r="216" spans="1:8" x14ac:dyDescent="0.4">
      <c r="A216" s="96"/>
      <c r="B216" s="97"/>
      <c r="C216" s="13" t="str">
        <f>C211</f>
        <v xml:space="preserve">Measured, </v>
      </c>
      <c r="D216" s="43"/>
      <c r="E216" s="43"/>
      <c r="F216" s="98"/>
      <c r="G216" s="95"/>
      <c r="H216" s="82"/>
    </row>
    <row r="217" spans="1:8" x14ac:dyDescent="0.4">
      <c r="A217" s="96"/>
      <c r="B217" s="97"/>
      <c r="C217" s="13" t="s">
        <v>186</v>
      </c>
      <c r="D217" s="2" t="e">
        <f>(D216-D212)/D212*100</f>
        <v>#N/A</v>
      </c>
      <c r="E217" s="2" t="e">
        <f>(E216-E212)/E212*100</f>
        <v>#N/A</v>
      </c>
      <c r="F217" s="98"/>
      <c r="G217" s="95"/>
      <c r="H217" s="82"/>
    </row>
    <row r="218" spans="1:8" x14ac:dyDescent="0.4">
      <c r="A218" s="96"/>
      <c r="B218" s="97"/>
      <c r="C218" s="42" t="s">
        <v>215</v>
      </c>
      <c r="D218" s="43"/>
      <c r="E218" s="43"/>
      <c r="F218" s="98"/>
      <c r="G218" s="95"/>
      <c r="H218" s="82"/>
    </row>
    <row r="219" spans="1:8" x14ac:dyDescent="0.4">
      <c r="A219" s="96"/>
      <c r="B219" s="97"/>
      <c r="C219" s="13" t="s">
        <v>187</v>
      </c>
      <c r="D219" s="2" t="e">
        <f>INDEX('Equipment list'!$B$189:$B$220, (MATCH(A218,'Equipment list'!$D$189:$D$220,0)),1)</f>
        <v>#N/A</v>
      </c>
      <c r="E219" s="2" t="e">
        <f>INDEX('Equipment list'!$C$189:$C$220, (MATCH(A218,'Equipment list'!$D$189:$D$220,0)),1)</f>
        <v>#N/A</v>
      </c>
      <c r="F219" s="98"/>
      <c r="G219" s="95"/>
      <c r="H219" s="82"/>
    </row>
    <row r="220" spans="1:8" x14ac:dyDescent="0.4">
      <c r="A220" s="96"/>
      <c r="B220" s="97"/>
      <c r="C220" s="13" t="s">
        <v>186</v>
      </c>
      <c r="D220" s="2" t="e">
        <f>(D218-D219)/D219*100</f>
        <v>#N/A</v>
      </c>
      <c r="E220" s="2" t="e">
        <f>(E218-E219)/E219*100</f>
        <v>#N/A</v>
      </c>
      <c r="F220" s="98"/>
      <c r="G220" s="95"/>
      <c r="H220" s="82"/>
    </row>
    <row r="221" spans="1:8" x14ac:dyDescent="0.4">
      <c r="A221" s="96"/>
      <c r="B221" s="97"/>
      <c r="C221" s="13" t="str">
        <f>C218</f>
        <v xml:space="preserve">Measured, </v>
      </c>
      <c r="D221" s="43"/>
      <c r="E221" s="43"/>
      <c r="F221" s="98"/>
      <c r="G221" s="95"/>
      <c r="H221" s="82"/>
    </row>
    <row r="222" spans="1:8" x14ac:dyDescent="0.4">
      <c r="A222" s="96"/>
      <c r="B222" s="97"/>
      <c r="C222" s="13" t="s">
        <v>186</v>
      </c>
      <c r="D222" s="2" t="e">
        <f>(D221-D219)/D219*100</f>
        <v>#N/A</v>
      </c>
      <c r="E222" s="2" t="e">
        <f>(E221-E219)/E219*100</f>
        <v>#N/A</v>
      </c>
      <c r="F222" s="98"/>
      <c r="G222" s="95"/>
      <c r="H222" s="82"/>
    </row>
    <row r="223" spans="1:8" x14ac:dyDescent="0.4">
      <c r="A223" s="96"/>
      <c r="B223" s="97"/>
      <c r="C223" s="13" t="str">
        <f>C218</f>
        <v xml:space="preserve">Measured, </v>
      </c>
      <c r="D223" s="43"/>
      <c r="E223" s="43"/>
      <c r="F223" s="98"/>
      <c r="G223" s="95"/>
      <c r="H223" s="82"/>
    </row>
    <row r="224" spans="1:8" x14ac:dyDescent="0.4">
      <c r="A224" s="96"/>
      <c r="B224" s="97"/>
      <c r="C224" s="13" t="s">
        <v>186</v>
      </c>
      <c r="D224" s="2" t="e">
        <f>(D223-D219)/D219*100</f>
        <v>#N/A</v>
      </c>
      <c r="E224" s="2" t="e">
        <f>(E223-E219)/E219*100</f>
        <v>#N/A</v>
      </c>
      <c r="F224" s="98"/>
      <c r="G224" s="95"/>
      <c r="H224" s="82"/>
    </row>
    <row r="225" spans="1:8" x14ac:dyDescent="0.4">
      <c r="A225" s="96"/>
      <c r="B225" s="97"/>
      <c r="C225" s="42" t="s">
        <v>215</v>
      </c>
      <c r="D225" s="43"/>
      <c r="E225" s="43"/>
      <c r="F225" s="98"/>
      <c r="G225" s="95"/>
      <c r="H225" s="82"/>
    </row>
    <row r="226" spans="1:8" x14ac:dyDescent="0.4">
      <c r="A226" s="96"/>
      <c r="B226" s="97"/>
      <c r="C226" s="13" t="s">
        <v>187</v>
      </c>
      <c r="D226" s="2" t="e">
        <f>INDEX('Equipment list'!$B$189:$B$220, (MATCH(A225,'Equipment list'!$D$189:$D$220,0)),1)</f>
        <v>#N/A</v>
      </c>
      <c r="E226" s="2" t="e">
        <f>INDEX('Equipment list'!$C$189:$C$220, (MATCH(A225,'Equipment list'!$D$189:$D$220,0)),1)</f>
        <v>#N/A</v>
      </c>
      <c r="F226" s="98"/>
      <c r="G226" s="95"/>
      <c r="H226" s="82"/>
    </row>
    <row r="227" spans="1:8" x14ac:dyDescent="0.4">
      <c r="A227" s="96"/>
      <c r="B227" s="97"/>
      <c r="C227" s="13" t="s">
        <v>186</v>
      </c>
      <c r="D227" s="2" t="e">
        <f>(D225-D226)/D226*100</f>
        <v>#N/A</v>
      </c>
      <c r="E227" s="2" t="e">
        <f>(E225-E226)/E226*100</f>
        <v>#N/A</v>
      </c>
      <c r="F227" s="98"/>
      <c r="G227" s="95"/>
      <c r="H227" s="82"/>
    </row>
    <row r="228" spans="1:8" x14ac:dyDescent="0.4">
      <c r="A228" s="96"/>
      <c r="B228" s="97"/>
      <c r="C228" s="13" t="str">
        <f>C225</f>
        <v xml:space="preserve">Measured, </v>
      </c>
      <c r="D228" s="43"/>
      <c r="E228" s="43"/>
      <c r="F228" s="98"/>
      <c r="G228" s="95"/>
      <c r="H228" s="82"/>
    </row>
    <row r="229" spans="1:8" x14ac:dyDescent="0.4">
      <c r="A229" s="96"/>
      <c r="B229" s="97"/>
      <c r="C229" s="13" t="s">
        <v>186</v>
      </c>
      <c r="D229" s="2" t="e">
        <f>(D228-D226)/D226*100</f>
        <v>#N/A</v>
      </c>
      <c r="E229" s="2" t="e">
        <f>(E228-E226)/E226*100</f>
        <v>#N/A</v>
      </c>
      <c r="F229" s="98"/>
      <c r="G229" s="95"/>
      <c r="H229" s="82"/>
    </row>
    <row r="230" spans="1:8" x14ac:dyDescent="0.4">
      <c r="A230" s="96"/>
      <c r="B230" s="97"/>
      <c r="C230" s="13" t="str">
        <f>C225</f>
        <v xml:space="preserve">Measured, </v>
      </c>
      <c r="D230" s="43"/>
      <c r="E230" s="43"/>
      <c r="F230" s="98"/>
      <c r="G230" s="95"/>
      <c r="H230" s="82"/>
    </row>
    <row r="231" spans="1:8" x14ac:dyDescent="0.4">
      <c r="A231" s="96"/>
      <c r="B231" s="97"/>
      <c r="C231" s="13" t="s">
        <v>186</v>
      </c>
      <c r="D231" s="2" t="e">
        <f>(D230-D226)/D226*100</f>
        <v>#N/A</v>
      </c>
      <c r="E231" s="2" t="e">
        <f>(E230-E226)/E226*100</f>
        <v>#N/A</v>
      </c>
      <c r="F231" s="98"/>
      <c r="G231" s="95"/>
      <c r="H231" s="82"/>
    </row>
    <row r="232" spans="1:8" x14ac:dyDescent="0.4">
      <c r="A232" s="96"/>
      <c r="B232" s="97"/>
      <c r="C232" s="42" t="s">
        <v>215</v>
      </c>
      <c r="D232" s="43"/>
      <c r="E232" s="43"/>
      <c r="F232" s="98"/>
      <c r="G232" s="95"/>
      <c r="H232" s="82"/>
    </row>
    <row r="233" spans="1:8" x14ac:dyDescent="0.4">
      <c r="A233" s="96"/>
      <c r="B233" s="97"/>
      <c r="C233" s="13" t="s">
        <v>187</v>
      </c>
      <c r="D233" s="2" t="e">
        <f>INDEX('Equipment list'!$B$189:$B$220, (MATCH(A232,'Equipment list'!$D$189:$D$220,0)),1)</f>
        <v>#N/A</v>
      </c>
      <c r="E233" s="2" t="e">
        <f>INDEX('Equipment list'!$C$189:$C$220, (MATCH(A232,'Equipment list'!$D$189:$D$220,0)),1)</f>
        <v>#N/A</v>
      </c>
      <c r="F233" s="98"/>
      <c r="G233" s="95"/>
      <c r="H233" s="82"/>
    </row>
    <row r="234" spans="1:8" x14ac:dyDescent="0.4">
      <c r="A234" s="96"/>
      <c r="B234" s="97"/>
      <c r="C234" s="13" t="s">
        <v>186</v>
      </c>
      <c r="D234" s="2" t="e">
        <f>(D232-D233)/D233*100</f>
        <v>#N/A</v>
      </c>
      <c r="E234" s="2" t="e">
        <f>(E232-E233)/E233*100</f>
        <v>#N/A</v>
      </c>
      <c r="F234" s="98"/>
      <c r="G234" s="95"/>
      <c r="H234" s="82"/>
    </row>
    <row r="235" spans="1:8" x14ac:dyDescent="0.4">
      <c r="A235" s="96"/>
      <c r="B235" s="97"/>
      <c r="C235" s="13" t="str">
        <f>C232</f>
        <v xml:space="preserve">Measured, </v>
      </c>
      <c r="D235" s="43"/>
      <c r="E235" s="43"/>
      <c r="F235" s="98"/>
      <c r="G235" s="95"/>
      <c r="H235" s="82"/>
    </row>
    <row r="236" spans="1:8" x14ac:dyDescent="0.4">
      <c r="A236" s="96"/>
      <c r="B236" s="97"/>
      <c r="C236" s="13" t="s">
        <v>186</v>
      </c>
      <c r="D236" s="2" t="e">
        <f>(D235-D233)/D233*100</f>
        <v>#N/A</v>
      </c>
      <c r="E236" s="2" t="e">
        <f>(E235-E233)/E233*100</f>
        <v>#N/A</v>
      </c>
      <c r="F236" s="98"/>
      <c r="G236" s="95"/>
      <c r="H236" s="82"/>
    </row>
    <row r="237" spans="1:8" x14ac:dyDescent="0.4">
      <c r="A237" s="96"/>
      <c r="B237" s="97"/>
      <c r="C237" s="13" t="str">
        <f>C232</f>
        <v xml:space="preserve">Measured, </v>
      </c>
      <c r="D237" s="43"/>
      <c r="E237" s="43"/>
      <c r="F237" s="98"/>
      <c r="G237" s="95"/>
      <c r="H237" s="82"/>
    </row>
    <row r="238" spans="1:8" x14ac:dyDescent="0.4">
      <c r="A238" s="96"/>
      <c r="B238" s="97"/>
      <c r="C238" s="13" t="s">
        <v>186</v>
      </c>
      <c r="D238" s="2" t="e">
        <f>(D237-D233)/D233*100</f>
        <v>#N/A</v>
      </c>
      <c r="E238" s="2" t="e">
        <f>(E237-E233)/E233*100</f>
        <v>#N/A</v>
      </c>
      <c r="F238" s="98"/>
      <c r="G238" s="95"/>
      <c r="H238" s="82"/>
    </row>
    <row r="239" spans="1:8" x14ac:dyDescent="0.4">
      <c r="A239" s="96"/>
      <c r="B239" s="97"/>
      <c r="C239" s="42" t="s">
        <v>215</v>
      </c>
      <c r="D239" s="43"/>
      <c r="E239" s="43"/>
      <c r="F239" s="98"/>
      <c r="G239" s="95"/>
      <c r="H239" s="82"/>
    </row>
    <row r="240" spans="1:8" x14ac:dyDescent="0.4">
      <c r="A240" s="96"/>
      <c r="B240" s="97"/>
      <c r="C240" s="13" t="s">
        <v>187</v>
      </c>
      <c r="D240" s="2" t="e">
        <f>INDEX('Equipment list'!$B$189:$B$220, (MATCH(A239,'Equipment list'!$D$189:$D$220,0)),1)</f>
        <v>#N/A</v>
      </c>
      <c r="E240" s="2" t="e">
        <f>INDEX('Equipment list'!$C$189:$C$220, (MATCH(A239,'Equipment list'!$D$189:$D$220,0)),1)</f>
        <v>#N/A</v>
      </c>
      <c r="F240" s="98"/>
      <c r="G240" s="95"/>
      <c r="H240" s="82"/>
    </row>
    <row r="241" spans="1:8" x14ac:dyDescent="0.4">
      <c r="A241" s="96"/>
      <c r="B241" s="97"/>
      <c r="C241" s="13" t="s">
        <v>186</v>
      </c>
      <c r="D241" s="2" t="e">
        <f>(D239-D240)/D240*100</f>
        <v>#N/A</v>
      </c>
      <c r="E241" s="2" t="e">
        <f>(E239-E240)/E240*100</f>
        <v>#N/A</v>
      </c>
      <c r="F241" s="98"/>
      <c r="G241" s="95"/>
      <c r="H241" s="82"/>
    </row>
    <row r="242" spans="1:8" x14ac:dyDescent="0.4">
      <c r="A242" s="96"/>
      <c r="B242" s="97"/>
      <c r="C242" s="13" t="str">
        <f>C239</f>
        <v xml:space="preserve">Measured, </v>
      </c>
      <c r="D242" s="43"/>
      <c r="E242" s="43"/>
      <c r="F242" s="98"/>
      <c r="G242" s="95"/>
      <c r="H242" s="82"/>
    </row>
    <row r="243" spans="1:8" x14ac:dyDescent="0.4">
      <c r="A243" s="96"/>
      <c r="B243" s="97"/>
      <c r="C243" s="13" t="s">
        <v>186</v>
      </c>
      <c r="D243" s="2" t="e">
        <f>(D242-D240)/D240*100</f>
        <v>#N/A</v>
      </c>
      <c r="E243" s="2" t="e">
        <f>(E242-E240)/E240*100</f>
        <v>#N/A</v>
      </c>
      <c r="F243" s="98"/>
      <c r="G243" s="95"/>
      <c r="H243" s="82"/>
    </row>
    <row r="244" spans="1:8" x14ac:dyDescent="0.4">
      <c r="A244" s="96"/>
      <c r="B244" s="97"/>
      <c r="C244" s="13" t="str">
        <f>C239</f>
        <v xml:space="preserve">Measured, </v>
      </c>
      <c r="D244" s="43"/>
      <c r="E244" s="43"/>
      <c r="F244" s="98"/>
      <c r="G244" s="95"/>
      <c r="H244" s="82"/>
    </row>
    <row r="245" spans="1:8" x14ac:dyDescent="0.4">
      <c r="A245" s="96"/>
      <c r="B245" s="97"/>
      <c r="C245" s="13" t="s">
        <v>186</v>
      </c>
      <c r="D245" s="2" t="e">
        <f>(D244-D240)/D240*100</f>
        <v>#N/A</v>
      </c>
      <c r="E245" s="2" t="e">
        <f>(E244-E240)/E240*100</f>
        <v>#N/A</v>
      </c>
      <c r="F245" s="98"/>
      <c r="G245" s="95"/>
      <c r="H245" s="82"/>
    </row>
    <row r="246" spans="1:8" x14ac:dyDescent="0.4">
      <c r="A246" s="96"/>
      <c r="B246" s="97"/>
      <c r="C246" s="42" t="s">
        <v>215</v>
      </c>
      <c r="D246" s="43"/>
      <c r="E246" s="43"/>
      <c r="F246" s="98"/>
      <c r="G246" s="95"/>
      <c r="H246" s="82"/>
    </row>
    <row r="247" spans="1:8" x14ac:dyDescent="0.4">
      <c r="A247" s="96"/>
      <c r="B247" s="97"/>
      <c r="C247" s="13" t="s">
        <v>187</v>
      </c>
      <c r="D247" s="2" t="e">
        <f>INDEX('Equipment list'!$B$189:$B$220, (MATCH(A246,'Equipment list'!$D$189:$D$220,0)),1)</f>
        <v>#N/A</v>
      </c>
      <c r="E247" s="2" t="e">
        <f>INDEX('Equipment list'!$C$189:$C$220, (MATCH(A246,'Equipment list'!$D$189:$D$220,0)),1)</f>
        <v>#N/A</v>
      </c>
      <c r="F247" s="98"/>
      <c r="G247" s="95"/>
      <c r="H247" s="82"/>
    </row>
    <row r="248" spans="1:8" x14ac:dyDescent="0.4">
      <c r="A248" s="96"/>
      <c r="B248" s="97"/>
      <c r="C248" s="13" t="s">
        <v>186</v>
      </c>
      <c r="D248" s="2" t="e">
        <f>(D246-D247)/D247*100</f>
        <v>#N/A</v>
      </c>
      <c r="E248" s="2" t="e">
        <f>(E246-E247)/E247*100</f>
        <v>#N/A</v>
      </c>
      <c r="F248" s="98"/>
      <c r="G248" s="95"/>
      <c r="H248" s="82"/>
    </row>
    <row r="249" spans="1:8" x14ac:dyDescent="0.4">
      <c r="A249" s="96"/>
      <c r="B249" s="97"/>
      <c r="C249" s="13" t="str">
        <f>C246</f>
        <v xml:space="preserve">Measured, </v>
      </c>
      <c r="D249" s="43"/>
      <c r="E249" s="43"/>
      <c r="F249" s="98"/>
      <c r="G249" s="95"/>
      <c r="H249" s="82"/>
    </row>
    <row r="250" spans="1:8" x14ac:dyDescent="0.4">
      <c r="A250" s="96"/>
      <c r="B250" s="97"/>
      <c r="C250" s="13" t="s">
        <v>186</v>
      </c>
      <c r="D250" s="2" t="e">
        <f>(D249-D247)/D247*100</f>
        <v>#N/A</v>
      </c>
      <c r="E250" s="2" t="e">
        <f>(E249-E247)/E247*100</f>
        <v>#N/A</v>
      </c>
      <c r="F250" s="98"/>
      <c r="G250" s="95"/>
      <c r="H250" s="82"/>
    </row>
    <row r="251" spans="1:8" x14ac:dyDescent="0.4">
      <c r="A251" s="96"/>
      <c r="B251" s="97"/>
      <c r="C251" s="13" t="str">
        <f>C246</f>
        <v xml:space="preserve">Measured, </v>
      </c>
      <c r="D251" s="43"/>
      <c r="E251" s="43"/>
      <c r="F251" s="98"/>
      <c r="G251" s="95"/>
      <c r="H251" s="82"/>
    </row>
    <row r="252" spans="1:8" x14ac:dyDescent="0.4">
      <c r="A252" s="96"/>
      <c r="B252" s="97"/>
      <c r="C252" s="13" t="s">
        <v>186</v>
      </c>
      <c r="D252" s="2" t="e">
        <f>(D251-D247)/D247*100</f>
        <v>#N/A</v>
      </c>
      <c r="E252" s="2" t="e">
        <f>(E251-E247)/E247*100</f>
        <v>#N/A</v>
      </c>
      <c r="F252" s="98"/>
      <c r="G252" s="95"/>
      <c r="H252" s="82"/>
    </row>
    <row r="253" spans="1:8" x14ac:dyDescent="0.4">
      <c r="A253" s="96"/>
      <c r="B253" s="97"/>
      <c r="C253" s="42" t="s">
        <v>215</v>
      </c>
      <c r="D253" s="43"/>
      <c r="E253" s="43"/>
      <c r="F253" s="98"/>
      <c r="G253" s="95"/>
      <c r="H253" s="82"/>
    </row>
    <row r="254" spans="1:8" x14ac:dyDescent="0.4">
      <c r="A254" s="96"/>
      <c r="B254" s="97"/>
      <c r="C254" s="13" t="s">
        <v>187</v>
      </c>
      <c r="D254" s="2" t="e">
        <f>INDEX('Equipment list'!$B$189:$B$220, (MATCH(A253,'Equipment list'!$D$189:$D$220,0)),1)</f>
        <v>#N/A</v>
      </c>
      <c r="E254" s="2" t="e">
        <f>INDEX('Equipment list'!$C$189:$C$220, (MATCH(A253,'Equipment list'!$D$189:$D$220,0)),1)</f>
        <v>#N/A</v>
      </c>
      <c r="F254" s="98"/>
      <c r="G254" s="95"/>
      <c r="H254" s="82"/>
    </row>
    <row r="255" spans="1:8" x14ac:dyDescent="0.4">
      <c r="A255" s="96"/>
      <c r="B255" s="97"/>
      <c r="C255" s="13" t="s">
        <v>186</v>
      </c>
      <c r="D255" s="2" t="e">
        <f>(D253-D254)/D254*100</f>
        <v>#N/A</v>
      </c>
      <c r="E255" s="2" t="e">
        <f>(E253-E254)/E254*100</f>
        <v>#N/A</v>
      </c>
      <c r="F255" s="98"/>
      <c r="G255" s="95"/>
      <c r="H255" s="82"/>
    </row>
    <row r="256" spans="1:8" x14ac:dyDescent="0.4">
      <c r="A256" s="96"/>
      <c r="B256" s="97"/>
      <c r="C256" s="13" t="str">
        <f>C253</f>
        <v xml:space="preserve">Measured, </v>
      </c>
      <c r="D256" s="43"/>
      <c r="E256" s="43"/>
      <c r="F256" s="98"/>
      <c r="G256" s="95"/>
      <c r="H256" s="82"/>
    </row>
    <row r="257" spans="1:8" x14ac:dyDescent="0.4">
      <c r="A257" s="96"/>
      <c r="B257" s="97"/>
      <c r="C257" s="13" t="s">
        <v>186</v>
      </c>
      <c r="D257" s="2" t="e">
        <f>(D256-D254)/D254*100</f>
        <v>#N/A</v>
      </c>
      <c r="E257" s="2" t="e">
        <f>(E256-E254)/E254*100</f>
        <v>#N/A</v>
      </c>
      <c r="F257" s="98"/>
      <c r="G257" s="95"/>
      <c r="H257" s="82"/>
    </row>
    <row r="258" spans="1:8" x14ac:dyDescent="0.4">
      <c r="A258" s="96"/>
      <c r="B258" s="97"/>
      <c r="C258" s="13" t="str">
        <f>C253</f>
        <v xml:space="preserve">Measured, </v>
      </c>
      <c r="D258" s="43"/>
      <c r="E258" s="43"/>
      <c r="F258" s="98"/>
      <c r="G258" s="95"/>
      <c r="H258" s="82"/>
    </row>
    <row r="259" spans="1:8" x14ac:dyDescent="0.4">
      <c r="A259" s="96"/>
      <c r="B259" s="97"/>
      <c r="C259" s="13" t="s">
        <v>186</v>
      </c>
      <c r="D259" s="2" t="e">
        <f>(D258-D254)/D254*100</f>
        <v>#N/A</v>
      </c>
      <c r="E259" s="2" t="e">
        <f>(E258-E254)/E254*100</f>
        <v>#N/A</v>
      </c>
      <c r="F259" s="98"/>
      <c r="G259" s="95"/>
      <c r="H259" s="82"/>
    </row>
    <row r="260" spans="1:8" x14ac:dyDescent="0.4">
      <c r="A260" s="96"/>
      <c r="B260" s="97"/>
      <c r="C260" s="42" t="s">
        <v>215</v>
      </c>
      <c r="D260" s="43"/>
      <c r="E260" s="43"/>
      <c r="F260" s="98"/>
      <c r="G260" s="95"/>
      <c r="H260" s="82"/>
    </row>
    <row r="261" spans="1:8" x14ac:dyDescent="0.4">
      <c r="A261" s="96"/>
      <c r="B261" s="97"/>
      <c r="C261" s="13" t="s">
        <v>187</v>
      </c>
      <c r="D261" s="2" t="e">
        <f>INDEX('Equipment list'!$B$189:$B$220, (MATCH(A260,'Equipment list'!$D$189:$D$220,0)),1)</f>
        <v>#N/A</v>
      </c>
      <c r="E261" s="2" t="e">
        <f>INDEX('Equipment list'!$C$189:$C$220, (MATCH(A260,'Equipment list'!$D$189:$D$220,0)),1)</f>
        <v>#N/A</v>
      </c>
      <c r="F261" s="98"/>
      <c r="G261" s="95"/>
      <c r="H261" s="82"/>
    </row>
    <row r="262" spans="1:8" x14ac:dyDescent="0.4">
      <c r="A262" s="96"/>
      <c r="B262" s="97"/>
      <c r="C262" s="13" t="s">
        <v>186</v>
      </c>
      <c r="D262" s="2" t="e">
        <f>(D260-D261)/D261*100</f>
        <v>#N/A</v>
      </c>
      <c r="E262" s="2" t="e">
        <f>(E260-E261)/E261*100</f>
        <v>#N/A</v>
      </c>
      <c r="F262" s="98"/>
      <c r="G262" s="95"/>
      <c r="H262" s="82"/>
    </row>
    <row r="263" spans="1:8" x14ac:dyDescent="0.4">
      <c r="A263" s="96"/>
      <c r="B263" s="97"/>
      <c r="C263" s="13" t="str">
        <f>C260</f>
        <v xml:space="preserve">Measured, </v>
      </c>
      <c r="D263" s="43"/>
      <c r="E263" s="43"/>
      <c r="F263" s="98"/>
      <c r="G263" s="95"/>
      <c r="H263" s="82"/>
    </row>
    <row r="264" spans="1:8" x14ac:dyDescent="0.4">
      <c r="A264" s="96"/>
      <c r="B264" s="97"/>
      <c r="C264" s="13" t="s">
        <v>186</v>
      </c>
      <c r="D264" s="2" t="e">
        <f>(D263-D261)/D261*100</f>
        <v>#N/A</v>
      </c>
      <c r="E264" s="2" t="e">
        <f>(E263-E261)/E261*100</f>
        <v>#N/A</v>
      </c>
      <c r="F264" s="98"/>
      <c r="G264" s="95"/>
      <c r="H264" s="82"/>
    </row>
    <row r="265" spans="1:8" x14ac:dyDescent="0.4">
      <c r="A265" s="96"/>
      <c r="B265" s="97"/>
      <c r="C265" s="13" t="str">
        <f>C260</f>
        <v xml:space="preserve">Measured, </v>
      </c>
      <c r="D265" s="43"/>
      <c r="E265" s="43"/>
      <c r="F265" s="98"/>
      <c r="G265" s="95"/>
      <c r="H265" s="82"/>
    </row>
    <row r="266" spans="1:8" x14ac:dyDescent="0.4">
      <c r="A266" s="96"/>
      <c r="B266" s="97"/>
      <c r="C266" s="13" t="s">
        <v>186</v>
      </c>
      <c r="D266" s="2" t="e">
        <f>(D265-D261)/D261*100</f>
        <v>#N/A</v>
      </c>
      <c r="E266" s="2" t="e">
        <f>(E265-E261)/E261*100</f>
        <v>#N/A</v>
      </c>
      <c r="F266" s="98"/>
      <c r="G266" s="95"/>
      <c r="H266" s="82"/>
    </row>
    <row r="267" spans="1:8" x14ac:dyDescent="0.4">
      <c r="A267" s="96"/>
      <c r="B267" s="97"/>
      <c r="C267" s="42" t="s">
        <v>215</v>
      </c>
      <c r="D267" s="43"/>
      <c r="E267" s="43"/>
      <c r="F267" s="98"/>
      <c r="G267" s="95"/>
      <c r="H267" s="82"/>
    </row>
    <row r="268" spans="1:8" x14ac:dyDescent="0.4">
      <c r="A268" s="96"/>
      <c r="B268" s="97"/>
      <c r="C268" s="13" t="s">
        <v>187</v>
      </c>
      <c r="D268" s="2" t="e">
        <f>INDEX('Equipment list'!$B$189:$B$220, (MATCH(A267,'Equipment list'!$D$189:$D$220,0)),1)</f>
        <v>#N/A</v>
      </c>
      <c r="E268" s="2" t="e">
        <f>INDEX('Equipment list'!$C$189:$C$220, (MATCH(A267,'Equipment list'!$D$189:$D$220,0)),1)</f>
        <v>#N/A</v>
      </c>
      <c r="F268" s="98"/>
      <c r="G268" s="95"/>
      <c r="H268" s="82"/>
    </row>
    <row r="269" spans="1:8" x14ac:dyDescent="0.4">
      <c r="A269" s="96"/>
      <c r="B269" s="97"/>
      <c r="C269" s="13" t="s">
        <v>186</v>
      </c>
      <c r="D269" s="2" t="e">
        <f>(D267-D268)/D268*100</f>
        <v>#N/A</v>
      </c>
      <c r="E269" s="2" t="e">
        <f>(E267-E268)/E268*100</f>
        <v>#N/A</v>
      </c>
      <c r="F269" s="98"/>
      <c r="G269" s="95"/>
      <c r="H269" s="82"/>
    </row>
    <row r="270" spans="1:8" x14ac:dyDescent="0.4">
      <c r="A270" s="96"/>
      <c r="B270" s="97"/>
      <c r="C270" s="13" t="str">
        <f>C267</f>
        <v xml:space="preserve">Measured, </v>
      </c>
      <c r="D270" s="43"/>
      <c r="E270" s="43"/>
      <c r="F270" s="98"/>
      <c r="G270" s="95"/>
      <c r="H270" s="82"/>
    </row>
    <row r="271" spans="1:8" x14ac:dyDescent="0.4">
      <c r="A271" s="96"/>
      <c r="B271" s="97"/>
      <c r="C271" s="13" t="s">
        <v>186</v>
      </c>
      <c r="D271" s="2" t="e">
        <f>(D270-D268)/D268*100</f>
        <v>#N/A</v>
      </c>
      <c r="E271" s="2" t="e">
        <f>(E270-E268)/E268*100</f>
        <v>#N/A</v>
      </c>
      <c r="F271" s="98"/>
      <c r="G271" s="95"/>
      <c r="H271" s="82"/>
    </row>
    <row r="272" spans="1:8" x14ac:dyDescent="0.4">
      <c r="A272" s="96"/>
      <c r="B272" s="97"/>
      <c r="C272" s="13" t="str">
        <f>C267</f>
        <v xml:space="preserve">Measured, </v>
      </c>
      <c r="D272" s="43"/>
      <c r="E272" s="43"/>
      <c r="F272" s="98"/>
      <c r="G272" s="95"/>
      <c r="H272" s="82"/>
    </row>
    <row r="273" spans="1:8" x14ac:dyDescent="0.4">
      <c r="A273" s="96"/>
      <c r="B273" s="97"/>
      <c r="C273" s="13" t="s">
        <v>186</v>
      </c>
      <c r="D273" s="2" t="e">
        <f>(D272-D268)/D268*100</f>
        <v>#N/A</v>
      </c>
      <c r="E273" s="2" t="e">
        <f>(E272-E268)/E268*100</f>
        <v>#N/A</v>
      </c>
      <c r="F273" s="98"/>
      <c r="G273" s="95"/>
      <c r="H273" s="82"/>
    </row>
    <row r="274" spans="1:8" x14ac:dyDescent="0.4">
      <c r="A274" s="96"/>
      <c r="B274" s="97"/>
      <c r="C274" s="42" t="s">
        <v>215</v>
      </c>
      <c r="D274" s="43"/>
      <c r="E274" s="43"/>
      <c r="F274" s="98"/>
      <c r="G274" s="95"/>
      <c r="H274" s="82"/>
    </row>
    <row r="275" spans="1:8" x14ac:dyDescent="0.4">
      <c r="A275" s="96"/>
      <c r="B275" s="97"/>
      <c r="C275" s="13" t="s">
        <v>187</v>
      </c>
      <c r="D275" s="2" t="e">
        <f>INDEX('Equipment list'!$B$189:$B$220, (MATCH(A274,'Equipment list'!$D$189:$D$220,0)),1)</f>
        <v>#N/A</v>
      </c>
      <c r="E275" s="2" t="e">
        <f>INDEX('Equipment list'!$C$189:$C$220, (MATCH(A274,'Equipment list'!$D$189:$D$220,0)),1)</f>
        <v>#N/A</v>
      </c>
      <c r="F275" s="98"/>
      <c r="G275" s="95"/>
      <c r="H275" s="82"/>
    </row>
    <row r="276" spans="1:8" x14ac:dyDescent="0.4">
      <c r="A276" s="96"/>
      <c r="B276" s="97"/>
      <c r="C276" s="13" t="s">
        <v>186</v>
      </c>
      <c r="D276" s="2" t="e">
        <f>(D274-D275)/D275*100</f>
        <v>#N/A</v>
      </c>
      <c r="E276" s="2" t="e">
        <f>(E274-E275)/E275*100</f>
        <v>#N/A</v>
      </c>
      <c r="F276" s="98"/>
      <c r="G276" s="95"/>
      <c r="H276" s="82"/>
    </row>
    <row r="277" spans="1:8" x14ac:dyDescent="0.4">
      <c r="A277" s="96"/>
      <c r="B277" s="97"/>
      <c r="C277" s="13" t="str">
        <f>C274</f>
        <v xml:space="preserve">Measured, </v>
      </c>
      <c r="D277" s="43"/>
      <c r="E277" s="43"/>
      <c r="F277" s="98"/>
      <c r="G277" s="95"/>
      <c r="H277" s="82"/>
    </row>
    <row r="278" spans="1:8" x14ac:dyDescent="0.4">
      <c r="A278" s="96"/>
      <c r="B278" s="97"/>
      <c r="C278" s="13" t="s">
        <v>186</v>
      </c>
      <c r="D278" s="2" t="e">
        <f>(D277-D275)/D275*100</f>
        <v>#N/A</v>
      </c>
      <c r="E278" s="2" t="e">
        <f>(E277-E275)/E275*100</f>
        <v>#N/A</v>
      </c>
      <c r="F278" s="98"/>
      <c r="G278" s="95"/>
      <c r="H278" s="82"/>
    </row>
    <row r="279" spans="1:8" x14ac:dyDescent="0.4">
      <c r="A279" s="96"/>
      <c r="B279" s="97"/>
      <c r="C279" s="13" t="str">
        <f>C274</f>
        <v xml:space="preserve">Measured, </v>
      </c>
      <c r="D279" s="43"/>
      <c r="E279" s="43"/>
      <c r="F279" s="98"/>
      <c r="G279" s="95"/>
      <c r="H279" s="82"/>
    </row>
    <row r="280" spans="1:8" x14ac:dyDescent="0.4">
      <c r="A280" s="96"/>
      <c r="B280" s="97"/>
      <c r="C280" s="13" t="s">
        <v>186</v>
      </c>
      <c r="D280" s="2" t="e">
        <f>(D279-D275)/D275*100</f>
        <v>#N/A</v>
      </c>
      <c r="E280" s="2" t="e">
        <f>(E279-E275)/E275*100</f>
        <v>#N/A</v>
      </c>
      <c r="F280" s="98"/>
      <c r="G280" s="95"/>
      <c r="H280" s="82"/>
    </row>
    <row r="281" spans="1:8" x14ac:dyDescent="0.4">
      <c r="A281" s="96"/>
      <c r="B281" s="97"/>
      <c r="C281" s="42" t="s">
        <v>215</v>
      </c>
      <c r="D281" s="43"/>
      <c r="E281" s="43"/>
      <c r="F281" s="98"/>
      <c r="G281" s="95"/>
      <c r="H281" s="82"/>
    </row>
    <row r="282" spans="1:8" x14ac:dyDescent="0.4">
      <c r="A282" s="96"/>
      <c r="B282" s="97"/>
      <c r="C282" s="13" t="s">
        <v>187</v>
      </c>
      <c r="D282" s="2" t="e">
        <f>INDEX('Equipment list'!$B$189:$B$220, (MATCH(A281,'Equipment list'!$D$189:$D$220,0)),1)</f>
        <v>#N/A</v>
      </c>
      <c r="E282" s="2" t="e">
        <f>INDEX('Equipment list'!$C$189:$C$220, (MATCH(A281,'Equipment list'!$D$189:$D$220,0)),1)</f>
        <v>#N/A</v>
      </c>
      <c r="F282" s="98"/>
      <c r="G282" s="95"/>
      <c r="H282" s="82"/>
    </row>
    <row r="283" spans="1:8" x14ac:dyDescent="0.4">
      <c r="A283" s="96"/>
      <c r="B283" s="97"/>
      <c r="C283" s="13" t="s">
        <v>186</v>
      </c>
      <c r="D283" s="2" t="e">
        <f>(D281-D282)/D282*100</f>
        <v>#N/A</v>
      </c>
      <c r="E283" s="2" t="e">
        <f>(E281-E282)/E282*100</f>
        <v>#N/A</v>
      </c>
      <c r="F283" s="98"/>
      <c r="G283" s="95"/>
      <c r="H283" s="82"/>
    </row>
    <row r="284" spans="1:8" x14ac:dyDescent="0.4">
      <c r="A284" s="96"/>
      <c r="B284" s="97"/>
      <c r="C284" s="13" t="str">
        <f>C281</f>
        <v xml:space="preserve">Measured, </v>
      </c>
      <c r="D284" s="43"/>
      <c r="E284" s="43"/>
      <c r="F284" s="98"/>
      <c r="G284" s="95"/>
      <c r="H284" s="82"/>
    </row>
    <row r="285" spans="1:8" x14ac:dyDescent="0.4">
      <c r="A285" s="96"/>
      <c r="B285" s="97"/>
      <c r="C285" s="13" t="s">
        <v>186</v>
      </c>
      <c r="D285" s="2" t="e">
        <f>(D284-D282)/D282*100</f>
        <v>#N/A</v>
      </c>
      <c r="E285" s="2" t="e">
        <f>(E284-E282)/E282*100</f>
        <v>#N/A</v>
      </c>
      <c r="F285" s="98"/>
      <c r="G285" s="95"/>
      <c r="H285" s="82"/>
    </row>
    <row r="286" spans="1:8" x14ac:dyDescent="0.4">
      <c r="A286" s="96"/>
      <c r="B286" s="97"/>
      <c r="C286" s="13" t="str">
        <f>C281</f>
        <v xml:space="preserve">Measured, </v>
      </c>
      <c r="D286" s="43"/>
      <c r="E286" s="43"/>
      <c r="F286" s="98"/>
      <c r="G286" s="95"/>
      <c r="H286" s="82"/>
    </row>
    <row r="287" spans="1:8" x14ac:dyDescent="0.4">
      <c r="A287" s="96"/>
      <c r="B287" s="97"/>
      <c r="C287" s="13" t="s">
        <v>186</v>
      </c>
      <c r="D287" s="2" t="e">
        <f>(D286-D282)/D282*100</f>
        <v>#N/A</v>
      </c>
      <c r="E287" s="2" t="e">
        <f>(E286-E282)/E282*100</f>
        <v>#N/A</v>
      </c>
      <c r="F287" s="98"/>
      <c r="G287" s="95"/>
      <c r="H287" s="82"/>
    </row>
    <row r="288" spans="1:8" x14ac:dyDescent="0.4">
      <c r="A288" s="96"/>
      <c r="B288" s="97"/>
      <c r="C288" s="42" t="s">
        <v>215</v>
      </c>
      <c r="D288" s="43"/>
      <c r="E288" s="43"/>
      <c r="F288" s="98"/>
      <c r="G288" s="95"/>
      <c r="H288" s="82"/>
    </row>
    <row r="289" spans="1:8" x14ac:dyDescent="0.4">
      <c r="A289" s="96"/>
      <c r="B289" s="97"/>
      <c r="C289" s="13" t="s">
        <v>187</v>
      </c>
      <c r="D289" s="2" t="e">
        <f>INDEX('Equipment list'!$B$189:$B$220, (MATCH(A288,'Equipment list'!$D$189:$D$220,0)),1)</f>
        <v>#N/A</v>
      </c>
      <c r="E289" s="2" t="e">
        <f>INDEX('Equipment list'!$C$189:$C$220, (MATCH(A288,'Equipment list'!$D$189:$D$220,0)),1)</f>
        <v>#N/A</v>
      </c>
      <c r="F289" s="98"/>
      <c r="G289" s="95"/>
      <c r="H289" s="82"/>
    </row>
    <row r="290" spans="1:8" x14ac:dyDescent="0.4">
      <c r="A290" s="96"/>
      <c r="B290" s="97"/>
      <c r="C290" s="13" t="s">
        <v>186</v>
      </c>
      <c r="D290" s="2" t="e">
        <f>(D288-D289)/D289*100</f>
        <v>#N/A</v>
      </c>
      <c r="E290" s="2" t="e">
        <f>(E288-E289)/E289*100</f>
        <v>#N/A</v>
      </c>
      <c r="F290" s="98"/>
      <c r="G290" s="95"/>
      <c r="H290" s="82"/>
    </row>
    <row r="291" spans="1:8" x14ac:dyDescent="0.4">
      <c r="A291" s="96"/>
      <c r="B291" s="97"/>
      <c r="C291" s="13" t="str">
        <f>C288</f>
        <v xml:space="preserve">Measured, </v>
      </c>
      <c r="D291" s="43"/>
      <c r="E291" s="43"/>
      <c r="F291" s="98"/>
      <c r="G291" s="95"/>
      <c r="H291" s="82"/>
    </row>
    <row r="292" spans="1:8" x14ac:dyDescent="0.4">
      <c r="A292" s="96"/>
      <c r="B292" s="97"/>
      <c r="C292" s="13" t="s">
        <v>186</v>
      </c>
      <c r="D292" s="2" t="e">
        <f>(D291-D289)/D289*100</f>
        <v>#N/A</v>
      </c>
      <c r="E292" s="2" t="e">
        <f>(E291-E289)/E289*100</f>
        <v>#N/A</v>
      </c>
      <c r="F292" s="98"/>
      <c r="G292" s="95"/>
      <c r="H292" s="82"/>
    </row>
    <row r="293" spans="1:8" x14ac:dyDescent="0.4">
      <c r="A293" s="96"/>
      <c r="B293" s="97"/>
      <c r="C293" s="13" t="str">
        <f>C288</f>
        <v xml:space="preserve">Measured, </v>
      </c>
      <c r="D293" s="43"/>
      <c r="E293" s="43"/>
      <c r="F293" s="98"/>
      <c r="G293" s="95"/>
      <c r="H293" s="82"/>
    </row>
    <row r="294" spans="1:8" x14ac:dyDescent="0.4">
      <c r="A294" s="96"/>
      <c r="B294" s="97"/>
      <c r="C294" s="13" t="s">
        <v>186</v>
      </c>
      <c r="D294" s="2" t="e">
        <f>(D293-D289)/D289*100</f>
        <v>#N/A</v>
      </c>
      <c r="E294" s="2" t="e">
        <f>(E293-E289)/E289*100</f>
        <v>#N/A</v>
      </c>
      <c r="F294" s="98"/>
      <c r="G294" s="95"/>
      <c r="H294" s="82"/>
    </row>
    <row r="295" spans="1:8" x14ac:dyDescent="0.4">
      <c r="A295" s="96"/>
      <c r="B295" s="97"/>
      <c r="C295" s="42" t="s">
        <v>215</v>
      </c>
      <c r="D295" s="43"/>
      <c r="E295" s="43"/>
      <c r="F295" s="98"/>
      <c r="G295" s="95"/>
      <c r="H295" s="82"/>
    </row>
    <row r="296" spans="1:8" x14ac:dyDescent="0.4">
      <c r="A296" s="96"/>
      <c r="B296" s="97"/>
      <c r="C296" s="13" t="s">
        <v>187</v>
      </c>
      <c r="D296" s="2" t="e">
        <f>INDEX('Equipment list'!$B$189:$B$220, (MATCH(A295,'Equipment list'!$D$189:$D$220,0)),1)</f>
        <v>#N/A</v>
      </c>
      <c r="E296" s="2" t="e">
        <f>INDEX('Equipment list'!$C$189:$C$220, (MATCH(A295,'Equipment list'!$D$189:$D$220,0)),1)</f>
        <v>#N/A</v>
      </c>
      <c r="F296" s="98"/>
      <c r="G296" s="95"/>
      <c r="H296" s="82"/>
    </row>
    <row r="297" spans="1:8" x14ac:dyDescent="0.4">
      <c r="A297" s="96"/>
      <c r="B297" s="97"/>
      <c r="C297" s="13" t="s">
        <v>186</v>
      </c>
      <c r="D297" s="2" t="e">
        <f>(D295-D296)/D296*100</f>
        <v>#N/A</v>
      </c>
      <c r="E297" s="2" t="e">
        <f>(E295-E296)/E296*100</f>
        <v>#N/A</v>
      </c>
      <c r="F297" s="98"/>
      <c r="G297" s="95"/>
      <c r="H297" s="82"/>
    </row>
    <row r="298" spans="1:8" x14ac:dyDescent="0.4">
      <c r="A298" s="96"/>
      <c r="B298" s="97"/>
      <c r="C298" s="13" t="str">
        <f>C295</f>
        <v xml:space="preserve">Measured, </v>
      </c>
      <c r="D298" s="43"/>
      <c r="E298" s="43"/>
      <c r="F298" s="98"/>
      <c r="G298" s="95"/>
      <c r="H298" s="82"/>
    </row>
    <row r="299" spans="1:8" x14ac:dyDescent="0.4">
      <c r="A299" s="96"/>
      <c r="B299" s="97"/>
      <c r="C299" s="13" t="s">
        <v>186</v>
      </c>
      <c r="D299" s="2" t="e">
        <f>(D298-D296)/D296*100</f>
        <v>#N/A</v>
      </c>
      <c r="E299" s="2" t="e">
        <f>(E298-E296)/E296*100</f>
        <v>#N/A</v>
      </c>
      <c r="F299" s="98"/>
      <c r="G299" s="95"/>
      <c r="H299" s="82"/>
    </row>
    <row r="300" spans="1:8" x14ac:dyDescent="0.4">
      <c r="A300" s="96"/>
      <c r="B300" s="97"/>
      <c r="C300" s="13" t="str">
        <f>C295</f>
        <v xml:space="preserve">Measured, </v>
      </c>
      <c r="D300" s="43"/>
      <c r="E300" s="43"/>
      <c r="F300" s="98"/>
      <c r="G300" s="95"/>
      <c r="H300" s="82"/>
    </row>
    <row r="301" spans="1:8" x14ac:dyDescent="0.4">
      <c r="A301" s="96"/>
      <c r="B301" s="97"/>
      <c r="C301" s="13" t="s">
        <v>186</v>
      </c>
      <c r="D301" s="2" t="e">
        <f>(D300-D296)/D296*100</f>
        <v>#N/A</v>
      </c>
      <c r="E301" s="2" t="e">
        <f>(E300-E296)/E296*100</f>
        <v>#N/A</v>
      </c>
      <c r="F301" s="98"/>
      <c r="G301" s="95"/>
      <c r="H301" s="82"/>
    </row>
    <row r="302" spans="1:8" x14ac:dyDescent="0.4">
      <c r="A302" s="96"/>
      <c r="B302" s="97"/>
      <c r="C302" s="42" t="s">
        <v>215</v>
      </c>
      <c r="D302" s="43"/>
      <c r="E302" s="43"/>
      <c r="F302" s="98"/>
      <c r="G302" s="95"/>
      <c r="H302" s="82"/>
    </row>
    <row r="303" spans="1:8" x14ac:dyDescent="0.4">
      <c r="A303" s="96"/>
      <c r="B303" s="97"/>
      <c r="C303" s="13" t="s">
        <v>187</v>
      </c>
      <c r="D303" s="2" t="e">
        <f>INDEX('Equipment list'!$B$189:$B$220, (MATCH(A302,'Equipment list'!$D$189:$D$220,0)),1)</f>
        <v>#N/A</v>
      </c>
      <c r="E303" s="2" t="e">
        <f>INDEX('Equipment list'!$C$189:$C$220, (MATCH(A302,'Equipment list'!$D$189:$D$220,0)),1)</f>
        <v>#N/A</v>
      </c>
      <c r="F303" s="98"/>
      <c r="G303" s="95"/>
      <c r="H303" s="82"/>
    </row>
    <row r="304" spans="1:8" x14ac:dyDescent="0.4">
      <c r="A304" s="96"/>
      <c r="B304" s="97"/>
      <c r="C304" s="13" t="s">
        <v>186</v>
      </c>
      <c r="D304" s="2" t="e">
        <f>(D302-D303)/D303*100</f>
        <v>#N/A</v>
      </c>
      <c r="E304" s="2" t="e">
        <f>(E302-E303)/E303*100</f>
        <v>#N/A</v>
      </c>
      <c r="F304" s="98"/>
      <c r="G304" s="95"/>
      <c r="H304" s="82"/>
    </row>
    <row r="305" spans="1:8" x14ac:dyDescent="0.4">
      <c r="A305" s="96"/>
      <c r="B305" s="97"/>
      <c r="C305" s="13" t="str">
        <f>C302</f>
        <v xml:space="preserve">Measured, </v>
      </c>
      <c r="D305" s="43"/>
      <c r="E305" s="43"/>
      <c r="F305" s="98"/>
      <c r="G305" s="95"/>
      <c r="H305" s="82"/>
    </row>
    <row r="306" spans="1:8" x14ac:dyDescent="0.4">
      <c r="A306" s="96"/>
      <c r="B306" s="97"/>
      <c r="C306" s="13" t="s">
        <v>186</v>
      </c>
      <c r="D306" s="2" t="e">
        <f>(D305-D303)/D303*100</f>
        <v>#N/A</v>
      </c>
      <c r="E306" s="2" t="e">
        <f>(E305-E303)/E303*100</f>
        <v>#N/A</v>
      </c>
      <c r="F306" s="98"/>
      <c r="G306" s="95"/>
      <c r="H306" s="82"/>
    </row>
    <row r="307" spans="1:8" x14ac:dyDescent="0.4">
      <c r="A307" s="96"/>
      <c r="B307" s="97"/>
      <c r="C307" s="13" t="str">
        <f>C302</f>
        <v xml:space="preserve">Measured, </v>
      </c>
      <c r="D307" s="43"/>
      <c r="E307" s="43"/>
      <c r="F307" s="98"/>
      <c r="G307" s="95"/>
      <c r="H307" s="82"/>
    </row>
    <row r="308" spans="1:8" x14ac:dyDescent="0.4">
      <c r="A308" s="96"/>
      <c r="B308" s="97"/>
      <c r="C308" s="13" t="s">
        <v>186</v>
      </c>
      <c r="D308" s="2" t="e">
        <f>(D307-D303)/D303*100</f>
        <v>#N/A</v>
      </c>
      <c r="E308" s="2" t="e">
        <f>(E307-E303)/E303*100</f>
        <v>#N/A</v>
      </c>
      <c r="F308" s="98"/>
      <c r="G308" s="95"/>
      <c r="H308" s="82"/>
    </row>
    <row r="309" spans="1:8" x14ac:dyDescent="0.4">
      <c r="A309" s="96"/>
      <c r="B309" s="97"/>
      <c r="C309" s="42" t="s">
        <v>215</v>
      </c>
      <c r="D309" s="43"/>
      <c r="E309" s="43"/>
      <c r="F309" s="98"/>
      <c r="G309" s="95"/>
      <c r="H309" s="82"/>
    </row>
    <row r="310" spans="1:8" x14ac:dyDescent="0.4">
      <c r="A310" s="96"/>
      <c r="B310" s="97"/>
      <c r="C310" s="13" t="s">
        <v>187</v>
      </c>
      <c r="D310" s="2" t="e">
        <f>INDEX('Equipment list'!$B$189:$B$220, (MATCH(A309,'Equipment list'!$D$189:$D$220,0)),1)</f>
        <v>#N/A</v>
      </c>
      <c r="E310" s="2" t="e">
        <f>INDEX('Equipment list'!$C$189:$C$220, (MATCH(A309,'Equipment list'!$D$189:$D$220,0)),1)</f>
        <v>#N/A</v>
      </c>
      <c r="F310" s="98"/>
      <c r="G310" s="95"/>
      <c r="H310" s="82"/>
    </row>
    <row r="311" spans="1:8" x14ac:dyDescent="0.4">
      <c r="A311" s="96"/>
      <c r="B311" s="97"/>
      <c r="C311" s="13" t="s">
        <v>186</v>
      </c>
      <c r="D311" s="2" t="e">
        <f>(D309-D310)/D310*100</f>
        <v>#N/A</v>
      </c>
      <c r="E311" s="2" t="e">
        <f>(E309-E310)/E310*100</f>
        <v>#N/A</v>
      </c>
      <c r="F311" s="98"/>
      <c r="G311" s="95"/>
      <c r="H311" s="82"/>
    </row>
    <row r="312" spans="1:8" x14ac:dyDescent="0.4">
      <c r="A312" s="96"/>
      <c r="B312" s="97"/>
      <c r="C312" s="13" t="str">
        <f>C309</f>
        <v xml:space="preserve">Measured, </v>
      </c>
      <c r="D312" s="43"/>
      <c r="E312" s="43"/>
      <c r="F312" s="98"/>
      <c r="G312" s="95"/>
      <c r="H312" s="82"/>
    </row>
    <row r="313" spans="1:8" x14ac:dyDescent="0.4">
      <c r="A313" s="96"/>
      <c r="B313" s="97"/>
      <c r="C313" s="13" t="s">
        <v>186</v>
      </c>
      <c r="D313" s="2" t="e">
        <f>(D312-D310)/D310*100</f>
        <v>#N/A</v>
      </c>
      <c r="E313" s="2" t="e">
        <f>(E312-E310)/E310*100</f>
        <v>#N/A</v>
      </c>
      <c r="F313" s="98"/>
      <c r="G313" s="95"/>
      <c r="H313" s="82"/>
    </row>
    <row r="314" spans="1:8" x14ac:dyDescent="0.4">
      <c r="A314" s="96"/>
      <c r="B314" s="97"/>
      <c r="C314" s="13" t="str">
        <f>C309</f>
        <v xml:space="preserve">Measured, </v>
      </c>
      <c r="D314" s="43"/>
      <c r="E314" s="43"/>
      <c r="F314" s="98"/>
      <c r="G314" s="95"/>
      <c r="H314" s="82"/>
    </row>
    <row r="315" spans="1:8" x14ac:dyDescent="0.4">
      <c r="A315" s="96"/>
      <c r="B315" s="97"/>
      <c r="C315" s="13" t="s">
        <v>186</v>
      </c>
      <c r="D315" s="2" t="e">
        <f>(D314-D310)/D310*100</f>
        <v>#N/A</v>
      </c>
      <c r="E315" s="2" t="e">
        <f>(E314-E310)/E310*100</f>
        <v>#N/A</v>
      </c>
      <c r="F315" s="98"/>
      <c r="G315" s="95"/>
      <c r="H315" s="82"/>
    </row>
    <row r="316" spans="1:8" x14ac:dyDescent="0.4">
      <c r="A316" s="96"/>
      <c r="B316" s="97"/>
      <c r="C316" s="42" t="s">
        <v>215</v>
      </c>
      <c r="D316" s="43"/>
      <c r="E316" s="43"/>
      <c r="F316" s="98"/>
      <c r="G316" s="95"/>
      <c r="H316" s="82"/>
    </row>
    <row r="317" spans="1:8" x14ac:dyDescent="0.4">
      <c r="A317" s="96"/>
      <c r="B317" s="97"/>
      <c r="C317" s="13" t="s">
        <v>187</v>
      </c>
      <c r="D317" s="2" t="e">
        <f>INDEX('Equipment list'!$B$189:$B$220, (MATCH(A316,'Equipment list'!$D$189:$D$220,0)),1)</f>
        <v>#N/A</v>
      </c>
      <c r="E317" s="2" t="e">
        <f>INDEX('Equipment list'!$C$189:$C$220, (MATCH(A316,'Equipment list'!$D$189:$D$220,0)),1)</f>
        <v>#N/A</v>
      </c>
      <c r="F317" s="98"/>
      <c r="G317" s="95"/>
      <c r="H317" s="82"/>
    </row>
    <row r="318" spans="1:8" x14ac:dyDescent="0.4">
      <c r="A318" s="96"/>
      <c r="B318" s="97"/>
      <c r="C318" s="13" t="s">
        <v>186</v>
      </c>
      <c r="D318" s="2" t="e">
        <f>(D316-D317)/D317*100</f>
        <v>#N/A</v>
      </c>
      <c r="E318" s="2" t="e">
        <f>(E316-E317)/E317*100</f>
        <v>#N/A</v>
      </c>
      <c r="F318" s="98"/>
      <c r="G318" s="95"/>
      <c r="H318" s="82"/>
    </row>
    <row r="319" spans="1:8" x14ac:dyDescent="0.4">
      <c r="A319" s="96"/>
      <c r="B319" s="97"/>
      <c r="C319" s="13" t="str">
        <f>C316</f>
        <v xml:space="preserve">Measured, </v>
      </c>
      <c r="D319" s="43"/>
      <c r="E319" s="43"/>
      <c r="F319" s="98"/>
      <c r="G319" s="95"/>
      <c r="H319" s="82"/>
    </row>
    <row r="320" spans="1:8" x14ac:dyDescent="0.4">
      <c r="A320" s="96"/>
      <c r="B320" s="97"/>
      <c r="C320" s="13" t="s">
        <v>186</v>
      </c>
      <c r="D320" s="2" t="e">
        <f>(D319-D317)/D317*100</f>
        <v>#N/A</v>
      </c>
      <c r="E320" s="2" t="e">
        <f>(E319-E317)/E317*100</f>
        <v>#N/A</v>
      </c>
      <c r="F320" s="98"/>
      <c r="G320" s="95"/>
      <c r="H320" s="82"/>
    </row>
    <row r="321" spans="1:8" x14ac:dyDescent="0.4">
      <c r="A321" s="96"/>
      <c r="B321" s="97"/>
      <c r="C321" s="13" t="str">
        <f>C316</f>
        <v xml:space="preserve">Measured, </v>
      </c>
      <c r="D321" s="43"/>
      <c r="E321" s="43"/>
      <c r="F321" s="98"/>
      <c r="G321" s="95"/>
      <c r="H321" s="82"/>
    </row>
    <row r="322" spans="1:8" x14ac:dyDescent="0.4">
      <c r="A322" s="96"/>
      <c r="B322" s="97"/>
      <c r="C322" s="13" t="s">
        <v>186</v>
      </c>
      <c r="D322" s="2" t="e">
        <f>(D321-D317)/D317*100</f>
        <v>#N/A</v>
      </c>
      <c r="E322" s="2" t="e">
        <f>(E321-E317)/E317*100</f>
        <v>#N/A</v>
      </c>
      <c r="F322" s="98"/>
      <c r="G322" s="95"/>
      <c r="H322" s="82"/>
    </row>
    <row r="323" spans="1:8" x14ac:dyDescent="0.4">
      <c r="A323" s="96"/>
      <c r="B323" s="97"/>
      <c r="C323" s="42" t="s">
        <v>215</v>
      </c>
      <c r="D323" s="43"/>
      <c r="E323" s="43"/>
      <c r="F323" s="98"/>
      <c r="G323" s="95"/>
      <c r="H323" s="82"/>
    </row>
    <row r="324" spans="1:8" x14ac:dyDescent="0.4">
      <c r="A324" s="96"/>
      <c r="B324" s="97"/>
      <c r="C324" s="13" t="s">
        <v>187</v>
      </c>
      <c r="D324" s="2" t="e">
        <f>INDEX('Equipment list'!$B$189:$B$220, (MATCH(A323,'Equipment list'!$D$189:$D$220,0)),1)</f>
        <v>#N/A</v>
      </c>
      <c r="E324" s="2" t="e">
        <f>INDEX('Equipment list'!$C$189:$C$220, (MATCH(A323,'Equipment list'!$D$189:$D$220,0)),1)</f>
        <v>#N/A</v>
      </c>
      <c r="F324" s="98"/>
      <c r="G324" s="95"/>
      <c r="H324" s="82"/>
    </row>
    <row r="325" spans="1:8" x14ac:dyDescent="0.4">
      <c r="A325" s="96"/>
      <c r="B325" s="97"/>
      <c r="C325" s="13" t="s">
        <v>186</v>
      </c>
      <c r="D325" s="2" t="e">
        <f>(D323-D324)/D324*100</f>
        <v>#N/A</v>
      </c>
      <c r="E325" s="2" t="e">
        <f>(E323-E324)/E324*100</f>
        <v>#N/A</v>
      </c>
      <c r="F325" s="98"/>
      <c r="G325" s="95"/>
      <c r="H325" s="82"/>
    </row>
    <row r="326" spans="1:8" x14ac:dyDescent="0.4">
      <c r="A326" s="96"/>
      <c r="B326" s="97"/>
      <c r="C326" s="13" t="str">
        <f>C323</f>
        <v xml:space="preserve">Measured, </v>
      </c>
      <c r="D326" s="43"/>
      <c r="E326" s="43"/>
      <c r="F326" s="98"/>
      <c r="G326" s="95"/>
      <c r="H326" s="82"/>
    </row>
    <row r="327" spans="1:8" x14ac:dyDescent="0.4">
      <c r="A327" s="96"/>
      <c r="B327" s="97"/>
      <c r="C327" s="13" t="s">
        <v>186</v>
      </c>
      <c r="D327" s="2" t="e">
        <f>(D326-D324)/D324*100</f>
        <v>#N/A</v>
      </c>
      <c r="E327" s="2" t="e">
        <f>(E326-E324)/E324*100</f>
        <v>#N/A</v>
      </c>
      <c r="F327" s="98"/>
      <c r="G327" s="95"/>
      <c r="H327" s="82"/>
    </row>
    <row r="328" spans="1:8" x14ac:dyDescent="0.4">
      <c r="A328" s="96"/>
      <c r="B328" s="97"/>
      <c r="C328" s="13" t="str">
        <f>C323</f>
        <v xml:space="preserve">Measured, </v>
      </c>
      <c r="D328" s="43"/>
      <c r="E328" s="43"/>
      <c r="F328" s="98"/>
      <c r="G328" s="95"/>
      <c r="H328" s="82"/>
    </row>
    <row r="329" spans="1:8" x14ac:dyDescent="0.4">
      <c r="A329" s="96"/>
      <c r="B329" s="97"/>
      <c r="C329" s="13" t="s">
        <v>186</v>
      </c>
      <c r="D329" s="2" t="e">
        <f>(D328-D324)/D324*100</f>
        <v>#N/A</v>
      </c>
      <c r="E329" s="2" t="e">
        <f>(E328-E324)/E324*100</f>
        <v>#N/A</v>
      </c>
      <c r="F329" s="98"/>
      <c r="G329" s="95"/>
      <c r="H329" s="82"/>
    </row>
    <row r="330" spans="1:8" x14ac:dyDescent="0.4">
      <c r="A330" s="96"/>
      <c r="B330" s="97"/>
      <c r="C330" s="42" t="s">
        <v>215</v>
      </c>
      <c r="D330" s="43"/>
      <c r="E330" s="43"/>
      <c r="F330" s="98"/>
      <c r="G330" s="95"/>
      <c r="H330" s="82"/>
    </row>
    <row r="331" spans="1:8" x14ac:dyDescent="0.4">
      <c r="A331" s="96"/>
      <c r="B331" s="97"/>
      <c r="C331" s="13" t="s">
        <v>187</v>
      </c>
      <c r="D331" s="2" t="e">
        <f>INDEX('Equipment list'!$B$189:$B$220, (MATCH(A330,'Equipment list'!$D$189:$D$220,0)),1)</f>
        <v>#N/A</v>
      </c>
      <c r="E331" s="2" t="e">
        <f>INDEX('Equipment list'!$C$189:$C$220, (MATCH(A330,'Equipment list'!$D$189:$D$220,0)),1)</f>
        <v>#N/A</v>
      </c>
      <c r="F331" s="98"/>
      <c r="G331" s="95"/>
      <c r="H331" s="82"/>
    </row>
    <row r="332" spans="1:8" x14ac:dyDescent="0.4">
      <c r="A332" s="96"/>
      <c r="B332" s="97"/>
      <c r="C332" s="13" t="s">
        <v>186</v>
      </c>
      <c r="D332" s="2" t="e">
        <f>(D330-D331)/D331*100</f>
        <v>#N/A</v>
      </c>
      <c r="E332" s="2" t="e">
        <f>(E330-E331)/E331*100</f>
        <v>#N/A</v>
      </c>
      <c r="F332" s="98"/>
      <c r="G332" s="95"/>
      <c r="H332" s="82"/>
    </row>
    <row r="333" spans="1:8" x14ac:dyDescent="0.4">
      <c r="A333" s="96"/>
      <c r="B333" s="97"/>
      <c r="C333" s="13" t="str">
        <f>C330</f>
        <v xml:space="preserve">Measured, </v>
      </c>
      <c r="D333" s="43"/>
      <c r="E333" s="43"/>
      <c r="F333" s="98"/>
      <c r="G333" s="95"/>
      <c r="H333" s="82"/>
    </row>
    <row r="334" spans="1:8" x14ac:dyDescent="0.4">
      <c r="A334" s="96"/>
      <c r="B334" s="97"/>
      <c r="C334" s="13" t="s">
        <v>186</v>
      </c>
      <c r="D334" s="2" t="e">
        <f>(D333-D331)/D331*100</f>
        <v>#N/A</v>
      </c>
      <c r="E334" s="2" t="e">
        <f>(E333-E331)/E331*100</f>
        <v>#N/A</v>
      </c>
      <c r="F334" s="98"/>
      <c r="G334" s="95"/>
      <c r="H334" s="82"/>
    </row>
    <row r="335" spans="1:8" x14ac:dyDescent="0.4">
      <c r="A335" s="96"/>
      <c r="B335" s="97"/>
      <c r="C335" s="13" t="str">
        <f>C330</f>
        <v xml:space="preserve">Measured, </v>
      </c>
      <c r="D335" s="43"/>
      <c r="E335" s="43"/>
      <c r="F335" s="98"/>
      <c r="G335" s="95"/>
      <c r="H335" s="82"/>
    </row>
    <row r="336" spans="1:8" x14ac:dyDescent="0.4">
      <c r="A336" s="96"/>
      <c r="B336" s="97"/>
      <c r="C336" s="13" t="s">
        <v>186</v>
      </c>
      <c r="D336" s="2" t="e">
        <f>(D335-D331)/D331*100</f>
        <v>#N/A</v>
      </c>
      <c r="E336" s="2" t="e">
        <f>(E335-E331)/E331*100</f>
        <v>#N/A</v>
      </c>
      <c r="F336" s="98"/>
      <c r="G336" s="95"/>
      <c r="H336" s="82"/>
    </row>
    <row r="337" spans="1:8" x14ac:dyDescent="0.4">
      <c r="A337" s="96"/>
      <c r="B337" s="97"/>
      <c r="C337" s="42" t="s">
        <v>215</v>
      </c>
      <c r="D337" s="43"/>
      <c r="E337" s="43"/>
      <c r="F337" s="98"/>
      <c r="G337" s="95"/>
      <c r="H337" s="82"/>
    </row>
    <row r="338" spans="1:8" x14ac:dyDescent="0.4">
      <c r="A338" s="96"/>
      <c r="B338" s="97"/>
      <c r="C338" s="13" t="s">
        <v>187</v>
      </c>
      <c r="D338" s="2" t="e">
        <f>INDEX('Equipment list'!$B$189:$B$220, (MATCH(A337,'Equipment list'!$D$189:$D$220,0)),1)</f>
        <v>#N/A</v>
      </c>
      <c r="E338" s="2" t="e">
        <f>INDEX('Equipment list'!$C$189:$C$220, (MATCH(A337,'Equipment list'!$D$189:$D$220,0)),1)</f>
        <v>#N/A</v>
      </c>
      <c r="F338" s="98"/>
      <c r="G338" s="95"/>
      <c r="H338" s="82"/>
    </row>
    <row r="339" spans="1:8" x14ac:dyDescent="0.4">
      <c r="A339" s="96"/>
      <c r="B339" s="97"/>
      <c r="C339" s="13" t="s">
        <v>186</v>
      </c>
      <c r="D339" s="2" t="e">
        <f>(D337-D338)/D338*100</f>
        <v>#N/A</v>
      </c>
      <c r="E339" s="2" t="e">
        <f>(E337-E338)/E338*100</f>
        <v>#N/A</v>
      </c>
      <c r="F339" s="98"/>
      <c r="G339" s="95"/>
      <c r="H339" s="82"/>
    </row>
    <row r="340" spans="1:8" x14ac:dyDescent="0.4">
      <c r="A340" s="96"/>
      <c r="B340" s="97"/>
      <c r="C340" s="13" t="str">
        <f>C337</f>
        <v xml:space="preserve">Measured, </v>
      </c>
      <c r="D340" s="43"/>
      <c r="E340" s="43"/>
      <c r="F340" s="98"/>
      <c r="G340" s="95"/>
      <c r="H340" s="82"/>
    </row>
    <row r="341" spans="1:8" x14ac:dyDescent="0.4">
      <c r="A341" s="96"/>
      <c r="B341" s="97"/>
      <c r="C341" s="13" t="s">
        <v>186</v>
      </c>
      <c r="D341" s="2" t="e">
        <f>(D340-D338)/D338*100</f>
        <v>#N/A</v>
      </c>
      <c r="E341" s="2" t="e">
        <f>(E340-E338)/E338*100</f>
        <v>#N/A</v>
      </c>
      <c r="F341" s="98"/>
      <c r="G341" s="95"/>
      <c r="H341" s="82"/>
    </row>
    <row r="342" spans="1:8" x14ac:dyDescent="0.4">
      <c r="A342" s="96"/>
      <c r="B342" s="97"/>
      <c r="C342" s="13" t="str">
        <f>C337</f>
        <v xml:space="preserve">Measured, </v>
      </c>
      <c r="D342" s="43"/>
      <c r="E342" s="43"/>
      <c r="F342" s="98"/>
      <c r="G342" s="95"/>
      <c r="H342" s="82"/>
    </row>
    <row r="343" spans="1:8" x14ac:dyDescent="0.4">
      <c r="A343" s="96"/>
      <c r="B343" s="97"/>
      <c r="C343" s="13" t="s">
        <v>186</v>
      </c>
      <c r="D343" s="2" t="e">
        <f>(D342-D338)/D338*100</f>
        <v>#N/A</v>
      </c>
      <c r="E343" s="2" t="e">
        <f>(E342-E338)/E338*100</f>
        <v>#N/A</v>
      </c>
      <c r="F343" s="98"/>
      <c r="G343" s="95"/>
      <c r="H343" s="82"/>
    </row>
    <row r="344" spans="1:8" x14ac:dyDescent="0.4">
      <c r="A344" s="96"/>
      <c r="B344" s="97"/>
      <c r="C344" s="42" t="s">
        <v>215</v>
      </c>
      <c r="D344" s="43"/>
      <c r="E344" s="43"/>
      <c r="F344" s="98"/>
      <c r="G344" s="95"/>
      <c r="H344" s="82"/>
    </row>
    <row r="345" spans="1:8" x14ac:dyDescent="0.4">
      <c r="A345" s="96"/>
      <c r="B345" s="97"/>
      <c r="C345" s="13" t="s">
        <v>187</v>
      </c>
      <c r="D345" s="2" t="e">
        <f>INDEX('Equipment list'!$B$189:$B$220, (MATCH(A344,'Equipment list'!$D$189:$D$220,0)),1)</f>
        <v>#N/A</v>
      </c>
      <c r="E345" s="2" t="e">
        <f>INDEX('Equipment list'!$C$189:$C$220, (MATCH(A344,'Equipment list'!$D$189:$D$220,0)),1)</f>
        <v>#N/A</v>
      </c>
      <c r="F345" s="98"/>
      <c r="G345" s="95"/>
      <c r="H345" s="82"/>
    </row>
    <row r="346" spans="1:8" x14ac:dyDescent="0.4">
      <c r="A346" s="96"/>
      <c r="B346" s="97"/>
      <c r="C346" s="13" t="s">
        <v>186</v>
      </c>
      <c r="D346" s="2" t="e">
        <f>(D344-D345)/D345*100</f>
        <v>#N/A</v>
      </c>
      <c r="E346" s="2" t="e">
        <f>(E344-E345)/E345*100</f>
        <v>#N/A</v>
      </c>
      <c r="F346" s="98"/>
      <c r="G346" s="95"/>
      <c r="H346" s="82"/>
    </row>
    <row r="347" spans="1:8" x14ac:dyDescent="0.4">
      <c r="A347" s="96"/>
      <c r="B347" s="97"/>
      <c r="C347" s="13" t="str">
        <f>C344</f>
        <v xml:space="preserve">Measured, </v>
      </c>
      <c r="D347" s="43"/>
      <c r="E347" s="43"/>
      <c r="F347" s="98"/>
      <c r="G347" s="95"/>
      <c r="H347" s="82"/>
    </row>
    <row r="348" spans="1:8" x14ac:dyDescent="0.4">
      <c r="A348" s="96"/>
      <c r="B348" s="97"/>
      <c r="C348" s="13" t="s">
        <v>186</v>
      </c>
      <c r="D348" s="2" t="e">
        <f>(D347-D345)/D345*100</f>
        <v>#N/A</v>
      </c>
      <c r="E348" s="2" t="e">
        <f>(E347-E345)/E345*100</f>
        <v>#N/A</v>
      </c>
      <c r="F348" s="98"/>
      <c r="G348" s="95"/>
      <c r="H348" s="82"/>
    </row>
    <row r="349" spans="1:8" x14ac:dyDescent="0.4">
      <c r="A349" s="96"/>
      <c r="B349" s="97"/>
      <c r="C349" s="13" t="str">
        <f>C344</f>
        <v xml:space="preserve">Measured, </v>
      </c>
      <c r="D349" s="43"/>
      <c r="E349" s="43"/>
      <c r="F349" s="98"/>
      <c r="G349" s="95"/>
      <c r="H349" s="82"/>
    </row>
    <row r="350" spans="1:8" x14ac:dyDescent="0.4">
      <c r="A350" s="96"/>
      <c r="B350" s="97"/>
      <c r="C350" s="13" t="s">
        <v>186</v>
      </c>
      <c r="D350" s="2" t="e">
        <f>(D349-D345)/D345*100</f>
        <v>#N/A</v>
      </c>
      <c r="E350" s="2" t="e">
        <f>(E349-E345)/E345*100</f>
        <v>#N/A</v>
      </c>
      <c r="F350" s="98"/>
      <c r="G350" s="95"/>
      <c r="H350" s="82"/>
    </row>
    <row r="351" spans="1:8" x14ac:dyDescent="0.4">
      <c r="A351" s="96"/>
      <c r="B351" s="97"/>
      <c r="C351" s="42" t="s">
        <v>215</v>
      </c>
      <c r="D351" s="43"/>
      <c r="E351" s="43"/>
      <c r="F351" s="98"/>
      <c r="G351" s="95"/>
      <c r="H351" s="82"/>
    </row>
    <row r="352" spans="1:8" x14ac:dyDescent="0.4">
      <c r="A352" s="96"/>
      <c r="B352" s="97"/>
      <c r="C352" s="13" t="s">
        <v>187</v>
      </c>
      <c r="D352" s="2" t="e">
        <f>INDEX('Equipment list'!$B$189:$B$220, (MATCH(A351,'Equipment list'!$D$189:$D$220,0)),1)</f>
        <v>#N/A</v>
      </c>
      <c r="E352" s="2" t="e">
        <f>INDEX('Equipment list'!$C$189:$C$220, (MATCH(A351,'Equipment list'!$D$189:$D$220,0)),1)</f>
        <v>#N/A</v>
      </c>
      <c r="F352" s="98"/>
      <c r="G352" s="95"/>
      <c r="H352" s="82"/>
    </row>
    <row r="353" spans="1:8" x14ac:dyDescent="0.4">
      <c r="A353" s="96"/>
      <c r="B353" s="97"/>
      <c r="C353" s="13" t="s">
        <v>186</v>
      </c>
      <c r="D353" s="2" t="e">
        <f>(D351-D352)/D352*100</f>
        <v>#N/A</v>
      </c>
      <c r="E353" s="2" t="e">
        <f>(E351-E352)/E352*100</f>
        <v>#N/A</v>
      </c>
      <c r="F353" s="98"/>
      <c r="G353" s="95"/>
      <c r="H353" s="82"/>
    </row>
    <row r="354" spans="1:8" x14ac:dyDescent="0.4">
      <c r="A354" s="96"/>
      <c r="B354" s="97"/>
      <c r="C354" s="13" t="str">
        <f>C351</f>
        <v xml:space="preserve">Measured, </v>
      </c>
      <c r="D354" s="43"/>
      <c r="E354" s="43"/>
      <c r="F354" s="98"/>
      <c r="G354" s="95"/>
      <c r="H354" s="82"/>
    </row>
    <row r="355" spans="1:8" x14ac:dyDescent="0.4">
      <c r="A355" s="96"/>
      <c r="B355" s="97"/>
      <c r="C355" s="13" t="s">
        <v>186</v>
      </c>
      <c r="D355" s="2" t="e">
        <f>(D354-D352)/D352*100</f>
        <v>#N/A</v>
      </c>
      <c r="E355" s="2" t="e">
        <f>(E354-E352)/E352*100</f>
        <v>#N/A</v>
      </c>
      <c r="F355" s="98"/>
      <c r="G355" s="95"/>
      <c r="H355" s="82"/>
    </row>
    <row r="356" spans="1:8" x14ac:dyDescent="0.4">
      <c r="A356" s="96"/>
      <c r="B356" s="97"/>
      <c r="C356" s="13" t="str">
        <f>C351</f>
        <v xml:space="preserve">Measured, </v>
      </c>
      <c r="D356" s="43"/>
      <c r="E356" s="43"/>
      <c r="F356" s="98"/>
      <c r="G356" s="95"/>
      <c r="H356" s="82"/>
    </row>
    <row r="357" spans="1:8" x14ac:dyDescent="0.4">
      <c r="A357" s="96"/>
      <c r="B357" s="97"/>
      <c r="C357" s="13" t="s">
        <v>186</v>
      </c>
      <c r="D357" s="2" t="e">
        <f>(D356-D352)/D352*100</f>
        <v>#N/A</v>
      </c>
      <c r="E357" s="2" t="e">
        <f>(E356-E352)/E352*100</f>
        <v>#N/A</v>
      </c>
      <c r="F357" s="98"/>
      <c r="G357" s="95"/>
      <c r="H357" s="82"/>
    </row>
    <row r="358" spans="1:8" x14ac:dyDescent="0.4">
      <c r="A358" s="96"/>
      <c r="B358" s="97"/>
      <c r="C358" s="42" t="s">
        <v>215</v>
      </c>
      <c r="D358" s="43"/>
      <c r="E358" s="43"/>
      <c r="F358" s="98"/>
      <c r="G358" s="95"/>
      <c r="H358" s="82"/>
    </row>
    <row r="359" spans="1:8" x14ac:dyDescent="0.4">
      <c r="A359" s="96"/>
      <c r="B359" s="97"/>
      <c r="C359" s="13" t="s">
        <v>187</v>
      </c>
      <c r="D359" s="2" t="e">
        <f>INDEX('Equipment list'!$B$189:$B$220, (MATCH(A358,'Equipment list'!$D$189:$D$220,0)),1)</f>
        <v>#N/A</v>
      </c>
      <c r="E359" s="2" t="e">
        <f>INDEX('Equipment list'!$C$189:$C$220, (MATCH(A358,'Equipment list'!$D$189:$D$220,0)),1)</f>
        <v>#N/A</v>
      </c>
      <c r="F359" s="98"/>
      <c r="G359" s="95"/>
      <c r="H359" s="82"/>
    </row>
    <row r="360" spans="1:8" x14ac:dyDescent="0.4">
      <c r="A360" s="96"/>
      <c r="B360" s="97"/>
      <c r="C360" s="13" t="s">
        <v>186</v>
      </c>
      <c r="D360" s="2" t="e">
        <f>(D358-D359)/D359*100</f>
        <v>#N/A</v>
      </c>
      <c r="E360" s="2" t="e">
        <f>(E358-E359)/E359*100</f>
        <v>#N/A</v>
      </c>
      <c r="F360" s="98"/>
      <c r="G360" s="95"/>
      <c r="H360" s="82"/>
    </row>
    <row r="361" spans="1:8" x14ac:dyDescent="0.4">
      <c r="A361" s="96"/>
      <c r="B361" s="97"/>
      <c r="C361" s="13" t="str">
        <f>C358</f>
        <v xml:space="preserve">Measured, </v>
      </c>
      <c r="D361" s="43"/>
      <c r="E361" s="43"/>
      <c r="F361" s="98"/>
      <c r="G361" s="95"/>
      <c r="H361" s="82"/>
    </row>
    <row r="362" spans="1:8" x14ac:dyDescent="0.4">
      <c r="A362" s="96"/>
      <c r="B362" s="97"/>
      <c r="C362" s="13" t="s">
        <v>186</v>
      </c>
      <c r="D362" s="2" t="e">
        <f>(D361-D359)/D359*100</f>
        <v>#N/A</v>
      </c>
      <c r="E362" s="2" t="e">
        <f>(E361-E359)/E359*100</f>
        <v>#N/A</v>
      </c>
      <c r="F362" s="98"/>
      <c r="G362" s="95"/>
      <c r="H362" s="82"/>
    </row>
    <row r="363" spans="1:8" x14ac:dyDescent="0.4">
      <c r="A363" s="96"/>
      <c r="B363" s="97"/>
      <c r="C363" s="13" t="str">
        <f>C358</f>
        <v xml:space="preserve">Measured, </v>
      </c>
      <c r="D363" s="43"/>
      <c r="E363" s="43"/>
      <c r="F363" s="98"/>
      <c r="G363" s="95"/>
      <c r="H363" s="82"/>
    </row>
    <row r="364" spans="1:8" x14ac:dyDescent="0.4">
      <c r="A364" s="96"/>
      <c r="B364" s="97"/>
      <c r="C364" s="13" t="s">
        <v>186</v>
      </c>
      <c r="D364" s="2" t="e">
        <f>(D363-D359)/D359*100</f>
        <v>#N/A</v>
      </c>
      <c r="E364" s="2" t="e">
        <f>(E363-E359)/E359*100</f>
        <v>#N/A</v>
      </c>
      <c r="F364" s="98"/>
      <c r="G364" s="95"/>
      <c r="H364" s="82"/>
    </row>
    <row r="365" spans="1:8" x14ac:dyDescent="0.4">
      <c r="A365" s="96"/>
      <c r="B365" s="97"/>
      <c r="C365" s="42" t="s">
        <v>215</v>
      </c>
      <c r="D365" s="43"/>
      <c r="E365" s="43"/>
      <c r="F365" s="98"/>
      <c r="G365" s="95"/>
      <c r="H365" s="82"/>
    </row>
    <row r="366" spans="1:8" x14ac:dyDescent="0.4">
      <c r="A366" s="96"/>
      <c r="B366" s="97"/>
      <c r="C366" s="13" t="s">
        <v>187</v>
      </c>
      <c r="D366" s="2" t="e">
        <f>INDEX('Equipment list'!$B$189:$B$220, (MATCH(A365,'Equipment list'!$D$189:$D$220,0)),1)</f>
        <v>#N/A</v>
      </c>
      <c r="E366" s="2" t="e">
        <f>INDEX('Equipment list'!$C$189:$C$220, (MATCH(A365,'Equipment list'!$D$189:$D$220,0)),1)</f>
        <v>#N/A</v>
      </c>
      <c r="F366" s="98"/>
      <c r="G366" s="95"/>
      <c r="H366" s="82"/>
    </row>
    <row r="367" spans="1:8" x14ac:dyDescent="0.4">
      <c r="A367" s="96"/>
      <c r="B367" s="97"/>
      <c r="C367" s="13" t="s">
        <v>186</v>
      </c>
      <c r="D367" s="2" t="e">
        <f>(D365-D366)/D366*100</f>
        <v>#N/A</v>
      </c>
      <c r="E367" s="2" t="e">
        <f>(E365-E366)/E366*100</f>
        <v>#N/A</v>
      </c>
      <c r="F367" s="98"/>
      <c r="G367" s="95"/>
      <c r="H367" s="82"/>
    </row>
    <row r="368" spans="1:8" x14ac:dyDescent="0.4">
      <c r="A368" s="96"/>
      <c r="B368" s="97"/>
      <c r="C368" s="13" t="str">
        <f>C365</f>
        <v xml:space="preserve">Measured, </v>
      </c>
      <c r="D368" s="43"/>
      <c r="E368" s="43"/>
      <c r="F368" s="98"/>
      <c r="G368" s="95"/>
      <c r="H368" s="82"/>
    </row>
    <row r="369" spans="1:8" x14ac:dyDescent="0.4">
      <c r="A369" s="96"/>
      <c r="B369" s="97"/>
      <c r="C369" s="13" t="s">
        <v>186</v>
      </c>
      <c r="D369" s="2" t="e">
        <f>(D368-D366)/D366*100</f>
        <v>#N/A</v>
      </c>
      <c r="E369" s="2" t="e">
        <f>(E368-E366)/E366*100</f>
        <v>#N/A</v>
      </c>
      <c r="F369" s="98"/>
      <c r="G369" s="95"/>
      <c r="H369" s="82"/>
    </row>
    <row r="370" spans="1:8" x14ac:dyDescent="0.4">
      <c r="A370" s="96"/>
      <c r="B370" s="97"/>
      <c r="C370" s="13" t="str">
        <f>C365</f>
        <v xml:space="preserve">Measured, </v>
      </c>
      <c r="D370" s="43"/>
      <c r="E370" s="43"/>
      <c r="F370" s="98"/>
      <c r="G370" s="95"/>
      <c r="H370" s="82"/>
    </row>
    <row r="371" spans="1:8" x14ac:dyDescent="0.4">
      <c r="A371" s="96"/>
      <c r="B371" s="97"/>
      <c r="C371" s="13" t="s">
        <v>186</v>
      </c>
      <c r="D371" s="2" t="e">
        <f>(D370-D366)/D366*100</f>
        <v>#N/A</v>
      </c>
      <c r="E371" s="2" t="e">
        <f>(E370-E366)/E366*100</f>
        <v>#N/A</v>
      </c>
      <c r="F371" s="98"/>
      <c r="G371" s="95"/>
      <c r="H371" s="82"/>
    </row>
    <row r="372" spans="1:8" x14ac:dyDescent="0.4">
      <c r="A372" s="96"/>
      <c r="B372" s="97"/>
      <c r="C372" s="42" t="s">
        <v>215</v>
      </c>
      <c r="D372" s="43"/>
      <c r="E372" s="43"/>
      <c r="F372" s="98"/>
      <c r="G372" s="95"/>
      <c r="H372" s="82"/>
    </row>
    <row r="373" spans="1:8" x14ac:dyDescent="0.4">
      <c r="A373" s="96"/>
      <c r="B373" s="97"/>
      <c r="C373" s="13" t="s">
        <v>187</v>
      </c>
      <c r="D373" s="2" t="e">
        <f>INDEX('Equipment list'!$B$189:$B$220, (MATCH(A372,'Equipment list'!$D$189:$D$220,0)),1)</f>
        <v>#N/A</v>
      </c>
      <c r="E373" s="2" t="e">
        <f>INDEX('Equipment list'!$C$189:$C$220, (MATCH(A372,'Equipment list'!$D$189:$D$220,0)),1)</f>
        <v>#N/A</v>
      </c>
      <c r="F373" s="98"/>
      <c r="G373" s="95"/>
      <c r="H373" s="82"/>
    </row>
    <row r="374" spans="1:8" x14ac:dyDescent="0.4">
      <c r="A374" s="96"/>
      <c r="B374" s="97"/>
      <c r="C374" s="13" t="s">
        <v>186</v>
      </c>
      <c r="D374" s="2" t="e">
        <f>(D372-D373)/D373*100</f>
        <v>#N/A</v>
      </c>
      <c r="E374" s="2" t="e">
        <f>(E372-E373)/E373*100</f>
        <v>#N/A</v>
      </c>
      <c r="F374" s="98"/>
      <c r="G374" s="95"/>
      <c r="H374" s="82"/>
    </row>
    <row r="375" spans="1:8" x14ac:dyDescent="0.4">
      <c r="A375" s="96"/>
      <c r="B375" s="97"/>
      <c r="C375" s="13" t="str">
        <f>C372</f>
        <v xml:space="preserve">Measured, </v>
      </c>
      <c r="D375" s="43"/>
      <c r="E375" s="43"/>
      <c r="F375" s="98"/>
      <c r="G375" s="95"/>
      <c r="H375" s="82"/>
    </row>
    <row r="376" spans="1:8" x14ac:dyDescent="0.4">
      <c r="A376" s="96"/>
      <c r="B376" s="97"/>
      <c r="C376" s="13" t="s">
        <v>186</v>
      </c>
      <c r="D376" s="2" t="e">
        <f>(D375-D373)/D373*100</f>
        <v>#N/A</v>
      </c>
      <c r="E376" s="2" t="e">
        <f>(E375-E373)/E373*100</f>
        <v>#N/A</v>
      </c>
      <c r="F376" s="98"/>
      <c r="G376" s="95"/>
      <c r="H376" s="82"/>
    </row>
    <row r="377" spans="1:8" x14ac:dyDescent="0.4">
      <c r="A377" s="96"/>
      <c r="B377" s="97"/>
      <c r="C377" s="13" t="str">
        <f>C372</f>
        <v xml:space="preserve">Measured, </v>
      </c>
      <c r="D377" s="43"/>
      <c r="E377" s="43"/>
      <c r="F377" s="98"/>
      <c r="G377" s="95"/>
      <c r="H377" s="82"/>
    </row>
    <row r="378" spans="1:8" x14ac:dyDescent="0.4">
      <c r="A378" s="96"/>
      <c r="B378" s="97"/>
      <c r="C378" s="13" t="s">
        <v>186</v>
      </c>
      <c r="D378" s="2" t="e">
        <f>(D377-D373)/D373*100</f>
        <v>#N/A</v>
      </c>
      <c r="E378" s="2" t="e">
        <f>(E377-E373)/E373*100</f>
        <v>#N/A</v>
      </c>
      <c r="F378" s="98"/>
      <c r="G378" s="95"/>
      <c r="H378" s="82"/>
    </row>
    <row r="379" spans="1:8" x14ac:dyDescent="0.4">
      <c r="A379" s="96"/>
      <c r="B379" s="97"/>
      <c r="C379" s="42" t="s">
        <v>215</v>
      </c>
      <c r="D379" s="43"/>
      <c r="E379" s="43"/>
      <c r="F379" s="98"/>
      <c r="G379" s="95"/>
      <c r="H379" s="82"/>
    </row>
    <row r="380" spans="1:8" x14ac:dyDescent="0.4">
      <c r="A380" s="96"/>
      <c r="B380" s="97"/>
      <c r="C380" s="13" t="s">
        <v>187</v>
      </c>
      <c r="D380" s="2" t="e">
        <f>INDEX('Equipment list'!$B$189:$B$220, (MATCH(A379,'Equipment list'!$D$189:$D$220,0)),1)</f>
        <v>#N/A</v>
      </c>
      <c r="E380" s="2" t="e">
        <f>INDEX('Equipment list'!$C$189:$C$220, (MATCH(A379,'Equipment list'!$D$189:$D$220,0)),1)</f>
        <v>#N/A</v>
      </c>
      <c r="F380" s="98"/>
      <c r="G380" s="95"/>
      <c r="H380" s="82"/>
    </row>
    <row r="381" spans="1:8" x14ac:dyDescent="0.4">
      <c r="A381" s="96"/>
      <c r="B381" s="97"/>
      <c r="C381" s="13" t="s">
        <v>186</v>
      </c>
      <c r="D381" s="2" t="e">
        <f>(D379-D380)/D380*100</f>
        <v>#N/A</v>
      </c>
      <c r="E381" s="2" t="e">
        <f>(E379-E380)/E380*100</f>
        <v>#N/A</v>
      </c>
      <c r="F381" s="98"/>
      <c r="G381" s="95"/>
      <c r="H381" s="82"/>
    </row>
    <row r="382" spans="1:8" x14ac:dyDescent="0.4">
      <c r="A382" s="96"/>
      <c r="B382" s="97"/>
      <c r="C382" s="13" t="str">
        <f>C379</f>
        <v xml:space="preserve">Measured, </v>
      </c>
      <c r="D382" s="43"/>
      <c r="E382" s="43"/>
      <c r="F382" s="98"/>
      <c r="G382" s="95"/>
      <c r="H382" s="82"/>
    </row>
    <row r="383" spans="1:8" x14ac:dyDescent="0.4">
      <c r="A383" s="96"/>
      <c r="B383" s="97"/>
      <c r="C383" s="13" t="s">
        <v>186</v>
      </c>
      <c r="D383" s="2" t="e">
        <f>(D382-D380)/D380*100</f>
        <v>#N/A</v>
      </c>
      <c r="E383" s="2" t="e">
        <f>(E382-E380)/E380*100</f>
        <v>#N/A</v>
      </c>
      <c r="F383" s="98"/>
      <c r="G383" s="95"/>
      <c r="H383" s="82"/>
    </row>
    <row r="384" spans="1:8" x14ac:dyDescent="0.4">
      <c r="A384" s="96"/>
      <c r="B384" s="97"/>
      <c r="C384" s="13" t="str">
        <f>C379</f>
        <v xml:space="preserve">Measured, </v>
      </c>
      <c r="D384" s="43"/>
      <c r="E384" s="43"/>
      <c r="F384" s="98"/>
      <c r="G384" s="95"/>
      <c r="H384" s="82"/>
    </row>
    <row r="385" spans="1:8" x14ac:dyDescent="0.4">
      <c r="A385" s="96"/>
      <c r="B385" s="97"/>
      <c r="C385" s="13" t="s">
        <v>186</v>
      </c>
      <c r="D385" s="2" t="e">
        <f>(D384-D380)/D380*100</f>
        <v>#N/A</v>
      </c>
      <c r="E385" s="2" t="e">
        <f>(E384-E380)/E380*100</f>
        <v>#N/A</v>
      </c>
      <c r="F385" s="98"/>
      <c r="G385" s="95"/>
      <c r="H385" s="82"/>
    </row>
    <row r="386" spans="1:8" x14ac:dyDescent="0.4">
      <c r="A386" s="96"/>
      <c r="B386" s="97"/>
      <c r="C386" s="42" t="s">
        <v>215</v>
      </c>
      <c r="D386" s="43"/>
      <c r="E386" s="43"/>
      <c r="F386" s="98"/>
      <c r="G386" s="95"/>
      <c r="H386" s="82"/>
    </row>
    <row r="387" spans="1:8" x14ac:dyDescent="0.4">
      <c r="A387" s="96"/>
      <c r="B387" s="97"/>
      <c r="C387" s="13" t="s">
        <v>187</v>
      </c>
      <c r="D387" s="2" t="e">
        <f>INDEX('Equipment list'!$B$189:$B$220, (MATCH(A386,'Equipment list'!$D$189:$D$220,0)),1)</f>
        <v>#N/A</v>
      </c>
      <c r="E387" s="2" t="e">
        <f>INDEX('Equipment list'!$C$189:$C$220, (MATCH(A386,'Equipment list'!$D$189:$D$220,0)),1)</f>
        <v>#N/A</v>
      </c>
      <c r="F387" s="98"/>
      <c r="G387" s="95"/>
      <c r="H387" s="82"/>
    </row>
    <row r="388" spans="1:8" x14ac:dyDescent="0.4">
      <c r="A388" s="96"/>
      <c r="B388" s="97"/>
      <c r="C388" s="13" t="s">
        <v>186</v>
      </c>
      <c r="D388" s="2" t="e">
        <f>(D386-D387)/D387*100</f>
        <v>#N/A</v>
      </c>
      <c r="E388" s="2" t="e">
        <f>(E386-E387)/E387*100</f>
        <v>#N/A</v>
      </c>
      <c r="F388" s="98"/>
      <c r="G388" s="95"/>
      <c r="H388" s="82"/>
    </row>
    <row r="389" spans="1:8" x14ac:dyDescent="0.4">
      <c r="A389" s="96"/>
      <c r="B389" s="97"/>
      <c r="C389" s="13" t="str">
        <f>C386</f>
        <v xml:space="preserve">Measured, </v>
      </c>
      <c r="D389" s="43"/>
      <c r="E389" s="43"/>
      <c r="F389" s="98"/>
      <c r="G389" s="95"/>
      <c r="H389" s="82"/>
    </row>
    <row r="390" spans="1:8" x14ac:dyDescent="0.4">
      <c r="A390" s="96"/>
      <c r="B390" s="97"/>
      <c r="C390" s="13" t="s">
        <v>186</v>
      </c>
      <c r="D390" s="2" t="e">
        <f>(D389-D387)/D387*100</f>
        <v>#N/A</v>
      </c>
      <c r="E390" s="2" t="e">
        <f>(E389-E387)/E387*100</f>
        <v>#N/A</v>
      </c>
      <c r="F390" s="98"/>
      <c r="G390" s="95"/>
      <c r="H390" s="82"/>
    </row>
    <row r="391" spans="1:8" x14ac:dyDescent="0.4">
      <c r="A391" s="96"/>
      <c r="B391" s="97"/>
      <c r="C391" s="13" t="str">
        <f>C386</f>
        <v xml:space="preserve">Measured, </v>
      </c>
      <c r="D391" s="43"/>
      <c r="E391" s="43"/>
      <c r="F391" s="98"/>
      <c r="G391" s="95"/>
      <c r="H391" s="82"/>
    </row>
    <row r="392" spans="1:8" x14ac:dyDescent="0.4">
      <c r="A392" s="96"/>
      <c r="B392" s="97"/>
      <c r="C392" s="13" t="s">
        <v>186</v>
      </c>
      <c r="D392" s="2" t="e">
        <f>(D391-D387)/D387*100</f>
        <v>#N/A</v>
      </c>
      <c r="E392" s="2" t="e">
        <f>(E391-E387)/E387*100</f>
        <v>#N/A</v>
      </c>
      <c r="F392" s="98"/>
      <c r="G392" s="95"/>
      <c r="H392" s="82"/>
    </row>
    <row r="393" spans="1:8" x14ac:dyDescent="0.4">
      <c r="A393" s="96"/>
      <c r="B393" s="97"/>
      <c r="C393" s="42" t="s">
        <v>215</v>
      </c>
      <c r="D393" s="43"/>
      <c r="E393" s="43"/>
      <c r="F393" s="98"/>
      <c r="G393" s="95"/>
      <c r="H393" s="82"/>
    </row>
    <row r="394" spans="1:8" x14ac:dyDescent="0.4">
      <c r="A394" s="96"/>
      <c r="B394" s="97"/>
      <c r="C394" s="13" t="s">
        <v>187</v>
      </c>
      <c r="D394" s="2" t="e">
        <f>INDEX('Equipment list'!$B$189:$B$220, (MATCH(A393,'Equipment list'!$D$189:$D$220,0)),1)</f>
        <v>#N/A</v>
      </c>
      <c r="E394" s="2" t="e">
        <f>INDEX('Equipment list'!$C$189:$C$220, (MATCH(A393,'Equipment list'!$D$189:$D$220,0)),1)</f>
        <v>#N/A</v>
      </c>
      <c r="F394" s="98"/>
      <c r="G394" s="95"/>
      <c r="H394" s="82"/>
    </row>
    <row r="395" spans="1:8" x14ac:dyDescent="0.4">
      <c r="A395" s="96"/>
      <c r="B395" s="97"/>
      <c r="C395" s="13" t="s">
        <v>186</v>
      </c>
      <c r="D395" s="2" t="e">
        <f>(D393-D394)/D394*100</f>
        <v>#N/A</v>
      </c>
      <c r="E395" s="2" t="e">
        <f>(E393-E394)/E394*100</f>
        <v>#N/A</v>
      </c>
      <c r="F395" s="98"/>
      <c r="G395" s="95"/>
      <c r="H395" s="82"/>
    </row>
    <row r="396" spans="1:8" x14ac:dyDescent="0.4">
      <c r="A396" s="96"/>
      <c r="B396" s="97"/>
      <c r="C396" s="13" t="str">
        <f>C393</f>
        <v xml:space="preserve">Measured, </v>
      </c>
      <c r="D396" s="43"/>
      <c r="E396" s="43"/>
      <c r="F396" s="98"/>
      <c r="G396" s="95"/>
      <c r="H396" s="82"/>
    </row>
    <row r="397" spans="1:8" x14ac:dyDescent="0.4">
      <c r="A397" s="96"/>
      <c r="B397" s="97"/>
      <c r="C397" s="13" t="s">
        <v>186</v>
      </c>
      <c r="D397" s="2" t="e">
        <f>(D396-D394)/D394*100</f>
        <v>#N/A</v>
      </c>
      <c r="E397" s="2" t="e">
        <f>(E396-E394)/E394*100</f>
        <v>#N/A</v>
      </c>
      <c r="F397" s="98"/>
      <c r="G397" s="95"/>
      <c r="H397" s="82"/>
    </row>
    <row r="398" spans="1:8" x14ac:dyDescent="0.4">
      <c r="A398" s="96"/>
      <c r="B398" s="97"/>
      <c r="C398" s="13" t="str">
        <f>C393</f>
        <v xml:space="preserve">Measured, </v>
      </c>
      <c r="D398" s="43"/>
      <c r="E398" s="43"/>
      <c r="F398" s="98"/>
      <c r="G398" s="95"/>
      <c r="H398" s="82"/>
    </row>
    <row r="399" spans="1:8" x14ac:dyDescent="0.4">
      <c r="A399" s="96"/>
      <c r="B399" s="97"/>
      <c r="C399" s="13" t="s">
        <v>186</v>
      </c>
      <c r="D399" s="2" t="e">
        <f>(D398-D394)/D394*100</f>
        <v>#N/A</v>
      </c>
      <c r="E399" s="2" t="e">
        <f>(E398-E394)/E394*100</f>
        <v>#N/A</v>
      </c>
      <c r="F399" s="98"/>
      <c r="G399" s="95"/>
      <c r="H399" s="82"/>
    </row>
    <row r="400" spans="1:8" x14ac:dyDescent="0.4">
      <c r="A400" s="96"/>
      <c r="B400" s="97"/>
      <c r="C400" s="42" t="s">
        <v>215</v>
      </c>
      <c r="D400" s="43"/>
      <c r="E400" s="43"/>
      <c r="F400" s="98"/>
      <c r="G400" s="95"/>
      <c r="H400" s="82"/>
    </row>
    <row r="401" spans="1:8" x14ac:dyDescent="0.4">
      <c r="A401" s="96"/>
      <c r="B401" s="97"/>
      <c r="C401" s="13" t="s">
        <v>187</v>
      </c>
      <c r="D401" s="2" t="e">
        <f>INDEX('Equipment list'!$B$189:$B$220, (MATCH(A400,'Equipment list'!$D$189:$D$220,0)),1)</f>
        <v>#N/A</v>
      </c>
      <c r="E401" s="2" t="e">
        <f>INDEX('Equipment list'!$C$189:$C$220, (MATCH(A400,'Equipment list'!$D$189:$D$220,0)),1)</f>
        <v>#N/A</v>
      </c>
      <c r="F401" s="98"/>
      <c r="G401" s="95"/>
      <c r="H401" s="82"/>
    </row>
    <row r="402" spans="1:8" x14ac:dyDescent="0.4">
      <c r="A402" s="96"/>
      <c r="B402" s="97"/>
      <c r="C402" s="13" t="s">
        <v>186</v>
      </c>
      <c r="D402" s="2" t="e">
        <f>(D400-D401)/D401*100</f>
        <v>#N/A</v>
      </c>
      <c r="E402" s="2" t="e">
        <f>(E400-E401)/E401*100</f>
        <v>#N/A</v>
      </c>
      <c r="F402" s="98"/>
      <c r="G402" s="95"/>
      <c r="H402" s="82"/>
    </row>
    <row r="403" spans="1:8" x14ac:dyDescent="0.4">
      <c r="A403" s="96"/>
      <c r="B403" s="97"/>
      <c r="C403" s="13" t="str">
        <f>C400</f>
        <v xml:space="preserve">Measured, </v>
      </c>
      <c r="D403" s="43"/>
      <c r="E403" s="43"/>
      <c r="F403" s="98"/>
      <c r="G403" s="95"/>
      <c r="H403" s="82"/>
    </row>
    <row r="404" spans="1:8" x14ac:dyDescent="0.4">
      <c r="A404" s="96"/>
      <c r="B404" s="97"/>
      <c r="C404" s="13" t="s">
        <v>186</v>
      </c>
      <c r="D404" s="2" t="e">
        <f>(D403-D401)/D401*100</f>
        <v>#N/A</v>
      </c>
      <c r="E404" s="2" t="e">
        <f>(E403-E401)/E401*100</f>
        <v>#N/A</v>
      </c>
      <c r="F404" s="98"/>
      <c r="G404" s="95"/>
      <c r="H404" s="82"/>
    </row>
    <row r="405" spans="1:8" x14ac:dyDescent="0.4">
      <c r="A405" s="96"/>
      <c r="B405" s="97"/>
      <c r="C405" s="13" t="str">
        <f>C400</f>
        <v xml:space="preserve">Measured, </v>
      </c>
      <c r="D405" s="43"/>
      <c r="E405" s="43"/>
      <c r="F405" s="98"/>
      <c r="G405" s="95"/>
      <c r="H405" s="82"/>
    </row>
    <row r="406" spans="1:8" x14ac:dyDescent="0.4">
      <c r="A406" s="96"/>
      <c r="B406" s="97"/>
      <c r="C406" s="13" t="s">
        <v>186</v>
      </c>
      <c r="D406" s="2" t="e">
        <f>(D405-D401)/D401*100</f>
        <v>#N/A</v>
      </c>
      <c r="E406" s="2" t="e">
        <f>(E405-E401)/E401*100</f>
        <v>#N/A</v>
      </c>
      <c r="F406" s="98"/>
      <c r="G406" s="95"/>
      <c r="H406" s="82"/>
    </row>
    <row r="407" spans="1:8" x14ac:dyDescent="0.4">
      <c r="A407" s="96"/>
      <c r="B407" s="97"/>
      <c r="C407" s="42" t="s">
        <v>215</v>
      </c>
      <c r="D407" s="43"/>
      <c r="E407" s="43"/>
      <c r="F407" s="98"/>
      <c r="G407" s="95"/>
      <c r="H407" s="82"/>
    </row>
    <row r="408" spans="1:8" x14ac:dyDescent="0.4">
      <c r="A408" s="96"/>
      <c r="B408" s="97"/>
      <c r="C408" s="13" t="s">
        <v>187</v>
      </c>
      <c r="D408" s="2" t="e">
        <f>INDEX('Equipment list'!$B$189:$B$220, (MATCH(A407,'Equipment list'!$D$189:$D$220,0)),1)</f>
        <v>#N/A</v>
      </c>
      <c r="E408" s="2" t="e">
        <f>INDEX('Equipment list'!$C$189:$C$220, (MATCH(A407,'Equipment list'!$D$189:$D$220,0)),1)</f>
        <v>#N/A</v>
      </c>
      <c r="F408" s="98"/>
      <c r="G408" s="95"/>
      <c r="H408" s="82"/>
    </row>
    <row r="409" spans="1:8" x14ac:dyDescent="0.4">
      <c r="A409" s="96"/>
      <c r="B409" s="97"/>
      <c r="C409" s="13" t="s">
        <v>186</v>
      </c>
      <c r="D409" s="2" t="e">
        <f>(D407-D408)/D408*100</f>
        <v>#N/A</v>
      </c>
      <c r="E409" s="2" t="e">
        <f>(E407-E408)/E408*100</f>
        <v>#N/A</v>
      </c>
      <c r="F409" s="98"/>
      <c r="G409" s="95"/>
      <c r="H409" s="82"/>
    </row>
    <row r="410" spans="1:8" x14ac:dyDescent="0.4">
      <c r="A410" s="96"/>
      <c r="B410" s="97"/>
      <c r="C410" s="13" t="str">
        <f>C407</f>
        <v xml:space="preserve">Measured, </v>
      </c>
      <c r="D410" s="43"/>
      <c r="E410" s="43"/>
      <c r="F410" s="98"/>
      <c r="G410" s="95"/>
      <c r="H410" s="82"/>
    </row>
    <row r="411" spans="1:8" x14ac:dyDescent="0.4">
      <c r="A411" s="96"/>
      <c r="B411" s="97"/>
      <c r="C411" s="13" t="s">
        <v>186</v>
      </c>
      <c r="D411" s="2" t="e">
        <f>(D410-D408)/D408*100</f>
        <v>#N/A</v>
      </c>
      <c r="E411" s="2" t="e">
        <f>(E410-E408)/E408*100</f>
        <v>#N/A</v>
      </c>
      <c r="F411" s="98"/>
      <c r="G411" s="95"/>
      <c r="H411" s="82"/>
    </row>
    <row r="412" spans="1:8" x14ac:dyDescent="0.4">
      <c r="A412" s="96"/>
      <c r="B412" s="97"/>
      <c r="C412" s="13" t="str">
        <f>C407</f>
        <v xml:space="preserve">Measured, </v>
      </c>
      <c r="D412" s="43"/>
      <c r="E412" s="43"/>
      <c r="F412" s="98"/>
      <c r="G412" s="95"/>
      <c r="H412" s="82"/>
    </row>
    <row r="413" spans="1:8" x14ac:dyDescent="0.4">
      <c r="A413" s="96"/>
      <c r="B413" s="97"/>
      <c r="C413" s="13" t="s">
        <v>186</v>
      </c>
      <c r="D413" s="2" t="e">
        <f>(D412-D408)/D408*100</f>
        <v>#N/A</v>
      </c>
      <c r="E413" s="2" t="e">
        <f>(E412-E408)/E408*100</f>
        <v>#N/A</v>
      </c>
      <c r="F413" s="98"/>
      <c r="G413" s="95"/>
      <c r="H413" s="82"/>
    </row>
    <row r="414" spans="1:8" x14ac:dyDescent="0.4">
      <c r="A414" s="96"/>
      <c r="B414" s="97"/>
      <c r="C414" s="42" t="s">
        <v>215</v>
      </c>
      <c r="D414" s="43"/>
      <c r="E414" s="43"/>
      <c r="F414" s="98"/>
      <c r="G414" s="95"/>
      <c r="H414" s="82"/>
    </row>
    <row r="415" spans="1:8" x14ac:dyDescent="0.4">
      <c r="A415" s="96"/>
      <c r="B415" s="97"/>
      <c r="C415" s="13" t="s">
        <v>187</v>
      </c>
      <c r="D415" s="2" t="e">
        <f>INDEX('Equipment list'!$B$189:$B$220, (MATCH(A414,'Equipment list'!$D$189:$D$220,0)),1)</f>
        <v>#N/A</v>
      </c>
      <c r="E415" s="2" t="e">
        <f>INDEX('Equipment list'!$C$189:$C$220, (MATCH(A414,'Equipment list'!$D$189:$D$220,0)),1)</f>
        <v>#N/A</v>
      </c>
      <c r="F415" s="98"/>
      <c r="G415" s="95"/>
      <c r="H415" s="82"/>
    </row>
    <row r="416" spans="1:8" x14ac:dyDescent="0.4">
      <c r="A416" s="96"/>
      <c r="B416" s="97"/>
      <c r="C416" s="13" t="s">
        <v>186</v>
      </c>
      <c r="D416" s="2" t="e">
        <f>(D414-D415)/D415*100</f>
        <v>#N/A</v>
      </c>
      <c r="E416" s="2" t="e">
        <f>(E414-E415)/E415*100</f>
        <v>#N/A</v>
      </c>
      <c r="F416" s="98"/>
      <c r="G416" s="95"/>
      <c r="H416" s="82"/>
    </row>
    <row r="417" spans="1:8" x14ac:dyDescent="0.4">
      <c r="A417" s="96"/>
      <c r="B417" s="97"/>
      <c r="C417" s="13" t="str">
        <f>C414</f>
        <v xml:space="preserve">Measured, </v>
      </c>
      <c r="D417" s="43"/>
      <c r="E417" s="43"/>
      <c r="F417" s="98"/>
      <c r="G417" s="95"/>
      <c r="H417" s="82"/>
    </row>
    <row r="418" spans="1:8" x14ac:dyDescent="0.4">
      <c r="A418" s="96"/>
      <c r="B418" s="97"/>
      <c r="C418" s="13" t="s">
        <v>186</v>
      </c>
      <c r="D418" s="2" t="e">
        <f>(D417-D415)/D415*100</f>
        <v>#N/A</v>
      </c>
      <c r="E418" s="2" t="e">
        <f>(E417-E415)/E415*100</f>
        <v>#N/A</v>
      </c>
      <c r="F418" s="98"/>
      <c r="G418" s="95"/>
      <c r="H418" s="82"/>
    </row>
    <row r="419" spans="1:8" x14ac:dyDescent="0.4">
      <c r="A419" s="96"/>
      <c r="B419" s="97"/>
      <c r="C419" s="13" t="str">
        <f>C414</f>
        <v xml:space="preserve">Measured, </v>
      </c>
      <c r="D419" s="43"/>
      <c r="E419" s="43"/>
      <c r="F419" s="98"/>
      <c r="G419" s="95"/>
      <c r="H419" s="82"/>
    </row>
    <row r="420" spans="1:8" x14ac:dyDescent="0.4">
      <c r="A420" s="96"/>
      <c r="B420" s="97"/>
      <c r="C420" s="13" t="s">
        <v>186</v>
      </c>
      <c r="D420" s="2" t="e">
        <f>(D419-D415)/D415*100</f>
        <v>#N/A</v>
      </c>
      <c r="E420" s="2" t="e">
        <f>(E419-E415)/E415*100</f>
        <v>#N/A</v>
      </c>
      <c r="F420" s="98"/>
      <c r="G420" s="95"/>
      <c r="H420" s="82"/>
    </row>
    <row r="421" spans="1:8" x14ac:dyDescent="0.4">
      <c r="A421" s="96"/>
      <c r="B421" s="97"/>
      <c r="C421" s="42" t="s">
        <v>215</v>
      </c>
      <c r="D421" s="43"/>
      <c r="E421" s="43"/>
      <c r="F421" s="98"/>
      <c r="G421" s="95"/>
      <c r="H421" s="82"/>
    </row>
    <row r="422" spans="1:8" x14ac:dyDescent="0.4">
      <c r="A422" s="96"/>
      <c r="B422" s="97"/>
      <c r="C422" s="13" t="s">
        <v>187</v>
      </c>
      <c r="D422" s="2" t="e">
        <f>INDEX('Equipment list'!$B$189:$B$220, (MATCH(A421,'Equipment list'!$D$189:$D$220,0)),1)</f>
        <v>#N/A</v>
      </c>
      <c r="E422" s="2" t="e">
        <f>INDEX('Equipment list'!$C$189:$C$220, (MATCH(A421,'Equipment list'!$D$189:$D$220,0)),1)</f>
        <v>#N/A</v>
      </c>
      <c r="F422" s="98"/>
      <c r="G422" s="95"/>
      <c r="H422" s="82"/>
    </row>
    <row r="423" spans="1:8" x14ac:dyDescent="0.4">
      <c r="A423" s="96"/>
      <c r="B423" s="97"/>
      <c r="C423" s="13" t="s">
        <v>186</v>
      </c>
      <c r="D423" s="2" t="e">
        <f>(D421-D422)/D422*100</f>
        <v>#N/A</v>
      </c>
      <c r="E423" s="2" t="e">
        <f>(E421-E422)/E422*100</f>
        <v>#N/A</v>
      </c>
      <c r="F423" s="98"/>
      <c r="G423" s="95"/>
      <c r="H423" s="82"/>
    </row>
    <row r="424" spans="1:8" x14ac:dyDescent="0.4">
      <c r="A424" s="96"/>
      <c r="B424" s="97"/>
      <c r="C424" s="13" t="str">
        <f>C421</f>
        <v xml:space="preserve">Measured, </v>
      </c>
      <c r="D424" s="43"/>
      <c r="E424" s="43"/>
      <c r="F424" s="98"/>
      <c r="G424" s="95"/>
      <c r="H424" s="82"/>
    </row>
    <row r="425" spans="1:8" x14ac:dyDescent="0.4">
      <c r="A425" s="96"/>
      <c r="B425" s="97"/>
      <c r="C425" s="13" t="s">
        <v>186</v>
      </c>
      <c r="D425" s="2" t="e">
        <f>(D424-D422)/D422*100</f>
        <v>#N/A</v>
      </c>
      <c r="E425" s="2" t="e">
        <f>(E424-E422)/E422*100</f>
        <v>#N/A</v>
      </c>
      <c r="F425" s="98"/>
      <c r="G425" s="95"/>
      <c r="H425" s="82"/>
    </row>
    <row r="426" spans="1:8" x14ac:dyDescent="0.4">
      <c r="A426" s="96"/>
      <c r="B426" s="97"/>
      <c r="C426" s="13" t="str">
        <f>C421</f>
        <v xml:space="preserve">Measured, </v>
      </c>
      <c r="D426" s="43"/>
      <c r="E426" s="43"/>
      <c r="F426" s="98"/>
      <c r="G426" s="95"/>
      <c r="H426" s="82"/>
    </row>
    <row r="427" spans="1:8" x14ac:dyDescent="0.4">
      <c r="A427" s="96"/>
      <c r="B427" s="97"/>
      <c r="C427" s="13" t="s">
        <v>186</v>
      </c>
      <c r="D427" s="2" t="e">
        <f>(D426-D422)/D422*100</f>
        <v>#N/A</v>
      </c>
      <c r="E427" s="2" t="e">
        <f>(E426-E422)/E422*100</f>
        <v>#N/A</v>
      </c>
      <c r="F427" s="98"/>
      <c r="G427" s="95"/>
      <c r="H427" s="82"/>
    </row>
    <row r="428" spans="1:8" x14ac:dyDescent="0.4">
      <c r="A428" s="96"/>
      <c r="B428" s="97"/>
      <c r="C428" s="42" t="s">
        <v>215</v>
      </c>
      <c r="D428" s="43"/>
      <c r="E428" s="43"/>
      <c r="F428" s="98"/>
      <c r="G428" s="95"/>
      <c r="H428" s="82"/>
    </row>
    <row r="429" spans="1:8" x14ac:dyDescent="0.4">
      <c r="A429" s="96"/>
      <c r="B429" s="97"/>
      <c r="C429" s="13" t="s">
        <v>187</v>
      </c>
      <c r="D429" s="2" t="e">
        <f>INDEX('Equipment list'!$B$189:$B$220, (MATCH(A428,'Equipment list'!$D$189:$D$220,0)),1)</f>
        <v>#N/A</v>
      </c>
      <c r="E429" s="2" t="e">
        <f>INDEX('Equipment list'!$C$189:$C$220, (MATCH(A428,'Equipment list'!$D$189:$D$220,0)),1)</f>
        <v>#N/A</v>
      </c>
      <c r="F429" s="98"/>
      <c r="G429" s="95"/>
      <c r="H429" s="82"/>
    </row>
    <row r="430" spans="1:8" x14ac:dyDescent="0.4">
      <c r="A430" s="96"/>
      <c r="B430" s="97"/>
      <c r="C430" s="13" t="s">
        <v>186</v>
      </c>
      <c r="D430" s="2" t="e">
        <f>(D428-D429)/D429*100</f>
        <v>#N/A</v>
      </c>
      <c r="E430" s="2" t="e">
        <f>(E428-E429)/E429*100</f>
        <v>#N/A</v>
      </c>
      <c r="F430" s="98"/>
      <c r="G430" s="95"/>
      <c r="H430" s="82"/>
    </row>
    <row r="431" spans="1:8" x14ac:dyDescent="0.4">
      <c r="A431" s="96"/>
      <c r="B431" s="97"/>
      <c r="C431" s="13" t="str">
        <f>C428</f>
        <v xml:space="preserve">Measured, </v>
      </c>
      <c r="D431" s="43"/>
      <c r="E431" s="43"/>
      <c r="F431" s="98"/>
      <c r="G431" s="95"/>
      <c r="H431" s="82"/>
    </row>
    <row r="432" spans="1:8" x14ac:dyDescent="0.4">
      <c r="A432" s="96"/>
      <c r="B432" s="97"/>
      <c r="C432" s="13" t="s">
        <v>186</v>
      </c>
      <c r="D432" s="2" t="e">
        <f>(D431-D429)/D429*100</f>
        <v>#N/A</v>
      </c>
      <c r="E432" s="2" t="e">
        <f>(E431-E429)/E429*100</f>
        <v>#N/A</v>
      </c>
      <c r="F432" s="98"/>
      <c r="G432" s="95"/>
      <c r="H432" s="82"/>
    </row>
    <row r="433" spans="1:8" x14ac:dyDescent="0.4">
      <c r="A433" s="96"/>
      <c r="B433" s="97"/>
      <c r="C433" s="13" t="str">
        <f>C428</f>
        <v xml:space="preserve">Measured, </v>
      </c>
      <c r="D433" s="43"/>
      <c r="E433" s="43"/>
      <c r="F433" s="98"/>
      <c r="G433" s="95"/>
      <c r="H433" s="82"/>
    </row>
    <row r="434" spans="1:8" x14ac:dyDescent="0.4">
      <c r="A434" s="96"/>
      <c r="B434" s="97"/>
      <c r="C434" s="13" t="s">
        <v>186</v>
      </c>
      <c r="D434" s="2" t="e">
        <f>(D433-D429)/D429*100</f>
        <v>#N/A</v>
      </c>
      <c r="E434" s="2" t="e">
        <f>(E433-E429)/E429*100</f>
        <v>#N/A</v>
      </c>
      <c r="F434" s="98"/>
      <c r="G434" s="95"/>
      <c r="H434" s="82"/>
    </row>
    <row r="435" spans="1:8" x14ac:dyDescent="0.4">
      <c r="A435" s="96"/>
      <c r="B435" s="97"/>
      <c r="C435" s="42" t="s">
        <v>215</v>
      </c>
      <c r="D435" s="43"/>
      <c r="E435" s="43"/>
      <c r="F435" s="98"/>
      <c r="G435" s="95"/>
      <c r="H435" s="82"/>
    </row>
    <row r="436" spans="1:8" x14ac:dyDescent="0.4">
      <c r="A436" s="96"/>
      <c r="B436" s="97"/>
      <c r="C436" s="13" t="s">
        <v>187</v>
      </c>
      <c r="D436" s="2" t="e">
        <f>INDEX('Equipment list'!$B$189:$B$220, (MATCH(A435,'Equipment list'!$D$189:$D$220,0)),1)</f>
        <v>#N/A</v>
      </c>
      <c r="E436" s="2" t="e">
        <f>INDEX('Equipment list'!$C$189:$C$220, (MATCH(A435,'Equipment list'!$D$189:$D$220,0)),1)</f>
        <v>#N/A</v>
      </c>
      <c r="F436" s="98"/>
      <c r="G436" s="95"/>
      <c r="H436" s="82"/>
    </row>
    <row r="437" spans="1:8" x14ac:dyDescent="0.4">
      <c r="A437" s="96"/>
      <c r="B437" s="97"/>
      <c r="C437" s="13" t="s">
        <v>186</v>
      </c>
      <c r="D437" s="2" t="e">
        <f>(D435-D436)/D436*100</f>
        <v>#N/A</v>
      </c>
      <c r="E437" s="2" t="e">
        <f>(E435-E436)/E436*100</f>
        <v>#N/A</v>
      </c>
      <c r="F437" s="98"/>
      <c r="G437" s="95"/>
      <c r="H437" s="82"/>
    </row>
    <row r="438" spans="1:8" x14ac:dyDescent="0.4">
      <c r="A438" s="96"/>
      <c r="B438" s="97"/>
      <c r="C438" s="13" t="str">
        <f>C435</f>
        <v xml:space="preserve">Measured, </v>
      </c>
      <c r="D438" s="43"/>
      <c r="E438" s="43"/>
      <c r="F438" s="98"/>
      <c r="G438" s="95"/>
      <c r="H438" s="82"/>
    </row>
    <row r="439" spans="1:8" x14ac:dyDescent="0.4">
      <c r="A439" s="96"/>
      <c r="B439" s="97"/>
      <c r="C439" s="13" t="s">
        <v>186</v>
      </c>
      <c r="D439" s="2" t="e">
        <f>(D438-D436)/D436*100</f>
        <v>#N/A</v>
      </c>
      <c r="E439" s="2" t="e">
        <f>(E438-E436)/E436*100</f>
        <v>#N/A</v>
      </c>
      <c r="F439" s="98"/>
      <c r="G439" s="95"/>
      <c r="H439" s="82"/>
    </row>
    <row r="440" spans="1:8" x14ac:dyDescent="0.4">
      <c r="A440" s="96"/>
      <c r="B440" s="97"/>
      <c r="C440" s="13" t="str">
        <f>C435</f>
        <v xml:space="preserve">Measured, </v>
      </c>
      <c r="D440" s="43"/>
      <c r="E440" s="43"/>
      <c r="F440" s="98"/>
      <c r="G440" s="95"/>
      <c r="H440" s="82"/>
    </row>
    <row r="441" spans="1:8" x14ac:dyDescent="0.4">
      <c r="A441" s="96"/>
      <c r="B441" s="97"/>
      <c r="C441" s="13" t="s">
        <v>186</v>
      </c>
      <c r="D441" s="2" t="e">
        <f>(D440-D436)/D436*100</f>
        <v>#N/A</v>
      </c>
      <c r="E441" s="2" t="e">
        <f>(E440-E436)/E436*100</f>
        <v>#N/A</v>
      </c>
      <c r="F441" s="98"/>
      <c r="G441" s="95"/>
      <c r="H441" s="82"/>
    </row>
    <row r="442" spans="1:8" x14ac:dyDescent="0.4">
      <c r="A442" s="96"/>
      <c r="B442" s="97"/>
      <c r="C442" s="42" t="s">
        <v>215</v>
      </c>
      <c r="D442" s="43"/>
      <c r="E442" s="43"/>
      <c r="F442" s="98"/>
      <c r="G442" s="95"/>
      <c r="H442" s="82"/>
    </row>
    <row r="443" spans="1:8" x14ac:dyDescent="0.4">
      <c r="A443" s="96"/>
      <c r="B443" s="97"/>
      <c r="C443" s="13" t="s">
        <v>187</v>
      </c>
      <c r="D443" s="2" t="e">
        <f>INDEX('Equipment list'!$B$189:$B$220, (MATCH(A442,'Equipment list'!$D$189:$D$220,0)),1)</f>
        <v>#N/A</v>
      </c>
      <c r="E443" s="2" t="e">
        <f>INDEX('Equipment list'!$C$189:$C$220, (MATCH(A442,'Equipment list'!$D$189:$D$220,0)),1)</f>
        <v>#N/A</v>
      </c>
      <c r="F443" s="98"/>
      <c r="G443" s="95"/>
      <c r="H443" s="82"/>
    </row>
    <row r="444" spans="1:8" x14ac:dyDescent="0.4">
      <c r="A444" s="96"/>
      <c r="B444" s="97"/>
      <c r="C444" s="13" t="s">
        <v>186</v>
      </c>
      <c r="D444" s="2" t="e">
        <f>(D442-D443)/D443*100</f>
        <v>#N/A</v>
      </c>
      <c r="E444" s="2" t="e">
        <f>(E442-E443)/E443*100</f>
        <v>#N/A</v>
      </c>
      <c r="F444" s="98"/>
      <c r="G444" s="95"/>
      <c r="H444" s="82"/>
    </row>
    <row r="445" spans="1:8" x14ac:dyDescent="0.4">
      <c r="A445" s="96"/>
      <c r="B445" s="97"/>
      <c r="C445" s="13" t="str">
        <f>C442</f>
        <v xml:space="preserve">Measured, </v>
      </c>
      <c r="D445" s="43"/>
      <c r="E445" s="43"/>
      <c r="F445" s="98"/>
      <c r="G445" s="95"/>
      <c r="H445" s="82"/>
    </row>
    <row r="446" spans="1:8" x14ac:dyDescent="0.4">
      <c r="A446" s="96"/>
      <c r="B446" s="97"/>
      <c r="C446" s="13" t="s">
        <v>186</v>
      </c>
      <c r="D446" s="2" t="e">
        <f>(D445-D443)/D443*100</f>
        <v>#N/A</v>
      </c>
      <c r="E446" s="2" t="e">
        <f>(E445-E443)/E443*100</f>
        <v>#N/A</v>
      </c>
      <c r="F446" s="98"/>
      <c r="G446" s="95"/>
      <c r="H446" s="82"/>
    </row>
    <row r="447" spans="1:8" x14ac:dyDescent="0.4">
      <c r="A447" s="96"/>
      <c r="B447" s="97"/>
      <c r="C447" s="13" t="str">
        <f>C442</f>
        <v xml:space="preserve">Measured, </v>
      </c>
      <c r="D447" s="43"/>
      <c r="E447" s="43"/>
      <c r="F447" s="98"/>
      <c r="G447" s="95"/>
      <c r="H447" s="82"/>
    </row>
    <row r="448" spans="1:8" x14ac:dyDescent="0.4">
      <c r="A448" s="96"/>
      <c r="B448" s="97"/>
      <c r="C448" s="13" t="s">
        <v>186</v>
      </c>
      <c r="D448" s="2" t="e">
        <f>(D447-D443)/D443*100</f>
        <v>#N/A</v>
      </c>
      <c r="E448" s="2" t="e">
        <f>(E447-E443)/E443*100</f>
        <v>#N/A</v>
      </c>
      <c r="F448" s="98"/>
      <c r="G448" s="95"/>
      <c r="H448" s="82"/>
    </row>
    <row r="449" spans="1:8" x14ac:dyDescent="0.4">
      <c r="A449" s="96"/>
      <c r="B449" s="97"/>
      <c r="C449" s="42" t="s">
        <v>215</v>
      </c>
      <c r="D449" s="43"/>
      <c r="E449" s="43"/>
      <c r="F449" s="98"/>
      <c r="G449" s="95"/>
      <c r="H449" s="82"/>
    </row>
    <row r="450" spans="1:8" x14ac:dyDescent="0.4">
      <c r="A450" s="96"/>
      <c r="B450" s="97"/>
      <c r="C450" s="13" t="s">
        <v>187</v>
      </c>
      <c r="D450" s="2" t="e">
        <f>INDEX('Equipment list'!$B$189:$B$220, (MATCH(A449,'Equipment list'!$D$189:$D$220,0)),1)</f>
        <v>#N/A</v>
      </c>
      <c r="E450" s="2" t="e">
        <f>INDEX('Equipment list'!$C$189:$C$220, (MATCH(A449,'Equipment list'!$D$189:$D$220,0)),1)</f>
        <v>#N/A</v>
      </c>
      <c r="F450" s="98"/>
      <c r="G450" s="95"/>
      <c r="H450" s="82"/>
    </row>
    <row r="451" spans="1:8" x14ac:dyDescent="0.4">
      <c r="A451" s="96"/>
      <c r="B451" s="97"/>
      <c r="C451" s="13" t="s">
        <v>186</v>
      </c>
      <c r="D451" s="2" t="e">
        <f>(D449-D450)/D450*100</f>
        <v>#N/A</v>
      </c>
      <c r="E451" s="2" t="e">
        <f>(E449-E450)/E450*100</f>
        <v>#N/A</v>
      </c>
      <c r="F451" s="98"/>
      <c r="G451" s="95"/>
      <c r="H451" s="82"/>
    </row>
    <row r="452" spans="1:8" x14ac:dyDescent="0.4">
      <c r="A452" s="96"/>
      <c r="B452" s="97"/>
      <c r="C452" s="13" t="str">
        <f>C449</f>
        <v xml:space="preserve">Measured, </v>
      </c>
      <c r="D452" s="43"/>
      <c r="E452" s="43"/>
      <c r="F452" s="98"/>
      <c r="G452" s="95"/>
      <c r="H452" s="82"/>
    </row>
    <row r="453" spans="1:8" x14ac:dyDescent="0.4">
      <c r="A453" s="96"/>
      <c r="B453" s="97"/>
      <c r="C453" s="13" t="s">
        <v>186</v>
      </c>
      <c r="D453" s="2" t="e">
        <f>(D452-D450)/D450*100</f>
        <v>#N/A</v>
      </c>
      <c r="E453" s="2" t="e">
        <f>(E452-E450)/E450*100</f>
        <v>#N/A</v>
      </c>
      <c r="F453" s="98"/>
      <c r="G453" s="95"/>
      <c r="H453" s="82"/>
    </row>
    <row r="454" spans="1:8" x14ac:dyDescent="0.4">
      <c r="A454" s="96"/>
      <c r="B454" s="97"/>
      <c r="C454" s="13" t="str">
        <f>C449</f>
        <v xml:space="preserve">Measured, </v>
      </c>
      <c r="D454" s="43"/>
      <c r="E454" s="43"/>
      <c r="F454" s="98"/>
      <c r="G454" s="95"/>
      <c r="H454" s="82"/>
    </row>
    <row r="455" spans="1:8" x14ac:dyDescent="0.4">
      <c r="A455" s="96"/>
      <c r="B455" s="97"/>
      <c r="C455" s="13" t="s">
        <v>186</v>
      </c>
      <c r="D455" s="2" t="e">
        <f>(D454-D450)/D450*100</f>
        <v>#N/A</v>
      </c>
      <c r="E455" s="2" t="e">
        <f>(E454-E450)/E450*100</f>
        <v>#N/A</v>
      </c>
      <c r="F455" s="98"/>
      <c r="G455" s="95"/>
      <c r="H455" s="82"/>
    </row>
    <row r="456" spans="1:8" x14ac:dyDescent="0.4">
      <c r="A456" s="96"/>
      <c r="B456" s="97"/>
      <c r="C456" s="42" t="s">
        <v>215</v>
      </c>
      <c r="D456" s="43"/>
      <c r="E456" s="43"/>
      <c r="F456" s="98"/>
      <c r="G456" s="95"/>
      <c r="H456" s="82"/>
    </row>
    <row r="457" spans="1:8" x14ac:dyDescent="0.4">
      <c r="A457" s="96"/>
      <c r="B457" s="97"/>
      <c r="C457" s="13" t="s">
        <v>187</v>
      </c>
      <c r="D457" s="2" t="e">
        <f>INDEX('Equipment list'!$B$189:$B$220, (MATCH(A456,'Equipment list'!$D$189:$D$220,0)),1)</f>
        <v>#N/A</v>
      </c>
      <c r="E457" s="2" t="e">
        <f>INDEX('Equipment list'!$C$189:$C$220, (MATCH(A456,'Equipment list'!$D$189:$D$220,0)),1)</f>
        <v>#N/A</v>
      </c>
      <c r="F457" s="98"/>
      <c r="G457" s="95"/>
      <c r="H457" s="82"/>
    </row>
    <row r="458" spans="1:8" x14ac:dyDescent="0.4">
      <c r="A458" s="96"/>
      <c r="B458" s="97"/>
      <c r="C458" s="13" t="s">
        <v>186</v>
      </c>
      <c r="D458" s="2" t="e">
        <f>(D456-D457)/D457*100</f>
        <v>#N/A</v>
      </c>
      <c r="E458" s="2" t="e">
        <f>(E456-E457)/E457*100</f>
        <v>#N/A</v>
      </c>
      <c r="F458" s="98"/>
      <c r="G458" s="95"/>
      <c r="H458" s="82"/>
    </row>
    <row r="459" spans="1:8" x14ac:dyDescent="0.4">
      <c r="A459" s="96"/>
      <c r="B459" s="97"/>
      <c r="C459" s="13" t="str">
        <f>C456</f>
        <v xml:space="preserve">Measured, </v>
      </c>
      <c r="D459" s="43"/>
      <c r="E459" s="43"/>
      <c r="F459" s="98"/>
      <c r="G459" s="95"/>
      <c r="H459" s="82"/>
    </row>
    <row r="460" spans="1:8" x14ac:dyDescent="0.4">
      <c r="A460" s="96"/>
      <c r="B460" s="97"/>
      <c r="C460" s="13" t="s">
        <v>186</v>
      </c>
      <c r="D460" s="2" t="e">
        <f>(D459-D457)/D457*100</f>
        <v>#N/A</v>
      </c>
      <c r="E460" s="2" t="e">
        <f>(E459-E457)/E457*100</f>
        <v>#N/A</v>
      </c>
      <c r="F460" s="98"/>
      <c r="G460" s="95"/>
      <c r="H460" s="82"/>
    </row>
    <row r="461" spans="1:8" x14ac:dyDescent="0.4">
      <c r="A461" s="96"/>
      <c r="B461" s="97"/>
      <c r="C461" s="13" t="str">
        <f>C456</f>
        <v xml:space="preserve">Measured, </v>
      </c>
      <c r="D461" s="43"/>
      <c r="E461" s="43"/>
      <c r="F461" s="98"/>
      <c r="G461" s="95"/>
      <c r="H461" s="82"/>
    </row>
    <row r="462" spans="1:8" x14ac:dyDescent="0.4">
      <c r="A462" s="96"/>
      <c r="B462" s="97"/>
      <c r="C462" s="13" t="s">
        <v>186</v>
      </c>
      <c r="D462" s="2" t="e">
        <f>(D461-D457)/D457*100</f>
        <v>#N/A</v>
      </c>
      <c r="E462" s="2" t="e">
        <f>(E461-E457)/E457*100</f>
        <v>#N/A</v>
      </c>
      <c r="F462" s="98"/>
      <c r="G462" s="95"/>
      <c r="H462" s="82"/>
    </row>
    <row r="463" spans="1:8" x14ac:dyDescent="0.4">
      <c r="A463" s="96"/>
      <c r="B463" s="97"/>
      <c r="C463" s="42" t="s">
        <v>215</v>
      </c>
      <c r="D463" s="43"/>
      <c r="E463" s="43"/>
      <c r="F463" s="98"/>
      <c r="G463" s="95"/>
      <c r="H463" s="82"/>
    </row>
    <row r="464" spans="1:8" x14ac:dyDescent="0.4">
      <c r="A464" s="96"/>
      <c r="B464" s="97"/>
      <c r="C464" s="13" t="s">
        <v>187</v>
      </c>
      <c r="D464" s="2" t="e">
        <f>INDEX('Equipment list'!$B$189:$B$220, (MATCH(A463,'Equipment list'!$D$189:$D$220,0)),1)</f>
        <v>#N/A</v>
      </c>
      <c r="E464" s="2" t="e">
        <f>INDEX('Equipment list'!$C$189:$C$220, (MATCH(A463,'Equipment list'!$D$189:$D$220,0)),1)</f>
        <v>#N/A</v>
      </c>
      <c r="F464" s="98"/>
      <c r="G464" s="95"/>
      <c r="H464" s="82"/>
    </row>
    <row r="465" spans="1:8" x14ac:dyDescent="0.4">
      <c r="A465" s="96"/>
      <c r="B465" s="97"/>
      <c r="C465" s="13" t="s">
        <v>186</v>
      </c>
      <c r="D465" s="2" t="e">
        <f>(D463-D464)/D464*100</f>
        <v>#N/A</v>
      </c>
      <c r="E465" s="2" t="e">
        <f>(E463-E464)/E464*100</f>
        <v>#N/A</v>
      </c>
      <c r="F465" s="98"/>
      <c r="G465" s="95"/>
      <c r="H465" s="82"/>
    </row>
    <row r="466" spans="1:8" x14ac:dyDescent="0.4">
      <c r="A466" s="96"/>
      <c r="B466" s="97"/>
      <c r="C466" s="13" t="str">
        <f>C463</f>
        <v xml:space="preserve">Measured, </v>
      </c>
      <c r="D466" s="43"/>
      <c r="E466" s="43"/>
      <c r="F466" s="98"/>
      <c r="G466" s="95"/>
      <c r="H466" s="82"/>
    </row>
    <row r="467" spans="1:8" x14ac:dyDescent="0.4">
      <c r="A467" s="96"/>
      <c r="B467" s="97"/>
      <c r="C467" s="13" t="s">
        <v>186</v>
      </c>
      <c r="D467" s="2" t="e">
        <f>(D466-D464)/D464*100</f>
        <v>#N/A</v>
      </c>
      <c r="E467" s="2" t="e">
        <f>(E466-E464)/E464*100</f>
        <v>#N/A</v>
      </c>
      <c r="F467" s="98"/>
      <c r="G467" s="95"/>
      <c r="H467" s="82"/>
    </row>
    <row r="468" spans="1:8" x14ac:dyDescent="0.4">
      <c r="A468" s="96"/>
      <c r="B468" s="97"/>
      <c r="C468" s="13" t="str">
        <f>C463</f>
        <v xml:space="preserve">Measured, </v>
      </c>
      <c r="D468" s="43"/>
      <c r="E468" s="43"/>
      <c r="F468" s="98"/>
      <c r="G468" s="95"/>
      <c r="H468" s="82"/>
    </row>
    <row r="469" spans="1:8" x14ac:dyDescent="0.4">
      <c r="A469" s="96"/>
      <c r="B469" s="97"/>
      <c r="C469" s="13" t="s">
        <v>186</v>
      </c>
      <c r="D469" s="2" t="e">
        <f>(D468-D464)/D464*100</f>
        <v>#N/A</v>
      </c>
      <c r="E469" s="2" t="e">
        <f>(E468-E464)/E464*100</f>
        <v>#N/A</v>
      </c>
      <c r="F469" s="98"/>
      <c r="G469" s="95"/>
      <c r="H469" s="82"/>
    </row>
    <row r="470" spans="1:8" x14ac:dyDescent="0.4">
      <c r="A470" s="96"/>
      <c r="B470" s="97"/>
      <c r="C470" s="42" t="s">
        <v>215</v>
      </c>
      <c r="D470" s="43"/>
      <c r="E470" s="43"/>
      <c r="F470" s="98"/>
      <c r="G470" s="95"/>
      <c r="H470" s="82"/>
    </row>
    <row r="471" spans="1:8" x14ac:dyDescent="0.4">
      <c r="A471" s="96"/>
      <c r="B471" s="97"/>
      <c r="C471" s="13" t="s">
        <v>187</v>
      </c>
      <c r="D471" s="2" t="e">
        <f>INDEX('Equipment list'!$B$189:$B$220, (MATCH(A470,'Equipment list'!$D$189:$D$220,0)),1)</f>
        <v>#N/A</v>
      </c>
      <c r="E471" s="2" t="e">
        <f>INDEX('Equipment list'!$C$189:$C$220, (MATCH(A470,'Equipment list'!$D$189:$D$220,0)),1)</f>
        <v>#N/A</v>
      </c>
      <c r="F471" s="98"/>
      <c r="G471" s="95"/>
      <c r="H471" s="82"/>
    </row>
    <row r="472" spans="1:8" x14ac:dyDescent="0.4">
      <c r="A472" s="96"/>
      <c r="B472" s="97"/>
      <c r="C472" s="13" t="s">
        <v>186</v>
      </c>
      <c r="D472" s="2" t="e">
        <f>(D470-D471)/D471*100</f>
        <v>#N/A</v>
      </c>
      <c r="E472" s="2" t="e">
        <f>(E470-E471)/E471*100</f>
        <v>#N/A</v>
      </c>
      <c r="F472" s="98"/>
      <c r="G472" s="95"/>
      <c r="H472" s="82"/>
    </row>
    <row r="473" spans="1:8" x14ac:dyDescent="0.4">
      <c r="A473" s="96"/>
      <c r="B473" s="97"/>
      <c r="C473" s="13" t="str">
        <f>C470</f>
        <v xml:space="preserve">Measured, </v>
      </c>
      <c r="D473" s="43"/>
      <c r="E473" s="43"/>
      <c r="F473" s="98"/>
      <c r="G473" s="95"/>
      <c r="H473" s="82"/>
    </row>
    <row r="474" spans="1:8" x14ac:dyDescent="0.4">
      <c r="A474" s="96"/>
      <c r="B474" s="97"/>
      <c r="C474" s="13" t="s">
        <v>186</v>
      </c>
      <c r="D474" s="2" t="e">
        <f>(D473-D471)/D471*100</f>
        <v>#N/A</v>
      </c>
      <c r="E474" s="2" t="e">
        <f>(E473-E471)/E471*100</f>
        <v>#N/A</v>
      </c>
      <c r="F474" s="98"/>
      <c r="G474" s="95"/>
      <c r="H474" s="82"/>
    </row>
    <row r="475" spans="1:8" x14ac:dyDescent="0.4">
      <c r="A475" s="96"/>
      <c r="B475" s="97"/>
      <c r="C475" s="13" t="str">
        <f>C470</f>
        <v xml:space="preserve">Measured, </v>
      </c>
      <c r="D475" s="43"/>
      <c r="E475" s="43"/>
      <c r="F475" s="98"/>
      <c r="G475" s="95"/>
      <c r="H475" s="82"/>
    </row>
    <row r="476" spans="1:8" x14ac:dyDescent="0.4">
      <c r="A476" s="96"/>
      <c r="B476" s="97"/>
      <c r="C476" s="13" t="s">
        <v>186</v>
      </c>
      <c r="D476" s="2" t="e">
        <f>(D475-D471)/D471*100</f>
        <v>#N/A</v>
      </c>
      <c r="E476" s="2" t="e">
        <f>(E475-E471)/E471*100</f>
        <v>#N/A</v>
      </c>
      <c r="F476" s="98"/>
      <c r="G476" s="95"/>
      <c r="H476" s="82"/>
    </row>
    <row r="477" spans="1:8" x14ac:dyDescent="0.4">
      <c r="A477" s="96"/>
      <c r="B477" s="97"/>
      <c r="C477" s="42" t="s">
        <v>215</v>
      </c>
      <c r="D477" s="43"/>
      <c r="E477" s="43"/>
      <c r="F477" s="98"/>
      <c r="G477" s="95"/>
      <c r="H477" s="82"/>
    </row>
    <row r="478" spans="1:8" x14ac:dyDescent="0.4">
      <c r="A478" s="96"/>
      <c r="B478" s="97"/>
      <c r="C478" s="13" t="s">
        <v>187</v>
      </c>
      <c r="D478" s="2" t="e">
        <f>INDEX('Equipment list'!$B$189:$B$220, (MATCH(A477,'Equipment list'!$D$189:$D$220,0)),1)</f>
        <v>#N/A</v>
      </c>
      <c r="E478" s="2" t="e">
        <f>INDEX('Equipment list'!$C$189:$C$220, (MATCH(A477,'Equipment list'!$D$189:$D$220,0)),1)</f>
        <v>#N/A</v>
      </c>
      <c r="F478" s="98"/>
      <c r="G478" s="95"/>
      <c r="H478" s="82"/>
    </row>
    <row r="479" spans="1:8" x14ac:dyDescent="0.4">
      <c r="A479" s="96"/>
      <c r="B479" s="97"/>
      <c r="C479" s="13" t="s">
        <v>186</v>
      </c>
      <c r="D479" s="2" t="e">
        <f>(D477-D478)/D478*100</f>
        <v>#N/A</v>
      </c>
      <c r="E479" s="2" t="e">
        <f>(E477-E478)/E478*100</f>
        <v>#N/A</v>
      </c>
      <c r="F479" s="98"/>
      <c r="G479" s="95"/>
      <c r="H479" s="82"/>
    </row>
    <row r="480" spans="1:8" x14ac:dyDescent="0.4">
      <c r="A480" s="96"/>
      <c r="B480" s="97"/>
      <c r="C480" s="13" t="str">
        <f>C477</f>
        <v xml:space="preserve">Measured, </v>
      </c>
      <c r="D480" s="43"/>
      <c r="E480" s="43"/>
      <c r="F480" s="98"/>
      <c r="G480" s="95"/>
      <c r="H480" s="82"/>
    </row>
    <row r="481" spans="1:8" x14ac:dyDescent="0.4">
      <c r="A481" s="96"/>
      <c r="B481" s="97"/>
      <c r="C481" s="13" t="s">
        <v>186</v>
      </c>
      <c r="D481" s="2" t="e">
        <f>(D480-D478)/D478*100</f>
        <v>#N/A</v>
      </c>
      <c r="E481" s="2" t="e">
        <f>(E480-E478)/E478*100</f>
        <v>#N/A</v>
      </c>
      <c r="F481" s="98"/>
      <c r="G481" s="95"/>
      <c r="H481" s="82"/>
    </row>
    <row r="482" spans="1:8" x14ac:dyDescent="0.4">
      <c r="A482" s="96"/>
      <c r="B482" s="97"/>
      <c r="C482" s="13" t="str">
        <f>C477</f>
        <v xml:space="preserve">Measured, </v>
      </c>
      <c r="D482" s="43"/>
      <c r="E482" s="43"/>
      <c r="F482" s="98"/>
      <c r="G482" s="95"/>
      <c r="H482" s="82"/>
    </row>
    <row r="483" spans="1:8" x14ac:dyDescent="0.4">
      <c r="A483" s="96"/>
      <c r="B483" s="97"/>
      <c r="C483" s="13" t="s">
        <v>186</v>
      </c>
      <c r="D483" s="2" t="e">
        <f>(D482-D478)/D478*100</f>
        <v>#N/A</v>
      </c>
      <c r="E483" s="2" t="e">
        <f>(E482-E478)/E478*100</f>
        <v>#N/A</v>
      </c>
      <c r="F483" s="98"/>
      <c r="G483" s="95"/>
      <c r="H483" s="82"/>
    </row>
    <row r="484" spans="1:8" x14ac:dyDescent="0.4">
      <c r="A484" s="96"/>
      <c r="B484" s="97"/>
      <c r="C484" s="42" t="s">
        <v>215</v>
      </c>
      <c r="D484" s="43"/>
      <c r="E484" s="43"/>
      <c r="F484" s="98"/>
      <c r="G484" s="95"/>
      <c r="H484" s="82"/>
    </row>
    <row r="485" spans="1:8" x14ac:dyDescent="0.4">
      <c r="A485" s="96"/>
      <c r="B485" s="97"/>
      <c r="C485" s="13" t="s">
        <v>187</v>
      </c>
      <c r="D485" s="2" t="e">
        <f>INDEX('Equipment list'!$B$189:$B$220, (MATCH(A484,'Equipment list'!$D$189:$D$220,0)),1)</f>
        <v>#N/A</v>
      </c>
      <c r="E485" s="2" t="e">
        <f>INDEX('Equipment list'!$C$189:$C$220, (MATCH(A484,'Equipment list'!$D$189:$D$220,0)),1)</f>
        <v>#N/A</v>
      </c>
      <c r="F485" s="98"/>
      <c r="G485" s="95"/>
      <c r="H485" s="82"/>
    </row>
    <row r="486" spans="1:8" x14ac:dyDescent="0.4">
      <c r="A486" s="96"/>
      <c r="B486" s="97"/>
      <c r="C486" s="13" t="s">
        <v>186</v>
      </c>
      <c r="D486" s="2" t="e">
        <f>(D484-D485)/D485*100</f>
        <v>#N/A</v>
      </c>
      <c r="E486" s="2" t="e">
        <f>(E484-E485)/E485*100</f>
        <v>#N/A</v>
      </c>
      <c r="F486" s="98"/>
      <c r="G486" s="95"/>
      <c r="H486" s="82"/>
    </row>
    <row r="487" spans="1:8" x14ac:dyDescent="0.4">
      <c r="A487" s="96"/>
      <c r="B487" s="97"/>
      <c r="C487" s="13" t="str">
        <f>C484</f>
        <v xml:space="preserve">Measured, </v>
      </c>
      <c r="D487" s="43"/>
      <c r="E487" s="43"/>
      <c r="F487" s="98"/>
      <c r="G487" s="95"/>
      <c r="H487" s="82"/>
    </row>
    <row r="488" spans="1:8" x14ac:dyDescent="0.4">
      <c r="A488" s="96"/>
      <c r="B488" s="97"/>
      <c r="C488" s="13" t="s">
        <v>186</v>
      </c>
      <c r="D488" s="2" t="e">
        <f>(D487-D485)/D485*100</f>
        <v>#N/A</v>
      </c>
      <c r="E488" s="2" t="e">
        <f>(E487-E485)/E485*100</f>
        <v>#N/A</v>
      </c>
      <c r="F488" s="98"/>
      <c r="G488" s="95"/>
      <c r="H488" s="82"/>
    </row>
    <row r="489" spans="1:8" x14ac:dyDescent="0.4">
      <c r="A489" s="96"/>
      <c r="B489" s="97"/>
      <c r="C489" s="13" t="str">
        <f>C484</f>
        <v xml:space="preserve">Measured, </v>
      </c>
      <c r="D489" s="43"/>
      <c r="E489" s="43"/>
      <c r="F489" s="98"/>
      <c r="G489" s="95"/>
      <c r="H489" s="82"/>
    </row>
    <row r="490" spans="1:8" x14ac:dyDescent="0.4">
      <c r="A490" s="96"/>
      <c r="B490" s="97"/>
      <c r="C490" s="13" t="s">
        <v>186</v>
      </c>
      <c r="D490" s="2" t="e">
        <f>(D489-D485)/D485*100</f>
        <v>#N/A</v>
      </c>
      <c r="E490" s="2" t="e">
        <f>(E489-E485)/E485*100</f>
        <v>#N/A</v>
      </c>
      <c r="F490" s="98"/>
      <c r="G490" s="95"/>
      <c r="H490" s="82"/>
    </row>
    <row r="491" spans="1:8" x14ac:dyDescent="0.4">
      <c r="A491" s="96"/>
      <c r="B491" s="97"/>
      <c r="C491" s="42" t="s">
        <v>215</v>
      </c>
      <c r="D491" s="43"/>
      <c r="E491" s="43"/>
      <c r="F491" s="98"/>
      <c r="G491" s="95"/>
      <c r="H491" s="82"/>
    </row>
    <row r="492" spans="1:8" x14ac:dyDescent="0.4">
      <c r="A492" s="96"/>
      <c r="B492" s="97"/>
      <c r="C492" s="13" t="s">
        <v>187</v>
      </c>
      <c r="D492" s="2" t="e">
        <f>INDEX('Equipment list'!$B$189:$B$220, (MATCH(A491,'Equipment list'!$D$189:$D$220,0)),1)</f>
        <v>#N/A</v>
      </c>
      <c r="E492" s="2" t="e">
        <f>INDEX('Equipment list'!$C$189:$C$220, (MATCH(A491,'Equipment list'!$D$189:$D$220,0)),1)</f>
        <v>#N/A</v>
      </c>
      <c r="F492" s="98"/>
      <c r="G492" s="95"/>
      <c r="H492" s="82"/>
    </row>
    <row r="493" spans="1:8" x14ac:dyDescent="0.4">
      <c r="A493" s="96"/>
      <c r="B493" s="97"/>
      <c r="C493" s="13" t="s">
        <v>186</v>
      </c>
      <c r="D493" s="2" t="e">
        <f>(D491-D492)/D492*100</f>
        <v>#N/A</v>
      </c>
      <c r="E493" s="2" t="e">
        <f>(E491-E492)/E492*100</f>
        <v>#N/A</v>
      </c>
      <c r="F493" s="98"/>
      <c r="G493" s="95"/>
      <c r="H493" s="82"/>
    </row>
    <row r="494" spans="1:8" x14ac:dyDescent="0.4">
      <c r="A494" s="96"/>
      <c r="B494" s="97"/>
      <c r="C494" s="13" t="str">
        <f>C491</f>
        <v xml:space="preserve">Measured, </v>
      </c>
      <c r="D494" s="43"/>
      <c r="E494" s="43"/>
      <c r="F494" s="98"/>
      <c r="G494" s="95"/>
      <c r="H494" s="82"/>
    </row>
    <row r="495" spans="1:8" x14ac:dyDescent="0.4">
      <c r="A495" s="96"/>
      <c r="B495" s="97"/>
      <c r="C495" s="13" t="s">
        <v>186</v>
      </c>
      <c r="D495" s="2" t="e">
        <f>(D494-D492)/D492*100</f>
        <v>#N/A</v>
      </c>
      <c r="E495" s="2" t="e">
        <f>(E494-E492)/E492*100</f>
        <v>#N/A</v>
      </c>
      <c r="F495" s="98"/>
      <c r="G495" s="95"/>
      <c r="H495" s="82"/>
    </row>
    <row r="496" spans="1:8" x14ac:dyDescent="0.4">
      <c r="A496" s="96"/>
      <c r="B496" s="97"/>
      <c r="C496" s="13" t="str">
        <f>C491</f>
        <v xml:space="preserve">Measured, </v>
      </c>
      <c r="D496" s="43"/>
      <c r="E496" s="43"/>
      <c r="F496" s="98"/>
      <c r="G496" s="95"/>
      <c r="H496" s="82"/>
    </row>
    <row r="497" spans="1:8" x14ac:dyDescent="0.4">
      <c r="A497" s="96"/>
      <c r="B497" s="97"/>
      <c r="C497" s="13" t="s">
        <v>186</v>
      </c>
      <c r="D497" s="2" t="e">
        <f>(D496-D492)/D492*100</f>
        <v>#N/A</v>
      </c>
      <c r="E497" s="2" t="e">
        <f>(E496-E492)/E492*100</f>
        <v>#N/A</v>
      </c>
      <c r="F497" s="98"/>
      <c r="G497" s="95"/>
      <c r="H497" s="82"/>
    </row>
    <row r="498" spans="1:8" x14ac:dyDescent="0.4">
      <c r="A498" s="96"/>
      <c r="B498" s="97"/>
      <c r="C498" s="42" t="s">
        <v>215</v>
      </c>
      <c r="D498" s="43"/>
      <c r="E498" s="43"/>
      <c r="F498" s="98"/>
      <c r="G498" s="95"/>
      <c r="H498" s="82"/>
    </row>
    <row r="499" spans="1:8" x14ac:dyDescent="0.4">
      <c r="A499" s="96"/>
      <c r="B499" s="97"/>
      <c r="C499" s="13" t="s">
        <v>187</v>
      </c>
      <c r="D499" s="2" t="e">
        <f>INDEX('Equipment list'!$B$189:$B$220, (MATCH(A498,'Equipment list'!$D$189:$D$220,0)),1)</f>
        <v>#N/A</v>
      </c>
      <c r="E499" s="2" t="e">
        <f>INDEX('Equipment list'!$C$189:$C$220, (MATCH(A498,'Equipment list'!$D$189:$D$220,0)),1)</f>
        <v>#N/A</v>
      </c>
      <c r="F499" s="98"/>
      <c r="G499" s="95"/>
      <c r="H499" s="82"/>
    </row>
    <row r="500" spans="1:8" x14ac:dyDescent="0.4">
      <c r="A500" s="96"/>
      <c r="B500" s="97"/>
      <c r="C500" s="13" t="s">
        <v>186</v>
      </c>
      <c r="D500" s="2" t="e">
        <f>(D498-D499)/D499*100</f>
        <v>#N/A</v>
      </c>
      <c r="E500" s="2" t="e">
        <f>(E498-E499)/E499*100</f>
        <v>#N/A</v>
      </c>
      <c r="F500" s="98"/>
      <c r="G500" s="95"/>
      <c r="H500" s="82"/>
    </row>
    <row r="501" spans="1:8" x14ac:dyDescent="0.4">
      <c r="A501" s="96"/>
      <c r="B501" s="97"/>
      <c r="C501" s="13" t="str">
        <f>C498</f>
        <v xml:space="preserve">Measured, </v>
      </c>
      <c r="D501" s="43"/>
      <c r="E501" s="43"/>
      <c r="F501" s="98"/>
      <c r="G501" s="95"/>
      <c r="H501" s="82"/>
    </row>
    <row r="502" spans="1:8" x14ac:dyDescent="0.4">
      <c r="A502" s="96"/>
      <c r="B502" s="97"/>
      <c r="C502" s="13" t="s">
        <v>186</v>
      </c>
      <c r="D502" s="2" t="e">
        <f>(D501-D499)/D499*100</f>
        <v>#N/A</v>
      </c>
      <c r="E502" s="2" t="e">
        <f>(E501-E499)/E499*100</f>
        <v>#N/A</v>
      </c>
      <c r="F502" s="98"/>
      <c r="G502" s="95"/>
      <c r="H502" s="82"/>
    </row>
    <row r="503" spans="1:8" x14ac:dyDescent="0.4">
      <c r="A503" s="96"/>
      <c r="B503" s="97"/>
      <c r="C503" s="13" t="str">
        <f>C498</f>
        <v xml:space="preserve">Measured, </v>
      </c>
      <c r="D503" s="43"/>
      <c r="E503" s="43"/>
      <c r="F503" s="98"/>
      <c r="G503" s="95"/>
      <c r="H503" s="82"/>
    </row>
    <row r="504" spans="1:8" x14ac:dyDescent="0.4">
      <c r="A504" s="96"/>
      <c r="B504" s="97"/>
      <c r="C504" s="13" t="s">
        <v>186</v>
      </c>
      <c r="D504" s="2" t="e">
        <f>(D503-D499)/D499*100</f>
        <v>#N/A</v>
      </c>
      <c r="E504" s="2" t="e">
        <f>(E503-E499)/E499*100</f>
        <v>#N/A</v>
      </c>
      <c r="F504" s="98"/>
      <c r="G504" s="95"/>
      <c r="H504" s="82"/>
    </row>
    <row r="505" spans="1:8" x14ac:dyDescent="0.4">
      <c r="A505" s="96"/>
      <c r="B505" s="97"/>
      <c r="C505" s="42" t="s">
        <v>215</v>
      </c>
      <c r="D505" s="43"/>
      <c r="E505" s="43"/>
      <c r="F505" s="98"/>
      <c r="G505" s="95"/>
      <c r="H505" s="82"/>
    </row>
    <row r="506" spans="1:8" x14ac:dyDescent="0.4">
      <c r="A506" s="96"/>
      <c r="B506" s="97"/>
      <c r="C506" s="13" t="s">
        <v>187</v>
      </c>
      <c r="D506" s="2" t="e">
        <f>INDEX('Equipment list'!$B$189:$B$220, (MATCH(A505,'Equipment list'!$D$189:$D$220,0)),1)</f>
        <v>#N/A</v>
      </c>
      <c r="E506" s="2" t="e">
        <f>INDEX('Equipment list'!$C$189:$C$220, (MATCH(A505,'Equipment list'!$D$189:$D$220,0)),1)</f>
        <v>#N/A</v>
      </c>
      <c r="F506" s="98"/>
      <c r="G506" s="95"/>
      <c r="H506" s="82"/>
    </row>
    <row r="507" spans="1:8" x14ac:dyDescent="0.4">
      <c r="A507" s="96"/>
      <c r="B507" s="97"/>
      <c r="C507" s="13" t="s">
        <v>186</v>
      </c>
      <c r="D507" s="2" t="e">
        <f>(D505-D506)/D506*100</f>
        <v>#N/A</v>
      </c>
      <c r="E507" s="2" t="e">
        <f>(E505-E506)/E506*100</f>
        <v>#N/A</v>
      </c>
      <c r="F507" s="98"/>
      <c r="G507" s="95"/>
      <c r="H507" s="82"/>
    </row>
    <row r="508" spans="1:8" x14ac:dyDescent="0.4">
      <c r="A508" s="96"/>
      <c r="B508" s="97"/>
      <c r="C508" s="13" t="str">
        <f>C505</f>
        <v xml:space="preserve">Measured, </v>
      </c>
      <c r="D508" s="43"/>
      <c r="E508" s="43"/>
      <c r="F508" s="98"/>
      <c r="G508" s="95"/>
      <c r="H508" s="82"/>
    </row>
    <row r="509" spans="1:8" x14ac:dyDescent="0.4">
      <c r="A509" s="96"/>
      <c r="B509" s="97"/>
      <c r="C509" s="13" t="s">
        <v>186</v>
      </c>
      <c r="D509" s="2" t="e">
        <f>(D508-D506)/D506*100</f>
        <v>#N/A</v>
      </c>
      <c r="E509" s="2" t="e">
        <f>(E508-E506)/E506*100</f>
        <v>#N/A</v>
      </c>
      <c r="F509" s="98"/>
      <c r="G509" s="95"/>
      <c r="H509" s="82"/>
    </row>
    <row r="510" spans="1:8" x14ac:dyDescent="0.4">
      <c r="A510" s="96"/>
      <c r="B510" s="97"/>
      <c r="C510" s="13" t="str">
        <f>C505</f>
        <v xml:space="preserve">Measured, </v>
      </c>
      <c r="D510" s="43"/>
      <c r="E510" s="43"/>
      <c r="F510" s="98"/>
      <c r="G510" s="95"/>
      <c r="H510" s="82"/>
    </row>
    <row r="511" spans="1:8" x14ac:dyDescent="0.4">
      <c r="A511" s="96"/>
      <c r="B511" s="97"/>
      <c r="C511" s="13" t="s">
        <v>186</v>
      </c>
      <c r="D511" s="2" t="e">
        <f>(D510-D506)/D506*100</f>
        <v>#N/A</v>
      </c>
      <c r="E511" s="2" t="e">
        <f>(E510-E506)/E506*100</f>
        <v>#N/A</v>
      </c>
      <c r="F511" s="98"/>
      <c r="G511" s="95"/>
      <c r="H511" s="82"/>
    </row>
    <row r="512" spans="1:8" x14ac:dyDescent="0.4">
      <c r="A512" s="96"/>
      <c r="B512" s="97"/>
      <c r="C512" s="42" t="s">
        <v>215</v>
      </c>
      <c r="D512" s="43"/>
      <c r="E512" s="43"/>
      <c r="F512" s="98"/>
      <c r="G512" s="95"/>
      <c r="H512" s="82"/>
    </row>
    <row r="513" spans="1:8" x14ac:dyDescent="0.4">
      <c r="A513" s="96"/>
      <c r="B513" s="97"/>
      <c r="C513" s="13" t="s">
        <v>187</v>
      </c>
      <c r="D513" s="2" t="e">
        <f>INDEX('Equipment list'!$B$189:$B$220, (MATCH(A512,'Equipment list'!$D$189:$D$220,0)),1)</f>
        <v>#N/A</v>
      </c>
      <c r="E513" s="2" t="e">
        <f>INDEX('Equipment list'!$C$189:$C$220, (MATCH(A512,'Equipment list'!$D$189:$D$220,0)),1)</f>
        <v>#N/A</v>
      </c>
      <c r="F513" s="98"/>
      <c r="G513" s="95"/>
      <c r="H513" s="82"/>
    </row>
    <row r="514" spans="1:8" x14ac:dyDescent="0.4">
      <c r="A514" s="96"/>
      <c r="B514" s="97"/>
      <c r="C514" s="13" t="s">
        <v>186</v>
      </c>
      <c r="D514" s="2" t="e">
        <f>(D512-D513)/D513*100</f>
        <v>#N/A</v>
      </c>
      <c r="E514" s="2" t="e">
        <f>(E512-E513)/E513*100</f>
        <v>#N/A</v>
      </c>
      <c r="F514" s="98"/>
      <c r="G514" s="95"/>
      <c r="H514" s="82"/>
    </row>
    <row r="515" spans="1:8" x14ac:dyDescent="0.4">
      <c r="A515" s="96"/>
      <c r="B515" s="97"/>
      <c r="C515" s="13" t="str">
        <f>C512</f>
        <v xml:space="preserve">Measured, </v>
      </c>
      <c r="D515" s="43"/>
      <c r="E515" s="43"/>
      <c r="F515" s="98"/>
      <c r="G515" s="95"/>
      <c r="H515" s="82"/>
    </row>
    <row r="516" spans="1:8" x14ac:dyDescent="0.4">
      <c r="A516" s="96"/>
      <c r="B516" s="97"/>
      <c r="C516" s="13" t="s">
        <v>186</v>
      </c>
      <c r="D516" s="2" t="e">
        <f>(D515-D513)/D513*100</f>
        <v>#N/A</v>
      </c>
      <c r="E516" s="2" t="e">
        <f>(E515-E513)/E513*100</f>
        <v>#N/A</v>
      </c>
      <c r="F516" s="98"/>
      <c r="G516" s="95"/>
      <c r="H516" s="82"/>
    </row>
    <row r="517" spans="1:8" x14ac:dyDescent="0.4">
      <c r="A517" s="96"/>
      <c r="B517" s="97"/>
      <c r="C517" s="13" t="str">
        <f>C512</f>
        <v xml:space="preserve">Measured, </v>
      </c>
      <c r="D517" s="43"/>
      <c r="E517" s="43"/>
      <c r="F517" s="98"/>
      <c r="G517" s="95"/>
      <c r="H517" s="82"/>
    </row>
    <row r="518" spans="1:8" x14ac:dyDescent="0.4">
      <c r="A518" s="96"/>
      <c r="B518" s="97"/>
      <c r="C518" s="13" t="s">
        <v>186</v>
      </c>
      <c r="D518" s="2" t="e">
        <f>(D517-D513)/D513*100</f>
        <v>#N/A</v>
      </c>
      <c r="E518" s="2" t="e">
        <f>(E517-E513)/E513*100</f>
        <v>#N/A</v>
      </c>
      <c r="F518" s="98"/>
      <c r="G518" s="95"/>
      <c r="H518" s="82"/>
    </row>
    <row r="519" spans="1:8" x14ac:dyDescent="0.4">
      <c r="A519" s="96"/>
      <c r="B519" s="97"/>
      <c r="C519" s="42" t="s">
        <v>215</v>
      </c>
      <c r="D519" s="43"/>
      <c r="E519" s="43"/>
      <c r="F519" s="98"/>
      <c r="G519" s="95"/>
      <c r="H519" s="82"/>
    </row>
    <row r="520" spans="1:8" x14ac:dyDescent="0.4">
      <c r="A520" s="96"/>
      <c r="B520" s="97"/>
      <c r="C520" s="13" t="s">
        <v>187</v>
      </c>
      <c r="D520" s="2" t="e">
        <f>INDEX('Equipment list'!$B$189:$B$220, (MATCH(A519,'Equipment list'!$D$189:$D$220,0)),1)</f>
        <v>#N/A</v>
      </c>
      <c r="E520" s="2" t="e">
        <f>INDEX('Equipment list'!$C$189:$C$220, (MATCH(A519,'Equipment list'!$D$189:$D$220,0)),1)</f>
        <v>#N/A</v>
      </c>
      <c r="F520" s="98"/>
      <c r="G520" s="95"/>
      <c r="H520" s="82"/>
    </row>
    <row r="521" spans="1:8" x14ac:dyDescent="0.4">
      <c r="A521" s="96"/>
      <c r="B521" s="97"/>
      <c r="C521" s="13" t="s">
        <v>186</v>
      </c>
      <c r="D521" s="2" t="e">
        <f>(D519-D520)/D520*100</f>
        <v>#N/A</v>
      </c>
      <c r="E521" s="2" t="e">
        <f>(E519-E520)/E520*100</f>
        <v>#N/A</v>
      </c>
      <c r="F521" s="98"/>
      <c r="G521" s="95"/>
      <c r="H521" s="82"/>
    </row>
    <row r="522" spans="1:8" x14ac:dyDescent="0.4">
      <c r="A522" s="96"/>
      <c r="B522" s="97"/>
      <c r="C522" s="13" t="str">
        <f>C519</f>
        <v xml:space="preserve">Measured, </v>
      </c>
      <c r="D522" s="43"/>
      <c r="E522" s="43"/>
      <c r="F522" s="98"/>
      <c r="G522" s="95"/>
      <c r="H522" s="82"/>
    </row>
    <row r="523" spans="1:8" x14ac:dyDescent="0.4">
      <c r="A523" s="96"/>
      <c r="B523" s="97"/>
      <c r="C523" s="13" t="s">
        <v>186</v>
      </c>
      <c r="D523" s="2" t="e">
        <f>(D522-D520)/D520*100</f>
        <v>#N/A</v>
      </c>
      <c r="E523" s="2" t="e">
        <f>(E522-E520)/E520*100</f>
        <v>#N/A</v>
      </c>
      <c r="F523" s="98"/>
      <c r="G523" s="95"/>
      <c r="H523" s="82"/>
    </row>
    <row r="524" spans="1:8" x14ac:dyDescent="0.4">
      <c r="A524" s="96"/>
      <c r="B524" s="97"/>
      <c r="C524" s="13" t="str">
        <f>C519</f>
        <v xml:space="preserve">Measured, </v>
      </c>
      <c r="D524" s="43"/>
      <c r="E524" s="43"/>
      <c r="F524" s="98"/>
      <c r="G524" s="95"/>
      <c r="H524" s="82"/>
    </row>
    <row r="525" spans="1:8" x14ac:dyDescent="0.4">
      <c r="A525" s="96"/>
      <c r="B525" s="97"/>
      <c r="C525" s="13" t="s">
        <v>186</v>
      </c>
      <c r="D525" s="2" t="e">
        <f>(D524-D520)/D520*100</f>
        <v>#N/A</v>
      </c>
      <c r="E525" s="2" t="e">
        <f>(E524-E520)/E520*100</f>
        <v>#N/A</v>
      </c>
      <c r="F525" s="98"/>
      <c r="G525" s="95"/>
      <c r="H525" s="82"/>
    </row>
    <row r="526" spans="1:8" x14ac:dyDescent="0.4">
      <c r="A526" s="96"/>
      <c r="B526" s="97"/>
      <c r="C526" s="42" t="s">
        <v>215</v>
      </c>
      <c r="D526" s="43"/>
      <c r="E526" s="43"/>
      <c r="F526" s="98"/>
      <c r="G526" s="95"/>
      <c r="H526" s="82"/>
    </row>
    <row r="527" spans="1:8" x14ac:dyDescent="0.4">
      <c r="A527" s="96"/>
      <c r="B527" s="97"/>
      <c r="C527" s="13" t="s">
        <v>187</v>
      </c>
      <c r="D527" s="2" t="e">
        <f>INDEX('Equipment list'!$B$189:$B$220, (MATCH(A526,'Equipment list'!$D$189:$D$220,0)),1)</f>
        <v>#N/A</v>
      </c>
      <c r="E527" s="2" t="e">
        <f>INDEX('Equipment list'!$C$189:$C$220, (MATCH(A526,'Equipment list'!$D$189:$D$220,0)),1)</f>
        <v>#N/A</v>
      </c>
      <c r="F527" s="98"/>
      <c r="G527" s="95"/>
      <c r="H527" s="82"/>
    </row>
    <row r="528" spans="1:8" x14ac:dyDescent="0.4">
      <c r="A528" s="96"/>
      <c r="B528" s="97"/>
      <c r="C528" s="13" t="s">
        <v>186</v>
      </c>
      <c r="D528" s="2" t="e">
        <f>(D526-D527)/D527*100</f>
        <v>#N/A</v>
      </c>
      <c r="E528" s="2" t="e">
        <f>(E526-E527)/E527*100</f>
        <v>#N/A</v>
      </c>
      <c r="F528" s="98"/>
      <c r="G528" s="95"/>
      <c r="H528" s="82"/>
    </row>
    <row r="529" spans="1:8" x14ac:dyDescent="0.4">
      <c r="A529" s="96"/>
      <c r="B529" s="97"/>
      <c r="C529" s="13" t="str">
        <f>C526</f>
        <v xml:space="preserve">Measured, </v>
      </c>
      <c r="D529" s="43"/>
      <c r="E529" s="43"/>
      <c r="F529" s="98"/>
      <c r="G529" s="95"/>
      <c r="H529" s="82"/>
    </row>
    <row r="530" spans="1:8" x14ac:dyDescent="0.4">
      <c r="A530" s="96"/>
      <c r="B530" s="97"/>
      <c r="C530" s="13" t="s">
        <v>186</v>
      </c>
      <c r="D530" s="2" t="e">
        <f>(D529-D527)/D527*100</f>
        <v>#N/A</v>
      </c>
      <c r="E530" s="2" t="e">
        <f>(E529-E527)/E527*100</f>
        <v>#N/A</v>
      </c>
      <c r="F530" s="98"/>
      <c r="G530" s="95"/>
      <c r="H530" s="82"/>
    </row>
    <row r="531" spans="1:8" x14ac:dyDescent="0.4">
      <c r="A531" s="96"/>
      <c r="B531" s="97"/>
      <c r="C531" s="13" t="str">
        <f>C526</f>
        <v xml:space="preserve">Measured, </v>
      </c>
      <c r="D531" s="43"/>
      <c r="E531" s="43"/>
      <c r="F531" s="98"/>
      <c r="G531" s="95"/>
      <c r="H531" s="82"/>
    </row>
    <row r="532" spans="1:8" x14ac:dyDescent="0.4">
      <c r="A532" s="96"/>
      <c r="B532" s="97"/>
      <c r="C532" s="13" t="s">
        <v>186</v>
      </c>
      <c r="D532" s="2" t="e">
        <f>(D531-D527)/D527*100</f>
        <v>#N/A</v>
      </c>
      <c r="E532" s="2" t="e">
        <f>(E531-E527)/E527*100</f>
        <v>#N/A</v>
      </c>
      <c r="F532" s="98"/>
      <c r="G532" s="95"/>
      <c r="H532" s="82"/>
    </row>
    <row r="533" spans="1:8" x14ac:dyDescent="0.4">
      <c r="A533" s="96"/>
      <c r="B533" s="97"/>
      <c r="C533" s="42" t="s">
        <v>215</v>
      </c>
      <c r="D533" s="43"/>
      <c r="E533" s="43"/>
      <c r="F533" s="98"/>
      <c r="G533" s="95"/>
      <c r="H533" s="82"/>
    </row>
    <row r="534" spans="1:8" x14ac:dyDescent="0.4">
      <c r="A534" s="96"/>
      <c r="B534" s="97"/>
      <c r="C534" s="13" t="s">
        <v>187</v>
      </c>
      <c r="D534" s="2" t="e">
        <f>INDEX('Equipment list'!$B$189:$B$220, (MATCH(A533,'Equipment list'!$D$189:$D$220,0)),1)</f>
        <v>#N/A</v>
      </c>
      <c r="E534" s="2" t="e">
        <f>INDEX('Equipment list'!$C$189:$C$220, (MATCH(A533,'Equipment list'!$D$189:$D$220,0)),1)</f>
        <v>#N/A</v>
      </c>
      <c r="F534" s="98"/>
      <c r="G534" s="95"/>
      <c r="H534" s="82"/>
    </row>
    <row r="535" spans="1:8" x14ac:dyDescent="0.4">
      <c r="A535" s="96"/>
      <c r="B535" s="97"/>
      <c r="C535" s="13" t="s">
        <v>186</v>
      </c>
      <c r="D535" s="2" t="e">
        <f>(D533-D534)/D534*100</f>
        <v>#N/A</v>
      </c>
      <c r="E535" s="2" t="e">
        <f>(E533-E534)/E534*100</f>
        <v>#N/A</v>
      </c>
      <c r="F535" s="98"/>
      <c r="G535" s="95"/>
      <c r="H535" s="82"/>
    </row>
    <row r="536" spans="1:8" x14ac:dyDescent="0.4">
      <c r="A536" s="96"/>
      <c r="B536" s="97"/>
      <c r="C536" s="13" t="str">
        <f>C533</f>
        <v xml:space="preserve">Measured, </v>
      </c>
      <c r="D536" s="43"/>
      <c r="E536" s="43"/>
      <c r="F536" s="98"/>
      <c r="G536" s="95"/>
      <c r="H536" s="82"/>
    </row>
    <row r="537" spans="1:8" x14ac:dyDescent="0.4">
      <c r="A537" s="96"/>
      <c r="B537" s="97"/>
      <c r="C537" s="13" t="s">
        <v>186</v>
      </c>
      <c r="D537" s="2" t="e">
        <f>(D536-D534)/D534*100</f>
        <v>#N/A</v>
      </c>
      <c r="E537" s="2" t="e">
        <f>(E536-E534)/E534*100</f>
        <v>#N/A</v>
      </c>
      <c r="F537" s="98"/>
      <c r="G537" s="95"/>
      <c r="H537" s="82"/>
    </row>
    <row r="538" spans="1:8" x14ac:dyDescent="0.4">
      <c r="A538" s="96"/>
      <c r="B538" s="97"/>
      <c r="C538" s="13" t="str">
        <f>C533</f>
        <v xml:space="preserve">Measured, </v>
      </c>
      <c r="D538" s="43"/>
      <c r="E538" s="43"/>
      <c r="F538" s="98"/>
      <c r="G538" s="95"/>
      <c r="H538" s="82"/>
    </row>
    <row r="539" spans="1:8" x14ac:dyDescent="0.4">
      <c r="A539" s="96"/>
      <c r="B539" s="97"/>
      <c r="C539" s="13" t="s">
        <v>186</v>
      </c>
      <c r="D539" s="2" t="e">
        <f>(D538-D534)/D534*100</f>
        <v>#N/A</v>
      </c>
      <c r="E539" s="2" t="e">
        <f>(E538-E534)/E534*100</f>
        <v>#N/A</v>
      </c>
      <c r="F539" s="98"/>
      <c r="G539" s="95"/>
      <c r="H539" s="82"/>
    </row>
    <row r="540" spans="1:8" x14ac:dyDescent="0.4">
      <c r="A540" s="96"/>
      <c r="B540" s="97"/>
      <c r="C540" s="42" t="s">
        <v>215</v>
      </c>
      <c r="D540" s="43"/>
      <c r="E540" s="43"/>
      <c r="F540" s="98"/>
      <c r="G540" s="95"/>
      <c r="H540" s="82"/>
    </row>
    <row r="541" spans="1:8" x14ac:dyDescent="0.4">
      <c r="A541" s="96"/>
      <c r="B541" s="97"/>
      <c r="C541" s="13" t="s">
        <v>187</v>
      </c>
      <c r="D541" s="2" t="e">
        <f>INDEX('Equipment list'!$B$189:$B$220, (MATCH(A540,'Equipment list'!$D$189:$D$220,0)),1)</f>
        <v>#N/A</v>
      </c>
      <c r="E541" s="2" t="e">
        <f>INDEX('Equipment list'!$C$189:$C$220, (MATCH(A540,'Equipment list'!$D$189:$D$220,0)),1)</f>
        <v>#N/A</v>
      </c>
      <c r="F541" s="98"/>
      <c r="G541" s="95"/>
      <c r="H541" s="82"/>
    </row>
    <row r="542" spans="1:8" x14ac:dyDescent="0.4">
      <c r="A542" s="96"/>
      <c r="B542" s="97"/>
      <c r="C542" s="13" t="s">
        <v>186</v>
      </c>
      <c r="D542" s="2" t="e">
        <f>(D540-D541)/D541*100</f>
        <v>#N/A</v>
      </c>
      <c r="E542" s="2" t="e">
        <f>(E540-E541)/E541*100</f>
        <v>#N/A</v>
      </c>
      <c r="F542" s="98"/>
      <c r="G542" s="95"/>
      <c r="H542" s="82"/>
    </row>
    <row r="543" spans="1:8" x14ac:dyDescent="0.4">
      <c r="A543" s="96"/>
      <c r="B543" s="97"/>
      <c r="C543" s="13" t="str">
        <f>C540</f>
        <v xml:space="preserve">Measured, </v>
      </c>
      <c r="D543" s="43"/>
      <c r="E543" s="43"/>
      <c r="F543" s="98"/>
      <c r="G543" s="95"/>
      <c r="H543" s="82"/>
    </row>
    <row r="544" spans="1:8" x14ac:dyDescent="0.4">
      <c r="A544" s="96"/>
      <c r="B544" s="97"/>
      <c r="C544" s="13" t="s">
        <v>186</v>
      </c>
      <c r="D544" s="2" t="e">
        <f>(D543-D541)/D541*100</f>
        <v>#N/A</v>
      </c>
      <c r="E544" s="2" t="e">
        <f>(E543-E541)/E541*100</f>
        <v>#N/A</v>
      </c>
      <c r="F544" s="98"/>
      <c r="G544" s="95"/>
      <c r="H544" s="82"/>
    </row>
    <row r="545" spans="1:8" x14ac:dyDescent="0.4">
      <c r="A545" s="96"/>
      <c r="B545" s="97"/>
      <c r="C545" s="13" t="str">
        <f>C540</f>
        <v xml:space="preserve">Measured, </v>
      </c>
      <c r="D545" s="43"/>
      <c r="E545" s="43"/>
      <c r="F545" s="98"/>
      <c r="G545" s="95"/>
      <c r="H545" s="82"/>
    </row>
    <row r="546" spans="1:8" x14ac:dyDescent="0.4">
      <c r="A546" s="96"/>
      <c r="B546" s="97"/>
      <c r="C546" s="13" t="s">
        <v>186</v>
      </c>
      <c r="D546" s="2" t="e">
        <f>(D545-D541)/D541*100</f>
        <v>#N/A</v>
      </c>
      <c r="E546" s="2" t="e">
        <f>(E545-E541)/E541*100</f>
        <v>#N/A</v>
      </c>
      <c r="F546" s="98"/>
      <c r="G546" s="95"/>
      <c r="H546" s="82"/>
    </row>
    <row r="547" spans="1:8" x14ac:dyDescent="0.4">
      <c r="A547" s="96"/>
      <c r="B547" s="97"/>
      <c r="C547" s="42" t="s">
        <v>215</v>
      </c>
      <c r="D547" s="43"/>
      <c r="E547" s="43"/>
      <c r="F547" s="98"/>
      <c r="G547" s="95"/>
      <c r="H547" s="82"/>
    </row>
    <row r="548" spans="1:8" x14ac:dyDescent="0.4">
      <c r="A548" s="96"/>
      <c r="B548" s="97"/>
      <c r="C548" s="13" t="s">
        <v>187</v>
      </c>
      <c r="D548" s="2" t="e">
        <f>INDEX('Equipment list'!$B$189:$B$220, (MATCH(A547,'Equipment list'!$D$189:$D$220,0)),1)</f>
        <v>#N/A</v>
      </c>
      <c r="E548" s="2" t="e">
        <f>INDEX('Equipment list'!$C$189:$C$220, (MATCH(A547,'Equipment list'!$D$189:$D$220,0)),1)</f>
        <v>#N/A</v>
      </c>
      <c r="F548" s="98"/>
      <c r="G548" s="95"/>
      <c r="H548" s="82"/>
    </row>
    <row r="549" spans="1:8" x14ac:dyDescent="0.4">
      <c r="A549" s="96"/>
      <c r="B549" s="97"/>
      <c r="C549" s="13" t="s">
        <v>186</v>
      </c>
      <c r="D549" s="2" t="e">
        <f>(D547-D548)/D548*100</f>
        <v>#N/A</v>
      </c>
      <c r="E549" s="2" t="e">
        <f>(E547-E548)/E548*100</f>
        <v>#N/A</v>
      </c>
      <c r="F549" s="98"/>
      <c r="G549" s="95"/>
      <c r="H549" s="82"/>
    </row>
    <row r="550" spans="1:8" x14ac:dyDescent="0.4">
      <c r="A550" s="96"/>
      <c r="B550" s="97"/>
      <c r="C550" s="13" t="str">
        <f>C547</f>
        <v xml:space="preserve">Measured, </v>
      </c>
      <c r="D550" s="43"/>
      <c r="E550" s="43"/>
      <c r="F550" s="98"/>
      <c r="G550" s="95"/>
      <c r="H550" s="82"/>
    </row>
    <row r="551" spans="1:8" x14ac:dyDescent="0.4">
      <c r="A551" s="96"/>
      <c r="B551" s="97"/>
      <c r="C551" s="13" t="s">
        <v>186</v>
      </c>
      <c r="D551" s="2" t="e">
        <f>(D550-D548)/D548*100</f>
        <v>#N/A</v>
      </c>
      <c r="E551" s="2" t="e">
        <f>(E550-E548)/E548*100</f>
        <v>#N/A</v>
      </c>
      <c r="F551" s="98"/>
      <c r="G551" s="95"/>
      <c r="H551" s="82"/>
    </row>
    <row r="552" spans="1:8" x14ac:dyDescent="0.4">
      <c r="A552" s="96"/>
      <c r="B552" s="97"/>
      <c r="C552" s="13" t="str">
        <f>C547</f>
        <v xml:space="preserve">Measured, </v>
      </c>
      <c r="D552" s="43"/>
      <c r="E552" s="43"/>
      <c r="F552" s="98"/>
      <c r="G552" s="95"/>
      <c r="H552" s="82"/>
    </row>
    <row r="553" spans="1:8" x14ac:dyDescent="0.4">
      <c r="A553" s="96"/>
      <c r="B553" s="97"/>
      <c r="C553" s="13" t="s">
        <v>186</v>
      </c>
      <c r="D553" s="2" t="e">
        <f>(D552-D548)/D548*100</f>
        <v>#N/A</v>
      </c>
      <c r="E553" s="2" t="e">
        <f>(E552-E548)/E548*100</f>
        <v>#N/A</v>
      </c>
      <c r="F553" s="98"/>
      <c r="G553" s="95"/>
      <c r="H553" s="82"/>
    </row>
    <row r="554" spans="1:8" x14ac:dyDescent="0.4">
      <c r="A554" s="96"/>
      <c r="B554" s="97"/>
      <c r="C554" s="42" t="s">
        <v>215</v>
      </c>
      <c r="D554" s="43"/>
      <c r="E554" s="43"/>
      <c r="F554" s="98"/>
      <c r="G554" s="95"/>
      <c r="H554" s="82"/>
    </row>
    <row r="555" spans="1:8" x14ac:dyDescent="0.4">
      <c r="A555" s="96"/>
      <c r="B555" s="97"/>
      <c r="C555" s="13" t="s">
        <v>187</v>
      </c>
      <c r="D555" s="2" t="e">
        <f>INDEX('Equipment list'!$B$189:$B$220, (MATCH(A554,'Equipment list'!$D$189:$D$220,0)),1)</f>
        <v>#N/A</v>
      </c>
      <c r="E555" s="2" t="e">
        <f>INDEX('Equipment list'!$C$189:$C$220, (MATCH(A554,'Equipment list'!$D$189:$D$220,0)),1)</f>
        <v>#N/A</v>
      </c>
      <c r="F555" s="98"/>
      <c r="G555" s="95"/>
      <c r="H555" s="82"/>
    </row>
    <row r="556" spans="1:8" x14ac:dyDescent="0.4">
      <c r="A556" s="96"/>
      <c r="B556" s="97"/>
      <c r="C556" s="13" t="s">
        <v>186</v>
      </c>
      <c r="D556" s="2" t="e">
        <f>(D554-D555)/D555*100</f>
        <v>#N/A</v>
      </c>
      <c r="E556" s="2" t="e">
        <f>(E554-E555)/E555*100</f>
        <v>#N/A</v>
      </c>
      <c r="F556" s="98"/>
      <c r="G556" s="95"/>
      <c r="H556" s="82"/>
    </row>
    <row r="557" spans="1:8" x14ac:dyDescent="0.4">
      <c r="A557" s="96"/>
      <c r="B557" s="97"/>
      <c r="C557" s="13" t="str">
        <f>C554</f>
        <v xml:space="preserve">Measured, </v>
      </c>
      <c r="D557" s="43"/>
      <c r="E557" s="43"/>
      <c r="F557" s="98"/>
      <c r="G557" s="95"/>
      <c r="H557" s="82"/>
    </row>
    <row r="558" spans="1:8" x14ac:dyDescent="0.4">
      <c r="A558" s="96"/>
      <c r="B558" s="97"/>
      <c r="C558" s="13" t="s">
        <v>186</v>
      </c>
      <c r="D558" s="2" t="e">
        <f>(D557-D555)/D555*100</f>
        <v>#N/A</v>
      </c>
      <c r="E558" s="2" t="e">
        <f>(E557-E555)/E555*100</f>
        <v>#N/A</v>
      </c>
      <c r="F558" s="98"/>
      <c r="G558" s="95"/>
      <c r="H558" s="82"/>
    </row>
    <row r="559" spans="1:8" x14ac:dyDescent="0.4">
      <c r="A559" s="96"/>
      <c r="B559" s="97"/>
      <c r="C559" s="13" t="str">
        <f>C554</f>
        <v xml:space="preserve">Measured, </v>
      </c>
      <c r="D559" s="43"/>
      <c r="E559" s="43"/>
      <c r="F559" s="98"/>
      <c r="G559" s="95"/>
      <c r="H559" s="82"/>
    </row>
    <row r="560" spans="1:8" x14ac:dyDescent="0.4">
      <c r="A560" s="96"/>
      <c r="B560" s="97"/>
      <c r="C560" s="13" t="s">
        <v>186</v>
      </c>
      <c r="D560" s="2" t="e">
        <f>(D559-D555)/D555*100</f>
        <v>#N/A</v>
      </c>
      <c r="E560" s="2" t="e">
        <f>(E559-E555)/E555*100</f>
        <v>#N/A</v>
      </c>
      <c r="F560" s="98"/>
      <c r="G560" s="95"/>
      <c r="H560" s="82"/>
    </row>
    <row r="561" spans="1:8" x14ac:dyDescent="0.4">
      <c r="A561" s="96"/>
      <c r="B561" s="97"/>
      <c r="C561" s="42" t="s">
        <v>215</v>
      </c>
      <c r="D561" s="43"/>
      <c r="E561" s="43"/>
      <c r="F561" s="98"/>
      <c r="G561" s="95"/>
      <c r="H561" s="82"/>
    </row>
    <row r="562" spans="1:8" x14ac:dyDescent="0.4">
      <c r="A562" s="96"/>
      <c r="B562" s="97"/>
      <c r="C562" s="13" t="s">
        <v>187</v>
      </c>
      <c r="D562" s="2" t="e">
        <f>INDEX('Equipment list'!$B$189:$B$220, (MATCH(A561,'Equipment list'!$D$189:$D$220,0)),1)</f>
        <v>#N/A</v>
      </c>
      <c r="E562" s="2" t="e">
        <f>INDEX('Equipment list'!$C$189:$C$220, (MATCH(A561,'Equipment list'!$D$189:$D$220,0)),1)</f>
        <v>#N/A</v>
      </c>
      <c r="F562" s="98"/>
      <c r="G562" s="95"/>
      <c r="H562" s="82"/>
    </row>
    <row r="563" spans="1:8" x14ac:dyDescent="0.4">
      <c r="A563" s="96"/>
      <c r="B563" s="97"/>
      <c r="C563" s="13" t="s">
        <v>186</v>
      </c>
      <c r="D563" s="2" t="e">
        <f>(D561-D562)/D562*100</f>
        <v>#N/A</v>
      </c>
      <c r="E563" s="2" t="e">
        <f>(E561-E562)/E562*100</f>
        <v>#N/A</v>
      </c>
      <c r="F563" s="98"/>
      <c r="G563" s="95"/>
      <c r="H563" s="82"/>
    </row>
    <row r="564" spans="1:8" x14ac:dyDescent="0.4">
      <c r="A564" s="96"/>
      <c r="B564" s="97"/>
      <c r="C564" s="13" t="str">
        <f>C561</f>
        <v xml:space="preserve">Measured, </v>
      </c>
      <c r="D564" s="43"/>
      <c r="E564" s="43"/>
      <c r="F564" s="98"/>
      <c r="G564" s="95"/>
      <c r="H564" s="82"/>
    </row>
    <row r="565" spans="1:8" x14ac:dyDescent="0.4">
      <c r="A565" s="96"/>
      <c r="B565" s="97"/>
      <c r="C565" s="13" t="s">
        <v>186</v>
      </c>
      <c r="D565" s="2" t="e">
        <f>(D564-D562)/D562*100</f>
        <v>#N/A</v>
      </c>
      <c r="E565" s="2" t="e">
        <f>(E564-E562)/E562*100</f>
        <v>#N/A</v>
      </c>
      <c r="F565" s="98"/>
      <c r="G565" s="95"/>
      <c r="H565" s="82"/>
    </row>
    <row r="566" spans="1:8" x14ac:dyDescent="0.4">
      <c r="A566" s="96"/>
      <c r="B566" s="97"/>
      <c r="C566" s="13" t="str">
        <f>C561</f>
        <v xml:space="preserve">Measured, </v>
      </c>
      <c r="D566" s="43"/>
      <c r="E566" s="43"/>
      <c r="F566" s="98"/>
      <c r="G566" s="95"/>
      <c r="H566" s="82"/>
    </row>
    <row r="567" spans="1:8" x14ac:dyDescent="0.4">
      <c r="A567" s="96"/>
      <c r="B567" s="97"/>
      <c r="C567" s="13" t="s">
        <v>186</v>
      </c>
      <c r="D567" s="2" t="e">
        <f>(D566-D562)/D562*100</f>
        <v>#N/A</v>
      </c>
      <c r="E567" s="2" t="e">
        <f>(E566-E562)/E562*100</f>
        <v>#N/A</v>
      </c>
      <c r="F567" s="98"/>
      <c r="G567" s="95"/>
      <c r="H567" s="82"/>
    </row>
    <row r="568" spans="1:8" x14ac:dyDescent="0.4">
      <c r="A568" s="96"/>
      <c r="B568" s="97"/>
      <c r="C568" s="42" t="s">
        <v>215</v>
      </c>
      <c r="D568" s="43"/>
      <c r="E568" s="43"/>
      <c r="F568" s="98"/>
      <c r="G568" s="95"/>
      <c r="H568" s="82"/>
    </row>
    <row r="569" spans="1:8" x14ac:dyDescent="0.4">
      <c r="A569" s="96"/>
      <c r="B569" s="97"/>
      <c r="C569" s="13" t="s">
        <v>187</v>
      </c>
      <c r="D569" s="2" t="e">
        <f>INDEX('Equipment list'!$B$189:$B$220, (MATCH(A568,'Equipment list'!$D$189:$D$220,0)),1)</f>
        <v>#N/A</v>
      </c>
      <c r="E569" s="2" t="e">
        <f>INDEX('Equipment list'!$C$189:$C$220, (MATCH(A568,'Equipment list'!$D$189:$D$220,0)),1)</f>
        <v>#N/A</v>
      </c>
      <c r="F569" s="98"/>
      <c r="G569" s="95"/>
      <c r="H569" s="82"/>
    </row>
    <row r="570" spans="1:8" x14ac:dyDescent="0.4">
      <c r="A570" s="96"/>
      <c r="B570" s="97"/>
      <c r="C570" s="13" t="s">
        <v>186</v>
      </c>
      <c r="D570" s="2" t="e">
        <f>(D568-D569)/D569*100</f>
        <v>#N/A</v>
      </c>
      <c r="E570" s="2" t="e">
        <f>(E568-E569)/E569*100</f>
        <v>#N/A</v>
      </c>
      <c r="F570" s="98"/>
      <c r="G570" s="95"/>
      <c r="H570" s="82"/>
    </row>
    <row r="571" spans="1:8" x14ac:dyDescent="0.4">
      <c r="A571" s="96"/>
      <c r="B571" s="97"/>
      <c r="C571" s="13" t="str">
        <f>C568</f>
        <v xml:space="preserve">Measured, </v>
      </c>
      <c r="D571" s="43"/>
      <c r="E571" s="43"/>
      <c r="F571" s="98"/>
      <c r="G571" s="95"/>
      <c r="H571" s="82"/>
    </row>
    <row r="572" spans="1:8" x14ac:dyDescent="0.4">
      <c r="A572" s="96"/>
      <c r="B572" s="97"/>
      <c r="C572" s="13" t="s">
        <v>186</v>
      </c>
      <c r="D572" s="2" t="e">
        <f>(D571-D569)/D569*100</f>
        <v>#N/A</v>
      </c>
      <c r="E572" s="2" t="e">
        <f>(E571-E569)/E569*100</f>
        <v>#N/A</v>
      </c>
      <c r="F572" s="98"/>
      <c r="G572" s="95"/>
      <c r="H572" s="82"/>
    </row>
    <row r="573" spans="1:8" x14ac:dyDescent="0.4">
      <c r="A573" s="96"/>
      <c r="B573" s="97"/>
      <c r="C573" s="13" t="str">
        <f>C568</f>
        <v xml:space="preserve">Measured, </v>
      </c>
      <c r="D573" s="43"/>
      <c r="E573" s="43"/>
      <c r="F573" s="98"/>
      <c r="G573" s="95"/>
      <c r="H573" s="82"/>
    </row>
    <row r="574" spans="1:8" x14ac:dyDescent="0.4">
      <c r="A574" s="96"/>
      <c r="B574" s="97"/>
      <c r="C574" s="13" t="s">
        <v>186</v>
      </c>
      <c r="D574" s="2" t="e">
        <f>(D573-D569)/D569*100</f>
        <v>#N/A</v>
      </c>
      <c r="E574" s="2" t="e">
        <f>(E573-E569)/E569*100</f>
        <v>#N/A</v>
      </c>
      <c r="F574" s="98"/>
      <c r="G574" s="95"/>
      <c r="H574" s="82"/>
    </row>
    <row r="575" spans="1:8" x14ac:dyDescent="0.4">
      <c r="A575" s="96"/>
      <c r="B575" s="97"/>
      <c r="C575" s="42" t="s">
        <v>215</v>
      </c>
      <c r="D575" s="43"/>
      <c r="E575" s="43"/>
      <c r="F575" s="98"/>
      <c r="G575" s="95"/>
      <c r="H575" s="82"/>
    </row>
    <row r="576" spans="1:8" x14ac:dyDescent="0.4">
      <c r="A576" s="96"/>
      <c r="B576" s="97"/>
      <c r="C576" s="13" t="s">
        <v>187</v>
      </c>
      <c r="D576" s="2" t="e">
        <f>INDEX('Equipment list'!$B$189:$B$220, (MATCH(A575,'Equipment list'!$D$189:$D$220,0)),1)</f>
        <v>#N/A</v>
      </c>
      <c r="E576" s="2" t="e">
        <f>INDEX('Equipment list'!$C$189:$C$220, (MATCH(A575,'Equipment list'!$D$189:$D$220,0)),1)</f>
        <v>#N/A</v>
      </c>
      <c r="F576" s="98"/>
      <c r="G576" s="95"/>
      <c r="H576" s="82"/>
    </row>
    <row r="577" spans="1:8" x14ac:dyDescent="0.4">
      <c r="A577" s="96"/>
      <c r="B577" s="97"/>
      <c r="C577" s="13" t="s">
        <v>186</v>
      </c>
      <c r="D577" s="2" t="e">
        <f>(D575-D576)/D576*100</f>
        <v>#N/A</v>
      </c>
      <c r="E577" s="2" t="e">
        <f>(E575-E576)/E576*100</f>
        <v>#N/A</v>
      </c>
      <c r="F577" s="98"/>
      <c r="G577" s="95"/>
      <c r="H577" s="82"/>
    </row>
    <row r="578" spans="1:8" x14ac:dyDescent="0.4">
      <c r="A578" s="96"/>
      <c r="B578" s="97"/>
      <c r="C578" s="13" t="str">
        <f>C575</f>
        <v xml:space="preserve">Measured, </v>
      </c>
      <c r="D578" s="43"/>
      <c r="E578" s="43"/>
      <c r="F578" s="98"/>
      <c r="G578" s="95"/>
      <c r="H578" s="82"/>
    </row>
    <row r="579" spans="1:8" x14ac:dyDescent="0.4">
      <c r="A579" s="96"/>
      <c r="B579" s="97"/>
      <c r="C579" s="13" t="s">
        <v>186</v>
      </c>
      <c r="D579" s="2" t="e">
        <f>(D578-D576)/D576*100</f>
        <v>#N/A</v>
      </c>
      <c r="E579" s="2" t="e">
        <f>(E578-E576)/E576*100</f>
        <v>#N/A</v>
      </c>
      <c r="F579" s="98"/>
      <c r="G579" s="95"/>
      <c r="H579" s="82"/>
    </row>
    <row r="580" spans="1:8" x14ac:dyDescent="0.4">
      <c r="A580" s="96"/>
      <c r="B580" s="97"/>
      <c r="C580" s="13" t="str">
        <f>C575</f>
        <v xml:space="preserve">Measured, </v>
      </c>
      <c r="D580" s="43"/>
      <c r="E580" s="43"/>
      <c r="F580" s="98"/>
      <c r="G580" s="95"/>
      <c r="H580" s="82"/>
    </row>
    <row r="581" spans="1:8" x14ac:dyDescent="0.4">
      <c r="A581" s="96"/>
      <c r="B581" s="97"/>
      <c r="C581" s="13" t="s">
        <v>186</v>
      </c>
      <c r="D581" s="2" t="e">
        <f>(D580-D576)/D576*100</f>
        <v>#N/A</v>
      </c>
      <c r="E581" s="2" t="e">
        <f>(E580-E576)/E576*100</f>
        <v>#N/A</v>
      </c>
      <c r="F581" s="98"/>
      <c r="G581" s="95"/>
      <c r="H581" s="82"/>
    </row>
    <row r="582" spans="1:8" x14ac:dyDescent="0.4">
      <c r="A582" s="96"/>
      <c r="B582" s="97"/>
      <c r="C582" s="42" t="s">
        <v>215</v>
      </c>
      <c r="D582" s="43"/>
      <c r="E582" s="43"/>
      <c r="F582" s="98"/>
      <c r="G582" s="95"/>
      <c r="H582" s="82"/>
    </row>
    <row r="583" spans="1:8" x14ac:dyDescent="0.4">
      <c r="A583" s="96"/>
      <c r="B583" s="97"/>
      <c r="C583" s="13" t="s">
        <v>187</v>
      </c>
      <c r="D583" s="2" t="e">
        <f>INDEX('Equipment list'!$B$189:$B$220, (MATCH(A582,'Equipment list'!$D$189:$D$220,0)),1)</f>
        <v>#N/A</v>
      </c>
      <c r="E583" s="2" t="e">
        <f>INDEX('Equipment list'!$C$189:$C$220, (MATCH(A582,'Equipment list'!$D$189:$D$220,0)),1)</f>
        <v>#N/A</v>
      </c>
      <c r="F583" s="98"/>
      <c r="G583" s="95"/>
      <c r="H583" s="82"/>
    </row>
    <row r="584" spans="1:8" x14ac:dyDescent="0.4">
      <c r="A584" s="96"/>
      <c r="B584" s="97"/>
      <c r="C584" s="13" t="s">
        <v>186</v>
      </c>
      <c r="D584" s="2" t="e">
        <f>(D582-D583)/D583*100</f>
        <v>#N/A</v>
      </c>
      <c r="E584" s="2" t="e">
        <f>(E582-E583)/E583*100</f>
        <v>#N/A</v>
      </c>
      <c r="F584" s="98"/>
      <c r="G584" s="95"/>
      <c r="H584" s="82"/>
    </row>
    <row r="585" spans="1:8" x14ac:dyDescent="0.4">
      <c r="A585" s="96"/>
      <c r="B585" s="97"/>
      <c r="C585" s="13" t="str">
        <f>C582</f>
        <v xml:space="preserve">Measured, </v>
      </c>
      <c r="D585" s="43"/>
      <c r="E585" s="43"/>
      <c r="F585" s="98"/>
      <c r="G585" s="95"/>
      <c r="H585" s="82"/>
    </row>
    <row r="586" spans="1:8" x14ac:dyDescent="0.4">
      <c r="A586" s="96"/>
      <c r="B586" s="97"/>
      <c r="C586" s="13" t="s">
        <v>186</v>
      </c>
      <c r="D586" s="2" t="e">
        <f>(D585-D583)/D583*100</f>
        <v>#N/A</v>
      </c>
      <c r="E586" s="2" t="e">
        <f>(E585-E583)/E583*100</f>
        <v>#N/A</v>
      </c>
      <c r="F586" s="98"/>
      <c r="G586" s="95"/>
      <c r="H586" s="82"/>
    </row>
    <row r="587" spans="1:8" x14ac:dyDescent="0.4">
      <c r="A587" s="96"/>
      <c r="B587" s="97"/>
      <c r="C587" s="13" t="str">
        <f>C582</f>
        <v xml:space="preserve">Measured, </v>
      </c>
      <c r="D587" s="43"/>
      <c r="E587" s="43"/>
      <c r="F587" s="98"/>
      <c r="G587" s="95"/>
      <c r="H587" s="82"/>
    </row>
    <row r="588" spans="1:8" x14ac:dyDescent="0.4">
      <c r="A588" s="96"/>
      <c r="B588" s="97"/>
      <c r="C588" s="13" t="s">
        <v>186</v>
      </c>
      <c r="D588" s="2" t="e">
        <f>(D587-D583)/D583*100</f>
        <v>#N/A</v>
      </c>
      <c r="E588" s="2" t="e">
        <f>(E587-E583)/E583*100</f>
        <v>#N/A</v>
      </c>
      <c r="F588" s="98"/>
      <c r="G588" s="95"/>
      <c r="H588" s="82"/>
    </row>
    <row r="589" spans="1:8" x14ac:dyDescent="0.4">
      <c r="A589" s="96"/>
      <c r="B589" s="97"/>
      <c r="C589" s="42" t="s">
        <v>215</v>
      </c>
      <c r="D589" s="43"/>
      <c r="E589" s="43"/>
      <c r="F589" s="98"/>
      <c r="G589" s="95"/>
      <c r="H589" s="82"/>
    </row>
    <row r="590" spans="1:8" x14ac:dyDescent="0.4">
      <c r="A590" s="96"/>
      <c r="B590" s="97"/>
      <c r="C590" s="13" t="s">
        <v>187</v>
      </c>
      <c r="D590" s="2" t="e">
        <f>INDEX('Equipment list'!$B$189:$B$220, (MATCH(A589,'Equipment list'!$D$189:$D$220,0)),1)</f>
        <v>#N/A</v>
      </c>
      <c r="E590" s="2" t="e">
        <f>INDEX('Equipment list'!$C$189:$C$220, (MATCH(A589,'Equipment list'!$D$189:$D$220,0)),1)</f>
        <v>#N/A</v>
      </c>
      <c r="F590" s="98"/>
      <c r="G590" s="95"/>
      <c r="H590" s="82"/>
    </row>
    <row r="591" spans="1:8" x14ac:dyDescent="0.4">
      <c r="A591" s="96"/>
      <c r="B591" s="97"/>
      <c r="C591" s="13" t="s">
        <v>186</v>
      </c>
      <c r="D591" s="2" t="e">
        <f>(D589-D590)/D590*100</f>
        <v>#N/A</v>
      </c>
      <c r="E591" s="2" t="e">
        <f>(E589-E590)/E590*100</f>
        <v>#N/A</v>
      </c>
      <c r="F591" s="98"/>
      <c r="G591" s="95"/>
      <c r="H591" s="82"/>
    </row>
    <row r="592" spans="1:8" x14ac:dyDescent="0.4">
      <c r="A592" s="96"/>
      <c r="B592" s="97"/>
      <c r="C592" s="13" t="str">
        <f>C589</f>
        <v xml:space="preserve">Measured, </v>
      </c>
      <c r="D592" s="43"/>
      <c r="E592" s="43"/>
      <c r="F592" s="98"/>
      <c r="G592" s="95"/>
      <c r="H592" s="82"/>
    </row>
    <row r="593" spans="1:8" x14ac:dyDescent="0.4">
      <c r="A593" s="96"/>
      <c r="B593" s="97"/>
      <c r="C593" s="13" t="s">
        <v>186</v>
      </c>
      <c r="D593" s="2" t="e">
        <f>(D592-D590)/D590*100</f>
        <v>#N/A</v>
      </c>
      <c r="E593" s="2" t="e">
        <f>(E592-E590)/E590*100</f>
        <v>#N/A</v>
      </c>
      <c r="F593" s="98"/>
      <c r="G593" s="95"/>
      <c r="H593" s="82"/>
    </row>
    <row r="594" spans="1:8" x14ac:dyDescent="0.4">
      <c r="A594" s="96"/>
      <c r="B594" s="97"/>
      <c r="C594" s="13" t="str">
        <f>C589</f>
        <v xml:space="preserve">Measured, </v>
      </c>
      <c r="D594" s="43"/>
      <c r="E594" s="43"/>
      <c r="F594" s="98"/>
      <c r="G594" s="95"/>
      <c r="H594" s="82"/>
    </row>
    <row r="595" spans="1:8" x14ac:dyDescent="0.4">
      <c r="A595" s="96"/>
      <c r="B595" s="97"/>
      <c r="C595" s="13" t="s">
        <v>186</v>
      </c>
      <c r="D595" s="2" t="e">
        <f>(D594-D590)/D590*100</f>
        <v>#N/A</v>
      </c>
      <c r="E595" s="2" t="e">
        <f>(E594-E590)/E590*100</f>
        <v>#N/A</v>
      </c>
      <c r="F595" s="98"/>
      <c r="G595" s="95"/>
      <c r="H595" s="82"/>
    </row>
    <row r="596" spans="1:8" x14ac:dyDescent="0.4">
      <c r="A596" s="96"/>
      <c r="B596" s="97"/>
      <c r="C596" s="42" t="s">
        <v>215</v>
      </c>
      <c r="D596" s="43"/>
      <c r="E596" s="43"/>
      <c r="F596" s="98"/>
      <c r="G596" s="95"/>
      <c r="H596" s="82"/>
    </row>
    <row r="597" spans="1:8" x14ac:dyDescent="0.4">
      <c r="A597" s="96"/>
      <c r="B597" s="97"/>
      <c r="C597" s="13" t="s">
        <v>187</v>
      </c>
      <c r="D597" s="2" t="e">
        <f>INDEX('Equipment list'!$B$189:$B$220, (MATCH(A596,'Equipment list'!$D$189:$D$220,0)),1)</f>
        <v>#N/A</v>
      </c>
      <c r="E597" s="2" t="e">
        <f>INDEX('Equipment list'!$C$189:$C$220, (MATCH(A596,'Equipment list'!$D$189:$D$220,0)),1)</f>
        <v>#N/A</v>
      </c>
      <c r="F597" s="98"/>
      <c r="G597" s="95"/>
      <c r="H597" s="82"/>
    </row>
    <row r="598" spans="1:8" x14ac:dyDescent="0.4">
      <c r="A598" s="96"/>
      <c r="B598" s="97"/>
      <c r="C598" s="13" t="s">
        <v>186</v>
      </c>
      <c r="D598" s="2" t="e">
        <f>(D596-D597)/D597*100</f>
        <v>#N/A</v>
      </c>
      <c r="E598" s="2" t="e">
        <f>(E596-E597)/E597*100</f>
        <v>#N/A</v>
      </c>
      <c r="F598" s="98"/>
      <c r="G598" s="95"/>
      <c r="H598" s="82"/>
    </row>
    <row r="599" spans="1:8" x14ac:dyDescent="0.4">
      <c r="A599" s="96"/>
      <c r="B599" s="97"/>
      <c r="C599" s="13" t="str">
        <f>C596</f>
        <v xml:space="preserve">Measured, </v>
      </c>
      <c r="D599" s="43"/>
      <c r="E599" s="43"/>
      <c r="F599" s="98"/>
      <c r="G599" s="95"/>
      <c r="H599" s="82"/>
    </row>
    <row r="600" spans="1:8" x14ac:dyDescent="0.4">
      <c r="A600" s="96"/>
      <c r="B600" s="97"/>
      <c r="C600" s="13" t="s">
        <v>186</v>
      </c>
      <c r="D600" s="2" t="e">
        <f>(D599-D597)/D597*100</f>
        <v>#N/A</v>
      </c>
      <c r="E600" s="2" t="e">
        <f>(E599-E597)/E597*100</f>
        <v>#N/A</v>
      </c>
      <c r="F600" s="98"/>
      <c r="G600" s="95"/>
      <c r="H600" s="82"/>
    </row>
    <row r="601" spans="1:8" x14ac:dyDescent="0.4">
      <c r="A601" s="96"/>
      <c r="B601" s="97"/>
      <c r="C601" s="13" t="str">
        <f>C596</f>
        <v xml:space="preserve">Measured, </v>
      </c>
      <c r="D601" s="43"/>
      <c r="E601" s="43"/>
      <c r="F601" s="98"/>
      <c r="G601" s="95"/>
      <c r="H601" s="82"/>
    </row>
    <row r="602" spans="1:8" x14ac:dyDescent="0.4">
      <c r="A602" s="96"/>
      <c r="B602" s="97"/>
      <c r="C602" s="13" t="s">
        <v>186</v>
      </c>
      <c r="D602" s="2" t="e">
        <f>(D601-D597)/D597*100</f>
        <v>#N/A</v>
      </c>
      <c r="E602" s="2" t="e">
        <f>(E601-E597)/E597*100</f>
        <v>#N/A</v>
      </c>
      <c r="F602" s="98"/>
      <c r="G602" s="95"/>
      <c r="H602" s="82"/>
    </row>
    <row r="603" spans="1:8" x14ac:dyDescent="0.4">
      <c r="A603" s="96"/>
      <c r="B603" s="97"/>
      <c r="C603" s="42" t="s">
        <v>215</v>
      </c>
      <c r="D603" s="43"/>
      <c r="E603" s="43"/>
      <c r="F603" s="98"/>
      <c r="G603" s="95"/>
      <c r="H603" s="82"/>
    </row>
    <row r="604" spans="1:8" x14ac:dyDescent="0.4">
      <c r="A604" s="96"/>
      <c r="B604" s="97"/>
      <c r="C604" s="13" t="s">
        <v>187</v>
      </c>
      <c r="D604" s="2" t="e">
        <f>INDEX('Equipment list'!$B$189:$B$220, (MATCH(A603,'Equipment list'!$D$189:$D$220,0)),1)</f>
        <v>#N/A</v>
      </c>
      <c r="E604" s="2" t="e">
        <f>INDEX('Equipment list'!$C$189:$C$220, (MATCH(A603,'Equipment list'!$D$189:$D$220,0)),1)</f>
        <v>#N/A</v>
      </c>
      <c r="F604" s="98"/>
      <c r="G604" s="95"/>
      <c r="H604" s="82"/>
    </row>
    <row r="605" spans="1:8" x14ac:dyDescent="0.4">
      <c r="A605" s="96"/>
      <c r="B605" s="97"/>
      <c r="C605" s="13" t="s">
        <v>186</v>
      </c>
      <c r="D605" s="2" t="e">
        <f>(D603-D604)/D604*100</f>
        <v>#N/A</v>
      </c>
      <c r="E605" s="2" t="e">
        <f>(E603-E604)/E604*100</f>
        <v>#N/A</v>
      </c>
      <c r="F605" s="98"/>
      <c r="G605" s="95"/>
      <c r="H605" s="82"/>
    </row>
    <row r="606" spans="1:8" x14ac:dyDescent="0.4">
      <c r="A606" s="96"/>
      <c r="B606" s="97"/>
      <c r="C606" s="13" t="str">
        <f>C603</f>
        <v xml:space="preserve">Measured, </v>
      </c>
      <c r="D606" s="43"/>
      <c r="E606" s="43"/>
      <c r="F606" s="98"/>
      <c r="G606" s="95"/>
      <c r="H606" s="82"/>
    </row>
    <row r="607" spans="1:8" x14ac:dyDescent="0.4">
      <c r="A607" s="96"/>
      <c r="B607" s="97"/>
      <c r="C607" s="13" t="s">
        <v>186</v>
      </c>
      <c r="D607" s="2" t="e">
        <f>(D606-D604)/D604*100</f>
        <v>#N/A</v>
      </c>
      <c r="E607" s="2" t="e">
        <f>(E606-E604)/E604*100</f>
        <v>#N/A</v>
      </c>
      <c r="F607" s="98"/>
      <c r="G607" s="95"/>
      <c r="H607" s="82"/>
    </row>
    <row r="608" spans="1:8" x14ac:dyDescent="0.4">
      <c r="A608" s="96"/>
      <c r="B608" s="97"/>
      <c r="C608" s="13" t="str">
        <f>C603</f>
        <v xml:space="preserve">Measured, </v>
      </c>
      <c r="D608" s="43"/>
      <c r="E608" s="43"/>
      <c r="F608" s="98"/>
      <c r="G608" s="95"/>
      <c r="H608" s="82"/>
    </row>
    <row r="609" spans="1:8" x14ac:dyDescent="0.4">
      <c r="A609" s="96"/>
      <c r="B609" s="97"/>
      <c r="C609" s="13" t="s">
        <v>186</v>
      </c>
      <c r="D609" s="2" t="e">
        <f>(D608-D604)/D604*100</f>
        <v>#N/A</v>
      </c>
      <c r="E609" s="2" t="e">
        <f>(E608-E604)/E604*100</f>
        <v>#N/A</v>
      </c>
      <c r="F609" s="98"/>
      <c r="G609" s="95"/>
      <c r="H609" s="82"/>
    </row>
    <row r="610" spans="1:8" x14ac:dyDescent="0.4">
      <c r="A610" s="96"/>
      <c r="B610" s="97"/>
      <c r="C610" s="42" t="s">
        <v>215</v>
      </c>
      <c r="D610" s="43"/>
      <c r="E610" s="43"/>
      <c r="F610" s="98"/>
      <c r="G610" s="95"/>
      <c r="H610" s="82"/>
    </row>
    <row r="611" spans="1:8" x14ac:dyDescent="0.4">
      <c r="A611" s="96"/>
      <c r="B611" s="97"/>
      <c r="C611" s="13" t="s">
        <v>187</v>
      </c>
      <c r="D611" s="2" t="e">
        <f>INDEX('Equipment list'!$B$189:$B$220, (MATCH(A610,'Equipment list'!$D$189:$D$220,0)),1)</f>
        <v>#N/A</v>
      </c>
      <c r="E611" s="2" t="e">
        <f>INDEX('Equipment list'!$C$189:$C$220, (MATCH(A610,'Equipment list'!$D$189:$D$220,0)),1)</f>
        <v>#N/A</v>
      </c>
      <c r="F611" s="98"/>
      <c r="G611" s="95"/>
      <c r="H611" s="82"/>
    </row>
    <row r="612" spans="1:8" x14ac:dyDescent="0.4">
      <c r="A612" s="96"/>
      <c r="B612" s="97"/>
      <c r="C612" s="13" t="s">
        <v>186</v>
      </c>
      <c r="D612" s="2" t="e">
        <f>(D610-D611)/D611*100</f>
        <v>#N/A</v>
      </c>
      <c r="E612" s="2" t="e">
        <f>(E610-E611)/E611*100</f>
        <v>#N/A</v>
      </c>
      <c r="F612" s="98"/>
      <c r="G612" s="95"/>
      <c r="H612" s="82"/>
    </row>
    <row r="613" spans="1:8" x14ac:dyDescent="0.4">
      <c r="A613" s="96"/>
      <c r="B613" s="97"/>
      <c r="C613" s="13" t="str">
        <f>C610</f>
        <v xml:space="preserve">Measured, </v>
      </c>
      <c r="D613" s="43"/>
      <c r="E613" s="43"/>
      <c r="F613" s="98"/>
      <c r="G613" s="95"/>
      <c r="H613" s="82"/>
    </row>
    <row r="614" spans="1:8" x14ac:dyDescent="0.4">
      <c r="A614" s="96"/>
      <c r="B614" s="97"/>
      <c r="C614" s="13" t="s">
        <v>186</v>
      </c>
      <c r="D614" s="2" t="e">
        <f>(D613-D611)/D611*100</f>
        <v>#N/A</v>
      </c>
      <c r="E614" s="2" t="e">
        <f>(E613-E611)/E611*100</f>
        <v>#N/A</v>
      </c>
      <c r="F614" s="98"/>
      <c r="G614" s="95"/>
      <c r="H614" s="82"/>
    </row>
    <row r="615" spans="1:8" x14ac:dyDescent="0.4">
      <c r="A615" s="96"/>
      <c r="B615" s="97"/>
      <c r="C615" s="13" t="str">
        <f>C610</f>
        <v xml:space="preserve">Measured, </v>
      </c>
      <c r="D615" s="43"/>
      <c r="E615" s="43"/>
      <c r="F615" s="98"/>
      <c r="G615" s="95"/>
      <c r="H615" s="82"/>
    </row>
    <row r="616" spans="1:8" x14ac:dyDescent="0.4">
      <c r="A616" s="96"/>
      <c r="B616" s="97"/>
      <c r="C616" s="13" t="s">
        <v>186</v>
      </c>
      <c r="D616" s="2" t="e">
        <f>(D615-D611)/D611*100</f>
        <v>#N/A</v>
      </c>
      <c r="E616" s="2" t="e">
        <f>(E615-E611)/E611*100</f>
        <v>#N/A</v>
      </c>
      <c r="F616" s="98"/>
      <c r="G616" s="95"/>
      <c r="H616" s="82"/>
    </row>
    <row r="617" spans="1:8" x14ac:dyDescent="0.4">
      <c r="A617" s="96"/>
      <c r="B617" s="97"/>
      <c r="C617" s="42" t="s">
        <v>215</v>
      </c>
      <c r="D617" s="43"/>
      <c r="E617" s="43"/>
      <c r="F617" s="98"/>
      <c r="G617" s="95"/>
      <c r="H617" s="82"/>
    </row>
    <row r="618" spans="1:8" x14ac:dyDescent="0.4">
      <c r="A618" s="96"/>
      <c r="B618" s="97"/>
      <c r="C618" s="13" t="s">
        <v>187</v>
      </c>
      <c r="D618" s="2" t="e">
        <f>INDEX('Equipment list'!$B$189:$B$220, (MATCH(A617,'Equipment list'!$D$189:$D$220,0)),1)</f>
        <v>#N/A</v>
      </c>
      <c r="E618" s="2" t="e">
        <f>INDEX('Equipment list'!$C$189:$C$220, (MATCH(A617,'Equipment list'!$D$189:$D$220,0)),1)</f>
        <v>#N/A</v>
      </c>
      <c r="F618" s="98"/>
      <c r="G618" s="95"/>
      <c r="H618" s="82"/>
    </row>
    <row r="619" spans="1:8" x14ac:dyDescent="0.4">
      <c r="A619" s="96"/>
      <c r="B619" s="97"/>
      <c r="C619" s="13" t="s">
        <v>186</v>
      </c>
      <c r="D619" s="2" t="e">
        <f>(D617-D618)/D618*100</f>
        <v>#N/A</v>
      </c>
      <c r="E619" s="2" t="e">
        <f>(E617-E618)/E618*100</f>
        <v>#N/A</v>
      </c>
      <c r="F619" s="98"/>
      <c r="G619" s="95"/>
      <c r="H619" s="82"/>
    </row>
    <row r="620" spans="1:8" x14ac:dyDescent="0.4">
      <c r="A620" s="96"/>
      <c r="B620" s="97"/>
      <c r="C620" s="13" t="str">
        <f>C617</f>
        <v xml:space="preserve">Measured, </v>
      </c>
      <c r="D620" s="43"/>
      <c r="E620" s="43"/>
      <c r="F620" s="98"/>
      <c r="G620" s="95"/>
      <c r="H620" s="82"/>
    </row>
    <row r="621" spans="1:8" x14ac:dyDescent="0.4">
      <c r="A621" s="96"/>
      <c r="B621" s="97"/>
      <c r="C621" s="13" t="s">
        <v>186</v>
      </c>
      <c r="D621" s="2" t="e">
        <f>(D620-D618)/D618*100</f>
        <v>#N/A</v>
      </c>
      <c r="E621" s="2" t="e">
        <f>(E620-E618)/E618*100</f>
        <v>#N/A</v>
      </c>
      <c r="F621" s="98"/>
      <c r="G621" s="95"/>
      <c r="H621" s="82"/>
    </row>
    <row r="622" spans="1:8" x14ac:dyDescent="0.4">
      <c r="A622" s="96"/>
      <c r="B622" s="97"/>
      <c r="C622" s="13" t="str">
        <f>C617</f>
        <v xml:space="preserve">Measured, </v>
      </c>
      <c r="D622" s="43"/>
      <c r="E622" s="43"/>
      <c r="F622" s="98"/>
      <c r="G622" s="95"/>
      <c r="H622" s="82"/>
    </row>
    <row r="623" spans="1:8" x14ac:dyDescent="0.4">
      <c r="A623" s="96"/>
      <c r="B623" s="97"/>
      <c r="C623" s="13" t="s">
        <v>186</v>
      </c>
      <c r="D623" s="2" t="e">
        <f>(D622-D618)/D618*100</f>
        <v>#N/A</v>
      </c>
      <c r="E623" s="2" t="e">
        <f>(E622-E618)/E618*100</f>
        <v>#N/A</v>
      </c>
      <c r="F623" s="98"/>
      <c r="G623" s="95"/>
      <c r="H623" s="82"/>
    </row>
    <row r="624" spans="1:8" x14ac:dyDescent="0.4">
      <c r="A624" s="96"/>
      <c r="B624" s="97"/>
      <c r="C624" s="42" t="s">
        <v>215</v>
      </c>
      <c r="D624" s="43"/>
      <c r="E624" s="43"/>
      <c r="F624" s="98"/>
      <c r="G624" s="95"/>
      <c r="H624" s="82"/>
    </row>
    <row r="625" spans="1:8" x14ac:dyDescent="0.4">
      <c r="A625" s="96"/>
      <c r="B625" s="97"/>
      <c r="C625" s="13" t="s">
        <v>187</v>
      </c>
      <c r="D625" s="2" t="e">
        <f>INDEX('Equipment list'!$B$189:$B$220, (MATCH(A624,'Equipment list'!$D$189:$D$220,0)),1)</f>
        <v>#N/A</v>
      </c>
      <c r="E625" s="2" t="e">
        <f>INDEX('Equipment list'!$C$189:$C$220, (MATCH(A624,'Equipment list'!$D$189:$D$220,0)),1)</f>
        <v>#N/A</v>
      </c>
      <c r="F625" s="98"/>
      <c r="G625" s="95"/>
      <c r="H625" s="82"/>
    </row>
    <row r="626" spans="1:8" x14ac:dyDescent="0.4">
      <c r="A626" s="96"/>
      <c r="B626" s="97"/>
      <c r="C626" s="13" t="s">
        <v>186</v>
      </c>
      <c r="D626" s="2" t="e">
        <f>(D624-D625)/D625*100</f>
        <v>#N/A</v>
      </c>
      <c r="E626" s="2" t="e">
        <f>(E624-E625)/E625*100</f>
        <v>#N/A</v>
      </c>
      <c r="F626" s="98"/>
      <c r="G626" s="95"/>
      <c r="H626" s="82"/>
    </row>
    <row r="627" spans="1:8" x14ac:dyDescent="0.4">
      <c r="A627" s="96"/>
      <c r="B627" s="97"/>
      <c r="C627" s="13" t="str">
        <f>C624</f>
        <v xml:space="preserve">Measured, </v>
      </c>
      <c r="D627" s="43"/>
      <c r="E627" s="43"/>
      <c r="F627" s="98"/>
      <c r="G627" s="95"/>
      <c r="H627" s="82"/>
    </row>
    <row r="628" spans="1:8" x14ac:dyDescent="0.4">
      <c r="A628" s="96"/>
      <c r="B628" s="97"/>
      <c r="C628" s="13" t="s">
        <v>186</v>
      </c>
      <c r="D628" s="2" t="e">
        <f>(D627-D625)/D625*100</f>
        <v>#N/A</v>
      </c>
      <c r="E628" s="2" t="e">
        <f>(E627-E625)/E625*100</f>
        <v>#N/A</v>
      </c>
      <c r="F628" s="98"/>
      <c r="G628" s="95"/>
      <c r="H628" s="82"/>
    </row>
    <row r="629" spans="1:8" x14ac:dyDescent="0.4">
      <c r="A629" s="96"/>
      <c r="B629" s="97"/>
      <c r="C629" s="13" t="str">
        <f>C624</f>
        <v xml:space="preserve">Measured, </v>
      </c>
      <c r="D629" s="43"/>
      <c r="E629" s="43"/>
      <c r="F629" s="98"/>
      <c r="G629" s="95"/>
      <c r="H629" s="82"/>
    </row>
    <row r="630" spans="1:8" x14ac:dyDescent="0.4">
      <c r="A630" s="96"/>
      <c r="B630" s="97"/>
      <c r="C630" s="13" t="s">
        <v>186</v>
      </c>
      <c r="D630" s="2" t="e">
        <f>(D629-D625)/D625*100</f>
        <v>#N/A</v>
      </c>
      <c r="E630" s="2" t="e">
        <f>(E629-E625)/E625*100</f>
        <v>#N/A</v>
      </c>
      <c r="F630" s="98"/>
      <c r="G630" s="95"/>
      <c r="H630" s="82"/>
    </row>
    <row r="631" spans="1:8" x14ac:dyDescent="0.4">
      <c r="A631" s="96"/>
      <c r="B631" s="97"/>
      <c r="C631" s="42" t="s">
        <v>215</v>
      </c>
      <c r="D631" s="43"/>
      <c r="E631" s="43"/>
      <c r="F631" s="98"/>
      <c r="G631" s="95"/>
      <c r="H631" s="82"/>
    </row>
    <row r="632" spans="1:8" x14ac:dyDescent="0.4">
      <c r="A632" s="96"/>
      <c r="B632" s="97"/>
      <c r="C632" s="13" t="s">
        <v>187</v>
      </c>
      <c r="D632" s="2" t="e">
        <f>INDEX('Equipment list'!$B$189:$B$220, (MATCH(A631,'Equipment list'!$D$189:$D$220,0)),1)</f>
        <v>#N/A</v>
      </c>
      <c r="E632" s="2" t="e">
        <f>INDEX('Equipment list'!$C$189:$C$220, (MATCH(A631,'Equipment list'!$D$189:$D$220,0)),1)</f>
        <v>#N/A</v>
      </c>
      <c r="F632" s="98"/>
      <c r="G632" s="95"/>
      <c r="H632" s="82"/>
    </row>
    <row r="633" spans="1:8" x14ac:dyDescent="0.4">
      <c r="A633" s="96"/>
      <c r="B633" s="97"/>
      <c r="C633" s="13" t="s">
        <v>186</v>
      </c>
      <c r="D633" s="2" t="e">
        <f>(D631-D632)/D632*100</f>
        <v>#N/A</v>
      </c>
      <c r="E633" s="2" t="e">
        <f>(E631-E632)/E632*100</f>
        <v>#N/A</v>
      </c>
      <c r="F633" s="98"/>
      <c r="G633" s="95"/>
      <c r="H633" s="82"/>
    </row>
    <row r="634" spans="1:8" x14ac:dyDescent="0.4">
      <c r="A634" s="96"/>
      <c r="B634" s="97"/>
      <c r="C634" s="13" t="str">
        <f>C631</f>
        <v xml:space="preserve">Measured, </v>
      </c>
      <c r="D634" s="43"/>
      <c r="E634" s="43"/>
      <c r="F634" s="98"/>
      <c r="G634" s="95"/>
      <c r="H634" s="82"/>
    </row>
    <row r="635" spans="1:8" x14ac:dyDescent="0.4">
      <c r="A635" s="96"/>
      <c r="B635" s="97"/>
      <c r="C635" s="13" t="s">
        <v>186</v>
      </c>
      <c r="D635" s="2" t="e">
        <f>(D634-D632)/D632*100</f>
        <v>#N/A</v>
      </c>
      <c r="E635" s="2" t="e">
        <f>(E634-E632)/E632*100</f>
        <v>#N/A</v>
      </c>
      <c r="F635" s="98"/>
      <c r="G635" s="95"/>
      <c r="H635" s="82"/>
    </row>
    <row r="636" spans="1:8" x14ac:dyDescent="0.4">
      <c r="A636" s="96"/>
      <c r="B636" s="97"/>
      <c r="C636" s="13" t="str">
        <f>C631</f>
        <v xml:space="preserve">Measured, </v>
      </c>
      <c r="D636" s="43"/>
      <c r="E636" s="43"/>
      <c r="F636" s="98"/>
      <c r="G636" s="95"/>
      <c r="H636" s="82"/>
    </row>
    <row r="637" spans="1:8" x14ac:dyDescent="0.4">
      <c r="A637" s="96"/>
      <c r="B637" s="97"/>
      <c r="C637" s="13" t="s">
        <v>186</v>
      </c>
      <c r="D637" s="2" t="e">
        <f>(D636-D632)/D632*100</f>
        <v>#N/A</v>
      </c>
      <c r="E637" s="2" t="e">
        <f>(E636-E632)/E632*100</f>
        <v>#N/A</v>
      </c>
      <c r="F637" s="98"/>
      <c r="G637" s="95"/>
      <c r="H637" s="82"/>
    </row>
    <row r="638" spans="1:8" x14ac:dyDescent="0.4">
      <c r="A638" s="96"/>
      <c r="B638" s="97"/>
      <c r="C638" s="42" t="s">
        <v>215</v>
      </c>
      <c r="D638" s="43"/>
      <c r="E638" s="43"/>
      <c r="F638" s="98"/>
      <c r="G638" s="95"/>
      <c r="H638" s="82"/>
    </row>
    <row r="639" spans="1:8" x14ac:dyDescent="0.4">
      <c r="A639" s="96"/>
      <c r="B639" s="97"/>
      <c r="C639" s="13" t="s">
        <v>187</v>
      </c>
      <c r="D639" s="2" t="e">
        <f>INDEX('Equipment list'!$B$189:$B$220, (MATCH(A638,'Equipment list'!$D$189:$D$220,0)),1)</f>
        <v>#N/A</v>
      </c>
      <c r="E639" s="2" t="e">
        <f>INDEX('Equipment list'!$C$189:$C$220, (MATCH(A638,'Equipment list'!$D$189:$D$220,0)),1)</f>
        <v>#N/A</v>
      </c>
      <c r="F639" s="98"/>
      <c r="G639" s="95"/>
      <c r="H639" s="82"/>
    </row>
    <row r="640" spans="1:8" x14ac:dyDescent="0.4">
      <c r="A640" s="96"/>
      <c r="B640" s="97"/>
      <c r="C640" s="13" t="s">
        <v>186</v>
      </c>
      <c r="D640" s="2" t="e">
        <f>(D638-D639)/D639*100</f>
        <v>#N/A</v>
      </c>
      <c r="E640" s="2" t="e">
        <f>(E638-E639)/E639*100</f>
        <v>#N/A</v>
      </c>
      <c r="F640" s="98"/>
      <c r="G640" s="95"/>
      <c r="H640" s="82"/>
    </row>
    <row r="641" spans="1:8" x14ac:dyDescent="0.4">
      <c r="A641" s="96"/>
      <c r="B641" s="97"/>
      <c r="C641" s="13" t="str">
        <f>C638</f>
        <v xml:space="preserve">Measured, </v>
      </c>
      <c r="D641" s="43"/>
      <c r="E641" s="43"/>
      <c r="F641" s="98"/>
      <c r="G641" s="95"/>
      <c r="H641" s="82"/>
    </row>
    <row r="642" spans="1:8" x14ac:dyDescent="0.4">
      <c r="A642" s="96"/>
      <c r="B642" s="97"/>
      <c r="C642" s="13" t="s">
        <v>186</v>
      </c>
      <c r="D642" s="2" t="e">
        <f>(D641-D639)/D639*100</f>
        <v>#N/A</v>
      </c>
      <c r="E642" s="2" t="e">
        <f>(E641-E639)/E639*100</f>
        <v>#N/A</v>
      </c>
      <c r="F642" s="98"/>
      <c r="G642" s="95"/>
      <c r="H642" s="82"/>
    </row>
    <row r="643" spans="1:8" x14ac:dyDescent="0.4">
      <c r="A643" s="96"/>
      <c r="B643" s="97"/>
      <c r="C643" s="13" t="str">
        <f>C638</f>
        <v xml:space="preserve">Measured, </v>
      </c>
      <c r="D643" s="43"/>
      <c r="E643" s="43"/>
      <c r="F643" s="98"/>
      <c r="G643" s="95"/>
      <c r="H643" s="82"/>
    </row>
    <row r="644" spans="1:8" x14ac:dyDescent="0.4">
      <c r="A644" s="96"/>
      <c r="B644" s="97"/>
      <c r="C644" s="13" t="s">
        <v>186</v>
      </c>
      <c r="D644" s="2" t="e">
        <f>(D643-D639)/D639*100</f>
        <v>#N/A</v>
      </c>
      <c r="E644" s="2" t="e">
        <f>(E643-E639)/E639*100</f>
        <v>#N/A</v>
      </c>
      <c r="F644" s="98"/>
      <c r="G644" s="95"/>
      <c r="H644" s="82"/>
    </row>
    <row r="645" spans="1:8" x14ac:dyDescent="0.4">
      <c r="A645" s="96"/>
      <c r="B645" s="97"/>
      <c r="C645" s="42" t="s">
        <v>215</v>
      </c>
      <c r="D645" s="43"/>
      <c r="E645" s="43"/>
      <c r="F645" s="98"/>
      <c r="G645" s="95"/>
      <c r="H645" s="82"/>
    </row>
    <row r="646" spans="1:8" x14ac:dyDescent="0.4">
      <c r="A646" s="96"/>
      <c r="B646" s="97"/>
      <c r="C646" s="13" t="s">
        <v>187</v>
      </c>
      <c r="D646" s="2" t="e">
        <f>INDEX('Equipment list'!$B$189:$B$220, (MATCH(A645,'Equipment list'!$D$189:$D$220,0)),1)</f>
        <v>#N/A</v>
      </c>
      <c r="E646" s="2" t="e">
        <f>INDEX('Equipment list'!$C$189:$C$220, (MATCH(A645,'Equipment list'!$D$189:$D$220,0)),1)</f>
        <v>#N/A</v>
      </c>
      <c r="F646" s="98"/>
      <c r="G646" s="95"/>
      <c r="H646" s="82"/>
    </row>
    <row r="647" spans="1:8" x14ac:dyDescent="0.4">
      <c r="A647" s="96"/>
      <c r="B647" s="97"/>
      <c r="C647" s="13" t="s">
        <v>186</v>
      </c>
      <c r="D647" s="2" t="e">
        <f>(D645-D646)/D646*100</f>
        <v>#N/A</v>
      </c>
      <c r="E647" s="2" t="e">
        <f>(E645-E646)/E646*100</f>
        <v>#N/A</v>
      </c>
      <c r="F647" s="98"/>
      <c r="G647" s="95"/>
      <c r="H647" s="82"/>
    </row>
    <row r="648" spans="1:8" x14ac:dyDescent="0.4">
      <c r="A648" s="96"/>
      <c r="B648" s="97"/>
      <c r="C648" s="13" t="str">
        <f>C645</f>
        <v xml:space="preserve">Measured, </v>
      </c>
      <c r="D648" s="43"/>
      <c r="E648" s="43"/>
      <c r="F648" s="98"/>
      <c r="G648" s="95"/>
      <c r="H648" s="82"/>
    </row>
    <row r="649" spans="1:8" x14ac:dyDescent="0.4">
      <c r="A649" s="96"/>
      <c r="B649" s="97"/>
      <c r="C649" s="13" t="s">
        <v>186</v>
      </c>
      <c r="D649" s="2" t="e">
        <f>(D648-D646)/D646*100</f>
        <v>#N/A</v>
      </c>
      <c r="E649" s="2" t="e">
        <f>(E648-E646)/E646*100</f>
        <v>#N/A</v>
      </c>
      <c r="F649" s="98"/>
      <c r="G649" s="95"/>
      <c r="H649" s="82"/>
    </row>
    <row r="650" spans="1:8" x14ac:dyDescent="0.4">
      <c r="A650" s="96"/>
      <c r="B650" s="97"/>
      <c r="C650" s="13" t="str">
        <f>C645</f>
        <v xml:space="preserve">Measured, </v>
      </c>
      <c r="D650" s="43"/>
      <c r="E650" s="43"/>
      <c r="F650" s="98"/>
      <c r="G650" s="95"/>
      <c r="H650" s="82"/>
    </row>
    <row r="651" spans="1:8" x14ac:dyDescent="0.4">
      <c r="A651" s="96"/>
      <c r="B651" s="97"/>
      <c r="C651" s="13" t="s">
        <v>186</v>
      </c>
      <c r="D651" s="2" t="e">
        <f>(D650-D646)/D646*100</f>
        <v>#N/A</v>
      </c>
      <c r="E651" s="2" t="e">
        <f>(E650-E646)/E646*100</f>
        <v>#N/A</v>
      </c>
      <c r="F651" s="98"/>
      <c r="G651" s="95"/>
      <c r="H651" s="82"/>
    </row>
    <row r="652" spans="1:8" x14ac:dyDescent="0.4">
      <c r="A652" s="96"/>
      <c r="B652" s="97"/>
      <c r="C652" s="42" t="s">
        <v>215</v>
      </c>
      <c r="D652" s="43"/>
      <c r="E652" s="43"/>
      <c r="F652" s="98"/>
      <c r="G652" s="95"/>
      <c r="H652" s="82"/>
    </row>
    <row r="653" spans="1:8" x14ac:dyDescent="0.4">
      <c r="A653" s="96"/>
      <c r="B653" s="97"/>
      <c r="C653" s="13" t="s">
        <v>187</v>
      </c>
      <c r="D653" s="2" t="e">
        <f>INDEX('Equipment list'!$B$189:$B$220, (MATCH(A652,'Equipment list'!$D$189:$D$220,0)),1)</f>
        <v>#N/A</v>
      </c>
      <c r="E653" s="2" t="e">
        <f>INDEX('Equipment list'!$C$189:$C$220, (MATCH(A652,'Equipment list'!$D$189:$D$220,0)),1)</f>
        <v>#N/A</v>
      </c>
      <c r="F653" s="98"/>
      <c r="G653" s="95"/>
      <c r="H653" s="82"/>
    </row>
    <row r="654" spans="1:8" x14ac:dyDescent="0.4">
      <c r="A654" s="96"/>
      <c r="B654" s="97"/>
      <c r="C654" s="13" t="s">
        <v>186</v>
      </c>
      <c r="D654" s="2" t="e">
        <f>(D652-D653)/D653*100</f>
        <v>#N/A</v>
      </c>
      <c r="E654" s="2" t="e">
        <f>(E652-E653)/E653*100</f>
        <v>#N/A</v>
      </c>
      <c r="F654" s="98"/>
      <c r="G654" s="95"/>
      <c r="H654" s="82"/>
    </row>
    <row r="655" spans="1:8" x14ac:dyDescent="0.4">
      <c r="A655" s="96"/>
      <c r="B655" s="97"/>
      <c r="C655" s="13" t="str">
        <f>C652</f>
        <v xml:space="preserve">Measured, </v>
      </c>
      <c r="D655" s="43"/>
      <c r="E655" s="43"/>
      <c r="F655" s="98"/>
      <c r="G655" s="95"/>
      <c r="H655" s="82"/>
    </row>
    <row r="656" spans="1:8" x14ac:dyDescent="0.4">
      <c r="A656" s="96"/>
      <c r="B656" s="97"/>
      <c r="C656" s="13" t="s">
        <v>186</v>
      </c>
      <c r="D656" s="2" t="e">
        <f>(D655-D653)/D653*100</f>
        <v>#N/A</v>
      </c>
      <c r="E656" s="2" t="e">
        <f>(E655-E653)/E653*100</f>
        <v>#N/A</v>
      </c>
      <c r="F656" s="98"/>
      <c r="G656" s="95"/>
      <c r="H656" s="82"/>
    </row>
    <row r="657" spans="1:8" x14ac:dyDescent="0.4">
      <c r="A657" s="96"/>
      <c r="B657" s="97"/>
      <c r="C657" s="13" t="str">
        <f>C652</f>
        <v xml:space="preserve">Measured, </v>
      </c>
      <c r="D657" s="43"/>
      <c r="E657" s="43"/>
      <c r="F657" s="98"/>
      <c r="G657" s="95"/>
      <c r="H657" s="82"/>
    </row>
    <row r="658" spans="1:8" x14ac:dyDescent="0.4">
      <c r="A658" s="96"/>
      <c r="B658" s="97"/>
      <c r="C658" s="13" t="s">
        <v>186</v>
      </c>
      <c r="D658" s="2" t="e">
        <f>(D657-D653)/D653*100</f>
        <v>#N/A</v>
      </c>
      <c r="E658" s="2" t="e">
        <f>(E657-E653)/E653*100</f>
        <v>#N/A</v>
      </c>
      <c r="F658" s="98"/>
      <c r="G658" s="95"/>
      <c r="H658" s="82"/>
    </row>
    <row r="659" spans="1:8" x14ac:dyDescent="0.4">
      <c r="A659" s="96"/>
      <c r="B659" s="97"/>
      <c r="C659" s="42" t="s">
        <v>215</v>
      </c>
      <c r="D659" s="43"/>
      <c r="E659" s="43"/>
      <c r="F659" s="98"/>
      <c r="G659" s="95"/>
      <c r="H659" s="82"/>
    </row>
    <row r="660" spans="1:8" x14ac:dyDescent="0.4">
      <c r="A660" s="96"/>
      <c r="B660" s="97"/>
      <c r="C660" s="13" t="s">
        <v>187</v>
      </c>
      <c r="D660" s="2" t="e">
        <f>INDEX('Equipment list'!$B$189:$B$220, (MATCH(A659,'Equipment list'!$D$189:$D$220,0)),1)</f>
        <v>#N/A</v>
      </c>
      <c r="E660" s="2" t="e">
        <f>INDEX('Equipment list'!$C$189:$C$220, (MATCH(A659,'Equipment list'!$D$189:$D$220,0)),1)</f>
        <v>#N/A</v>
      </c>
      <c r="F660" s="98"/>
      <c r="G660" s="95"/>
      <c r="H660" s="82"/>
    </row>
    <row r="661" spans="1:8" x14ac:dyDescent="0.4">
      <c r="A661" s="96"/>
      <c r="B661" s="97"/>
      <c r="C661" s="13" t="s">
        <v>186</v>
      </c>
      <c r="D661" s="2" t="e">
        <f>(D659-D660)/D660*100</f>
        <v>#N/A</v>
      </c>
      <c r="E661" s="2" t="e">
        <f>(E659-E660)/E660*100</f>
        <v>#N/A</v>
      </c>
      <c r="F661" s="98"/>
      <c r="G661" s="95"/>
      <c r="H661" s="82"/>
    </row>
    <row r="662" spans="1:8" x14ac:dyDescent="0.4">
      <c r="A662" s="96"/>
      <c r="B662" s="97"/>
      <c r="C662" s="13" t="str">
        <f>C659</f>
        <v xml:space="preserve">Measured, </v>
      </c>
      <c r="D662" s="43"/>
      <c r="E662" s="43"/>
      <c r="F662" s="98"/>
      <c r="G662" s="95"/>
      <c r="H662" s="82"/>
    </row>
    <row r="663" spans="1:8" x14ac:dyDescent="0.4">
      <c r="A663" s="96"/>
      <c r="B663" s="97"/>
      <c r="C663" s="13" t="s">
        <v>186</v>
      </c>
      <c r="D663" s="2" t="e">
        <f>(D662-D660)/D660*100</f>
        <v>#N/A</v>
      </c>
      <c r="E663" s="2" t="e">
        <f>(E662-E660)/E660*100</f>
        <v>#N/A</v>
      </c>
      <c r="F663" s="98"/>
      <c r="G663" s="95"/>
      <c r="H663" s="82"/>
    </row>
    <row r="664" spans="1:8" x14ac:dyDescent="0.4">
      <c r="A664" s="96"/>
      <c r="B664" s="97"/>
      <c r="C664" s="13" t="str">
        <f>C659</f>
        <v xml:space="preserve">Measured, </v>
      </c>
      <c r="D664" s="43"/>
      <c r="E664" s="43"/>
      <c r="F664" s="98"/>
      <c r="G664" s="95"/>
      <c r="H664" s="82"/>
    </row>
    <row r="665" spans="1:8" x14ac:dyDescent="0.4">
      <c r="A665" s="96"/>
      <c r="B665" s="97"/>
      <c r="C665" s="13" t="s">
        <v>186</v>
      </c>
      <c r="D665" s="2" t="e">
        <f>(D664-D660)/D660*100</f>
        <v>#N/A</v>
      </c>
      <c r="E665" s="2" t="e">
        <f>(E664-E660)/E660*100</f>
        <v>#N/A</v>
      </c>
      <c r="F665" s="98"/>
      <c r="G665" s="95"/>
      <c r="H665" s="82"/>
    </row>
    <row r="666" spans="1:8" x14ac:dyDescent="0.4">
      <c r="A666" s="96"/>
      <c r="B666" s="97"/>
      <c r="C666" s="42" t="s">
        <v>215</v>
      </c>
      <c r="D666" s="43"/>
      <c r="E666" s="43"/>
      <c r="F666" s="98"/>
      <c r="G666" s="95"/>
      <c r="H666" s="82"/>
    </row>
    <row r="667" spans="1:8" x14ac:dyDescent="0.4">
      <c r="A667" s="96"/>
      <c r="B667" s="97"/>
      <c r="C667" s="13" t="s">
        <v>187</v>
      </c>
      <c r="D667" s="2" t="e">
        <f>INDEX('Equipment list'!$B$189:$B$220, (MATCH(A666,'Equipment list'!$D$189:$D$220,0)),1)</f>
        <v>#N/A</v>
      </c>
      <c r="E667" s="2" t="e">
        <f>INDEX('Equipment list'!$C$189:$C$220, (MATCH(A666,'Equipment list'!$D$189:$D$220,0)),1)</f>
        <v>#N/A</v>
      </c>
      <c r="F667" s="98"/>
      <c r="G667" s="95"/>
      <c r="H667" s="82"/>
    </row>
    <row r="668" spans="1:8" x14ac:dyDescent="0.4">
      <c r="A668" s="96"/>
      <c r="B668" s="97"/>
      <c r="C668" s="13" t="s">
        <v>186</v>
      </c>
      <c r="D668" s="2" t="e">
        <f>(D666-D667)/D667*100</f>
        <v>#N/A</v>
      </c>
      <c r="E668" s="2" t="e">
        <f>(E666-E667)/E667*100</f>
        <v>#N/A</v>
      </c>
      <c r="F668" s="98"/>
      <c r="G668" s="95"/>
      <c r="H668" s="82"/>
    </row>
    <row r="669" spans="1:8" x14ac:dyDescent="0.4">
      <c r="A669" s="96"/>
      <c r="B669" s="97"/>
      <c r="C669" s="13" t="str">
        <f>C666</f>
        <v xml:space="preserve">Measured, </v>
      </c>
      <c r="D669" s="43"/>
      <c r="E669" s="43"/>
      <c r="F669" s="98"/>
      <c r="G669" s="95"/>
      <c r="H669" s="82"/>
    </row>
    <row r="670" spans="1:8" x14ac:dyDescent="0.4">
      <c r="A670" s="96"/>
      <c r="B670" s="97"/>
      <c r="C670" s="13" t="s">
        <v>186</v>
      </c>
      <c r="D670" s="2" t="e">
        <f>(D669-D667)/D667*100</f>
        <v>#N/A</v>
      </c>
      <c r="E670" s="2" t="e">
        <f>(E669-E667)/E667*100</f>
        <v>#N/A</v>
      </c>
      <c r="F670" s="98"/>
      <c r="G670" s="95"/>
      <c r="H670" s="82"/>
    </row>
    <row r="671" spans="1:8" x14ac:dyDescent="0.4">
      <c r="A671" s="96"/>
      <c r="B671" s="97"/>
      <c r="C671" s="13" t="str">
        <f>C666</f>
        <v xml:space="preserve">Measured, </v>
      </c>
      <c r="D671" s="43"/>
      <c r="E671" s="43"/>
      <c r="F671" s="98"/>
      <c r="G671" s="95"/>
      <c r="H671" s="82"/>
    </row>
    <row r="672" spans="1:8" x14ac:dyDescent="0.4">
      <c r="A672" s="96"/>
      <c r="B672" s="97"/>
      <c r="C672" s="13" t="s">
        <v>186</v>
      </c>
      <c r="D672" s="2" t="e">
        <f>(D671-D667)/D667*100</f>
        <v>#N/A</v>
      </c>
      <c r="E672" s="2" t="e">
        <f>(E671-E667)/E667*100</f>
        <v>#N/A</v>
      </c>
      <c r="F672" s="98"/>
      <c r="G672" s="95"/>
      <c r="H672" s="82"/>
    </row>
    <row r="673" spans="1:8" x14ac:dyDescent="0.4">
      <c r="A673" s="96"/>
      <c r="B673" s="97"/>
      <c r="C673" s="42" t="s">
        <v>215</v>
      </c>
      <c r="D673" s="43"/>
      <c r="E673" s="43"/>
      <c r="F673" s="98"/>
      <c r="G673" s="95"/>
      <c r="H673" s="82"/>
    </row>
    <row r="674" spans="1:8" x14ac:dyDescent="0.4">
      <c r="A674" s="96"/>
      <c r="B674" s="97"/>
      <c r="C674" s="13" t="s">
        <v>187</v>
      </c>
      <c r="D674" s="2" t="e">
        <f>INDEX('Equipment list'!$B$189:$B$220, (MATCH(A673,'Equipment list'!$D$189:$D$220,0)),1)</f>
        <v>#N/A</v>
      </c>
      <c r="E674" s="2" t="e">
        <f>INDEX('Equipment list'!$C$189:$C$220, (MATCH(A673,'Equipment list'!$D$189:$D$220,0)),1)</f>
        <v>#N/A</v>
      </c>
      <c r="F674" s="98"/>
      <c r="G674" s="95"/>
      <c r="H674" s="82"/>
    </row>
    <row r="675" spans="1:8" x14ac:dyDescent="0.4">
      <c r="A675" s="96"/>
      <c r="B675" s="97"/>
      <c r="C675" s="13" t="s">
        <v>186</v>
      </c>
      <c r="D675" s="2" t="e">
        <f>(D673-D674)/D674*100</f>
        <v>#N/A</v>
      </c>
      <c r="E675" s="2" t="e">
        <f>(E673-E674)/E674*100</f>
        <v>#N/A</v>
      </c>
      <c r="F675" s="98"/>
      <c r="G675" s="95"/>
      <c r="H675" s="82"/>
    </row>
    <row r="676" spans="1:8" x14ac:dyDescent="0.4">
      <c r="A676" s="96"/>
      <c r="B676" s="97"/>
      <c r="C676" s="13" t="str">
        <f>C673</f>
        <v xml:space="preserve">Measured, </v>
      </c>
      <c r="D676" s="43"/>
      <c r="E676" s="43"/>
      <c r="F676" s="98"/>
      <c r="G676" s="95"/>
      <c r="H676" s="82"/>
    </row>
    <row r="677" spans="1:8" x14ac:dyDescent="0.4">
      <c r="A677" s="96"/>
      <c r="B677" s="97"/>
      <c r="C677" s="13" t="s">
        <v>186</v>
      </c>
      <c r="D677" s="2" t="e">
        <f>(D676-D674)/D674*100</f>
        <v>#N/A</v>
      </c>
      <c r="E677" s="2" t="e">
        <f>(E676-E674)/E674*100</f>
        <v>#N/A</v>
      </c>
      <c r="F677" s="98"/>
      <c r="G677" s="95"/>
      <c r="H677" s="82"/>
    </row>
    <row r="678" spans="1:8" x14ac:dyDescent="0.4">
      <c r="A678" s="96"/>
      <c r="B678" s="97"/>
      <c r="C678" s="13" t="str">
        <f>C673</f>
        <v xml:space="preserve">Measured, </v>
      </c>
      <c r="D678" s="43"/>
      <c r="E678" s="43"/>
      <c r="F678" s="98"/>
      <c r="G678" s="95"/>
      <c r="H678" s="82"/>
    </row>
    <row r="679" spans="1:8" x14ac:dyDescent="0.4">
      <c r="A679" s="96"/>
      <c r="B679" s="97"/>
      <c r="C679" s="13" t="s">
        <v>186</v>
      </c>
      <c r="D679" s="2" t="e">
        <f>(D678-D674)/D674*100</f>
        <v>#N/A</v>
      </c>
      <c r="E679" s="2" t="e">
        <f>(E678-E674)/E674*100</f>
        <v>#N/A</v>
      </c>
      <c r="F679" s="98"/>
      <c r="G679" s="95"/>
      <c r="H679" s="82"/>
    </row>
    <row r="680" spans="1:8" x14ac:dyDescent="0.4">
      <c r="A680" s="96"/>
      <c r="B680" s="97"/>
      <c r="C680" s="42" t="s">
        <v>215</v>
      </c>
      <c r="D680" s="43"/>
      <c r="E680" s="43"/>
      <c r="F680" s="98"/>
      <c r="G680" s="95"/>
      <c r="H680" s="82"/>
    </row>
    <row r="681" spans="1:8" x14ac:dyDescent="0.4">
      <c r="A681" s="96"/>
      <c r="B681" s="97"/>
      <c r="C681" s="13" t="s">
        <v>187</v>
      </c>
      <c r="D681" s="2" t="e">
        <f>INDEX('Equipment list'!$B$189:$B$220, (MATCH(A680,'Equipment list'!$D$189:$D$220,0)),1)</f>
        <v>#N/A</v>
      </c>
      <c r="E681" s="2" t="e">
        <f>INDEX('Equipment list'!$C$189:$C$220, (MATCH(A680,'Equipment list'!$D$189:$D$220,0)),1)</f>
        <v>#N/A</v>
      </c>
      <c r="F681" s="98"/>
      <c r="G681" s="95"/>
      <c r="H681" s="82"/>
    </row>
    <row r="682" spans="1:8" x14ac:dyDescent="0.4">
      <c r="A682" s="96"/>
      <c r="B682" s="97"/>
      <c r="C682" s="13" t="s">
        <v>186</v>
      </c>
      <c r="D682" s="2" t="e">
        <f>(D680-D681)/D681*100</f>
        <v>#N/A</v>
      </c>
      <c r="E682" s="2" t="e">
        <f>(E680-E681)/E681*100</f>
        <v>#N/A</v>
      </c>
      <c r="F682" s="98"/>
      <c r="G682" s="95"/>
      <c r="H682" s="82"/>
    </row>
    <row r="683" spans="1:8" x14ac:dyDescent="0.4">
      <c r="A683" s="96"/>
      <c r="B683" s="97"/>
      <c r="C683" s="13" t="str">
        <f>C680</f>
        <v xml:space="preserve">Measured, </v>
      </c>
      <c r="D683" s="43"/>
      <c r="E683" s="43"/>
      <c r="F683" s="98"/>
      <c r="G683" s="95"/>
      <c r="H683" s="82"/>
    </row>
    <row r="684" spans="1:8" x14ac:dyDescent="0.4">
      <c r="A684" s="96"/>
      <c r="B684" s="97"/>
      <c r="C684" s="13" t="s">
        <v>186</v>
      </c>
      <c r="D684" s="2" t="e">
        <f>(D683-D681)/D681*100</f>
        <v>#N/A</v>
      </c>
      <c r="E684" s="2" t="e">
        <f>(E683-E681)/E681*100</f>
        <v>#N/A</v>
      </c>
      <c r="F684" s="98"/>
      <c r="G684" s="95"/>
      <c r="H684" s="82"/>
    </row>
    <row r="685" spans="1:8" x14ac:dyDescent="0.4">
      <c r="A685" s="96"/>
      <c r="B685" s="97"/>
      <c r="C685" s="13" t="str">
        <f>C680</f>
        <v xml:space="preserve">Measured, </v>
      </c>
      <c r="D685" s="43"/>
      <c r="E685" s="43"/>
      <c r="F685" s="98"/>
      <c r="G685" s="95"/>
      <c r="H685" s="82"/>
    </row>
    <row r="686" spans="1:8" x14ac:dyDescent="0.4">
      <c r="A686" s="96"/>
      <c r="B686" s="97"/>
      <c r="C686" s="13" t="s">
        <v>186</v>
      </c>
      <c r="D686" s="2" t="e">
        <f>(D685-D681)/D681*100</f>
        <v>#N/A</v>
      </c>
      <c r="E686" s="2" t="e">
        <f>(E685-E681)/E681*100</f>
        <v>#N/A</v>
      </c>
      <c r="F686" s="98"/>
      <c r="G686" s="95"/>
      <c r="H686" s="82"/>
    </row>
    <row r="687" spans="1:8" x14ac:dyDescent="0.4">
      <c r="A687" s="96"/>
      <c r="B687" s="97"/>
      <c r="C687" s="42" t="s">
        <v>215</v>
      </c>
      <c r="D687" s="43"/>
      <c r="E687" s="43"/>
      <c r="F687" s="98"/>
      <c r="G687" s="95"/>
      <c r="H687" s="82"/>
    </row>
    <row r="688" spans="1:8" x14ac:dyDescent="0.4">
      <c r="A688" s="96"/>
      <c r="B688" s="97"/>
      <c r="C688" s="13" t="s">
        <v>187</v>
      </c>
      <c r="D688" s="2" t="e">
        <f>INDEX('Equipment list'!$B$189:$B$220, (MATCH(A687,'Equipment list'!$D$189:$D$220,0)),1)</f>
        <v>#N/A</v>
      </c>
      <c r="E688" s="2" t="e">
        <f>INDEX('Equipment list'!$C$189:$C$220, (MATCH(A687,'Equipment list'!$D$189:$D$220,0)),1)</f>
        <v>#N/A</v>
      </c>
      <c r="F688" s="98"/>
      <c r="G688" s="95"/>
      <c r="H688" s="82"/>
    </row>
    <row r="689" spans="1:8" x14ac:dyDescent="0.4">
      <c r="A689" s="96"/>
      <c r="B689" s="97"/>
      <c r="C689" s="13" t="s">
        <v>186</v>
      </c>
      <c r="D689" s="2" t="e">
        <f>(D687-D688)/D688*100</f>
        <v>#N/A</v>
      </c>
      <c r="E689" s="2" t="e">
        <f>(E687-E688)/E688*100</f>
        <v>#N/A</v>
      </c>
      <c r="F689" s="98"/>
      <c r="G689" s="95"/>
      <c r="H689" s="82"/>
    </row>
    <row r="690" spans="1:8" x14ac:dyDescent="0.4">
      <c r="A690" s="96"/>
      <c r="B690" s="97"/>
      <c r="C690" s="13" t="str">
        <f>C687</f>
        <v xml:space="preserve">Measured, </v>
      </c>
      <c r="D690" s="43"/>
      <c r="E690" s="43"/>
      <c r="F690" s="98"/>
      <c r="G690" s="95"/>
      <c r="H690" s="82"/>
    </row>
    <row r="691" spans="1:8" x14ac:dyDescent="0.4">
      <c r="A691" s="96"/>
      <c r="B691" s="97"/>
      <c r="C691" s="13" t="s">
        <v>186</v>
      </c>
      <c r="D691" s="2" t="e">
        <f>(D690-D688)/D688*100</f>
        <v>#N/A</v>
      </c>
      <c r="E691" s="2" t="e">
        <f>(E690-E688)/E688*100</f>
        <v>#N/A</v>
      </c>
      <c r="F691" s="98"/>
      <c r="G691" s="95"/>
      <c r="H691" s="82"/>
    </row>
    <row r="692" spans="1:8" x14ac:dyDescent="0.4">
      <c r="A692" s="96"/>
      <c r="B692" s="97"/>
      <c r="C692" s="13" t="str">
        <f>C687</f>
        <v xml:space="preserve">Measured, </v>
      </c>
      <c r="D692" s="43"/>
      <c r="E692" s="43"/>
      <c r="F692" s="98"/>
      <c r="G692" s="95"/>
      <c r="H692" s="82"/>
    </row>
    <row r="693" spans="1:8" x14ac:dyDescent="0.4">
      <c r="A693" s="96"/>
      <c r="B693" s="97"/>
      <c r="C693" s="13" t="s">
        <v>186</v>
      </c>
      <c r="D693" s="2" t="e">
        <f>(D692-D688)/D688*100</f>
        <v>#N/A</v>
      </c>
      <c r="E693" s="2" t="e">
        <f>(E692-E688)/E688*100</f>
        <v>#N/A</v>
      </c>
      <c r="F693" s="98"/>
      <c r="G693" s="95"/>
      <c r="H693" s="82"/>
    </row>
    <row r="694" spans="1:8" x14ac:dyDescent="0.4">
      <c r="A694" s="96"/>
      <c r="B694" s="97"/>
      <c r="C694" s="42" t="s">
        <v>215</v>
      </c>
      <c r="D694" s="43"/>
      <c r="E694" s="43"/>
      <c r="F694" s="98"/>
      <c r="G694" s="95"/>
      <c r="H694" s="82"/>
    </row>
    <row r="695" spans="1:8" x14ac:dyDescent="0.4">
      <c r="A695" s="96"/>
      <c r="B695" s="97"/>
      <c r="C695" s="13" t="s">
        <v>187</v>
      </c>
      <c r="D695" s="2" t="e">
        <f>INDEX('Equipment list'!$B$189:$B$220, (MATCH(A694,'Equipment list'!$D$189:$D$220,0)),1)</f>
        <v>#N/A</v>
      </c>
      <c r="E695" s="2" t="e">
        <f>INDEX('Equipment list'!$C$189:$C$220, (MATCH(A694,'Equipment list'!$D$189:$D$220,0)),1)</f>
        <v>#N/A</v>
      </c>
      <c r="F695" s="98"/>
      <c r="G695" s="95"/>
      <c r="H695" s="82"/>
    </row>
    <row r="696" spans="1:8" x14ac:dyDescent="0.4">
      <c r="A696" s="96"/>
      <c r="B696" s="97"/>
      <c r="C696" s="13" t="s">
        <v>186</v>
      </c>
      <c r="D696" s="2" t="e">
        <f>(D694-D695)/D695*100</f>
        <v>#N/A</v>
      </c>
      <c r="E696" s="2" t="e">
        <f>(E694-E695)/E695*100</f>
        <v>#N/A</v>
      </c>
      <c r="F696" s="98"/>
      <c r="G696" s="95"/>
      <c r="H696" s="82"/>
    </row>
    <row r="697" spans="1:8" x14ac:dyDescent="0.4">
      <c r="A697" s="96"/>
      <c r="B697" s="97"/>
      <c r="C697" s="13" t="str">
        <f>C694</f>
        <v xml:space="preserve">Measured, </v>
      </c>
      <c r="D697" s="43"/>
      <c r="E697" s="43"/>
      <c r="F697" s="98"/>
      <c r="G697" s="95"/>
      <c r="H697" s="82"/>
    </row>
    <row r="698" spans="1:8" x14ac:dyDescent="0.4">
      <c r="A698" s="96"/>
      <c r="B698" s="97"/>
      <c r="C698" s="13" t="s">
        <v>186</v>
      </c>
      <c r="D698" s="2" t="e">
        <f>(D697-D695)/D695*100</f>
        <v>#N/A</v>
      </c>
      <c r="E698" s="2" t="e">
        <f>(E697-E695)/E695*100</f>
        <v>#N/A</v>
      </c>
      <c r="F698" s="98"/>
      <c r="G698" s="95"/>
      <c r="H698" s="82"/>
    </row>
    <row r="699" spans="1:8" x14ac:dyDescent="0.4">
      <c r="A699" s="96"/>
      <c r="B699" s="97"/>
      <c r="C699" s="13" t="str">
        <f>C694</f>
        <v xml:space="preserve">Measured, </v>
      </c>
      <c r="D699" s="43"/>
      <c r="E699" s="43"/>
      <c r="F699" s="98"/>
      <c r="G699" s="95"/>
      <c r="H699" s="82"/>
    </row>
    <row r="700" spans="1:8" x14ac:dyDescent="0.4">
      <c r="A700" s="96"/>
      <c r="B700" s="97"/>
      <c r="C700" s="13" t="s">
        <v>186</v>
      </c>
      <c r="D700" s="2" t="e">
        <f>(D699-D695)/D695*100</f>
        <v>#N/A</v>
      </c>
      <c r="E700" s="2" t="e">
        <f>(E699-E695)/E695*100</f>
        <v>#N/A</v>
      </c>
      <c r="F700" s="98"/>
      <c r="G700" s="95"/>
      <c r="H700" s="82"/>
    </row>
    <row r="701" spans="1:8" x14ac:dyDescent="0.4">
      <c r="A701" s="96"/>
      <c r="B701" s="97"/>
      <c r="C701" s="42" t="s">
        <v>215</v>
      </c>
      <c r="D701" s="43"/>
      <c r="E701" s="43"/>
      <c r="F701" s="98"/>
      <c r="G701" s="95"/>
      <c r="H701" s="82"/>
    </row>
    <row r="702" spans="1:8" x14ac:dyDescent="0.4">
      <c r="A702" s="96"/>
      <c r="B702" s="97"/>
      <c r="C702" s="13" t="s">
        <v>187</v>
      </c>
      <c r="D702" s="2" t="e">
        <f>INDEX('Equipment list'!$B$189:$B$220, (MATCH(A701,'Equipment list'!$D$189:$D$220,0)),1)</f>
        <v>#N/A</v>
      </c>
      <c r="E702" s="2" t="e">
        <f>INDEX('Equipment list'!$C$189:$C$220, (MATCH(A701,'Equipment list'!$D$189:$D$220,0)),1)</f>
        <v>#N/A</v>
      </c>
      <c r="F702" s="98"/>
      <c r="G702" s="95"/>
      <c r="H702" s="82"/>
    </row>
    <row r="703" spans="1:8" x14ac:dyDescent="0.4">
      <c r="A703" s="96"/>
      <c r="B703" s="97"/>
      <c r="C703" s="13" t="s">
        <v>186</v>
      </c>
      <c r="D703" s="2" t="e">
        <f>(D701-D702)/D702*100</f>
        <v>#N/A</v>
      </c>
      <c r="E703" s="2" t="e">
        <f>(E701-E702)/E702*100</f>
        <v>#N/A</v>
      </c>
      <c r="F703" s="98"/>
      <c r="G703" s="95"/>
      <c r="H703" s="82"/>
    </row>
    <row r="704" spans="1:8" x14ac:dyDescent="0.4">
      <c r="A704" s="96"/>
      <c r="B704" s="97"/>
      <c r="C704" s="13" t="str">
        <f>C701</f>
        <v xml:space="preserve">Measured, </v>
      </c>
      <c r="D704" s="43"/>
      <c r="E704" s="43"/>
      <c r="F704" s="98"/>
      <c r="G704" s="95"/>
      <c r="H704" s="82"/>
    </row>
    <row r="705" spans="1:8" x14ac:dyDescent="0.4">
      <c r="A705" s="96"/>
      <c r="B705" s="97"/>
      <c r="C705" s="13" t="s">
        <v>186</v>
      </c>
      <c r="D705" s="2" t="e">
        <f>(D704-D702)/D702*100</f>
        <v>#N/A</v>
      </c>
      <c r="E705" s="2" t="e">
        <f>(E704-E702)/E702*100</f>
        <v>#N/A</v>
      </c>
      <c r="F705" s="98"/>
      <c r="G705" s="95"/>
      <c r="H705" s="82"/>
    </row>
    <row r="706" spans="1:8" x14ac:dyDescent="0.4">
      <c r="A706" s="96"/>
      <c r="B706" s="97"/>
      <c r="C706" s="13" t="str">
        <f>C701</f>
        <v xml:space="preserve">Measured, </v>
      </c>
      <c r="D706" s="43"/>
      <c r="E706" s="43"/>
      <c r="F706" s="98"/>
      <c r="G706" s="95"/>
      <c r="H706" s="82"/>
    </row>
    <row r="707" spans="1:8" x14ac:dyDescent="0.4">
      <c r="A707" s="96"/>
      <c r="B707" s="97"/>
      <c r="C707" s="13" t="s">
        <v>186</v>
      </c>
      <c r="D707" s="2" t="e">
        <f>(D706-D702)/D702*100</f>
        <v>#N/A</v>
      </c>
      <c r="E707" s="2" t="e">
        <f>(E706-E702)/E702*100</f>
        <v>#N/A</v>
      </c>
      <c r="F707" s="98"/>
      <c r="G707" s="95"/>
      <c r="H707" s="82"/>
    </row>
    <row r="708" spans="1:8" x14ac:dyDescent="0.4">
      <c r="A708" s="96"/>
      <c r="B708" s="97"/>
      <c r="C708" s="42" t="s">
        <v>215</v>
      </c>
      <c r="D708" s="43"/>
      <c r="E708" s="43"/>
      <c r="F708" s="98"/>
      <c r="G708" s="95"/>
      <c r="H708" s="82"/>
    </row>
    <row r="709" spans="1:8" x14ac:dyDescent="0.4">
      <c r="A709" s="96"/>
      <c r="B709" s="97"/>
      <c r="C709" s="13" t="s">
        <v>187</v>
      </c>
      <c r="D709" s="2" t="e">
        <f>INDEX('Equipment list'!$B$189:$B$220, (MATCH(A708,'Equipment list'!$D$189:$D$220,0)),1)</f>
        <v>#N/A</v>
      </c>
      <c r="E709" s="2" t="e">
        <f>INDEX('Equipment list'!$C$189:$C$220, (MATCH(A708,'Equipment list'!$D$189:$D$220,0)),1)</f>
        <v>#N/A</v>
      </c>
      <c r="F709" s="98"/>
      <c r="G709" s="95"/>
      <c r="H709" s="82"/>
    </row>
    <row r="710" spans="1:8" x14ac:dyDescent="0.4">
      <c r="A710" s="96"/>
      <c r="B710" s="97"/>
      <c r="C710" s="13" t="s">
        <v>186</v>
      </c>
      <c r="D710" s="2" t="e">
        <f>(D708-D709)/D709*100</f>
        <v>#N/A</v>
      </c>
      <c r="E710" s="2" t="e">
        <f>(E708-E709)/E709*100</f>
        <v>#N/A</v>
      </c>
      <c r="F710" s="98"/>
      <c r="G710" s="95"/>
      <c r="H710" s="82"/>
    </row>
    <row r="711" spans="1:8" x14ac:dyDescent="0.4">
      <c r="A711" s="96"/>
      <c r="B711" s="97"/>
      <c r="C711" s="13" t="str">
        <f>C708</f>
        <v xml:space="preserve">Measured, </v>
      </c>
      <c r="D711" s="43"/>
      <c r="E711" s="43"/>
      <c r="F711" s="98"/>
      <c r="G711" s="95"/>
      <c r="H711" s="82"/>
    </row>
    <row r="712" spans="1:8" x14ac:dyDescent="0.4">
      <c r="A712" s="96"/>
      <c r="B712" s="97"/>
      <c r="C712" s="13" t="s">
        <v>186</v>
      </c>
      <c r="D712" s="2" t="e">
        <f>(D711-D709)/D709*100</f>
        <v>#N/A</v>
      </c>
      <c r="E712" s="2" t="e">
        <f>(E711-E709)/E709*100</f>
        <v>#N/A</v>
      </c>
      <c r="F712" s="98"/>
      <c r="G712" s="95"/>
      <c r="H712" s="82"/>
    </row>
    <row r="713" spans="1:8" x14ac:dyDescent="0.4">
      <c r="A713" s="96"/>
      <c r="B713" s="97"/>
      <c r="C713" s="13" t="str">
        <f>C708</f>
        <v xml:space="preserve">Measured, </v>
      </c>
      <c r="D713" s="43"/>
      <c r="E713" s="43"/>
      <c r="F713" s="98"/>
      <c r="G713" s="95"/>
      <c r="H713" s="82"/>
    </row>
    <row r="714" spans="1:8" x14ac:dyDescent="0.4">
      <c r="A714" s="96"/>
      <c r="B714" s="97"/>
      <c r="C714" s="13" t="s">
        <v>186</v>
      </c>
      <c r="D714" s="2" t="e">
        <f>(D713-D709)/D709*100</f>
        <v>#N/A</v>
      </c>
      <c r="E714" s="2" t="e">
        <f>(E713-E709)/E709*100</f>
        <v>#N/A</v>
      </c>
      <c r="F714" s="98"/>
      <c r="G714" s="95"/>
      <c r="H714" s="82"/>
    </row>
    <row r="715" spans="1:8" x14ac:dyDescent="0.4">
      <c r="A715" s="96"/>
      <c r="B715" s="97"/>
      <c r="C715" s="42" t="s">
        <v>215</v>
      </c>
      <c r="D715" s="43"/>
      <c r="E715" s="43"/>
      <c r="F715" s="98"/>
      <c r="G715" s="95"/>
      <c r="H715" s="82"/>
    </row>
    <row r="716" spans="1:8" x14ac:dyDescent="0.4">
      <c r="A716" s="96"/>
      <c r="B716" s="97"/>
      <c r="C716" s="13" t="s">
        <v>187</v>
      </c>
      <c r="D716" s="2" t="e">
        <f>INDEX('Equipment list'!$B$189:$B$220, (MATCH(A715,'Equipment list'!$D$189:$D$220,0)),1)</f>
        <v>#N/A</v>
      </c>
      <c r="E716" s="2" t="e">
        <f>INDEX('Equipment list'!$C$189:$C$220, (MATCH(A715,'Equipment list'!$D$189:$D$220,0)),1)</f>
        <v>#N/A</v>
      </c>
      <c r="F716" s="98"/>
      <c r="G716" s="95"/>
      <c r="H716" s="82"/>
    </row>
    <row r="717" spans="1:8" x14ac:dyDescent="0.4">
      <c r="A717" s="96"/>
      <c r="B717" s="97"/>
      <c r="C717" s="13" t="s">
        <v>186</v>
      </c>
      <c r="D717" s="2" t="e">
        <f>(D715-D716)/D716*100</f>
        <v>#N/A</v>
      </c>
      <c r="E717" s="2" t="e">
        <f>(E715-E716)/E716*100</f>
        <v>#N/A</v>
      </c>
      <c r="F717" s="98"/>
      <c r="G717" s="95"/>
      <c r="H717" s="82"/>
    </row>
    <row r="718" spans="1:8" x14ac:dyDescent="0.4">
      <c r="A718" s="96"/>
      <c r="B718" s="97"/>
      <c r="C718" s="13" t="str">
        <f>C715</f>
        <v xml:space="preserve">Measured, </v>
      </c>
      <c r="D718" s="43"/>
      <c r="E718" s="43"/>
      <c r="F718" s="98"/>
      <c r="G718" s="95"/>
      <c r="H718" s="82"/>
    </row>
    <row r="719" spans="1:8" x14ac:dyDescent="0.4">
      <c r="A719" s="96"/>
      <c r="B719" s="97"/>
      <c r="C719" s="13" t="s">
        <v>186</v>
      </c>
      <c r="D719" s="2" t="e">
        <f>(D718-D716)/D716*100</f>
        <v>#N/A</v>
      </c>
      <c r="E719" s="2" t="e">
        <f>(E718-E716)/E716*100</f>
        <v>#N/A</v>
      </c>
      <c r="F719" s="98"/>
      <c r="G719" s="95"/>
      <c r="H719" s="82"/>
    </row>
    <row r="720" spans="1:8" x14ac:dyDescent="0.4">
      <c r="A720" s="96"/>
      <c r="B720" s="97"/>
      <c r="C720" s="13" t="str">
        <f>C715</f>
        <v xml:space="preserve">Measured, </v>
      </c>
      <c r="D720" s="43"/>
      <c r="E720" s="43"/>
      <c r="F720" s="98"/>
      <c r="G720" s="95"/>
      <c r="H720" s="82"/>
    </row>
    <row r="721" spans="1:8" x14ac:dyDescent="0.4">
      <c r="A721" s="96"/>
      <c r="B721" s="97"/>
      <c r="C721" s="13" t="s">
        <v>186</v>
      </c>
      <c r="D721" s="2" t="e">
        <f>(D720-D716)/D716*100</f>
        <v>#N/A</v>
      </c>
      <c r="E721" s="2" t="e">
        <f>(E720-E716)/E716*100</f>
        <v>#N/A</v>
      </c>
      <c r="F721" s="98"/>
      <c r="G721" s="95"/>
      <c r="H721" s="82"/>
    </row>
    <row r="722" spans="1:8" x14ac:dyDescent="0.4">
      <c r="A722" s="96"/>
      <c r="B722" s="97"/>
      <c r="C722" s="42" t="s">
        <v>215</v>
      </c>
      <c r="D722" s="43"/>
      <c r="E722" s="43"/>
      <c r="F722" s="98"/>
      <c r="G722" s="95"/>
      <c r="H722" s="82"/>
    </row>
    <row r="723" spans="1:8" x14ac:dyDescent="0.4">
      <c r="A723" s="96"/>
      <c r="B723" s="97"/>
      <c r="C723" s="13" t="s">
        <v>187</v>
      </c>
      <c r="D723" s="2" t="e">
        <f>INDEX('Equipment list'!$B$189:$B$220, (MATCH(A722,'Equipment list'!$D$189:$D$220,0)),1)</f>
        <v>#N/A</v>
      </c>
      <c r="E723" s="2" t="e">
        <f>INDEX('Equipment list'!$C$189:$C$220, (MATCH(A722,'Equipment list'!$D$189:$D$220,0)),1)</f>
        <v>#N/A</v>
      </c>
      <c r="F723" s="98"/>
      <c r="G723" s="95"/>
      <c r="H723" s="82"/>
    </row>
    <row r="724" spans="1:8" x14ac:dyDescent="0.4">
      <c r="A724" s="96"/>
      <c r="B724" s="97"/>
      <c r="C724" s="13" t="s">
        <v>186</v>
      </c>
      <c r="D724" s="2" t="e">
        <f>(D722-D723)/D723*100</f>
        <v>#N/A</v>
      </c>
      <c r="E724" s="2" t="e">
        <f>(E722-E723)/E723*100</f>
        <v>#N/A</v>
      </c>
      <c r="F724" s="98"/>
      <c r="G724" s="95"/>
      <c r="H724" s="82"/>
    </row>
    <row r="725" spans="1:8" x14ac:dyDescent="0.4">
      <c r="A725" s="96"/>
      <c r="B725" s="97"/>
      <c r="C725" s="13" t="str">
        <f>C722</f>
        <v xml:space="preserve">Measured, </v>
      </c>
      <c r="D725" s="43"/>
      <c r="E725" s="43"/>
      <c r="F725" s="98"/>
      <c r="G725" s="95"/>
      <c r="H725" s="82"/>
    </row>
    <row r="726" spans="1:8" x14ac:dyDescent="0.4">
      <c r="A726" s="96"/>
      <c r="B726" s="97"/>
      <c r="C726" s="13" t="s">
        <v>186</v>
      </c>
      <c r="D726" s="2" t="e">
        <f>(D725-D723)/D723*100</f>
        <v>#N/A</v>
      </c>
      <c r="E726" s="2" t="e">
        <f>(E725-E723)/E723*100</f>
        <v>#N/A</v>
      </c>
      <c r="F726" s="98"/>
      <c r="G726" s="95"/>
      <c r="H726" s="82"/>
    </row>
    <row r="727" spans="1:8" x14ac:dyDescent="0.4">
      <c r="A727" s="96"/>
      <c r="B727" s="97"/>
      <c r="C727" s="13" t="str">
        <f>C722</f>
        <v xml:space="preserve">Measured, </v>
      </c>
      <c r="D727" s="43"/>
      <c r="E727" s="43"/>
      <c r="F727" s="98"/>
      <c r="G727" s="95"/>
      <c r="H727" s="82"/>
    </row>
    <row r="728" spans="1:8" x14ac:dyDescent="0.4">
      <c r="A728" s="96"/>
      <c r="B728" s="97"/>
      <c r="C728" s="13" t="s">
        <v>186</v>
      </c>
      <c r="D728" s="2" t="e">
        <f>(D727-D723)/D723*100</f>
        <v>#N/A</v>
      </c>
      <c r="E728" s="2" t="e">
        <f>(E727-E723)/E723*100</f>
        <v>#N/A</v>
      </c>
      <c r="F728" s="98"/>
      <c r="G728" s="95"/>
      <c r="H728" s="82"/>
    </row>
    <row r="729" spans="1:8" x14ac:dyDescent="0.4">
      <c r="A729" s="96"/>
      <c r="B729" s="97"/>
      <c r="C729" s="42" t="s">
        <v>215</v>
      </c>
      <c r="D729" s="43"/>
      <c r="E729" s="43"/>
      <c r="F729" s="98"/>
      <c r="G729" s="95"/>
      <c r="H729" s="82"/>
    </row>
    <row r="730" spans="1:8" x14ac:dyDescent="0.4">
      <c r="A730" s="96"/>
      <c r="B730" s="97"/>
      <c r="C730" s="13" t="s">
        <v>187</v>
      </c>
      <c r="D730" s="2" t="e">
        <f>INDEX('Equipment list'!$B$189:$B$220, (MATCH(A729,'Equipment list'!$D$189:$D$220,0)),1)</f>
        <v>#N/A</v>
      </c>
      <c r="E730" s="2" t="e">
        <f>INDEX('Equipment list'!$C$189:$C$220, (MATCH(A729,'Equipment list'!$D$189:$D$220,0)),1)</f>
        <v>#N/A</v>
      </c>
      <c r="F730" s="98"/>
      <c r="G730" s="95"/>
      <c r="H730" s="82"/>
    </row>
    <row r="731" spans="1:8" x14ac:dyDescent="0.4">
      <c r="A731" s="96"/>
      <c r="B731" s="97"/>
      <c r="C731" s="13" t="s">
        <v>186</v>
      </c>
      <c r="D731" s="2" t="e">
        <f>(D729-D730)/D730*100</f>
        <v>#N/A</v>
      </c>
      <c r="E731" s="2" t="e">
        <f>(E729-E730)/E730*100</f>
        <v>#N/A</v>
      </c>
      <c r="F731" s="98"/>
      <c r="G731" s="95"/>
      <c r="H731" s="82"/>
    </row>
    <row r="732" spans="1:8" x14ac:dyDescent="0.4">
      <c r="A732" s="96"/>
      <c r="B732" s="97"/>
      <c r="C732" s="13" t="str">
        <f>C729</f>
        <v xml:space="preserve">Measured, </v>
      </c>
      <c r="D732" s="43"/>
      <c r="E732" s="43"/>
      <c r="F732" s="98"/>
      <c r="G732" s="95"/>
      <c r="H732" s="82"/>
    </row>
    <row r="733" spans="1:8" x14ac:dyDescent="0.4">
      <c r="A733" s="96"/>
      <c r="B733" s="97"/>
      <c r="C733" s="13" t="s">
        <v>186</v>
      </c>
      <c r="D733" s="2" t="e">
        <f>(D732-D730)/D730*100</f>
        <v>#N/A</v>
      </c>
      <c r="E733" s="2" t="e">
        <f>(E732-E730)/E730*100</f>
        <v>#N/A</v>
      </c>
      <c r="F733" s="98"/>
      <c r="G733" s="95"/>
      <c r="H733" s="82"/>
    </row>
    <row r="734" spans="1:8" x14ac:dyDescent="0.4">
      <c r="A734" s="96"/>
      <c r="B734" s="97"/>
      <c r="C734" s="13" t="str">
        <f>C729</f>
        <v xml:space="preserve">Measured, </v>
      </c>
      <c r="D734" s="43"/>
      <c r="E734" s="43"/>
      <c r="F734" s="98"/>
      <c r="G734" s="95"/>
      <c r="H734" s="82"/>
    </row>
    <row r="735" spans="1:8" x14ac:dyDescent="0.4">
      <c r="A735" s="96"/>
      <c r="B735" s="97"/>
      <c r="C735" s="13" t="s">
        <v>186</v>
      </c>
      <c r="D735" s="2" t="e">
        <f>(D734-D730)/D730*100</f>
        <v>#N/A</v>
      </c>
      <c r="E735" s="2" t="e">
        <f>(E734-E730)/E730*100</f>
        <v>#N/A</v>
      </c>
      <c r="F735" s="98"/>
      <c r="G735" s="95"/>
      <c r="H735" s="82"/>
    </row>
    <row r="736" spans="1:8" x14ac:dyDescent="0.4">
      <c r="A736" s="96"/>
      <c r="B736" s="97"/>
      <c r="C736" s="42" t="s">
        <v>215</v>
      </c>
      <c r="D736" s="43"/>
      <c r="E736" s="43"/>
      <c r="F736" s="98"/>
      <c r="G736" s="95"/>
      <c r="H736" s="82"/>
    </row>
    <row r="737" spans="1:8" x14ac:dyDescent="0.4">
      <c r="A737" s="96"/>
      <c r="B737" s="97"/>
      <c r="C737" s="13" t="s">
        <v>187</v>
      </c>
      <c r="D737" s="2" t="e">
        <f>INDEX('Equipment list'!$B$189:$B$220, (MATCH(A736,'Equipment list'!$D$189:$D$220,0)),1)</f>
        <v>#N/A</v>
      </c>
      <c r="E737" s="2" t="e">
        <f>INDEX('Equipment list'!$C$189:$C$220, (MATCH(A736,'Equipment list'!$D$189:$D$220,0)),1)</f>
        <v>#N/A</v>
      </c>
      <c r="F737" s="98"/>
      <c r="G737" s="95"/>
      <c r="H737" s="82"/>
    </row>
    <row r="738" spans="1:8" x14ac:dyDescent="0.4">
      <c r="A738" s="96"/>
      <c r="B738" s="97"/>
      <c r="C738" s="13" t="s">
        <v>186</v>
      </c>
      <c r="D738" s="2" t="e">
        <f>(D736-D737)/D737*100</f>
        <v>#N/A</v>
      </c>
      <c r="E738" s="2" t="e">
        <f>(E736-E737)/E737*100</f>
        <v>#N/A</v>
      </c>
      <c r="F738" s="98"/>
      <c r="G738" s="95"/>
      <c r="H738" s="82"/>
    </row>
    <row r="739" spans="1:8" x14ac:dyDescent="0.4">
      <c r="A739" s="96"/>
      <c r="B739" s="97"/>
      <c r="C739" s="13" t="str">
        <f>C736</f>
        <v xml:space="preserve">Measured, </v>
      </c>
      <c r="D739" s="43"/>
      <c r="E739" s="43"/>
      <c r="F739" s="98"/>
      <c r="G739" s="95"/>
      <c r="H739" s="82"/>
    </row>
    <row r="740" spans="1:8" x14ac:dyDescent="0.4">
      <c r="A740" s="96"/>
      <c r="B740" s="97"/>
      <c r="C740" s="13" t="s">
        <v>186</v>
      </c>
      <c r="D740" s="2" t="e">
        <f>(D739-D737)/D737*100</f>
        <v>#N/A</v>
      </c>
      <c r="E740" s="2" t="e">
        <f>(E739-E737)/E737*100</f>
        <v>#N/A</v>
      </c>
      <c r="F740" s="98"/>
      <c r="G740" s="95"/>
      <c r="H740" s="82"/>
    </row>
    <row r="741" spans="1:8" x14ac:dyDescent="0.4">
      <c r="A741" s="96"/>
      <c r="B741" s="97"/>
      <c r="C741" s="13" t="str">
        <f>C736</f>
        <v xml:space="preserve">Measured, </v>
      </c>
      <c r="D741" s="43"/>
      <c r="E741" s="43"/>
      <c r="F741" s="98"/>
      <c r="G741" s="95"/>
      <c r="H741" s="82"/>
    </row>
    <row r="742" spans="1:8" x14ac:dyDescent="0.4">
      <c r="A742" s="96"/>
      <c r="B742" s="97"/>
      <c r="C742" s="13" t="s">
        <v>186</v>
      </c>
      <c r="D742" s="2" t="e">
        <f>(D741-D737)/D737*100</f>
        <v>#N/A</v>
      </c>
      <c r="E742" s="2" t="e">
        <f>(E741-E737)/E737*100</f>
        <v>#N/A</v>
      </c>
      <c r="F742" s="98"/>
      <c r="G742" s="95"/>
      <c r="H742" s="82"/>
    </row>
    <row r="743" spans="1:8" x14ac:dyDescent="0.4">
      <c r="A743" s="96"/>
      <c r="B743" s="97"/>
      <c r="C743" s="42" t="s">
        <v>215</v>
      </c>
      <c r="D743" s="43"/>
      <c r="E743" s="43"/>
      <c r="F743" s="98"/>
      <c r="G743" s="95"/>
      <c r="H743" s="82"/>
    </row>
    <row r="744" spans="1:8" x14ac:dyDescent="0.4">
      <c r="A744" s="96"/>
      <c r="B744" s="97"/>
      <c r="C744" s="13" t="s">
        <v>187</v>
      </c>
      <c r="D744" s="2" t="e">
        <f>INDEX('Equipment list'!$B$189:$B$220, (MATCH(A743,'Equipment list'!$D$189:$D$220,0)),1)</f>
        <v>#N/A</v>
      </c>
      <c r="E744" s="2" t="e">
        <f>INDEX('Equipment list'!$C$189:$C$220, (MATCH(A743,'Equipment list'!$D$189:$D$220,0)),1)</f>
        <v>#N/A</v>
      </c>
      <c r="F744" s="98"/>
      <c r="G744" s="95"/>
      <c r="H744" s="82"/>
    </row>
    <row r="745" spans="1:8" x14ac:dyDescent="0.4">
      <c r="A745" s="96"/>
      <c r="B745" s="97"/>
      <c r="C745" s="13" t="s">
        <v>186</v>
      </c>
      <c r="D745" s="2" t="e">
        <f>(D743-D744)/D744*100</f>
        <v>#N/A</v>
      </c>
      <c r="E745" s="2" t="e">
        <f>(E743-E744)/E744*100</f>
        <v>#N/A</v>
      </c>
      <c r="F745" s="98"/>
      <c r="G745" s="95"/>
      <c r="H745" s="82"/>
    </row>
    <row r="746" spans="1:8" x14ac:dyDescent="0.4">
      <c r="A746" s="96"/>
      <c r="B746" s="97"/>
      <c r="C746" s="13" t="str">
        <f>C743</f>
        <v xml:space="preserve">Measured, </v>
      </c>
      <c r="D746" s="43"/>
      <c r="E746" s="43"/>
      <c r="F746" s="98"/>
      <c r="G746" s="95"/>
      <c r="H746" s="82"/>
    </row>
    <row r="747" spans="1:8" x14ac:dyDescent="0.4">
      <c r="A747" s="96"/>
      <c r="B747" s="97"/>
      <c r="C747" s="13" t="s">
        <v>186</v>
      </c>
      <c r="D747" s="2" t="e">
        <f>(D746-D744)/D744*100</f>
        <v>#N/A</v>
      </c>
      <c r="E747" s="2" t="e">
        <f>(E746-E744)/E744*100</f>
        <v>#N/A</v>
      </c>
      <c r="F747" s="98"/>
      <c r="G747" s="95"/>
      <c r="H747" s="82"/>
    </row>
    <row r="748" spans="1:8" x14ac:dyDescent="0.4">
      <c r="A748" s="96"/>
      <c r="B748" s="97"/>
      <c r="C748" s="13" t="str">
        <f>C743</f>
        <v xml:space="preserve">Measured, </v>
      </c>
      <c r="D748" s="43"/>
      <c r="E748" s="43"/>
      <c r="F748" s="98"/>
      <c r="G748" s="95"/>
      <c r="H748" s="82"/>
    </row>
    <row r="749" spans="1:8" x14ac:dyDescent="0.4">
      <c r="A749" s="96"/>
      <c r="B749" s="97"/>
      <c r="C749" s="13" t="s">
        <v>186</v>
      </c>
      <c r="D749" s="2" t="e">
        <f>(D748-D744)/D744*100</f>
        <v>#N/A</v>
      </c>
      <c r="E749" s="2" t="e">
        <f>(E748-E744)/E744*100</f>
        <v>#N/A</v>
      </c>
      <c r="F749" s="98"/>
      <c r="G749" s="95"/>
      <c r="H749" s="82"/>
    </row>
    <row r="750" spans="1:8" x14ac:dyDescent="0.4">
      <c r="A750" s="96"/>
      <c r="B750" s="97"/>
      <c r="C750" s="42" t="s">
        <v>215</v>
      </c>
      <c r="D750" s="43"/>
      <c r="E750" s="43"/>
      <c r="F750" s="98"/>
      <c r="G750" s="95"/>
      <c r="H750" s="82"/>
    </row>
    <row r="751" spans="1:8" x14ac:dyDescent="0.4">
      <c r="A751" s="96"/>
      <c r="B751" s="97"/>
      <c r="C751" s="13" t="s">
        <v>187</v>
      </c>
      <c r="D751" s="2" t="e">
        <f>INDEX('Equipment list'!$B$189:$B$220, (MATCH(A750,'Equipment list'!$D$189:$D$220,0)),1)</f>
        <v>#N/A</v>
      </c>
      <c r="E751" s="2" t="e">
        <f>INDEX('Equipment list'!$C$189:$C$220, (MATCH(A750,'Equipment list'!$D$189:$D$220,0)),1)</f>
        <v>#N/A</v>
      </c>
      <c r="F751" s="98"/>
      <c r="G751" s="95"/>
      <c r="H751" s="82"/>
    </row>
    <row r="752" spans="1:8" x14ac:dyDescent="0.4">
      <c r="A752" s="96"/>
      <c r="B752" s="97"/>
      <c r="C752" s="13" t="s">
        <v>186</v>
      </c>
      <c r="D752" s="2" t="e">
        <f>(D750-D751)/D751*100</f>
        <v>#N/A</v>
      </c>
      <c r="E752" s="2" t="e">
        <f>(E750-E751)/E751*100</f>
        <v>#N/A</v>
      </c>
      <c r="F752" s="98"/>
      <c r="G752" s="95"/>
      <c r="H752" s="82"/>
    </row>
    <row r="753" spans="1:8" x14ac:dyDescent="0.4">
      <c r="A753" s="96"/>
      <c r="B753" s="97"/>
      <c r="C753" s="13" t="str">
        <f>C750</f>
        <v xml:space="preserve">Measured, </v>
      </c>
      <c r="D753" s="43"/>
      <c r="E753" s="43"/>
      <c r="F753" s="98"/>
      <c r="G753" s="95"/>
      <c r="H753" s="82"/>
    </row>
    <row r="754" spans="1:8" x14ac:dyDescent="0.4">
      <c r="A754" s="96"/>
      <c r="B754" s="97"/>
      <c r="C754" s="13" t="s">
        <v>186</v>
      </c>
      <c r="D754" s="2" t="e">
        <f>(D753-D751)/D751*100</f>
        <v>#N/A</v>
      </c>
      <c r="E754" s="2" t="e">
        <f>(E753-E751)/E751*100</f>
        <v>#N/A</v>
      </c>
      <c r="F754" s="98"/>
      <c r="G754" s="95"/>
      <c r="H754" s="82"/>
    </row>
    <row r="755" spans="1:8" x14ac:dyDescent="0.4">
      <c r="A755" s="96"/>
      <c r="B755" s="97"/>
      <c r="C755" s="13" t="str">
        <f>C750</f>
        <v xml:space="preserve">Measured, </v>
      </c>
      <c r="D755" s="43"/>
      <c r="E755" s="43"/>
      <c r="F755" s="98"/>
      <c r="G755" s="95"/>
      <c r="H755" s="82"/>
    </row>
    <row r="756" spans="1:8" x14ac:dyDescent="0.4">
      <c r="A756" s="96"/>
      <c r="B756" s="97"/>
      <c r="C756" s="13" t="s">
        <v>186</v>
      </c>
      <c r="D756" s="2" t="e">
        <f>(D755-D751)/D751*100</f>
        <v>#N/A</v>
      </c>
      <c r="E756" s="2" t="e">
        <f>(E755-E751)/E751*100</f>
        <v>#N/A</v>
      </c>
      <c r="F756" s="98"/>
      <c r="G756" s="95"/>
      <c r="H756" s="82"/>
    </row>
    <row r="757" spans="1:8" x14ac:dyDescent="0.4">
      <c r="A757" s="96"/>
      <c r="B757" s="97"/>
      <c r="C757" s="42" t="s">
        <v>215</v>
      </c>
      <c r="D757" s="43"/>
      <c r="E757" s="43"/>
      <c r="F757" s="98"/>
      <c r="G757" s="95"/>
      <c r="H757" s="82"/>
    </row>
    <row r="758" spans="1:8" x14ac:dyDescent="0.4">
      <c r="A758" s="96"/>
      <c r="B758" s="97"/>
      <c r="C758" s="13" t="s">
        <v>187</v>
      </c>
      <c r="D758" s="2" t="e">
        <f>INDEX('Equipment list'!$B$189:$B$220, (MATCH(A757,'Equipment list'!$D$189:$D$220,0)),1)</f>
        <v>#N/A</v>
      </c>
      <c r="E758" s="2" t="e">
        <f>INDEX('Equipment list'!$C$189:$C$220, (MATCH(A757,'Equipment list'!$D$189:$D$220,0)),1)</f>
        <v>#N/A</v>
      </c>
      <c r="F758" s="98"/>
      <c r="G758" s="95"/>
      <c r="H758" s="82"/>
    </row>
    <row r="759" spans="1:8" x14ac:dyDescent="0.4">
      <c r="A759" s="96"/>
      <c r="B759" s="97"/>
      <c r="C759" s="13" t="s">
        <v>186</v>
      </c>
      <c r="D759" s="2" t="e">
        <f>(D757-D758)/D758*100</f>
        <v>#N/A</v>
      </c>
      <c r="E759" s="2" t="e">
        <f>(E757-E758)/E758*100</f>
        <v>#N/A</v>
      </c>
      <c r="F759" s="98"/>
      <c r="G759" s="95"/>
      <c r="H759" s="82"/>
    </row>
    <row r="760" spans="1:8" x14ac:dyDescent="0.4">
      <c r="A760" s="96"/>
      <c r="B760" s="97"/>
      <c r="C760" s="13" t="str">
        <f>C757</f>
        <v xml:space="preserve">Measured, </v>
      </c>
      <c r="D760" s="43"/>
      <c r="E760" s="43"/>
      <c r="F760" s="98"/>
      <c r="G760" s="95"/>
      <c r="H760" s="82"/>
    </row>
    <row r="761" spans="1:8" x14ac:dyDescent="0.4">
      <c r="A761" s="96"/>
      <c r="B761" s="97"/>
      <c r="C761" s="13" t="s">
        <v>186</v>
      </c>
      <c r="D761" s="2" t="e">
        <f>(D760-D758)/D758*100</f>
        <v>#N/A</v>
      </c>
      <c r="E761" s="2" t="e">
        <f>(E760-E758)/E758*100</f>
        <v>#N/A</v>
      </c>
      <c r="F761" s="98"/>
      <c r="G761" s="95"/>
      <c r="H761" s="82"/>
    </row>
    <row r="762" spans="1:8" x14ac:dyDescent="0.4">
      <c r="A762" s="96"/>
      <c r="B762" s="97"/>
      <c r="C762" s="13" t="str">
        <f>C757</f>
        <v xml:space="preserve">Measured, </v>
      </c>
      <c r="D762" s="43"/>
      <c r="E762" s="43"/>
      <c r="F762" s="98"/>
      <c r="G762" s="95"/>
      <c r="H762" s="82"/>
    </row>
    <row r="763" spans="1:8" x14ac:dyDescent="0.4">
      <c r="A763" s="96"/>
      <c r="B763" s="97"/>
      <c r="C763" s="13" t="s">
        <v>186</v>
      </c>
      <c r="D763" s="2" t="e">
        <f>(D762-D758)/D758*100</f>
        <v>#N/A</v>
      </c>
      <c r="E763" s="2" t="e">
        <f>(E762-E758)/E758*100</f>
        <v>#N/A</v>
      </c>
      <c r="F763" s="98"/>
      <c r="G763" s="95"/>
      <c r="H763" s="82"/>
    </row>
    <row r="764" spans="1:8" x14ac:dyDescent="0.4">
      <c r="A764" s="96"/>
      <c r="B764" s="97"/>
      <c r="C764" s="42" t="s">
        <v>215</v>
      </c>
      <c r="D764" s="43"/>
      <c r="E764" s="43"/>
      <c r="F764" s="98"/>
      <c r="G764" s="95"/>
      <c r="H764" s="82"/>
    </row>
    <row r="765" spans="1:8" x14ac:dyDescent="0.4">
      <c r="A765" s="96"/>
      <c r="B765" s="97"/>
      <c r="C765" s="13" t="s">
        <v>187</v>
      </c>
      <c r="D765" s="2" t="e">
        <f>INDEX('Equipment list'!$B$189:$B$220, (MATCH(A764,'Equipment list'!$D$189:$D$220,0)),1)</f>
        <v>#N/A</v>
      </c>
      <c r="E765" s="2" t="e">
        <f>INDEX('Equipment list'!$C$189:$C$220, (MATCH(A764,'Equipment list'!$D$189:$D$220,0)),1)</f>
        <v>#N/A</v>
      </c>
      <c r="F765" s="98"/>
      <c r="G765" s="95"/>
      <c r="H765" s="82"/>
    </row>
    <row r="766" spans="1:8" x14ac:dyDescent="0.4">
      <c r="A766" s="96"/>
      <c r="B766" s="97"/>
      <c r="C766" s="13" t="s">
        <v>186</v>
      </c>
      <c r="D766" s="2" t="e">
        <f>(D764-D765)/D765*100</f>
        <v>#N/A</v>
      </c>
      <c r="E766" s="2" t="e">
        <f>(E764-E765)/E765*100</f>
        <v>#N/A</v>
      </c>
      <c r="F766" s="98"/>
      <c r="G766" s="95"/>
      <c r="H766" s="82"/>
    </row>
    <row r="767" spans="1:8" x14ac:dyDescent="0.4">
      <c r="A767" s="96"/>
      <c r="B767" s="97"/>
      <c r="C767" s="13" t="str">
        <f>C764</f>
        <v xml:space="preserve">Measured, </v>
      </c>
      <c r="D767" s="43"/>
      <c r="E767" s="43"/>
      <c r="F767" s="98"/>
      <c r="G767" s="95"/>
      <c r="H767" s="82"/>
    </row>
    <row r="768" spans="1:8" x14ac:dyDescent="0.4">
      <c r="A768" s="96"/>
      <c r="B768" s="97"/>
      <c r="C768" s="13" t="s">
        <v>186</v>
      </c>
      <c r="D768" s="2" t="e">
        <f>(D767-D765)/D765*100</f>
        <v>#N/A</v>
      </c>
      <c r="E768" s="2" t="e">
        <f>(E767-E765)/E765*100</f>
        <v>#N/A</v>
      </c>
      <c r="F768" s="98"/>
      <c r="G768" s="95"/>
      <c r="H768" s="82"/>
    </row>
    <row r="769" spans="1:8" x14ac:dyDescent="0.4">
      <c r="A769" s="96"/>
      <c r="B769" s="97"/>
      <c r="C769" s="13" t="str">
        <f>C764</f>
        <v xml:space="preserve">Measured, </v>
      </c>
      <c r="D769" s="43"/>
      <c r="E769" s="43"/>
      <c r="F769" s="98"/>
      <c r="G769" s="95"/>
      <c r="H769" s="82"/>
    </row>
    <row r="770" spans="1:8" x14ac:dyDescent="0.4">
      <c r="A770" s="96"/>
      <c r="B770" s="97"/>
      <c r="C770" s="13" t="s">
        <v>186</v>
      </c>
      <c r="D770" s="2" t="e">
        <f>(D769-D765)/D765*100</f>
        <v>#N/A</v>
      </c>
      <c r="E770" s="2" t="e">
        <f>(E769-E765)/E765*100</f>
        <v>#N/A</v>
      </c>
      <c r="F770" s="98"/>
      <c r="G770" s="95"/>
      <c r="H770" s="82"/>
    </row>
    <row r="771" spans="1:8" x14ac:dyDescent="0.4">
      <c r="A771" s="96"/>
      <c r="B771" s="97"/>
      <c r="C771" s="42" t="s">
        <v>215</v>
      </c>
      <c r="D771" s="43"/>
      <c r="E771" s="43"/>
      <c r="F771" s="98"/>
      <c r="G771" s="95"/>
      <c r="H771" s="82"/>
    </row>
    <row r="772" spans="1:8" x14ac:dyDescent="0.4">
      <c r="A772" s="96"/>
      <c r="B772" s="97"/>
      <c r="C772" s="13" t="s">
        <v>187</v>
      </c>
      <c r="D772" s="2" t="e">
        <f>INDEX('Equipment list'!$B$189:$B$220, (MATCH(A771,'Equipment list'!$D$189:$D$220,0)),1)</f>
        <v>#N/A</v>
      </c>
      <c r="E772" s="2" t="e">
        <f>INDEX('Equipment list'!$C$189:$C$220, (MATCH(A771,'Equipment list'!$D$189:$D$220,0)),1)</f>
        <v>#N/A</v>
      </c>
      <c r="F772" s="98"/>
      <c r="G772" s="95"/>
      <c r="H772" s="82"/>
    </row>
    <row r="773" spans="1:8" x14ac:dyDescent="0.4">
      <c r="A773" s="96"/>
      <c r="B773" s="97"/>
      <c r="C773" s="13" t="s">
        <v>186</v>
      </c>
      <c r="D773" s="2" t="e">
        <f>(D771-D772)/D772*100</f>
        <v>#N/A</v>
      </c>
      <c r="E773" s="2" t="e">
        <f>(E771-E772)/E772*100</f>
        <v>#N/A</v>
      </c>
      <c r="F773" s="98"/>
      <c r="G773" s="95"/>
      <c r="H773" s="82"/>
    </row>
    <row r="774" spans="1:8" x14ac:dyDescent="0.4">
      <c r="A774" s="96"/>
      <c r="B774" s="97"/>
      <c r="C774" s="13" t="str">
        <f>C771</f>
        <v xml:space="preserve">Measured, </v>
      </c>
      <c r="D774" s="43"/>
      <c r="E774" s="43"/>
      <c r="F774" s="98"/>
      <c r="G774" s="95"/>
      <c r="H774" s="82"/>
    </row>
    <row r="775" spans="1:8" x14ac:dyDescent="0.4">
      <c r="A775" s="96"/>
      <c r="B775" s="97"/>
      <c r="C775" s="13" t="s">
        <v>186</v>
      </c>
      <c r="D775" s="2" t="e">
        <f>(D774-D772)/D772*100</f>
        <v>#N/A</v>
      </c>
      <c r="E775" s="2" t="e">
        <f>(E774-E772)/E772*100</f>
        <v>#N/A</v>
      </c>
      <c r="F775" s="98"/>
      <c r="G775" s="95"/>
      <c r="H775" s="82"/>
    </row>
    <row r="776" spans="1:8" x14ac:dyDescent="0.4">
      <c r="A776" s="96"/>
      <c r="B776" s="97"/>
      <c r="C776" s="13" t="str">
        <f>C771</f>
        <v xml:space="preserve">Measured, </v>
      </c>
      <c r="D776" s="43"/>
      <c r="E776" s="43"/>
      <c r="F776" s="98"/>
      <c r="G776" s="95"/>
      <c r="H776" s="82"/>
    </row>
    <row r="777" spans="1:8" x14ac:dyDescent="0.4">
      <c r="A777" s="96"/>
      <c r="B777" s="97"/>
      <c r="C777" s="13" t="s">
        <v>186</v>
      </c>
      <c r="D777" s="2" t="e">
        <f>(D776-D772)/D772*100</f>
        <v>#N/A</v>
      </c>
      <c r="E777" s="2" t="e">
        <f>(E776-E772)/E772*100</f>
        <v>#N/A</v>
      </c>
      <c r="F777" s="98"/>
      <c r="G777" s="95"/>
      <c r="H777" s="82"/>
    </row>
    <row r="778" spans="1:8" x14ac:dyDescent="0.4">
      <c r="A778" s="96"/>
      <c r="B778" s="97"/>
      <c r="C778" s="42" t="s">
        <v>215</v>
      </c>
      <c r="D778" s="43"/>
      <c r="E778" s="43"/>
      <c r="F778" s="98"/>
      <c r="G778" s="95"/>
      <c r="H778" s="82"/>
    </row>
    <row r="779" spans="1:8" x14ac:dyDescent="0.4">
      <c r="A779" s="96"/>
      <c r="B779" s="97"/>
      <c r="C779" s="13" t="s">
        <v>187</v>
      </c>
      <c r="D779" s="2" t="e">
        <f>INDEX('Equipment list'!$B$189:$B$220, (MATCH(A778,'Equipment list'!$D$189:$D$220,0)),1)</f>
        <v>#N/A</v>
      </c>
      <c r="E779" s="2" t="e">
        <f>INDEX('Equipment list'!$C$189:$C$220, (MATCH(A778,'Equipment list'!$D$189:$D$220,0)),1)</f>
        <v>#N/A</v>
      </c>
      <c r="F779" s="98"/>
      <c r="G779" s="95"/>
      <c r="H779" s="82"/>
    </row>
    <row r="780" spans="1:8" x14ac:dyDescent="0.4">
      <c r="A780" s="96"/>
      <c r="B780" s="97"/>
      <c r="C780" s="13" t="s">
        <v>186</v>
      </c>
      <c r="D780" s="2" t="e">
        <f>(D778-D779)/D779*100</f>
        <v>#N/A</v>
      </c>
      <c r="E780" s="2" t="e">
        <f>(E778-E779)/E779*100</f>
        <v>#N/A</v>
      </c>
      <c r="F780" s="98"/>
      <c r="G780" s="95"/>
      <c r="H780" s="82"/>
    </row>
    <row r="781" spans="1:8" x14ac:dyDescent="0.4">
      <c r="A781" s="96"/>
      <c r="B781" s="97"/>
      <c r="C781" s="13" t="str">
        <f>C778</f>
        <v xml:space="preserve">Measured, </v>
      </c>
      <c r="D781" s="43"/>
      <c r="E781" s="43"/>
      <c r="F781" s="98"/>
      <c r="G781" s="95"/>
      <c r="H781" s="82"/>
    </row>
    <row r="782" spans="1:8" x14ac:dyDescent="0.4">
      <c r="A782" s="96"/>
      <c r="B782" s="97"/>
      <c r="C782" s="13" t="s">
        <v>186</v>
      </c>
      <c r="D782" s="2" t="e">
        <f>(D781-D779)/D779*100</f>
        <v>#N/A</v>
      </c>
      <c r="E782" s="2" t="e">
        <f>(E781-E779)/E779*100</f>
        <v>#N/A</v>
      </c>
      <c r="F782" s="98"/>
      <c r="G782" s="95"/>
      <c r="H782" s="82"/>
    </row>
    <row r="783" spans="1:8" x14ac:dyDescent="0.4">
      <c r="A783" s="96"/>
      <c r="B783" s="97"/>
      <c r="C783" s="13" t="str">
        <f>C778</f>
        <v xml:space="preserve">Measured, </v>
      </c>
      <c r="D783" s="43"/>
      <c r="E783" s="43"/>
      <c r="F783" s="98"/>
      <c r="G783" s="95"/>
      <c r="H783" s="82"/>
    </row>
    <row r="784" spans="1:8" x14ac:dyDescent="0.4">
      <c r="A784" s="96"/>
      <c r="B784" s="97"/>
      <c r="C784" s="13" t="s">
        <v>186</v>
      </c>
      <c r="D784" s="2" t="e">
        <f>(D783-D779)/D779*100</f>
        <v>#N/A</v>
      </c>
      <c r="E784" s="2" t="e">
        <f>(E783-E779)/E779*100</f>
        <v>#N/A</v>
      </c>
      <c r="F784" s="98"/>
      <c r="G784" s="95"/>
      <c r="H784" s="82"/>
    </row>
    <row r="785" spans="1:8" x14ac:dyDescent="0.4">
      <c r="A785" s="96"/>
      <c r="B785" s="97"/>
      <c r="C785" s="42" t="s">
        <v>215</v>
      </c>
      <c r="D785" s="43"/>
      <c r="E785" s="43"/>
      <c r="F785" s="98"/>
      <c r="G785" s="95"/>
      <c r="H785" s="82"/>
    </row>
    <row r="786" spans="1:8" x14ac:dyDescent="0.4">
      <c r="A786" s="96"/>
      <c r="B786" s="97"/>
      <c r="C786" s="13" t="s">
        <v>187</v>
      </c>
      <c r="D786" s="2" t="e">
        <f>INDEX('Equipment list'!$B$189:$B$220, (MATCH(A785,'Equipment list'!$D$189:$D$220,0)),1)</f>
        <v>#N/A</v>
      </c>
      <c r="E786" s="2" t="e">
        <f>INDEX('Equipment list'!$C$189:$C$220, (MATCH(A785,'Equipment list'!$D$189:$D$220,0)),1)</f>
        <v>#N/A</v>
      </c>
      <c r="F786" s="98"/>
      <c r="G786" s="95"/>
      <c r="H786" s="82"/>
    </row>
    <row r="787" spans="1:8" x14ac:dyDescent="0.4">
      <c r="A787" s="96"/>
      <c r="B787" s="97"/>
      <c r="C787" s="13" t="s">
        <v>186</v>
      </c>
      <c r="D787" s="2" t="e">
        <f>(D785-D786)/D786*100</f>
        <v>#N/A</v>
      </c>
      <c r="E787" s="2" t="e">
        <f>(E785-E786)/E786*100</f>
        <v>#N/A</v>
      </c>
      <c r="F787" s="98"/>
      <c r="G787" s="95"/>
      <c r="H787" s="82"/>
    </row>
    <row r="788" spans="1:8" x14ac:dyDescent="0.4">
      <c r="A788" s="96"/>
      <c r="B788" s="97"/>
      <c r="C788" s="13" t="str">
        <f>C785</f>
        <v xml:space="preserve">Measured, </v>
      </c>
      <c r="D788" s="43"/>
      <c r="E788" s="43"/>
      <c r="F788" s="98"/>
      <c r="G788" s="95"/>
      <c r="H788" s="82"/>
    </row>
    <row r="789" spans="1:8" x14ac:dyDescent="0.4">
      <c r="A789" s="96"/>
      <c r="B789" s="97"/>
      <c r="C789" s="13" t="s">
        <v>186</v>
      </c>
      <c r="D789" s="2" t="e">
        <f>(D788-D786)/D786*100</f>
        <v>#N/A</v>
      </c>
      <c r="E789" s="2" t="e">
        <f>(E788-E786)/E786*100</f>
        <v>#N/A</v>
      </c>
      <c r="F789" s="98"/>
      <c r="G789" s="95"/>
      <c r="H789" s="82"/>
    </row>
    <row r="790" spans="1:8" x14ac:dyDescent="0.4">
      <c r="A790" s="96"/>
      <c r="B790" s="97"/>
      <c r="C790" s="13" t="str">
        <f>C785</f>
        <v xml:space="preserve">Measured, </v>
      </c>
      <c r="D790" s="43"/>
      <c r="E790" s="43"/>
      <c r="F790" s="98"/>
      <c r="G790" s="95"/>
      <c r="H790" s="82"/>
    </row>
    <row r="791" spans="1:8" x14ac:dyDescent="0.4">
      <c r="A791" s="96"/>
      <c r="B791" s="97"/>
      <c r="C791" s="13" t="s">
        <v>186</v>
      </c>
      <c r="D791" s="2" t="e">
        <f>(D790-D786)/D786*100</f>
        <v>#N/A</v>
      </c>
      <c r="E791" s="2" t="e">
        <f>(E790-E786)/E786*100</f>
        <v>#N/A</v>
      </c>
      <c r="F791" s="98"/>
      <c r="G791" s="95"/>
      <c r="H791" s="82"/>
    </row>
    <row r="792" spans="1:8" x14ac:dyDescent="0.4">
      <c r="A792" s="96"/>
      <c r="B792" s="97"/>
      <c r="C792" s="42" t="s">
        <v>215</v>
      </c>
      <c r="D792" s="43"/>
      <c r="E792" s="43"/>
      <c r="F792" s="98"/>
      <c r="G792" s="95"/>
      <c r="H792" s="82"/>
    </row>
    <row r="793" spans="1:8" x14ac:dyDescent="0.4">
      <c r="A793" s="96"/>
      <c r="B793" s="97"/>
      <c r="C793" s="13" t="s">
        <v>187</v>
      </c>
      <c r="D793" s="2" t="e">
        <f>INDEX('Equipment list'!$B$189:$B$220, (MATCH(A792,'Equipment list'!$D$189:$D$220,0)),1)</f>
        <v>#N/A</v>
      </c>
      <c r="E793" s="2" t="e">
        <f>INDEX('Equipment list'!$C$189:$C$220, (MATCH(A792,'Equipment list'!$D$189:$D$220,0)),1)</f>
        <v>#N/A</v>
      </c>
      <c r="F793" s="98"/>
      <c r="G793" s="95"/>
      <c r="H793" s="82"/>
    </row>
    <row r="794" spans="1:8" x14ac:dyDescent="0.4">
      <c r="A794" s="96"/>
      <c r="B794" s="97"/>
      <c r="C794" s="13" t="s">
        <v>186</v>
      </c>
      <c r="D794" s="2" t="e">
        <f>(D792-D793)/D793*100</f>
        <v>#N/A</v>
      </c>
      <c r="E794" s="2" t="e">
        <f>(E792-E793)/E793*100</f>
        <v>#N/A</v>
      </c>
      <c r="F794" s="98"/>
      <c r="G794" s="95"/>
      <c r="H794" s="82"/>
    </row>
    <row r="795" spans="1:8" x14ac:dyDescent="0.4">
      <c r="A795" s="96"/>
      <c r="B795" s="97"/>
      <c r="C795" s="13" t="str">
        <f>C792</f>
        <v xml:space="preserve">Measured, </v>
      </c>
      <c r="D795" s="43"/>
      <c r="E795" s="43"/>
      <c r="F795" s="98"/>
      <c r="G795" s="95"/>
      <c r="H795" s="82"/>
    </row>
    <row r="796" spans="1:8" x14ac:dyDescent="0.4">
      <c r="A796" s="96"/>
      <c r="B796" s="97"/>
      <c r="C796" s="13" t="s">
        <v>186</v>
      </c>
      <c r="D796" s="2" t="e">
        <f>(D795-D793)/D793*100</f>
        <v>#N/A</v>
      </c>
      <c r="E796" s="2" t="e">
        <f>(E795-E793)/E793*100</f>
        <v>#N/A</v>
      </c>
      <c r="F796" s="98"/>
      <c r="G796" s="95"/>
      <c r="H796" s="82"/>
    </row>
    <row r="797" spans="1:8" x14ac:dyDescent="0.4">
      <c r="A797" s="96"/>
      <c r="B797" s="97"/>
      <c r="C797" s="13" t="str">
        <f>C792</f>
        <v xml:space="preserve">Measured, </v>
      </c>
      <c r="D797" s="43"/>
      <c r="E797" s="43"/>
      <c r="F797" s="98"/>
      <c r="G797" s="95"/>
      <c r="H797" s="82"/>
    </row>
    <row r="798" spans="1:8" x14ac:dyDescent="0.4">
      <c r="A798" s="96"/>
      <c r="B798" s="97"/>
      <c r="C798" s="13" t="s">
        <v>186</v>
      </c>
      <c r="D798" s="2" t="e">
        <f>(D797-D793)/D793*100</f>
        <v>#N/A</v>
      </c>
      <c r="E798" s="2" t="e">
        <f>(E797-E793)/E793*100</f>
        <v>#N/A</v>
      </c>
      <c r="F798" s="98"/>
      <c r="G798" s="95"/>
      <c r="H798" s="82"/>
    </row>
    <row r="799" spans="1:8" x14ac:dyDescent="0.4">
      <c r="A799" s="96"/>
      <c r="B799" s="97"/>
      <c r="C799" s="42" t="s">
        <v>215</v>
      </c>
      <c r="D799" s="43"/>
      <c r="E799" s="43"/>
      <c r="F799" s="98"/>
      <c r="G799" s="95"/>
      <c r="H799" s="82"/>
    </row>
    <row r="800" spans="1:8" x14ac:dyDescent="0.4">
      <c r="A800" s="96"/>
      <c r="B800" s="97"/>
      <c r="C800" s="13" t="s">
        <v>187</v>
      </c>
      <c r="D800" s="2" t="e">
        <f>INDEX('Equipment list'!$B$189:$B$220, (MATCH(A799,'Equipment list'!$D$189:$D$220,0)),1)</f>
        <v>#N/A</v>
      </c>
      <c r="E800" s="2" t="e">
        <f>INDEX('Equipment list'!$C$189:$C$220, (MATCH(A799,'Equipment list'!$D$189:$D$220,0)),1)</f>
        <v>#N/A</v>
      </c>
      <c r="F800" s="98"/>
      <c r="G800" s="95"/>
      <c r="H800" s="82"/>
    </row>
    <row r="801" spans="1:8" x14ac:dyDescent="0.4">
      <c r="A801" s="96"/>
      <c r="B801" s="97"/>
      <c r="C801" s="13" t="s">
        <v>186</v>
      </c>
      <c r="D801" s="2" t="e">
        <f>(D799-D800)/D800*100</f>
        <v>#N/A</v>
      </c>
      <c r="E801" s="2" t="e">
        <f>(E799-E800)/E800*100</f>
        <v>#N/A</v>
      </c>
      <c r="F801" s="98"/>
      <c r="G801" s="95"/>
      <c r="H801" s="82"/>
    </row>
    <row r="802" spans="1:8" x14ac:dyDescent="0.4">
      <c r="A802" s="96"/>
      <c r="B802" s="97"/>
      <c r="C802" s="13" t="str">
        <f>C799</f>
        <v xml:space="preserve">Measured, </v>
      </c>
      <c r="D802" s="43"/>
      <c r="E802" s="43"/>
      <c r="F802" s="98"/>
      <c r="G802" s="95"/>
      <c r="H802" s="82"/>
    </row>
    <row r="803" spans="1:8" x14ac:dyDescent="0.4">
      <c r="A803" s="96"/>
      <c r="B803" s="97"/>
      <c r="C803" s="13" t="s">
        <v>186</v>
      </c>
      <c r="D803" s="2" t="e">
        <f>(D802-D800)/D800*100</f>
        <v>#N/A</v>
      </c>
      <c r="E803" s="2" t="e">
        <f>(E802-E800)/E800*100</f>
        <v>#N/A</v>
      </c>
      <c r="F803" s="98"/>
      <c r="G803" s="95"/>
      <c r="H803" s="82"/>
    </row>
    <row r="804" spans="1:8" x14ac:dyDescent="0.4">
      <c r="A804" s="96"/>
      <c r="B804" s="97"/>
      <c r="C804" s="13" t="str">
        <f>C799</f>
        <v xml:space="preserve">Measured, </v>
      </c>
      <c r="D804" s="43"/>
      <c r="E804" s="43"/>
      <c r="F804" s="98"/>
      <c r="G804" s="95"/>
      <c r="H804" s="82"/>
    </row>
    <row r="805" spans="1:8" x14ac:dyDescent="0.4">
      <c r="A805" s="96"/>
      <c r="B805" s="97"/>
      <c r="C805" s="13" t="s">
        <v>186</v>
      </c>
      <c r="D805" s="2" t="e">
        <f>(D804-D800)/D800*100</f>
        <v>#N/A</v>
      </c>
      <c r="E805" s="2" t="e">
        <f>(E804-E800)/E800*100</f>
        <v>#N/A</v>
      </c>
      <c r="F805" s="98"/>
      <c r="G805" s="95"/>
      <c r="H805" s="82"/>
    </row>
    <row r="806" spans="1:8" x14ac:dyDescent="0.4">
      <c r="A806" s="96"/>
      <c r="B806" s="97"/>
      <c r="C806" s="42" t="s">
        <v>215</v>
      </c>
      <c r="D806" s="43"/>
      <c r="E806" s="43"/>
      <c r="F806" s="98"/>
      <c r="G806" s="95"/>
      <c r="H806" s="82"/>
    </row>
    <row r="807" spans="1:8" x14ac:dyDescent="0.4">
      <c r="A807" s="96"/>
      <c r="B807" s="97"/>
      <c r="C807" s="13" t="s">
        <v>187</v>
      </c>
      <c r="D807" s="2" t="e">
        <f>INDEX('Equipment list'!$B$189:$B$220, (MATCH(A806,'Equipment list'!$D$189:$D$220,0)),1)</f>
        <v>#N/A</v>
      </c>
      <c r="E807" s="2" t="e">
        <f>INDEX('Equipment list'!$C$189:$C$220, (MATCH(A806,'Equipment list'!$D$189:$D$220,0)),1)</f>
        <v>#N/A</v>
      </c>
      <c r="F807" s="98"/>
      <c r="G807" s="95"/>
      <c r="H807" s="82"/>
    </row>
    <row r="808" spans="1:8" x14ac:dyDescent="0.4">
      <c r="A808" s="96"/>
      <c r="B808" s="97"/>
      <c r="C808" s="13" t="s">
        <v>186</v>
      </c>
      <c r="D808" s="2" t="e">
        <f>(D806-D807)/D807*100</f>
        <v>#N/A</v>
      </c>
      <c r="E808" s="2" t="e">
        <f>(E806-E807)/E807*100</f>
        <v>#N/A</v>
      </c>
      <c r="F808" s="98"/>
      <c r="G808" s="95"/>
      <c r="H808" s="82"/>
    </row>
    <row r="809" spans="1:8" x14ac:dyDescent="0.4">
      <c r="A809" s="96"/>
      <c r="B809" s="97"/>
      <c r="C809" s="13" t="str">
        <f>C806</f>
        <v xml:space="preserve">Measured, </v>
      </c>
      <c r="D809" s="43"/>
      <c r="E809" s="43"/>
      <c r="F809" s="98"/>
      <c r="G809" s="95"/>
      <c r="H809" s="82"/>
    </row>
    <row r="810" spans="1:8" x14ac:dyDescent="0.4">
      <c r="A810" s="96"/>
      <c r="B810" s="97"/>
      <c r="C810" s="13" t="s">
        <v>186</v>
      </c>
      <c r="D810" s="2" t="e">
        <f>(D809-D807)/D807*100</f>
        <v>#N/A</v>
      </c>
      <c r="E810" s="2" t="e">
        <f>(E809-E807)/E807*100</f>
        <v>#N/A</v>
      </c>
      <c r="F810" s="98"/>
      <c r="G810" s="95"/>
      <c r="H810" s="82"/>
    </row>
    <row r="811" spans="1:8" x14ac:dyDescent="0.4">
      <c r="A811" s="96"/>
      <c r="B811" s="97"/>
      <c r="C811" s="13" t="str">
        <f>C806</f>
        <v xml:space="preserve">Measured, </v>
      </c>
      <c r="D811" s="43"/>
      <c r="E811" s="43"/>
      <c r="F811" s="98"/>
      <c r="G811" s="95"/>
      <c r="H811" s="82"/>
    </row>
    <row r="812" spans="1:8" x14ac:dyDescent="0.4">
      <c r="A812" s="96"/>
      <c r="B812" s="97"/>
      <c r="C812" s="13" t="s">
        <v>186</v>
      </c>
      <c r="D812" s="2" t="e">
        <f>(D811-D807)/D807*100</f>
        <v>#N/A</v>
      </c>
      <c r="E812" s="2" t="e">
        <f>(E811-E807)/E807*100</f>
        <v>#N/A</v>
      </c>
      <c r="F812" s="98"/>
      <c r="G812" s="95"/>
      <c r="H812" s="82"/>
    </row>
    <row r="813" spans="1:8" x14ac:dyDescent="0.4">
      <c r="A813" s="96"/>
      <c r="B813" s="97"/>
      <c r="C813" s="42" t="s">
        <v>215</v>
      </c>
      <c r="D813" s="43"/>
      <c r="E813" s="43"/>
      <c r="F813" s="98"/>
      <c r="G813" s="95"/>
      <c r="H813" s="82"/>
    </row>
    <row r="814" spans="1:8" x14ac:dyDescent="0.4">
      <c r="A814" s="96"/>
      <c r="B814" s="97"/>
      <c r="C814" s="13" t="s">
        <v>187</v>
      </c>
      <c r="D814" s="2" t="e">
        <f>INDEX('Equipment list'!$B$189:$B$220, (MATCH(A813,'Equipment list'!$D$189:$D$220,0)),1)</f>
        <v>#N/A</v>
      </c>
      <c r="E814" s="2" t="e">
        <f>INDEX('Equipment list'!$C$189:$C$220, (MATCH(A813,'Equipment list'!$D$189:$D$220,0)),1)</f>
        <v>#N/A</v>
      </c>
      <c r="F814" s="98"/>
      <c r="G814" s="95"/>
      <c r="H814" s="82"/>
    </row>
    <row r="815" spans="1:8" x14ac:dyDescent="0.4">
      <c r="A815" s="96"/>
      <c r="B815" s="97"/>
      <c r="C815" s="13" t="s">
        <v>186</v>
      </c>
      <c r="D815" s="2" t="e">
        <f>(D813-D814)/D814*100</f>
        <v>#N/A</v>
      </c>
      <c r="E815" s="2" t="e">
        <f>(E813-E814)/E814*100</f>
        <v>#N/A</v>
      </c>
      <c r="F815" s="98"/>
      <c r="G815" s="95"/>
      <c r="H815" s="82"/>
    </row>
    <row r="816" spans="1:8" x14ac:dyDescent="0.4">
      <c r="A816" s="96"/>
      <c r="B816" s="97"/>
      <c r="C816" s="13" t="str">
        <f>C813</f>
        <v xml:space="preserve">Measured, </v>
      </c>
      <c r="D816" s="43"/>
      <c r="E816" s="43"/>
      <c r="F816" s="98"/>
      <c r="G816" s="95"/>
      <c r="H816" s="82"/>
    </row>
    <row r="817" spans="1:8" x14ac:dyDescent="0.4">
      <c r="A817" s="96"/>
      <c r="B817" s="97"/>
      <c r="C817" s="13" t="s">
        <v>186</v>
      </c>
      <c r="D817" s="2" t="e">
        <f>(D816-D814)/D814*100</f>
        <v>#N/A</v>
      </c>
      <c r="E817" s="2" t="e">
        <f>(E816-E814)/E814*100</f>
        <v>#N/A</v>
      </c>
      <c r="F817" s="98"/>
      <c r="G817" s="95"/>
      <c r="H817" s="82"/>
    </row>
    <row r="818" spans="1:8" x14ac:dyDescent="0.4">
      <c r="A818" s="96"/>
      <c r="B818" s="97"/>
      <c r="C818" s="13" t="str">
        <f>C813</f>
        <v xml:space="preserve">Measured, </v>
      </c>
      <c r="D818" s="43"/>
      <c r="E818" s="43"/>
      <c r="F818" s="98"/>
      <c r="G818" s="95"/>
      <c r="H818" s="82"/>
    </row>
    <row r="819" spans="1:8" x14ac:dyDescent="0.4">
      <c r="A819" s="96"/>
      <c r="B819" s="97"/>
      <c r="C819" s="13" t="s">
        <v>186</v>
      </c>
      <c r="D819" s="2" t="e">
        <f>(D818-D814)/D814*100</f>
        <v>#N/A</v>
      </c>
      <c r="E819" s="2" t="e">
        <f>(E818-E814)/E814*100</f>
        <v>#N/A</v>
      </c>
      <c r="F819" s="98"/>
      <c r="G819" s="95"/>
      <c r="H819" s="82"/>
    </row>
    <row r="820" spans="1:8" x14ac:dyDescent="0.4">
      <c r="A820" s="96"/>
      <c r="B820" s="97"/>
      <c r="C820" s="42" t="s">
        <v>215</v>
      </c>
      <c r="D820" s="43"/>
      <c r="E820" s="43"/>
      <c r="F820" s="98"/>
      <c r="G820" s="95"/>
      <c r="H820" s="82"/>
    </row>
    <row r="821" spans="1:8" x14ac:dyDescent="0.4">
      <c r="A821" s="96"/>
      <c r="B821" s="97"/>
      <c r="C821" s="13" t="s">
        <v>187</v>
      </c>
      <c r="D821" s="2" t="e">
        <f>INDEX('Equipment list'!$B$189:$B$220, (MATCH(A820,'Equipment list'!$D$189:$D$220,0)),1)</f>
        <v>#N/A</v>
      </c>
      <c r="E821" s="2" t="e">
        <f>INDEX('Equipment list'!$C$189:$C$220, (MATCH(A820,'Equipment list'!$D$189:$D$220,0)),1)</f>
        <v>#N/A</v>
      </c>
      <c r="F821" s="98"/>
      <c r="G821" s="95"/>
      <c r="H821" s="82"/>
    </row>
    <row r="822" spans="1:8" x14ac:dyDescent="0.4">
      <c r="A822" s="96"/>
      <c r="B822" s="97"/>
      <c r="C822" s="13" t="s">
        <v>186</v>
      </c>
      <c r="D822" s="2" t="e">
        <f>(D820-D821)/D821*100</f>
        <v>#N/A</v>
      </c>
      <c r="E822" s="2" t="e">
        <f>(E820-E821)/E821*100</f>
        <v>#N/A</v>
      </c>
      <c r="F822" s="98"/>
      <c r="G822" s="95"/>
      <c r="H822" s="82"/>
    </row>
    <row r="823" spans="1:8" x14ac:dyDescent="0.4">
      <c r="A823" s="96"/>
      <c r="B823" s="97"/>
      <c r="C823" s="13" t="str">
        <f>C820</f>
        <v xml:space="preserve">Measured, </v>
      </c>
      <c r="D823" s="43"/>
      <c r="E823" s="43"/>
      <c r="F823" s="98"/>
      <c r="G823" s="95"/>
      <c r="H823" s="82"/>
    </row>
    <row r="824" spans="1:8" x14ac:dyDescent="0.4">
      <c r="A824" s="96"/>
      <c r="B824" s="97"/>
      <c r="C824" s="13" t="s">
        <v>186</v>
      </c>
      <c r="D824" s="2" t="e">
        <f>(D823-D821)/D821*100</f>
        <v>#N/A</v>
      </c>
      <c r="E824" s="2" t="e">
        <f>(E823-E821)/E821*100</f>
        <v>#N/A</v>
      </c>
      <c r="F824" s="98"/>
      <c r="G824" s="95"/>
      <c r="H824" s="82"/>
    </row>
    <row r="825" spans="1:8" x14ac:dyDescent="0.4">
      <c r="A825" s="96"/>
      <c r="B825" s="97"/>
      <c r="C825" s="13" t="str">
        <f>C820</f>
        <v xml:space="preserve">Measured, </v>
      </c>
      <c r="D825" s="43"/>
      <c r="E825" s="43"/>
      <c r="F825" s="98"/>
      <c r="G825" s="95"/>
      <c r="H825" s="82"/>
    </row>
    <row r="826" spans="1:8" x14ac:dyDescent="0.4">
      <c r="A826" s="96"/>
      <c r="B826" s="97"/>
      <c r="C826" s="13" t="s">
        <v>186</v>
      </c>
      <c r="D826" s="2" t="e">
        <f>(D825-D821)/D821*100</f>
        <v>#N/A</v>
      </c>
      <c r="E826" s="2" t="e">
        <f>(E825-E821)/E821*100</f>
        <v>#N/A</v>
      </c>
      <c r="F826" s="98"/>
      <c r="G826" s="95"/>
      <c r="H826" s="82"/>
    </row>
    <row r="827" spans="1:8" x14ac:dyDescent="0.4">
      <c r="A827" s="96"/>
      <c r="B827" s="97"/>
      <c r="C827" s="42" t="s">
        <v>215</v>
      </c>
      <c r="D827" s="43"/>
      <c r="E827" s="43"/>
      <c r="F827" s="98"/>
      <c r="G827" s="95"/>
      <c r="H827" s="82"/>
    </row>
    <row r="828" spans="1:8" x14ac:dyDescent="0.4">
      <c r="A828" s="96"/>
      <c r="B828" s="97"/>
      <c r="C828" s="13" t="s">
        <v>187</v>
      </c>
      <c r="D828" s="2" t="e">
        <f>INDEX('Equipment list'!$B$189:$B$220, (MATCH(A827,'Equipment list'!$D$189:$D$220,0)),1)</f>
        <v>#N/A</v>
      </c>
      <c r="E828" s="2" t="e">
        <f>INDEX('Equipment list'!$C$189:$C$220, (MATCH(A827,'Equipment list'!$D$189:$D$220,0)),1)</f>
        <v>#N/A</v>
      </c>
      <c r="F828" s="98"/>
      <c r="G828" s="95"/>
      <c r="H828" s="82"/>
    </row>
    <row r="829" spans="1:8" x14ac:dyDescent="0.4">
      <c r="A829" s="96"/>
      <c r="B829" s="97"/>
      <c r="C829" s="13" t="s">
        <v>186</v>
      </c>
      <c r="D829" s="2" t="e">
        <f>(D827-D828)/D828*100</f>
        <v>#N/A</v>
      </c>
      <c r="E829" s="2" t="e">
        <f>(E827-E828)/E828*100</f>
        <v>#N/A</v>
      </c>
      <c r="F829" s="98"/>
      <c r="G829" s="95"/>
      <c r="H829" s="82"/>
    </row>
    <row r="830" spans="1:8" x14ac:dyDescent="0.4">
      <c r="A830" s="96"/>
      <c r="B830" s="97"/>
      <c r="C830" s="13" t="str">
        <f>C827</f>
        <v xml:space="preserve">Measured, </v>
      </c>
      <c r="D830" s="43"/>
      <c r="E830" s="43"/>
      <c r="F830" s="98"/>
      <c r="G830" s="95"/>
      <c r="H830" s="82"/>
    </row>
    <row r="831" spans="1:8" x14ac:dyDescent="0.4">
      <c r="A831" s="96"/>
      <c r="B831" s="97"/>
      <c r="C831" s="13" t="s">
        <v>186</v>
      </c>
      <c r="D831" s="2" t="e">
        <f>(D830-D828)/D828*100</f>
        <v>#N/A</v>
      </c>
      <c r="E831" s="2" t="e">
        <f>(E830-E828)/E828*100</f>
        <v>#N/A</v>
      </c>
      <c r="F831" s="98"/>
      <c r="G831" s="95"/>
      <c r="H831" s="82"/>
    </row>
    <row r="832" spans="1:8" x14ac:dyDescent="0.4">
      <c r="A832" s="96"/>
      <c r="B832" s="97"/>
      <c r="C832" s="13" t="str">
        <f>C827</f>
        <v xml:space="preserve">Measured, </v>
      </c>
      <c r="D832" s="43"/>
      <c r="E832" s="43"/>
      <c r="F832" s="98"/>
      <c r="G832" s="95"/>
      <c r="H832" s="82"/>
    </row>
    <row r="833" spans="1:8" x14ac:dyDescent="0.4">
      <c r="A833" s="96"/>
      <c r="B833" s="97"/>
      <c r="C833" s="13" t="s">
        <v>186</v>
      </c>
      <c r="D833" s="2" t="e">
        <f>(D832-D828)/D828*100</f>
        <v>#N/A</v>
      </c>
      <c r="E833" s="2" t="e">
        <f>(E832-E828)/E828*100</f>
        <v>#N/A</v>
      </c>
      <c r="F833" s="98"/>
      <c r="G833" s="95"/>
      <c r="H833" s="82"/>
    </row>
    <row r="834" spans="1:8" x14ac:dyDescent="0.4">
      <c r="A834" s="96"/>
      <c r="B834" s="97"/>
      <c r="C834" s="42" t="s">
        <v>215</v>
      </c>
      <c r="D834" s="43"/>
      <c r="E834" s="43"/>
      <c r="F834" s="98"/>
      <c r="G834" s="95"/>
      <c r="H834" s="82"/>
    </row>
    <row r="835" spans="1:8" x14ac:dyDescent="0.4">
      <c r="A835" s="96"/>
      <c r="B835" s="97"/>
      <c r="C835" s="13" t="s">
        <v>187</v>
      </c>
      <c r="D835" s="2" t="e">
        <f>INDEX('Equipment list'!$B$189:$B$220, (MATCH(A834,'Equipment list'!$D$189:$D$220,0)),1)</f>
        <v>#N/A</v>
      </c>
      <c r="E835" s="2" t="e">
        <f>INDEX('Equipment list'!$C$189:$C$220, (MATCH(A834,'Equipment list'!$D$189:$D$220,0)),1)</f>
        <v>#N/A</v>
      </c>
      <c r="F835" s="98"/>
      <c r="G835" s="95"/>
      <c r="H835" s="82"/>
    </row>
    <row r="836" spans="1:8" x14ac:dyDescent="0.4">
      <c r="A836" s="96"/>
      <c r="B836" s="97"/>
      <c r="C836" s="13" t="s">
        <v>186</v>
      </c>
      <c r="D836" s="2" t="e">
        <f>(D834-D835)/D835*100</f>
        <v>#N/A</v>
      </c>
      <c r="E836" s="2" t="e">
        <f>(E834-E835)/E835*100</f>
        <v>#N/A</v>
      </c>
      <c r="F836" s="98"/>
      <c r="G836" s="95"/>
      <c r="H836" s="82"/>
    </row>
    <row r="837" spans="1:8" x14ac:dyDescent="0.4">
      <c r="A837" s="96"/>
      <c r="B837" s="97"/>
      <c r="C837" s="13" t="str">
        <f>C834</f>
        <v xml:space="preserve">Measured, </v>
      </c>
      <c r="D837" s="43"/>
      <c r="E837" s="43"/>
      <c r="F837" s="98"/>
      <c r="G837" s="95"/>
      <c r="H837" s="82"/>
    </row>
    <row r="838" spans="1:8" x14ac:dyDescent="0.4">
      <c r="A838" s="96"/>
      <c r="B838" s="97"/>
      <c r="C838" s="13" t="s">
        <v>186</v>
      </c>
      <c r="D838" s="2" t="e">
        <f>(D837-D835)/D835*100</f>
        <v>#N/A</v>
      </c>
      <c r="E838" s="2" t="e">
        <f>(E837-E835)/E835*100</f>
        <v>#N/A</v>
      </c>
      <c r="F838" s="98"/>
      <c r="G838" s="95"/>
      <c r="H838" s="82"/>
    </row>
    <row r="839" spans="1:8" x14ac:dyDescent="0.4">
      <c r="A839" s="96"/>
      <c r="B839" s="97"/>
      <c r="C839" s="13" t="str">
        <f>C834</f>
        <v xml:space="preserve">Measured, </v>
      </c>
      <c r="D839" s="43"/>
      <c r="E839" s="43"/>
      <c r="F839" s="98"/>
      <c r="G839" s="95"/>
      <c r="H839" s="82"/>
    </row>
    <row r="840" spans="1:8" x14ac:dyDescent="0.4">
      <c r="A840" s="96"/>
      <c r="B840" s="97"/>
      <c r="C840" s="13" t="s">
        <v>186</v>
      </c>
      <c r="D840" s="2" t="e">
        <f>(D839-D835)/D835*100</f>
        <v>#N/A</v>
      </c>
      <c r="E840" s="2" t="e">
        <f>(E839-E835)/E835*100</f>
        <v>#N/A</v>
      </c>
      <c r="F840" s="98"/>
      <c r="G840" s="95"/>
      <c r="H840" s="82"/>
    </row>
    <row r="841" spans="1:8" x14ac:dyDescent="0.4">
      <c r="A841" s="96"/>
      <c r="B841" s="97"/>
      <c r="C841" s="42" t="s">
        <v>215</v>
      </c>
      <c r="D841" s="43"/>
      <c r="E841" s="43"/>
      <c r="F841" s="98"/>
      <c r="G841" s="95"/>
      <c r="H841" s="82"/>
    </row>
    <row r="842" spans="1:8" x14ac:dyDescent="0.4">
      <c r="A842" s="96"/>
      <c r="B842" s="97"/>
      <c r="C842" s="13" t="s">
        <v>187</v>
      </c>
      <c r="D842" s="2" t="e">
        <f>INDEX('Equipment list'!$B$189:$B$220, (MATCH(A841,'Equipment list'!$D$189:$D$220,0)),1)</f>
        <v>#N/A</v>
      </c>
      <c r="E842" s="2" t="e">
        <f>INDEX('Equipment list'!$C$189:$C$220, (MATCH(A841,'Equipment list'!$D$189:$D$220,0)),1)</f>
        <v>#N/A</v>
      </c>
      <c r="F842" s="98"/>
      <c r="G842" s="95"/>
      <c r="H842" s="82"/>
    </row>
    <row r="843" spans="1:8" x14ac:dyDescent="0.4">
      <c r="A843" s="96"/>
      <c r="B843" s="97"/>
      <c r="C843" s="13" t="s">
        <v>186</v>
      </c>
      <c r="D843" s="2" t="e">
        <f>(D841-D842)/D842*100</f>
        <v>#N/A</v>
      </c>
      <c r="E843" s="2" t="e">
        <f>(E841-E842)/E842*100</f>
        <v>#N/A</v>
      </c>
      <c r="F843" s="98"/>
      <c r="G843" s="95"/>
      <c r="H843" s="82"/>
    </row>
    <row r="844" spans="1:8" x14ac:dyDescent="0.4">
      <c r="A844" s="96"/>
      <c r="B844" s="97"/>
      <c r="C844" s="13" t="str">
        <f>C841</f>
        <v xml:space="preserve">Measured, </v>
      </c>
      <c r="D844" s="43"/>
      <c r="E844" s="43"/>
      <c r="F844" s="98"/>
      <c r="G844" s="95"/>
      <c r="H844" s="82"/>
    </row>
    <row r="845" spans="1:8" x14ac:dyDescent="0.4">
      <c r="A845" s="96"/>
      <c r="B845" s="97"/>
      <c r="C845" s="13" t="s">
        <v>186</v>
      </c>
      <c r="D845" s="2" t="e">
        <f>(D844-D842)/D842*100</f>
        <v>#N/A</v>
      </c>
      <c r="E845" s="2" t="e">
        <f>(E844-E842)/E842*100</f>
        <v>#N/A</v>
      </c>
      <c r="F845" s="98"/>
      <c r="G845" s="95"/>
      <c r="H845" s="82"/>
    </row>
    <row r="846" spans="1:8" x14ac:dyDescent="0.4">
      <c r="A846" s="96"/>
      <c r="B846" s="97"/>
      <c r="C846" s="13" t="str">
        <f>C841</f>
        <v xml:space="preserve">Measured, </v>
      </c>
      <c r="D846" s="43"/>
      <c r="E846" s="43"/>
      <c r="F846" s="98"/>
      <c r="G846" s="95"/>
      <c r="H846" s="82"/>
    </row>
    <row r="847" spans="1:8" x14ac:dyDescent="0.4">
      <c r="A847" s="96"/>
      <c r="B847" s="97"/>
      <c r="C847" s="13" t="s">
        <v>186</v>
      </c>
      <c r="D847" s="2" t="e">
        <f>(D846-D842)/D842*100</f>
        <v>#N/A</v>
      </c>
      <c r="E847" s="2" t="e">
        <f>(E846-E842)/E842*100</f>
        <v>#N/A</v>
      </c>
      <c r="F847" s="98"/>
      <c r="G847" s="95"/>
      <c r="H847" s="82"/>
    </row>
    <row r="848" spans="1:8" x14ac:dyDescent="0.4">
      <c r="A848" s="96"/>
      <c r="B848" s="97"/>
      <c r="C848" s="42" t="s">
        <v>215</v>
      </c>
      <c r="D848" s="43"/>
      <c r="E848" s="43"/>
      <c r="F848" s="98"/>
      <c r="G848" s="95"/>
      <c r="H848" s="82"/>
    </row>
    <row r="849" spans="1:8" x14ac:dyDescent="0.4">
      <c r="A849" s="96"/>
      <c r="B849" s="97"/>
      <c r="C849" s="13" t="s">
        <v>187</v>
      </c>
      <c r="D849" s="2" t="e">
        <f>INDEX('Equipment list'!$B$189:$B$220, (MATCH(A848,'Equipment list'!$D$189:$D$220,0)),1)</f>
        <v>#N/A</v>
      </c>
      <c r="E849" s="2" t="e">
        <f>INDEX('Equipment list'!$C$189:$C$220, (MATCH(A848,'Equipment list'!$D$189:$D$220,0)),1)</f>
        <v>#N/A</v>
      </c>
      <c r="F849" s="98"/>
      <c r="G849" s="95"/>
      <c r="H849" s="82"/>
    </row>
    <row r="850" spans="1:8" x14ac:dyDescent="0.4">
      <c r="A850" s="96"/>
      <c r="B850" s="97"/>
      <c r="C850" s="13" t="s">
        <v>186</v>
      </c>
      <c r="D850" s="2" t="e">
        <f>(D848-D849)/D849*100</f>
        <v>#N/A</v>
      </c>
      <c r="E850" s="2" t="e">
        <f>(E848-E849)/E849*100</f>
        <v>#N/A</v>
      </c>
      <c r="F850" s="98"/>
      <c r="G850" s="95"/>
      <c r="H850" s="82"/>
    </row>
    <row r="851" spans="1:8" x14ac:dyDescent="0.4">
      <c r="A851" s="96"/>
      <c r="B851" s="97"/>
      <c r="C851" s="13" t="str">
        <f>C848</f>
        <v xml:space="preserve">Measured, </v>
      </c>
      <c r="D851" s="43"/>
      <c r="E851" s="43"/>
      <c r="F851" s="98"/>
      <c r="G851" s="95"/>
      <c r="H851" s="82"/>
    </row>
    <row r="852" spans="1:8" x14ac:dyDescent="0.4">
      <c r="A852" s="96"/>
      <c r="B852" s="97"/>
      <c r="C852" s="13" t="s">
        <v>186</v>
      </c>
      <c r="D852" s="2" t="e">
        <f>(D851-D849)/D849*100</f>
        <v>#N/A</v>
      </c>
      <c r="E852" s="2" t="e">
        <f>(E851-E849)/E849*100</f>
        <v>#N/A</v>
      </c>
      <c r="F852" s="98"/>
      <c r="G852" s="95"/>
      <c r="H852" s="82"/>
    </row>
    <row r="853" spans="1:8" x14ac:dyDescent="0.4">
      <c r="A853" s="96"/>
      <c r="B853" s="97"/>
      <c r="C853" s="13" t="str">
        <f>C848</f>
        <v xml:space="preserve">Measured, </v>
      </c>
      <c r="D853" s="43"/>
      <c r="E853" s="43"/>
      <c r="F853" s="98"/>
      <c r="G853" s="95"/>
      <c r="H853" s="82"/>
    </row>
    <row r="854" spans="1:8" x14ac:dyDescent="0.4">
      <c r="A854" s="96"/>
      <c r="B854" s="97"/>
      <c r="C854" s="13" t="s">
        <v>186</v>
      </c>
      <c r="D854" s="2" t="e">
        <f>(D853-D849)/D849*100</f>
        <v>#N/A</v>
      </c>
      <c r="E854" s="2" t="e">
        <f>(E853-E849)/E849*100</f>
        <v>#N/A</v>
      </c>
      <c r="F854" s="98"/>
      <c r="G854" s="95"/>
      <c r="H854" s="82"/>
    </row>
    <row r="855" spans="1:8" x14ac:dyDescent="0.4">
      <c r="A855" s="96"/>
      <c r="B855" s="97"/>
      <c r="C855" s="42" t="s">
        <v>215</v>
      </c>
      <c r="D855" s="43"/>
      <c r="E855" s="43"/>
      <c r="F855" s="98"/>
      <c r="G855" s="95"/>
      <c r="H855" s="82"/>
    </row>
    <row r="856" spans="1:8" x14ac:dyDescent="0.4">
      <c r="A856" s="96"/>
      <c r="B856" s="97"/>
      <c r="C856" s="13" t="s">
        <v>187</v>
      </c>
      <c r="D856" s="2" t="e">
        <f>INDEX('Equipment list'!$B$189:$B$220, (MATCH(A855,'Equipment list'!$D$189:$D$220,0)),1)</f>
        <v>#N/A</v>
      </c>
      <c r="E856" s="2" t="e">
        <f>INDEX('Equipment list'!$C$189:$C$220, (MATCH(A855,'Equipment list'!$D$189:$D$220,0)),1)</f>
        <v>#N/A</v>
      </c>
      <c r="F856" s="98"/>
      <c r="G856" s="95"/>
      <c r="H856" s="82"/>
    </row>
    <row r="857" spans="1:8" x14ac:dyDescent="0.4">
      <c r="A857" s="96"/>
      <c r="B857" s="97"/>
      <c r="C857" s="13" t="s">
        <v>186</v>
      </c>
      <c r="D857" s="2" t="e">
        <f>(D855-D856)/D856*100</f>
        <v>#N/A</v>
      </c>
      <c r="E857" s="2" t="e">
        <f>(E855-E856)/E856*100</f>
        <v>#N/A</v>
      </c>
      <c r="F857" s="98"/>
      <c r="G857" s="95"/>
      <c r="H857" s="82"/>
    </row>
    <row r="858" spans="1:8" x14ac:dyDescent="0.4">
      <c r="A858" s="96"/>
      <c r="B858" s="97"/>
      <c r="C858" s="13" t="str">
        <f>C855</f>
        <v xml:space="preserve">Measured, </v>
      </c>
      <c r="D858" s="43"/>
      <c r="E858" s="43"/>
      <c r="F858" s="98"/>
      <c r="G858" s="95"/>
      <c r="H858" s="82"/>
    </row>
    <row r="859" spans="1:8" x14ac:dyDescent="0.4">
      <c r="A859" s="96"/>
      <c r="B859" s="97"/>
      <c r="C859" s="13" t="s">
        <v>186</v>
      </c>
      <c r="D859" s="2" t="e">
        <f>(D858-D856)/D856*100</f>
        <v>#N/A</v>
      </c>
      <c r="E859" s="2" t="e">
        <f>(E858-E856)/E856*100</f>
        <v>#N/A</v>
      </c>
      <c r="F859" s="98"/>
      <c r="G859" s="95"/>
      <c r="H859" s="82"/>
    </row>
    <row r="860" spans="1:8" x14ac:dyDescent="0.4">
      <c r="A860" s="96"/>
      <c r="B860" s="97"/>
      <c r="C860" s="13" t="str">
        <f>C855</f>
        <v xml:space="preserve">Measured, </v>
      </c>
      <c r="D860" s="43"/>
      <c r="E860" s="43"/>
      <c r="F860" s="98"/>
      <c r="G860" s="95"/>
      <c r="H860" s="82"/>
    </row>
    <row r="861" spans="1:8" x14ac:dyDescent="0.4">
      <c r="A861" s="96"/>
      <c r="B861" s="97"/>
      <c r="C861" s="13" t="s">
        <v>186</v>
      </c>
      <c r="D861" s="2" t="e">
        <f>(D860-D856)/D856*100</f>
        <v>#N/A</v>
      </c>
      <c r="E861" s="2" t="e">
        <f>(E860-E856)/E856*100</f>
        <v>#N/A</v>
      </c>
      <c r="F861" s="98"/>
      <c r="G861" s="95"/>
      <c r="H861" s="82"/>
    </row>
    <row r="862" spans="1:8" x14ac:dyDescent="0.4">
      <c r="A862" s="96"/>
      <c r="B862" s="97"/>
      <c r="C862" s="42" t="s">
        <v>215</v>
      </c>
      <c r="D862" s="43"/>
      <c r="E862" s="43"/>
      <c r="F862" s="98"/>
      <c r="G862" s="95"/>
      <c r="H862" s="82"/>
    </row>
    <row r="863" spans="1:8" x14ac:dyDescent="0.4">
      <c r="A863" s="96"/>
      <c r="B863" s="97"/>
      <c r="C863" s="13" t="s">
        <v>187</v>
      </c>
      <c r="D863" s="2" t="e">
        <f>INDEX('Equipment list'!$B$189:$B$220, (MATCH(A862,'Equipment list'!$D$189:$D$220,0)),1)</f>
        <v>#N/A</v>
      </c>
      <c r="E863" s="2" t="e">
        <f>INDEX('Equipment list'!$C$189:$C$220, (MATCH(A862,'Equipment list'!$D$189:$D$220,0)),1)</f>
        <v>#N/A</v>
      </c>
      <c r="F863" s="98"/>
      <c r="G863" s="95"/>
      <c r="H863" s="82"/>
    </row>
    <row r="864" spans="1:8" x14ac:dyDescent="0.4">
      <c r="A864" s="96"/>
      <c r="B864" s="97"/>
      <c r="C864" s="13" t="s">
        <v>186</v>
      </c>
      <c r="D864" s="2" t="e">
        <f>(D862-D863)/D863*100</f>
        <v>#N/A</v>
      </c>
      <c r="E864" s="2" t="e">
        <f>(E862-E863)/E863*100</f>
        <v>#N/A</v>
      </c>
      <c r="F864" s="98"/>
      <c r="G864" s="95"/>
      <c r="H864" s="82"/>
    </row>
    <row r="865" spans="1:8" x14ac:dyDescent="0.4">
      <c r="A865" s="96"/>
      <c r="B865" s="97"/>
      <c r="C865" s="13" t="str">
        <f>C862</f>
        <v xml:space="preserve">Measured, </v>
      </c>
      <c r="D865" s="43"/>
      <c r="E865" s="43"/>
      <c r="F865" s="98"/>
      <c r="G865" s="95"/>
      <c r="H865" s="82"/>
    </row>
    <row r="866" spans="1:8" x14ac:dyDescent="0.4">
      <c r="A866" s="96"/>
      <c r="B866" s="97"/>
      <c r="C866" s="13" t="s">
        <v>186</v>
      </c>
      <c r="D866" s="2" t="e">
        <f>(D865-D863)/D863*100</f>
        <v>#N/A</v>
      </c>
      <c r="E866" s="2" t="e">
        <f>(E865-E863)/E863*100</f>
        <v>#N/A</v>
      </c>
      <c r="F866" s="98"/>
      <c r="G866" s="95"/>
      <c r="H866" s="82"/>
    </row>
    <row r="867" spans="1:8" x14ac:dyDescent="0.4">
      <c r="A867" s="96"/>
      <c r="B867" s="97"/>
      <c r="C867" s="13" t="str">
        <f>C862</f>
        <v xml:space="preserve">Measured, </v>
      </c>
      <c r="D867" s="43"/>
      <c r="E867" s="43"/>
      <c r="F867" s="98"/>
      <c r="G867" s="95"/>
      <c r="H867" s="82"/>
    </row>
    <row r="868" spans="1:8" x14ac:dyDescent="0.4">
      <c r="A868" s="96"/>
      <c r="B868" s="97"/>
      <c r="C868" s="13" t="s">
        <v>186</v>
      </c>
      <c r="D868" s="2" t="e">
        <f>(D867-D863)/D863*100</f>
        <v>#N/A</v>
      </c>
      <c r="E868" s="2" t="e">
        <f>(E867-E863)/E863*100</f>
        <v>#N/A</v>
      </c>
      <c r="F868" s="98"/>
      <c r="G868" s="95"/>
      <c r="H868" s="82"/>
    </row>
    <row r="869" spans="1:8" x14ac:dyDescent="0.4">
      <c r="A869" s="96"/>
      <c r="B869" s="97"/>
      <c r="C869" s="42" t="s">
        <v>215</v>
      </c>
      <c r="D869" s="43"/>
      <c r="E869" s="43"/>
      <c r="F869" s="98"/>
      <c r="G869" s="95"/>
      <c r="H869" s="82"/>
    </row>
    <row r="870" spans="1:8" x14ac:dyDescent="0.4">
      <c r="A870" s="96"/>
      <c r="B870" s="97"/>
      <c r="C870" s="13" t="s">
        <v>187</v>
      </c>
      <c r="D870" s="2" t="e">
        <f>INDEX('Equipment list'!$B$189:$B$220, (MATCH(A869,'Equipment list'!$D$189:$D$220,0)),1)</f>
        <v>#N/A</v>
      </c>
      <c r="E870" s="2" t="e">
        <f>INDEX('Equipment list'!$C$189:$C$220, (MATCH(A869,'Equipment list'!$D$189:$D$220,0)),1)</f>
        <v>#N/A</v>
      </c>
      <c r="F870" s="98"/>
      <c r="G870" s="95"/>
      <c r="H870" s="82"/>
    </row>
    <row r="871" spans="1:8" x14ac:dyDescent="0.4">
      <c r="A871" s="96"/>
      <c r="B871" s="97"/>
      <c r="C871" s="13" t="s">
        <v>186</v>
      </c>
      <c r="D871" s="2" t="e">
        <f>(D869-D870)/D870*100</f>
        <v>#N/A</v>
      </c>
      <c r="E871" s="2" t="e">
        <f>(E869-E870)/E870*100</f>
        <v>#N/A</v>
      </c>
      <c r="F871" s="98"/>
      <c r="G871" s="95"/>
      <c r="H871" s="82"/>
    </row>
    <row r="872" spans="1:8" x14ac:dyDescent="0.4">
      <c r="A872" s="96"/>
      <c r="B872" s="97"/>
      <c r="C872" s="13" t="str">
        <f>C869</f>
        <v xml:space="preserve">Measured, </v>
      </c>
      <c r="D872" s="43"/>
      <c r="E872" s="43"/>
      <c r="F872" s="98"/>
      <c r="G872" s="95"/>
      <c r="H872" s="82"/>
    </row>
    <row r="873" spans="1:8" x14ac:dyDescent="0.4">
      <c r="A873" s="96"/>
      <c r="B873" s="97"/>
      <c r="C873" s="13" t="s">
        <v>186</v>
      </c>
      <c r="D873" s="2" t="e">
        <f>(D872-D870)/D870*100</f>
        <v>#N/A</v>
      </c>
      <c r="E873" s="2" t="e">
        <f>(E872-E870)/E870*100</f>
        <v>#N/A</v>
      </c>
      <c r="F873" s="98"/>
      <c r="G873" s="95"/>
      <c r="H873" s="82"/>
    </row>
    <row r="874" spans="1:8" x14ac:dyDescent="0.4">
      <c r="A874" s="96"/>
      <c r="B874" s="97"/>
      <c r="C874" s="13" t="str">
        <f>C869</f>
        <v xml:space="preserve">Measured, </v>
      </c>
      <c r="D874" s="43"/>
      <c r="E874" s="43"/>
      <c r="F874" s="98"/>
      <c r="G874" s="95"/>
      <c r="H874" s="82"/>
    </row>
    <row r="875" spans="1:8" x14ac:dyDescent="0.4">
      <c r="A875" s="96"/>
      <c r="B875" s="97"/>
      <c r="C875" s="13" t="s">
        <v>186</v>
      </c>
      <c r="D875" s="2" t="e">
        <f>(D874-D870)/D870*100</f>
        <v>#N/A</v>
      </c>
      <c r="E875" s="2" t="e">
        <f>(E874-E870)/E870*100</f>
        <v>#N/A</v>
      </c>
      <c r="F875" s="98"/>
      <c r="G875" s="95"/>
      <c r="H875" s="82"/>
    </row>
    <row r="876" spans="1:8" x14ac:dyDescent="0.4">
      <c r="A876" s="96"/>
      <c r="B876" s="97"/>
      <c r="C876" s="42" t="s">
        <v>215</v>
      </c>
      <c r="D876" s="43"/>
      <c r="E876" s="43"/>
      <c r="F876" s="98"/>
      <c r="G876" s="95"/>
      <c r="H876" s="82"/>
    </row>
    <row r="877" spans="1:8" x14ac:dyDescent="0.4">
      <c r="A877" s="96"/>
      <c r="B877" s="97"/>
      <c r="C877" s="13" t="s">
        <v>187</v>
      </c>
      <c r="D877" s="2" t="e">
        <f>INDEX('Equipment list'!$B$189:$B$220, (MATCH(A876,'Equipment list'!$D$189:$D$220,0)),1)</f>
        <v>#N/A</v>
      </c>
      <c r="E877" s="2" t="e">
        <f>INDEX('Equipment list'!$C$189:$C$220, (MATCH(A876,'Equipment list'!$D$189:$D$220,0)),1)</f>
        <v>#N/A</v>
      </c>
      <c r="F877" s="98"/>
      <c r="G877" s="95"/>
      <c r="H877" s="82"/>
    </row>
    <row r="878" spans="1:8" x14ac:dyDescent="0.4">
      <c r="A878" s="96"/>
      <c r="B878" s="97"/>
      <c r="C878" s="13" t="s">
        <v>186</v>
      </c>
      <c r="D878" s="2" t="e">
        <f>(D876-D877)/D877*100</f>
        <v>#N/A</v>
      </c>
      <c r="E878" s="2" t="e">
        <f>(E876-E877)/E877*100</f>
        <v>#N/A</v>
      </c>
      <c r="F878" s="98"/>
      <c r="G878" s="95"/>
      <c r="H878" s="82"/>
    </row>
    <row r="879" spans="1:8" x14ac:dyDescent="0.4">
      <c r="A879" s="96"/>
      <c r="B879" s="97"/>
      <c r="C879" s="13" t="str">
        <f>C876</f>
        <v xml:space="preserve">Measured, </v>
      </c>
      <c r="D879" s="43"/>
      <c r="E879" s="43"/>
      <c r="F879" s="98"/>
      <c r="G879" s="95"/>
      <c r="H879" s="82"/>
    </row>
    <row r="880" spans="1:8" x14ac:dyDescent="0.4">
      <c r="A880" s="96"/>
      <c r="B880" s="97"/>
      <c r="C880" s="13" t="s">
        <v>186</v>
      </c>
      <c r="D880" s="2" t="e">
        <f>(D879-D877)/D877*100</f>
        <v>#N/A</v>
      </c>
      <c r="E880" s="2" t="e">
        <f>(E879-E877)/E877*100</f>
        <v>#N/A</v>
      </c>
      <c r="F880" s="98"/>
      <c r="G880" s="95"/>
      <c r="H880" s="82"/>
    </row>
    <row r="881" spans="1:8" x14ac:dyDescent="0.4">
      <c r="A881" s="96"/>
      <c r="B881" s="97"/>
      <c r="C881" s="13" t="str">
        <f>C876</f>
        <v xml:space="preserve">Measured, </v>
      </c>
      <c r="D881" s="43"/>
      <c r="E881" s="43"/>
      <c r="F881" s="98"/>
      <c r="G881" s="95"/>
      <c r="H881" s="82"/>
    </row>
    <row r="882" spans="1:8" x14ac:dyDescent="0.4">
      <c r="A882" s="96"/>
      <c r="B882" s="97"/>
      <c r="C882" s="13" t="s">
        <v>186</v>
      </c>
      <c r="D882" s="2" t="e">
        <f>(D881-D877)/D877*100</f>
        <v>#N/A</v>
      </c>
      <c r="E882" s="2" t="e">
        <f>(E881-E877)/E877*100</f>
        <v>#N/A</v>
      </c>
      <c r="F882" s="98"/>
      <c r="G882" s="95"/>
      <c r="H882" s="82"/>
    </row>
    <row r="883" spans="1:8" x14ac:dyDescent="0.4">
      <c r="A883" s="96"/>
      <c r="B883" s="97"/>
      <c r="C883" s="42" t="s">
        <v>215</v>
      </c>
      <c r="D883" s="43"/>
      <c r="E883" s="43"/>
      <c r="F883" s="98"/>
      <c r="G883" s="95"/>
      <c r="H883" s="82"/>
    </row>
    <row r="884" spans="1:8" x14ac:dyDescent="0.4">
      <c r="A884" s="96"/>
      <c r="B884" s="97"/>
      <c r="C884" s="13" t="s">
        <v>187</v>
      </c>
      <c r="D884" s="2" t="e">
        <f>INDEX('Equipment list'!$B$189:$B$220, (MATCH(A883,'Equipment list'!$D$189:$D$220,0)),1)</f>
        <v>#N/A</v>
      </c>
      <c r="E884" s="2" t="e">
        <f>INDEX('Equipment list'!$C$189:$C$220, (MATCH(A883,'Equipment list'!$D$189:$D$220,0)),1)</f>
        <v>#N/A</v>
      </c>
      <c r="F884" s="98"/>
      <c r="G884" s="95"/>
      <c r="H884" s="82"/>
    </row>
    <row r="885" spans="1:8" x14ac:dyDescent="0.4">
      <c r="A885" s="96"/>
      <c r="B885" s="97"/>
      <c r="C885" s="13" t="s">
        <v>186</v>
      </c>
      <c r="D885" s="2" t="e">
        <f>(D883-D884)/D884*100</f>
        <v>#N/A</v>
      </c>
      <c r="E885" s="2" t="e">
        <f>(E883-E884)/E884*100</f>
        <v>#N/A</v>
      </c>
      <c r="F885" s="98"/>
      <c r="G885" s="95"/>
      <c r="H885" s="82"/>
    </row>
    <row r="886" spans="1:8" x14ac:dyDescent="0.4">
      <c r="A886" s="96"/>
      <c r="B886" s="97"/>
      <c r="C886" s="13" t="str">
        <f>C883</f>
        <v xml:space="preserve">Measured, </v>
      </c>
      <c r="D886" s="43"/>
      <c r="E886" s="43"/>
      <c r="F886" s="98"/>
      <c r="G886" s="95"/>
      <c r="H886" s="82"/>
    </row>
    <row r="887" spans="1:8" x14ac:dyDescent="0.4">
      <c r="A887" s="96"/>
      <c r="B887" s="97"/>
      <c r="C887" s="13" t="s">
        <v>186</v>
      </c>
      <c r="D887" s="2" t="e">
        <f>(D886-D884)/D884*100</f>
        <v>#N/A</v>
      </c>
      <c r="E887" s="2" t="e">
        <f>(E886-E884)/E884*100</f>
        <v>#N/A</v>
      </c>
      <c r="F887" s="98"/>
      <c r="G887" s="95"/>
      <c r="H887" s="82"/>
    </row>
    <row r="888" spans="1:8" x14ac:dyDescent="0.4">
      <c r="A888" s="96"/>
      <c r="B888" s="97"/>
      <c r="C888" s="13" t="str">
        <f>C883</f>
        <v xml:space="preserve">Measured, </v>
      </c>
      <c r="D888" s="43"/>
      <c r="E888" s="43"/>
      <c r="F888" s="98"/>
      <c r="G888" s="95"/>
      <c r="H888" s="82"/>
    </row>
    <row r="889" spans="1:8" x14ac:dyDescent="0.4">
      <c r="A889" s="96"/>
      <c r="B889" s="97"/>
      <c r="C889" s="13" t="s">
        <v>186</v>
      </c>
      <c r="D889" s="2" t="e">
        <f>(D888-D884)/D884*100</f>
        <v>#N/A</v>
      </c>
      <c r="E889" s="2" t="e">
        <f>(E888-E884)/E884*100</f>
        <v>#N/A</v>
      </c>
      <c r="F889" s="98"/>
      <c r="G889" s="95"/>
      <c r="H889" s="82"/>
    </row>
    <row r="890" spans="1:8" x14ac:dyDescent="0.4">
      <c r="A890" s="96"/>
      <c r="B890" s="97"/>
      <c r="C890" s="42" t="s">
        <v>215</v>
      </c>
      <c r="D890" s="43"/>
      <c r="E890" s="43"/>
      <c r="F890" s="98"/>
      <c r="G890" s="95"/>
      <c r="H890" s="82"/>
    </row>
    <row r="891" spans="1:8" x14ac:dyDescent="0.4">
      <c r="A891" s="96"/>
      <c r="B891" s="97"/>
      <c r="C891" s="13" t="s">
        <v>187</v>
      </c>
      <c r="D891" s="2" t="e">
        <f>INDEX('Equipment list'!$B$189:$B$220, (MATCH(A890,'Equipment list'!$D$189:$D$220,0)),1)</f>
        <v>#N/A</v>
      </c>
      <c r="E891" s="2" t="e">
        <f>INDEX('Equipment list'!$C$189:$C$220, (MATCH(A890,'Equipment list'!$D$189:$D$220,0)),1)</f>
        <v>#N/A</v>
      </c>
      <c r="F891" s="98"/>
      <c r="G891" s="95"/>
      <c r="H891" s="82"/>
    </row>
    <row r="892" spans="1:8" x14ac:dyDescent="0.4">
      <c r="A892" s="96"/>
      <c r="B892" s="97"/>
      <c r="C892" s="13" t="s">
        <v>186</v>
      </c>
      <c r="D892" s="2" t="e">
        <f>(D890-D891)/D891*100</f>
        <v>#N/A</v>
      </c>
      <c r="E892" s="2" t="e">
        <f>(E890-E891)/E891*100</f>
        <v>#N/A</v>
      </c>
      <c r="F892" s="98"/>
      <c r="G892" s="95"/>
      <c r="H892" s="82"/>
    </row>
    <row r="893" spans="1:8" x14ac:dyDescent="0.4">
      <c r="A893" s="96"/>
      <c r="B893" s="97"/>
      <c r="C893" s="13" t="str">
        <f>C890</f>
        <v xml:space="preserve">Measured, </v>
      </c>
      <c r="D893" s="43"/>
      <c r="E893" s="43"/>
      <c r="F893" s="98"/>
      <c r="G893" s="95"/>
      <c r="H893" s="82"/>
    </row>
    <row r="894" spans="1:8" x14ac:dyDescent="0.4">
      <c r="A894" s="96"/>
      <c r="B894" s="97"/>
      <c r="C894" s="13" t="s">
        <v>186</v>
      </c>
      <c r="D894" s="2" t="e">
        <f>(D893-D891)/D891*100</f>
        <v>#N/A</v>
      </c>
      <c r="E894" s="2" t="e">
        <f>(E893-E891)/E891*100</f>
        <v>#N/A</v>
      </c>
      <c r="F894" s="98"/>
      <c r="G894" s="95"/>
      <c r="H894" s="82"/>
    </row>
    <row r="895" spans="1:8" x14ac:dyDescent="0.4">
      <c r="A895" s="96"/>
      <c r="B895" s="97"/>
      <c r="C895" s="13" t="str">
        <f>C890</f>
        <v xml:space="preserve">Measured, </v>
      </c>
      <c r="D895" s="43"/>
      <c r="E895" s="43"/>
      <c r="F895" s="98"/>
      <c r="G895" s="95"/>
      <c r="H895" s="82"/>
    </row>
    <row r="896" spans="1:8" x14ac:dyDescent="0.4">
      <c r="A896" s="96"/>
      <c r="B896" s="97"/>
      <c r="C896" s="13" t="s">
        <v>186</v>
      </c>
      <c r="D896" s="2" t="e">
        <f>(D895-D891)/D891*100</f>
        <v>#N/A</v>
      </c>
      <c r="E896" s="2" t="e">
        <f>(E895-E891)/E891*100</f>
        <v>#N/A</v>
      </c>
      <c r="F896" s="98"/>
      <c r="G896" s="95"/>
      <c r="H896" s="82"/>
    </row>
    <row r="897" spans="1:8" x14ac:dyDescent="0.4">
      <c r="A897" s="96"/>
      <c r="B897" s="97"/>
      <c r="C897" s="42" t="s">
        <v>215</v>
      </c>
      <c r="D897" s="43"/>
      <c r="E897" s="43"/>
      <c r="F897" s="98"/>
      <c r="G897" s="95"/>
      <c r="H897" s="82"/>
    </row>
    <row r="898" spans="1:8" x14ac:dyDescent="0.4">
      <c r="A898" s="96"/>
      <c r="B898" s="97"/>
      <c r="C898" s="13" t="s">
        <v>187</v>
      </c>
      <c r="D898" s="2" t="e">
        <f>INDEX('Equipment list'!$B$189:$B$220, (MATCH(A897,'Equipment list'!$D$189:$D$220,0)),1)</f>
        <v>#N/A</v>
      </c>
      <c r="E898" s="2" t="e">
        <f>INDEX('Equipment list'!$C$189:$C$220, (MATCH(A897,'Equipment list'!$D$189:$D$220,0)),1)</f>
        <v>#N/A</v>
      </c>
      <c r="F898" s="98"/>
      <c r="G898" s="95"/>
      <c r="H898" s="82"/>
    </row>
    <row r="899" spans="1:8" x14ac:dyDescent="0.4">
      <c r="A899" s="96"/>
      <c r="B899" s="97"/>
      <c r="C899" s="13" t="s">
        <v>186</v>
      </c>
      <c r="D899" s="2" t="e">
        <f>(D897-D898)/D898*100</f>
        <v>#N/A</v>
      </c>
      <c r="E899" s="2" t="e">
        <f>(E897-E898)/E898*100</f>
        <v>#N/A</v>
      </c>
      <c r="F899" s="98"/>
      <c r="G899" s="95"/>
      <c r="H899" s="82"/>
    </row>
    <row r="900" spans="1:8" x14ac:dyDescent="0.4">
      <c r="A900" s="96"/>
      <c r="B900" s="97"/>
      <c r="C900" s="13" t="str">
        <f>C897</f>
        <v xml:space="preserve">Measured, </v>
      </c>
      <c r="D900" s="43"/>
      <c r="E900" s="43"/>
      <c r="F900" s="98"/>
      <c r="G900" s="95"/>
      <c r="H900" s="82"/>
    </row>
    <row r="901" spans="1:8" x14ac:dyDescent="0.4">
      <c r="A901" s="96"/>
      <c r="B901" s="97"/>
      <c r="C901" s="13" t="s">
        <v>186</v>
      </c>
      <c r="D901" s="2" t="e">
        <f>(D900-D898)/D898*100</f>
        <v>#N/A</v>
      </c>
      <c r="E901" s="2" t="e">
        <f>(E900-E898)/E898*100</f>
        <v>#N/A</v>
      </c>
      <c r="F901" s="98"/>
      <c r="G901" s="95"/>
      <c r="H901" s="82"/>
    </row>
    <row r="902" spans="1:8" x14ac:dyDescent="0.4">
      <c r="A902" s="96"/>
      <c r="B902" s="97"/>
      <c r="C902" s="13" t="str">
        <f>C897</f>
        <v xml:space="preserve">Measured, </v>
      </c>
      <c r="D902" s="43"/>
      <c r="E902" s="43"/>
      <c r="F902" s="98"/>
      <c r="G902" s="95"/>
      <c r="H902" s="82"/>
    </row>
    <row r="903" spans="1:8" x14ac:dyDescent="0.4">
      <c r="A903" s="96"/>
      <c r="B903" s="97"/>
      <c r="C903" s="13" t="s">
        <v>186</v>
      </c>
      <c r="D903" s="2" t="e">
        <f>(D902-D898)/D898*100</f>
        <v>#N/A</v>
      </c>
      <c r="E903" s="2" t="e">
        <f>(E902-E898)/E898*100</f>
        <v>#N/A</v>
      </c>
      <c r="F903" s="98"/>
      <c r="G903" s="95"/>
      <c r="H903" s="82"/>
    </row>
    <row r="904" spans="1:8" x14ac:dyDescent="0.4">
      <c r="A904" s="96"/>
      <c r="B904" s="97"/>
      <c r="C904" s="42" t="s">
        <v>215</v>
      </c>
      <c r="D904" s="43"/>
      <c r="E904" s="43"/>
      <c r="F904" s="98"/>
      <c r="G904" s="95"/>
      <c r="H904" s="82"/>
    </row>
    <row r="905" spans="1:8" x14ac:dyDescent="0.4">
      <c r="A905" s="96"/>
      <c r="B905" s="97"/>
      <c r="C905" s="13" t="s">
        <v>187</v>
      </c>
      <c r="D905" s="2" t="e">
        <f>INDEX('Equipment list'!$B$189:$B$220, (MATCH(A904,'Equipment list'!$D$189:$D$220,0)),1)</f>
        <v>#N/A</v>
      </c>
      <c r="E905" s="2" t="e">
        <f>INDEX('Equipment list'!$C$189:$C$220, (MATCH(A904,'Equipment list'!$D$189:$D$220,0)),1)</f>
        <v>#N/A</v>
      </c>
      <c r="F905" s="98"/>
      <c r="G905" s="95"/>
      <c r="H905" s="82"/>
    </row>
    <row r="906" spans="1:8" x14ac:dyDescent="0.4">
      <c r="A906" s="96"/>
      <c r="B906" s="97"/>
      <c r="C906" s="13" t="s">
        <v>186</v>
      </c>
      <c r="D906" s="2" t="e">
        <f>(D904-D905)/D905*100</f>
        <v>#N/A</v>
      </c>
      <c r="E906" s="2" t="e">
        <f>(E904-E905)/E905*100</f>
        <v>#N/A</v>
      </c>
      <c r="F906" s="98"/>
      <c r="G906" s="95"/>
      <c r="H906" s="82"/>
    </row>
    <row r="907" spans="1:8" x14ac:dyDescent="0.4">
      <c r="A907" s="96"/>
      <c r="B907" s="97"/>
      <c r="C907" s="13" t="str">
        <f>C904</f>
        <v xml:space="preserve">Measured, </v>
      </c>
      <c r="D907" s="43"/>
      <c r="E907" s="43"/>
      <c r="F907" s="98"/>
      <c r="G907" s="95"/>
      <c r="H907" s="82"/>
    </row>
    <row r="908" spans="1:8" x14ac:dyDescent="0.4">
      <c r="A908" s="96"/>
      <c r="B908" s="97"/>
      <c r="C908" s="13" t="s">
        <v>186</v>
      </c>
      <c r="D908" s="2" t="e">
        <f>(D907-D905)/D905*100</f>
        <v>#N/A</v>
      </c>
      <c r="E908" s="2" t="e">
        <f>(E907-E905)/E905*100</f>
        <v>#N/A</v>
      </c>
      <c r="F908" s="98"/>
      <c r="G908" s="95"/>
      <c r="H908" s="82"/>
    </row>
    <row r="909" spans="1:8" x14ac:dyDescent="0.4">
      <c r="A909" s="96"/>
      <c r="B909" s="97"/>
      <c r="C909" s="13" t="str">
        <f>C904</f>
        <v xml:space="preserve">Measured, </v>
      </c>
      <c r="D909" s="43"/>
      <c r="E909" s="43"/>
      <c r="F909" s="98"/>
      <c r="G909" s="95"/>
      <c r="H909" s="82"/>
    </row>
    <row r="910" spans="1:8" x14ac:dyDescent="0.4">
      <c r="A910" s="96"/>
      <c r="B910" s="97"/>
      <c r="C910" s="13" t="s">
        <v>186</v>
      </c>
      <c r="D910" s="2" t="e">
        <f>(D909-D905)/D905*100</f>
        <v>#N/A</v>
      </c>
      <c r="E910" s="2" t="e">
        <f>(E909-E905)/E905*100</f>
        <v>#N/A</v>
      </c>
      <c r="F910" s="98"/>
      <c r="G910" s="95"/>
      <c r="H910" s="82"/>
    </row>
    <row r="911" spans="1:8" x14ac:dyDescent="0.4">
      <c r="A911" s="96"/>
      <c r="B911" s="97"/>
      <c r="C911" s="42" t="s">
        <v>215</v>
      </c>
      <c r="D911" s="43"/>
      <c r="E911" s="43"/>
      <c r="F911" s="98"/>
      <c r="G911" s="95"/>
      <c r="H911" s="82"/>
    </row>
    <row r="912" spans="1:8" x14ac:dyDescent="0.4">
      <c r="A912" s="96"/>
      <c r="B912" s="97"/>
      <c r="C912" s="13" t="s">
        <v>187</v>
      </c>
      <c r="D912" s="2" t="e">
        <f>INDEX('Equipment list'!$B$189:$B$220, (MATCH(A911,'Equipment list'!$D$189:$D$220,0)),1)</f>
        <v>#N/A</v>
      </c>
      <c r="E912" s="2" t="e">
        <f>INDEX('Equipment list'!$C$189:$C$220, (MATCH(A911,'Equipment list'!$D$189:$D$220,0)),1)</f>
        <v>#N/A</v>
      </c>
      <c r="F912" s="98"/>
      <c r="G912" s="95"/>
      <c r="H912" s="82"/>
    </row>
    <row r="913" spans="1:8" x14ac:dyDescent="0.4">
      <c r="A913" s="96"/>
      <c r="B913" s="97"/>
      <c r="C913" s="13" t="s">
        <v>186</v>
      </c>
      <c r="D913" s="2" t="e">
        <f>(D911-D912)/D912*100</f>
        <v>#N/A</v>
      </c>
      <c r="E913" s="2" t="e">
        <f>(E911-E912)/E912*100</f>
        <v>#N/A</v>
      </c>
      <c r="F913" s="98"/>
      <c r="G913" s="95"/>
      <c r="H913" s="82"/>
    </row>
    <row r="914" spans="1:8" x14ac:dyDescent="0.4">
      <c r="A914" s="96"/>
      <c r="B914" s="97"/>
      <c r="C914" s="13" t="str">
        <f>C911</f>
        <v xml:space="preserve">Measured, </v>
      </c>
      <c r="D914" s="43"/>
      <c r="E914" s="43"/>
      <c r="F914" s="98"/>
      <c r="G914" s="95"/>
      <c r="H914" s="82"/>
    </row>
    <row r="915" spans="1:8" x14ac:dyDescent="0.4">
      <c r="A915" s="96"/>
      <c r="B915" s="97"/>
      <c r="C915" s="13" t="s">
        <v>186</v>
      </c>
      <c r="D915" s="2" t="e">
        <f>(D914-D912)/D912*100</f>
        <v>#N/A</v>
      </c>
      <c r="E915" s="2" t="e">
        <f>(E914-E912)/E912*100</f>
        <v>#N/A</v>
      </c>
      <c r="F915" s="98"/>
      <c r="G915" s="95"/>
      <c r="H915" s="82"/>
    </row>
    <row r="916" spans="1:8" x14ac:dyDescent="0.4">
      <c r="A916" s="96"/>
      <c r="B916" s="97"/>
      <c r="C916" s="13" t="str">
        <f>C911</f>
        <v xml:space="preserve">Measured, </v>
      </c>
      <c r="D916" s="43"/>
      <c r="E916" s="43"/>
      <c r="F916" s="98"/>
      <c r="G916" s="95"/>
      <c r="H916" s="82"/>
    </row>
    <row r="917" spans="1:8" x14ac:dyDescent="0.4">
      <c r="A917" s="96"/>
      <c r="B917" s="97"/>
      <c r="C917" s="13" t="s">
        <v>186</v>
      </c>
      <c r="D917" s="2" t="e">
        <f>(D916-D912)/D912*100</f>
        <v>#N/A</v>
      </c>
      <c r="E917" s="2" t="e">
        <f>(E916-E912)/E912*100</f>
        <v>#N/A</v>
      </c>
      <c r="F917" s="98"/>
      <c r="G917" s="95"/>
      <c r="H917" s="82"/>
    </row>
    <row r="918" spans="1:8" x14ac:dyDescent="0.4">
      <c r="A918" s="96"/>
      <c r="B918" s="97"/>
      <c r="C918" s="42" t="s">
        <v>215</v>
      </c>
      <c r="D918" s="43"/>
      <c r="E918" s="43"/>
      <c r="F918" s="98"/>
      <c r="G918" s="95"/>
      <c r="H918" s="82"/>
    </row>
    <row r="919" spans="1:8" x14ac:dyDescent="0.4">
      <c r="A919" s="96"/>
      <c r="B919" s="97"/>
      <c r="C919" s="13" t="s">
        <v>187</v>
      </c>
      <c r="D919" s="2" t="e">
        <f>INDEX('Equipment list'!$B$189:$B$220, (MATCH(A918,'Equipment list'!$D$189:$D$220,0)),1)</f>
        <v>#N/A</v>
      </c>
      <c r="E919" s="2" t="e">
        <f>INDEX('Equipment list'!$C$189:$C$220, (MATCH(A918,'Equipment list'!$D$189:$D$220,0)),1)</f>
        <v>#N/A</v>
      </c>
      <c r="F919" s="98"/>
      <c r="G919" s="95"/>
      <c r="H919" s="82"/>
    </row>
    <row r="920" spans="1:8" x14ac:dyDescent="0.4">
      <c r="A920" s="96"/>
      <c r="B920" s="97"/>
      <c r="C920" s="13" t="s">
        <v>186</v>
      </c>
      <c r="D920" s="2" t="e">
        <f>(D918-D919)/D919*100</f>
        <v>#N/A</v>
      </c>
      <c r="E920" s="2" t="e">
        <f>(E918-E919)/E919*100</f>
        <v>#N/A</v>
      </c>
      <c r="F920" s="98"/>
      <c r="G920" s="95"/>
      <c r="H920" s="82"/>
    </row>
    <row r="921" spans="1:8" x14ac:dyDescent="0.4">
      <c r="A921" s="96"/>
      <c r="B921" s="97"/>
      <c r="C921" s="13" t="str">
        <f>C918</f>
        <v xml:space="preserve">Measured, </v>
      </c>
      <c r="D921" s="43"/>
      <c r="E921" s="43"/>
      <c r="F921" s="98"/>
      <c r="G921" s="95"/>
      <c r="H921" s="82"/>
    </row>
    <row r="922" spans="1:8" x14ac:dyDescent="0.4">
      <c r="A922" s="96"/>
      <c r="B922" s="97"/>
      <c r="C922" s="13" t="s">
        <v>186</v>
      </c>
      <c r="D922" s="2" t="e">
        <f>(D921-D919)/D919*100</f>
        <v>#N/A</v>
      </c>
      <c r="E922" s="2" t="e">
        <f>(E921-E919)/E919*100</f>
        <v>#N/A</v>
      </c>
      <c r="F922" s="98"/>
      <c r="G922" s="95"/>
      <c r="H922" s="82"/>
    </row>
    <row r="923" spans="1:8" x14ac:dyDescent="0.4">
      <c r="A923" s="96"/>
      <c r="B923" s="97"/>
      <c r="C923" s="13" t="str">
        <f>C918</f>
        <v xml:space="preserve">Measured, </v>
      </c>
      <c r="D923" s="43"/>
      <c r="E923" s="43"/>
      <c r="F923" s="98"/>
      <c r="G923" s="95"/>
      <c r="H923" s="82"/>
    </row>
    <row r="924" spans="1:8" x14ac:dyDescent="0.4">
      <c r="A924" s="96"/>
      <c r="B924" s="97"/>
      <c r="C924" s="13" t="s">
        <v>186</v>
      </c>
      <c r="D924" s="2" t="e">
        <f>(D923-D919)/D919*100</f>
        <v>#N/A</v>
      </c>
      <c r="E924" s="2" t="e">
        <f>(E923-E919)/E919*100</f>
        <v>#N/A</v>
      </c>
      <c r="F924" s="98"/>
      <c r="G924" s="95"/>
      <c r="H924" s="82"/>
    </row>
    <row r="925" spans="1:8" x14ac:dyDescent="0.4">
      <c r="A925" s="96"/>
      <c r="B925" s="97"/>
      <c r="C925" s="42" t="s">
        <v>215</v>
      </c>
      <c r="D925" s="43"/>
      <c r="E925" s="43"/>
      <c r="F925" s="98"/>
      <c r="G925" s="95"/>
      <c r="H925" s="82"/>
    </row>
    <row r="926" spans="1:8" x14ac:dyDescent="0.4">
      <c r="A926" s="96"/>
      <c r="B926" s="97"/>
      <c r="C926" s="13" t="s">
        <v>187</v>
      </c>
      <c r="D926" s="2" t="e">
        <f>INDEX('Equipment list'!$B$189:$B$220, (MATCH(A925,'Equipment list'!$D$189:$D$220,0)),1)</f>
        <v>#N/A</v>
      </c>
      <c r="E926" s="2" t="e">
        <f>INDEX('Equipment list'!$C$189:$C$220, (MATCH(A925,'Equipment list'!$D$189:$D$220,0)),1)</f>
        <v>#N/A</v>
      </c>
      <c r="F926" s="98"/>
      <c r="G926" s="95"/>
      <c r="H926" s="82"/>
    </row>
    <row r="927" spans="1:8" x14ac:dyDescent="0.4">
      <c r="A927" s="96"/>
      <c r="B927" s="97"/>
      <c r="C927" s="13" t="s">
        <v>186</v>
      </c>
      <c r="D927" s="2" t="e">
        <f>(D925-D926)/D926*100</f>
        <v>#N/A</v>
      </c>
      <c r="E927" s="2" t="e">
        <f>(E925-E926)/E926*100</f>
        <v>#N/A</v>
      </c>
      <c r="F927" s="98"/>
      <c r="G927" s="95"/>
      <c r="H927" s="82"/>
    </row>
    <row r="928" spans="1:8" x14ac:dyDescent="0.4">
      <c r="A928" s="96"/>
      <c r="B928" s="97"/>
      <c r="C928" s="13" t="str">
        <f>C925</f>
        <v xml:space="preserve">Measured, </v>
      </c>
      <c r="D928" s="43"/>
      <c r="E928" s="43"/>
      <c r="F928" s="98"/>
      <c r="G928" s="95"/>
      <c r="H928" s="82"/>
    </row>
    <row r="929" spans="1:8" x14ac:dyDescent="0.4">
      <c r="A929" s="96"/>
      <c r="B929" s="97"/>
      <c r="C929" s="13" t="s">
        <v>186</v>
      </c>
      <c r="D929" s="2" t="e">
        <f>(D928-D926)/D926*100</f>
        <v>#N/A</v>
      </c>
      <c r="E929" s="2" t="e">
        <f>(E928-E926)/E926*100</f>
        <v>#N/A</v>
      </c>
      <c r="F929" s="98"/>
      <c r="G929" s="95"/>
      <c r="H929" s="82"/>
    </row>
    <row r="930" spans="1:8" x14ac:dyDescent="0.4">
      <c r="A930" s="96"/>
      <c r="B930" s="97"/>
      <c r="C930" s="13" t="str">
        <f>C925</f>
        <v xml:space="preserve">Measured, </v>
      </c>
      <c r="D930" s="43"/>
      <c r="E930" s="43"/>
      <c r="F930" s="98"/>
      <c r="G930" s="95"/>
      <c r="H930" s="82"/>
    </row>
    <row r="931" spans="1:8" x14ac:dyDescent="0.4">
      <c r="A931" s="96"/>
      <c r="B931" s="97"/>
      <c r="C931" s="13" t="s">
        <v>186</v>
      </c>
      <c r="D931" s="2" t="e">
        <f>(D930-D926)/D926*100</f>
        <v>#N/A</v>
      </c>
      <c r="E931" s="2" t="e">
        <f>(E930-E926)/E926*100</f>
        <v>#N/A</v>
      </c>
      <c r="F931" s="98"/>
      <c r="G931" s="95"/>
      <c r="H931" s="82"/>
    </row>
    <row r="932" spans="1:8" x14ac:dyDescent="0.4">
      <c r="A932" s="96"/>
      <c r="B932" s="97"/>
      <c r="C932" s="42" t="s">
        <v>215</v>
      </c>
      <c r="D932" s="43"/>
      <c r="E932" s="43"/>
      <c r="F932" s="98"/>
      <c r="G932" s="95"/>
      <c r="H932" s="82"/>
    </row>
    <row r="933" spans="1:8" x14ac:dyDescent="0.4">
      <c r="A933" s="96"/>
      <c r="B933" s="97"/>
      <c r="C933" s="13" t="s">
        <v>187</v>
      </c>
      <c r="D933" s="2" t="e">
        <f>INDEX('Equipment list'!$B$189:$B$220, (MATCH(A932,'Equipment list'!$D$189:$D$220,0)),1)</f>
        <v>#N/A</v>
      </c>
      <c r="E933" s="2" t="e">
        <f>INDEX('Equipment list'!$C$189:$C$220, (MATCH(A932,'Equipment list'!$D$189:$D$220,0)),1)</f>
        <v>#N/A</v>
      </c>
      <c r="F933" s="98"/>
      <c r="G933" s="95"/>
      <c r="H933" s="82"/>
    </row>
    <row r="934" spans="1:8" x14ac:dyDescent="0.4">
      <c r="A934" s="96"/>
      <c r="B934" s="97"/>
      <c r="C934" s="13" t="s">
        <v>186</v>
      </c>
      <c r="D934" s="2" t="e">
        <f>(D932-D933)/D933*100</f>
        <v>#N/A</v>
      </c>
      <c r="E934" s="2" t="e">
        <f>(E932-E933)/E933*100</f>
        <v>#N/A</v>
      </c>
      <c r="F934" s="98"/>
      <c r="G934" s="95"/>
      <c r="H934" s="82"/>
    </row>
    <row r="935" spans="1:8" x14ac:dyDescent="0.4">
      <c r="A935" s="96"/>
      <c r="B935" s="97"/>
      <c r="C935" s="13" t="str">
        <f>C932</f>
        <v xml:space="preserve">Measured, </v>
      </c>
      <c r="D935" s="43"/>
      <c r="E935" s="43"/>
      <c r="F935" s="98"/>
      <c r="G935" s="95"/>
      <c r="H935" s="82"/>
    </row>
    <row r="936" spans="1:8" x14ac:dyDescent="0.4">
      <c r="A936" s="96"/>
      <c r="B936" s="97"/>
      <c r="C936" s="13" t="s">
        <v>186</v>
      </c>
      <c r="D936" s="2" t="e">
        <f>(D935-D933)/D933*100</f>
        <v>#N/A</v>
      </c>
      <c r="E936" s="2" t="e">
        <f>(E935-E933)/E933*100</f>
        <v>#N/A</v>
      </c>
      <c r="F936" s="98"/>
      <c r="G936" s="95"/>
      <c r="H936" s="82"/>
    </row>
    <row r="937" spans="1:8" x14ac:dyDescent="0.4">
      <c r="A937" s="96"/>
      <c r="B937" s="97"/>
      <c r="C937" s="13" t="str">
        <f>C932</f>
        <v xml:space="preserve">Measured, </v>
      </c>
      <c r="D937" s="43"/>
      <c r="E937" s="43"/>
      <c r="F937" s="98"/>
      <c r="G937" s="95"/>
      <c r="H937" s="82"/>
    </row>
    <row r="938" spans="1:8" x14ac:dyDescent="0.4">
      <c r="A938" s="96"/>
      <c r="B938" s="97"/>
      <c r="C938" s="13" t="s">
        <v>186</v>
      </c>
      <c r="D938" s="2" t="e">
        <f>(D937-D933)/D933*100</f>
        <v>#N/A</v>
      </c>
      <c r="E938" s="2" t="e">
        <f>(E937-E933)/E933*100</f>
        <v>#N/A</v>
      </c>
      <c r="F938" s="98"/>
      <c r="G938" s="95"/>
      <c r="H938" s="82"/>
    </row>
    <row r="939" spans="1:8" x14ac:dyDescent="0.4">
      <c r="A939" s="96"/>
      <c r="B939" s="97"/>
      <c r="C939" s="42" t="s">
        <v>215</v>
      </c>
      <c r="D939" s="43"/>
      <c r="E939" s="43"/>
      <c r="F939" s="98"/>
      <c r="G939" s="95"/>
      <c r="H939" s="82"/>
    </row>
    <row r="940" spans="1:8" x14ac:dyDescent="0.4">
      <c r="A940" s="96"/>
      <c r="B940" s="97"/>
      <c r="C940" s="13" t="s">
        <v>187</v>
      </c>
      <c r="D940" s="2" t="e">
        <f>INDEX('Equipment list'!$B$189:$B$220, (MATCH(A939,'Equipment list'!$D$189:$D$220,0)),1)</f>
        <v>#N/A</v>
      </c>
      <c r="E940" s="2" t="e">
        <f>INDEX('Equipment list'!$C$189:$C$220, (MATCH(A939,'Equipment list'!$D$189:$D$220,0)),1)</f>
        <v>#N/A</v>
      </c>
      <c r="F940" s="98"/>
      <c r="G940" s="95"/>
      <c r="H940" s="82"/>
    </row>
    <row r="941" spans="1:8" x14ac:dyDescent="0.4">
      <c r="A941" s="96"/>
      <c r="B941" s="97"/>
      <c r="C941" s="13" t="s">
        <v>186</v>
      </c>
      <c r="D941" s="2" t="e">
        <f>(D939-D940)/D940*100</f>
        <v>#N/A</v>
      </c>
      <c r="E941" s="2" t="e">
        <f>(E939-E940)/E940*100</f>
        <v>#N/A</v>
      </c>
      <c r="F941" s="98"/>
      <c r="G941" s="95"/>
      <c r="H941" s="82"/>
    </row>
    <row r="942" spans="1:8" x14ac:dyDescent="0.4">
      <c r="A942" s="96"/>
      <c r="B942" s="97"/>
      <c r="C942" s="13" t="str">
        <f>C939</f>
        <v xml:space="preserve">Measured, </v>
      </c>
      <c r="D942" s="43"/>
      <c r="E942" s="43"/>
      <c r="F942" s="98"/>
      <c r="G942" s="95"/>
      <c r="H942" s="82"/>
    </row>
    <row r="943" spans="1:8" x14ac:dyDescent="0.4">
      <c r="A943" s="96"/>
      <c r="B943" s="97"/>
      <c r="C943" s="13" t="s">
        <v>186</v>
      </c>
      <c r="D943" s="2" t="e">
        <f>(D942-D940)/D940*100</f>
        <v>#N/A</v>
      </c>
      <c r="E943" s="2" t="e">
        <f>(E942-E940)/E940*100</f>
        <v>#N/A</v>
      </c>
      <c r="F943" s="98"/>
      <c r="G943" s="95"/>
      <c r="H943" s="82"/>
    </row>
    <row r="944" spans="1:8" x14ac:dyDescent="0.4">
      <c r="A944" s="96"/>
      <c r="B944" s="97"/>
      <c r="C944" s="13" t="str">
        <f>C939</f>
        <v xml:space="preserve">Measured, </v>
      </c>
      <c r="D944" s="43"/>
      <c r="E944" s="43"/>
      <c r="F944" s="98"/>
      <c r="G944" s="95"/>
      <c r="H944" s="82"/>
    </row>
    <row r="945" spans="1:8" x14ac:dyDescent="0.4">
      <c r="A945" s="96"/>
      <c r="B945" s="97"/>
      <c r="C945" s="13" t="s">
        <v>186</v>
      </c>
      <c r="D945" s="2" t="e">
        <f>(D944-D940)/D940*100</f>
        <v>#N/A</v>
      </c>
      <c r="E945" s="2" t="e">
        <f>(E944-E940)/E940*100</f>
        <v>#N/A</v>
      </c>
      <c r="F945" s="98"/>
      <c r="G945" s="95"/>
      <c r="H945" s="82"/>
    </row>
    <row r="946" spans="1:8" x14ac:dyDescent="0.4">
      <c r="A946" s="96"/>
      <c r="B946" s="97"/>
      <c r="C946" s="42" t="s">
        <v>215</v>
      </c>
      <c r="D946" s="43"/>
      <c r="E946" s="43"/>
      <c r="F946" s="98"/>
      <c r="G946" s="95"/>
      <c r="H946" s="82"/>
    </row>
    <row r="947" spans="1:8" x14ac:dyDescent="0.4">
      <c r="A947" s="96"/>
      <c r="B947" s="97"/>
      <c r="C947" s="13" t="s">
        <v>187</v>
      </c>
      <c r="D947" s="2" t="e">
        <f>INDEX('Equipment list'!$B$189:$B$220, (MATCH(A946,'Equipment list'!$D$189:$D$220,0)),1)</f>
        <v>#N/A</v>
      </c>
      <c r="E947" s="2" t="e">
        <f>INDEX('Equipment list'!$C$189:$C$220, (MATCH(A946,'Equipment list'!$D$189:$D$220,0)),1)</f>
        <v>#N/A</v>
      </c>
      <c r="F947" s="98"/>
      <c r="G947" s="95"/>
      <c r="H947" s="82"/>
    </row>
    <row r="948" spans="1:8" x14ac:dyDescent="0.4">
      <c r="A948" s="96"/>
      <c r="B948" s="97"/>
      <c r="C948" s="13" t="s">
        <v>186</v>
      </c>
      <c r="D948" s="2" t="e">
        <f>(D946-D947)/D947*100</f>
        <v>#N/A</v>
      </c>
      <c r="E948" s="2" t="e">
        <f>(E946-E947)/E947*100</f>
        <v>#N/A</v>
      </c>
      <c r="F948" s="98"/>
      <c r="G948" s="95"/>
      <c r="H948" s="82"/>
    </row>
    <row r="949" spans="1:8" x14ac:dyDescent="0.4">
      <c r="A949" s="96"/>
      <c r="B949" s="97"/>
      <c r="C949" s="13" t="str">
        <f>C946</f>
        <v xml:space="preserve">Measured, </v>
      </c>
      <c r="D949" s="43"/>
      <c r="E949" s="43"/>
      <c r="F949" s="98"/>
      <c r="G949" s="95"/>
      <c r="H949" s="82"/>
    </row>
    <row r="950" spans="1:8" x14ac:dyDescent="0.4">
      <c r="A950" s="96"/>
      <c r="B950" s="97"/>
      <c r="C950" s="13" t="s">
        <v>186</v>
      </c>
      <c r="D950" s="2" t="e">
        <f>(D949-D947)/D947*100</f>
        <v>#N/A</v>
      </c>
      <c r="E950" s="2" t="e">
        <f>(E949-E947)/E947*100</f>
        <v>#N/A</v>
      </c>
      <c r="F950" s="98"/>
      <c r="G950" s="95"/>
      <c r="H950" s="82"/>
    </row>
    <row r="951" spans="1:8" x14ac:dyDescent="0.4">
      <c r="A951" s="96"/>
      <c r="B951" s="97"/>
      <c r="C951" s="13" t="str">
        <f>C946</f>
        <v xml:space="preserve">Measured, </v>
      </c>
      <c r="D951" s="43"/>
      <c r="E951" s="43"/>
      <c r="F951" s="98"/>
      <c r="G951" s="95"/>
      <c r="H951" s="82"/>
    </row>
    <row r="952" spans="1:8" x14ac:dyDescent="0.4">
      <c r="A952" s="96"/>
      <c r="B952" s="97"/>
      <c r="C952" s="13" t="s">
        <v>186</v>
      </c>
      <c r="D952" s="2" t="e">
        <f>(D951-D947)/D947*100</f>
        <v>#N/A</v>
      </c>
      <c r="E952" s="2" t="e">
        <f>(E951-E947)/E947*100</f>
        <v>#N/A</v>
      </c>
      <c r="F952" s="98"/>
      <c r="G952" s="95"/>
      <c r="H952" s="82"/>
    </row>
    <row r="953" spans="1:8" x14ac:dyDescent="0.4">
      <c r="A953" s="96"/>
      <c r="B953" s="97"/>
      <c r="C953" s="42" t="s">
        <v>215</v>
      </c>
      <c r="D953" s="43"/>
      <c r="E953" s="43"/>
      <c r="F953" s="98"/>
      <c r="G953" s="95"/>
      <c r="H953" s="82"/>
    </row>
    <row r="954" spans="1:8" x14ac:dyDescent="0.4">
      <c r="A954" s="96"/>
      <c r="B954" s="97"/>
      <c r="C954" s="13" t="s">
        <v>187</v>
      </c>
      <c r="D954" s="2" t="e">
        <f>INDEX('Equipment list'!$B$189:$B$220, (MATCH(A953,'Equipment list'!$D$189:$D$220,0)),1)</f>
        <v>#N/A</v>
      </c>
      <c r="E954" s="2" t="e">
        <f>INDEX('Equipment list'!$C$189:$C$220, (MATCH(A953,'Equipment list'!$D$189:$D$220,0)),1)</f>
        <v>#N/A</v>
      </c>
      <c r="F954" s="98"/>
      <c r="G954" s="95"/>
      <c r="H954" s="82"/>
    </row>
    <row r="955" spans="1:8" x14ac:dyDescent="0.4">
      <c r="A955" s="96"/>
      <c r="B955" s="97"/>
      <c r="C955" s="13" t="s">
        <v>186</v>
      </c>
      <c r="D955" s="2" t="e">
        <f>(D953-D954)/D954*100</f>
        <v>#N/A</v>
      </c>
      <c r="E955" s="2" t="e">
        <f>(E953-E954)/E954*100</f>
        <v>#N/A</v>
      </c>
      <c r="F955" s="98"/>
      <c r="G955" s="95"/>
      <c r="H955" s="82"/>
    </row>
    <row r="956" spans="1:8" x14ac:dyDescent="0.4">
      <c r="A956" s="96"/>
      <c r="B956" s="97"/>
      <c r="C956" s="13" t="str">
        <f>C953</f>
        <v xml:space="preserve">Measured, </v>
      </c>
      <c r="D956" s="43"/>
      <c r="E956" s="43"/>
      <c r="F956" s="98"/>
      <c r="G956" s="95"/>
      <c r="H956" s="82"/>
    </row>
    <row r="957" spans="1:8" x14ac:dyDescent="0.4">
      <c r="A957" s="96"/>
      <c r="B957" s="97"/>
      <c r="C957" s="13" t="s">
        <v>186</v>
      </c>
      <c r="D957" s="2" t="e">
        <f>(D956-D954)/D954*100</f>
        <v>#N/A</v>
      </c>
      <c r="E957" s="2" t="e">
        <f>(E956-E954)/E954*100</f>
        <v>#N/A</v>
      </c>
      <c r="F957" s="98"/>
      <c r="G957" s="95"/>
      <c r="H957" s="82"/>
    </row>
    <row r="958" spans="1:8" x14ac:dyDescent="0.4">
      <c r="A958" s="96"/>
      <c r="B958" s="97"/>
      <c r="C958" s="13" t="str">
        <f>C953</f>
        <v xml:space="preserve">Measured, </v>
      </c>
      <c r="D958" s="43"/>
      <c r="E958" s="43"/>
      <c r="F958" s="98"/>
      <c r="G958" s="95"/>
      <c r="H958" s="82"/>
    </row>
    <row r="959" spans="1:8" x14ac:dyDescent="0.4">
      <c r="A959" s="96"/>
      <c r="B959" s="97"/>
      <c r="C959" s="13" t="s">
        <v>186</v>
      </c>
      <c r="D959" s="2" t="e">
        <f>(D958-D954)/D954*100</f>
        <v>#N/A</v>
      </c>
      <c r="E959" s="2" t="e">
        <f>(E958-E954)/E954*100</f>
        <v>#N/A</v>
      </c>
      <c r="F959" s="98"/>
      <c r="G959" s="95"/>
      <c r="H959" s="82"/>
    </row>
    <row r="960" spans="1:8" x14ac:dyDescent="0.4">
      <c r="A960" s="96"/>
      <c r="B960" s="97"/>
      <c r="C960" s="42" t="s">
        <v>215</v>
      </c>
      <c r="D960" s="43"/>
      <c r="E960" s="43"/>
      <c r="F960" s="98"/>
      <c r="G960" s="95"/>
      <c r="H960" s="82"/>
    </row>
    <row r="961" spans="1:8" x14ac:dyDescent="0.4">
      <c r="A961" s="96"/>
      <c r="B961" s="97"/>
      <c r="C961" s="13" t="s">
        <v>187</v>
      </c>
      <c r="D961" s="2" t="e">
        <f>INDEX('Equipment list'!$B$189:$B$220, (MATCH(A960,'Equipment list'!$D$189:$D$220,0)),1)</f>
        <v>#N/A</v>
      </c>
      <c r="E961" s="2" t="e">
        <f>INDEX('Equipment list'!$C$189:$C$220, (MATCH(A960,'Equipment list'!$D$189:$D$220,0)),1)</f>
        <v>#N/A</v>
      </c>
      <c r="F961" s="98"/>
      <c r="G961" s="95"/>
      <c r="H961" s="82"/>
    </row>
    <row r="962" spans="1:8" x14ac:dyDescent="0.4">
      <c r="A962" s="96"/>
      <c r="B962" s="97"/>
      <c r="C962" s="13" t="s">
        <v>186</v>
      </c>
      <c r="D962" s="2" t="e">
        <f>(D960-D961)/D961*100</f>
        <v>#N/A</v>
      </c>
      <c r="E962" s="2" t="e">
        <f>(E960-E961)/E961*100</f>
        <v>#N/A</v>
      </c>
      <c r="F962" s="98"/>
      <c r="G962" s="95"/>
      <c r="H962" s="82"/>
    </row>
    <row r="963" spans="1:8" x14ac:dyDescent="0.4">
      <c r="A963" s="96"/>
      <c r="B963" s="97"/>
      <c r="C963" s="13" t="str">
        <f>C960</f>
        <v xml:space="preserve">Measured, </v>
      </c>
      <c r="D963" s="43"/>
      <c r="E963" s="43"/>
      <c r="F963" s="98"/>
      <c r="G963" s="95"/>
      <c r="H963" s="82"/>
    </row>
    <row r="964" spans="1:8" x14ac:dyDescent="0.4">
      <c r="A964" s="96"/>
      <c r="B964" s="97"/>
      <c r="C964" s="13" t="s">
        <v>186</v>
      </c>
      <c r="D964" s="2" t="e">
        <f>(D963-D961)/D961*100</f>
        <v>#N/A</v>
      </c>
      <c r="E964" s="2" t="e">
        <f>(E963-E961)/E961*100</f>
        <v>#N/A</v>
      </c>
      <c r="F964" s="98"/>
      <c r="G964" s="95"/>
      <c r="H964" s="82"/>
    </row>
    <row r="965" spans="1:8" x14ac:dyDescent="0.4">
      <c r="A965" s="96"/>
      <c r="B965" s="97"/>
      <c r="C965" s="13" t="str">
        <f>C960</f>
        <v xml:space="preserve">Measured, </v>
      </c>
      <c r="D965" s="43"/>
      <c r="E965" s="43"/>
      <c r="F965" s="98"/>
      <c r="G965" s="95"/>
      <c r="H965" s="82"/>
    </row>
    <row r="966" spans="1:8" x14ac:dyDescent="0.4">
      <c r="A966" s="96"/>
      <c r="B966" s="97"/>
      <c r="C966" s="13" t="s">
        <v>186</v>
      </c>
      <c r="D966" s="2" t="e">
        <f>(D965-D961)/D961*100</f>
        <v>#N/A</v>
      </c>
      <c r="E966" s="2" t="e">
        <f>(E965-E961)/E961*100</f>
        <v>#N/A</v>
      </c>
      <c r="F966" s="98"/>
      <c r="G966" s="95"/>
      <c r="H966" s="82"/>
    </row>
    <row r="967" spans="1:8" x14ac:dyDescent="0.4">
      <c r="A967" s="96"/>
      <c r="B967" s="97"/>
      <c r="C967" s="42" t="s">
        <v>215</v>
      </c>
      <c r="D967" s="43"/>
      <c r="E967" s="43"/>
      <c r="F967" s="98"/>
      <c r="G967" s="95"/>
      <c r="H967" s="82"/>
    </row>
    <row r="968" spans="1:8" x14ac:dyDescent="0.4">
      <c r="A968" s="96"/>
      <c r="B968" s="97"/>
      <c r="C968" s="13" t="s">
        <v>187</v>
      </c>
      <c r="D968" s="2" t="e">
        <f>INDEX('Equipment list'!$B$189:$B$220, (MATCH(A967,'Equipment list'!$D$189:$D$220,0)),1)</f>
        <v>#N/A</v>
      </c>
      <c r="E968" s="2" t="e">
        <f>INDEX('Equipment list'!$C$189:$C$220, (MATCH(A967,'Equipment list'!$D$189:$D$220,0)),1)</f>
        <v>#N/A</v>
      </c>
      <c r="F968" s="98"/>
      <c r="G968" s="95"/>
      <c r="H968" s="82"/>
    </row>
    <row r="969" spans="1:8" x14ac:dyDescent="0.4">
      <c r="A969" s="96"/>
      <c r="B969" s="97"/>
      <c r="C969" s="13" t="s">
        <v>186</v>
      </c>
      <c r="D969" s="2" t="e">
        <f>(D967-D968)/D968*100</f>
        <v>#N/A</v>
      </c>
      <c r="E969" s="2" t="e">
        <f>(E967-E968)/E968*100</f>
        <v>#N/A</v>
      </c>
      <c r="F969" s="98"/>
      <c r="G969" s="95"/>
      <c r="H969" s="82"/>
    </row>
    <row r="970" spans="1:8" x14ac:dyDescent="0.4">
      <c r="A970" s="96"/>
      <c r="B970" s="97"/>
      <c r="C970" s="13" t="str">
        <f>C967</f>
        <v xml:space="preserve">Measured, </v>
      </c>
      <c r="D970" s="43"/>
      <c r="E970" s="43"/>
      <c r="F970" s="98"/>
      <c r="G970" s="95"/>
      <c r="H970" s="82"/>
    </row>
    <row r="971" spans="1:8" x14ac:dyDescent="0.4">
      <c r="A971" s="96"/>
      <c r="B971" s="97"/>
      <c r="C971" s="13" t="s">
        <v>186</v>
      </c>
      <c r="D971" s="2" t="e">
        <f>(D970-D968)/D968*100</f>
        <v>#N/A</v>
      </c>
      <c r="E971" s="2" t="e">
        <f>(E970-E968)/E968*100</f>
        <v>#N/A</v>
      </c>
      <c r="F971" s="98"/>
      <c r="G971" s="95"/>
      <c r="H971" s="82"/>
    </row>
    <row r="972" spans="1:8" x14ac:dyDescent="0.4">
      <c r="A972" s="96"/>
      <c r="B972" s="97"/>
      <c r="C972" s="13" t="str">
        <f>C967</f>
        <v xml:space="preserve">Measured, </v>
      </c>
      <c r="D972" s="43"/>
      <c r="E972" s="43"/>
      <c r="F972" s="98"/>
      <c r="G972" s="95"/>
      <c r="H972" s="82"/>
    </row>
    <row r="973" spans="1:8" x14ac:dyDescent="0.4">
      <c r="A973" s="96"/>
      <c r="B973" s="97"/>
      <c r="C973" s="13" t="s">
        <v>186</v>
      </c>
      <c r="D973" s="2" t="e">
        <f>(D972-D968)/D968*100</f>
        <v>#N/A</v>
      </c>
      <c r="E973" s="2" t="e">
        <f>(E972-E968)/E968*100</f>
        <v>#N/A</v>
      </c>
      <c r="F973" s="98"/>
      <c r="G973" s="95"/>
      <c r="H973" s="82"/>
    </row>
    <row r="974" spans="1:8" x14ac:dyDescent="0.4">
      <c r="A974" s="96"/>
      <c r="B974" s="97"/>
      <c r="C974" s="42" t="s">
        <v>215</v>
      </c>
      <c r="D974" s="43"/>
      <c r="E974" s="43"/>
      <c r="F974" s="98"/>
      <c r="G974" s="95"/>
      <c r="H974" s="82"/>
    </row>
    <row r="975" spans="1:8" x14ac:dyDescent="0.4">
      <c r="A975" s="96"/>
      <c r="B975" s="97"/>
      <c r="C975" s="13" t="s">
        <v>187</v>
      </c>
      <c r="D975" s="2" t="e">
        <f>INDEX('Equipment list'!$B$189:$B$220, (MATCH(A974,'Equipment list'!$D$189:$D$220,0)),1)</f>
        <v>#N/A</v>
      </c>
      <c r="E975" s="2" t="e">
        <f>INDEX('Equipment list'!$C$189:$C$220, (MATCH(A974,'Equipment list'!$D$189:$D$220,0)),1)</f>
        <v>#N/A</v>
      </c>
      <c r="F975" s="98"/>
      <c r="G975" s="95"/>
      <c r="H975" s="82"/>
    </row>
    <row r="976" spans="1:8" x14ac:dyDescent="0.4">
      <c r="A976" s="96"/>
      <c r="B976" s="97"/>
      <c r="C976" s="13" t="s">
        <v>186</v>
      </c>
      <c r="D976" s="2" t="e">
        <f>(D974-D975)/D975*100</f>
        <v>#N/A</v>
      </c>
      <c r="E976" s="2" t="e">
        <f>(E974-E975)/E975*100</f>
        <v>#N/A</v>
      </c>
      <c r="F976" s="98"/>
      <c r="G976" s="95"/>
      <c r="H976" s="82"/>
    </row>
    <row r="977" spans="1:8" x14ac:dyDescent="0.4">
      <c r="A977" s="96"/>
      <c r="B977" s="97"/>
      <c r="C977" s="13" t="str">
        <f>C974</f>
        <v xml:space="preserve">Measured, </v>
      </c>
      <c r="D977" s="43"/>
      <c r="E977" s="43"/>
      <c r="F977" s="98"/>
      <c r="G977" s="95"/>
      <c r="H977" s="82"/>
    </row>
    <row r="978" spans="1:8" x14ac:dyDescent="0.4">
      <c r="A978" s="96"/>
      <c r="B978" s="97"/>
      <c r="C978" s="13" t="s">
        <v>186</v>
      </c>
      <c r="D978" s="2" t="e">
        <f>(D977-D975)/D975*100</f>
        <v>#N/A</v>
      </c>
      <c r="E978" s="2" t="e">
        <f>(E977-E975)/E975*100</f>
        <v>#N/A</v>
      </c>
      <c r="F978" s="98"/>
      <c r="G978" s="95"/>
      <c r="H978" s="82"/>
    </row>
    <row r="979" spans="1:8" x14ac:dyDescent="0.4">
      <c r="A979" s="96"/>
      <c r="B979" s="97"/>
      <c r="C979" s="13" t="str">
        <f>C974</f>
        <v xml:space="preserve">Measured, </v>
      </c>
      <c r="D979" s="43"/>
      <c r="E979" s="43"/>
      <c r="F979" s="98"/>
      <c r="G979" s="95"/>
      <c r="H979" s="82"/>
    </row>
    <row r="980" spans="1:8" x14ac:dyDescent="0.4">
      <c r="A980" s="96"/>
      <c r="B980" s="97"/>
      <c r="C980" s="13" t="s">
        <v>186</v>
      </c>
      <c r="D980" s="2" t="e">
        <f>(D979-D975)/D975*100</f>
        <v>#N/A</v>
      </c>
      <c r="E980" s="2" t="e">
        <f>(E979-E975)/E975*100</f>
        <v>#N/A</v>
      </c>
      <c r="F980" s="98"/>
      <c r="G980" s="95"/>
      <c r="H980" s="82"/>
    </row>
    <row r="981" spans="1:8" x14ac:dyDescent="0.4">
      <c r="A981" s="96"/>
      <c r="B981" s="97"/>
      <c r="C981" s="42" t="s">
        <v>215</v>
      </c>
      <c r="D981" s="43"/>
      <c r="E981" s="43"/>
      <c r="F981" s="98"/>
      <c r="G981" s="95"/>
      <c r="H981" s="82"/>
    </row>
    <row r="982" spans="1:8" x14ac:dyDescent="0.4">
      <c r="A982" s="96"/>
      <c r="B982" s="97"/>
      <c r="C982" s="13" t="s">
        <v>187</v>
      </c>
      <c r="D982" s="2" t="e">
        <f>INDEX('Equipment list'!$B$189:$B$220, (MATCH(A981,'Equipment list'!$D$189:$D$220,0)),1)</f>
        <v>#N/A</v>
      </c>
      <c r="E982" s="2" t="e">
        <f>INDEX('Equipment list'!$C$189:$C$220, (MATCH(A981,'Equipment list'!$D$189:$D$220,0)),1)</f>
        <v>#N/A</v>
      </c>
      <c r="F982" s="98"/>
      <c r="G982" s="95"/>
      <c r="H982" s="82"/>
    </row>
    <row r="983" spans="1:8" x14ac:dyDescent="0.4">
      <c r="A983" s="96"/>
      <c r="B983" s="97"/>
      <c r="C983" s="13" t="s">
        <v>186</v>
      </c>
      <c r="D983" s="2" t="e">
        <f>(D981-D982)/D982*100</f>
        <v>#N/A</v>
      </c>
      <c r="E983" s="2" t="e">
        <f>(E981-E982)/E982*100</f>
        <v>#N/A</v>
      </c>
      <c r="F983" s="98"/>
      <c r="G983" s="95"/>
      <c r="H983" s="82"/>
    </row>
    <row r="984" spans="1:8" x14ac:dyDescent="0.4">
      <c r="A984" s="96"/>
      <c r="B984" s="97"/>
      <c r="C984" s="13" t="str">
        <f>C981</f>
        <v xml:space="preserve">Measured, </v>
      </c>
      <c r="D984" s="43"/>
      <c r="E984" s="43"/>
      <c r="F984" s="98"/>
      <c r="G984" s="95"/>
      <c r="H984" s="82"/>
    </row>
    <row r="985" spans="1:8" x14ac:dyDescent="0.4">
      <c r="A985" s="96"/>
      <c r="B985" s="97"/>
      <c r="C985" s="13" t="s">
        <v>186</v>
      </c>
      <c r="D985" s="2" t="e">
        <f>(D984-D982)/D982*100</f>
        <v>#N/A</v>
      </c>
      <c r="E985" s="2" t="e">
        <f>(E984-E982)/E982*100</f>
        <v>#N/A</v>
      </c>
      <c r="F985" s="98"/>
      <c r="G985" s="95"/>
      <c r="H985" s="82"/>
    </row>
    <row r="986" spans="1:8" x14ac:dyDescent="0.4">
      <c r="A986" s="96"/>
      <c r="B986" s="97"/>
      <c r="C986" s="13" t="str">
        <f>C981</f>
        <v xml:space="preserve">Measured, </v>
      </c>
      <c r="D986" s="43"/>
      <c r="E986" s="43"/>
      <c r="F986" s="98"/>
      <c r="G986" s="95"/>
      <c r="H986" s="82"/>
    </row>
    <row r="987" spans="1:8" x14ac:dyDescent="0.4">
      <c r="A987" s="96"/>
      <c r="B987" s="97"/>
      <c r="C987" s="13" t="s">
        <v>186</v>
      </c>
      <c r="D987" s="2" t="e">
        <f>(D986-D982)/D982*100</f>
        <v>#N/A</v>
      </c>
      <c r="E987" s="2" t="e">
        <f>(E986-E982)/E982*100</f>
        <v>#N/A</v>
      </c>
      <c r="F987" s="98"/>
      <c r="G987" s="95"/>
      <c r="H987" s="82"/>
    </row>
    <row r="988" spans="1:8" x14ac:dyDescent="0.4">
      <c r="A988" s="96"/>
      <c r="B988" s="97"/>
      <c r="C988" s="42" t="s">
        <v>215</v>
      </c>
      <c r="D988" s="43"/>
      <c r="E988" s="43"/>
      <c r="F988" s="98"/>
      <c r="G988" s="95"/>
      <c r="H988" s="82"/>
    </row>
    <row r="989" spans="1:8" x14ac:dyDescent="0.4">
      <c r="A989" s="96"/>
      <c r="B989" s="97"/>
      <c r="C989" s="13" t="s">
        <v>187</v>
      </c>
      <c r="D989" s="2" t="e">
        <f>INDEX('Equipment list'!$B$189:$B$220, (MATCH(A988,'Equipment list'!$D$189:$D$220,0)),1)</f>
        <v>#N/A</v>
      </c>
      <c r="E989" s="2" t="e">
        <f>INDEX('Equipment list'!$C$189:$C$220, (MATCH(A988,'Equipment list'!$D$189:$D$220,0)),1)</f>
        <v>#N/A</v>
      </c>
      <c r="F989" s="98"/>
      <c r="G989" s="95"/>
      <c r="H989" s="82"/>
    </row>
    <row r="990" spans="1:8" x14ac:dyDescent="0.4">
      <c r="A990" s="96"/>
      <c r="B990" s="97"/>
      <c r="C990" s="13" t="s">
        <v>186</v>
      </c>
      <c r="D990" s="2" t="e">
        <f>(D988-D989)/D989*100</f>
        <v>#N/A</v>
      </c>
      <c r="E990" s="2" t="e">
        <f>(E988-E989)/E989*100</f>
        <v>#N/A</v>
      </c>
      <c r="F990" s="98"/>
      <c r="G990" s="95"/>
      <c r="H990" s="82"/>
    </row>
    <row r="991" spans="1:8" x14ac:dyDescent="0.4">
      <c r="A991" s="96"/>
      <c r="B991" s="97"/>
      <c r="C991" s="13" t="str">
        <f>C988</f>
        <v xml:space="preserve">Measured, </v>
      </c>
      <c r="D991" s="43"/>
      <c r="E991" s="43"/>
      <c r="F991" s="98"/>
      <c r="G991" s="95"/>
      <c r="H991" s="82"/>
    </row>
    <row r="992" spans="1:8" x14ac:dyDescent="0.4">
      <c r="A992" s="96"/>
      <c r="B992" s="97"/>
      <c r="C992" s="13" t="s">
        <v>186</v>
      </c>
      <c r="D992" s="2" t="e">
        <f>(D991-D989)/D989*100</f>
        <v>#N/A</v>
      </c>
      <c r="E992" s="2" t="e">
        <f>(E991-E989)/E989*100</f>
        <v>#N/A</v>
      </c>
      <c r="F992" s="98"/>
      <c r="G992" s="95"/>
      <c r="H992" s="82"/>
    </row>
    <row r="993" spans="1:8" x14ac:dyDescent="0.4">
      <c r="A993" s="96"/>
      <c r="B993" s="97"/>
      <c r="C993" s="13" t="str">
        <f>C988</f>
        <v xml:space="preserve">Measured, </v>
      </c>
      <c r="D993" s="43"/>
      <c r="E993" s="43"/>
      <c r="F993" s="98"/>
      <c r="G993" s="95"/>
      <c r="H993" s="82"/>
    </row>
    <row r="994" spans="1:8" x14ac:dyDescent="0.4">
      <c r="A994" s="96"/>
      <c r="B994" s="97"/>
      <c r="C994" s="13" t="s">
        <v>186</v>
      </c>
      <c r="D994" s="2" t="e">
        <f>(D993-D989)/D989*100</f>
        <v>#N/A</v>
      </c>
      <c r="E994" s="2" t="e">
        <f>(E993-E989)/E989*100</f>
        <v>#N/A</v>
      </c>
      <c r="F994" s="98"/>
      <c r="G994" s="95"/>
      <c r="H994" s="82"/>
    </row>
    <row r="995" spans="1:8" x14ac:dyDescent="0.4">
      <c r="A995" s="100"/>
      <c r="B995" s="97"/>
      <c r="C995" s="42" t="s">
        <v>215</v>
      </c>
      <c r="D995" s="43"/>
      <c r="E995" s="43"/>
      <c r="F995" s="98"/>
      <c r="G995" s="95"/>
      <c r="H995" s="82"/>
    </row>
    <row r="996" spans="1:8" x14ac:dyDescent="0.4">
      <c r="A996" s="100"/>
      <c r="B996" s="97"/>
      <c r="C996" s="13" t="s">
        <v>187</v>
      </c>
      <c r="D996" s="2" t="e">
        <f>INDEX('Equipment list'!$B$189:$B$220, (MATCH(A995,'Equipment list'!$D$189:$D$220,0)),1)</f>
        <v>#N/A</v>
      </c>
      <c r="E996" s="2" t="e">
        <f>INDEX('Equipment list'!$C$189:$C$220, (MATCH(A995,'Equipment list'!$D$189:$D$220,0)),1)</f>
        <v>#N/A</v>
      </c>
      <c r="F996" s="98"/>
      <c r="G996" s="95"/>
      <c r="H996" s="82"/>
    </row>
    <row r="997" spans="1:8" x14ac:dyDescent="0.4">
      <c r="A997" s="100"/>
      <c r="B997" s="97"/>
      <c r="C997" s="13" t="s">
        <v>186</v>
      </c>
      <c r="D997" s="2" t="e">
        <f>(D995-D996)/D996*100</f>
        <v>#N/A</v>
      </c>
      <c r="E997" s="2" t="e">
        <f>(E995-E996)/E996*100</f>
        <v>#N/A</v>
      </c>
      <c r="F997" s="98"/>
      <c r="G997" s="95"/>
      <c r="H997" s="82"/>
    </row>
    <row r="998" spans="1:8" x14ac:dyDescent="0.4">
      <c r="A998" s="100"/>
      <c r="B998" s="97"/>
      <c r="C998" s="13" t="str">
        <f>C995</f>
        <v xml:space="preserve">Measured, </v>
      </c>
      <c r="D998" s="43"/>
      <c r="E998" s="43"/>
      <c r="F998" s="98"/>
      <c r="G998" s="95"/>
      <c r="H998" s="82"/>
    </row>
    <row r="999" spans="1:8" x14ac:dyDescent="0.4">
      <c r="A999" s="100"/>
      <c r="B999" s="97"/>
      <c r="C999" s="13" t="s">
        <v>186</v>
      </c>
      <c r="D999" s="2" t="e">
        <f>(D998-D996)/D996*100</f>
        <v>#N/A</v>
      </c>
      <c r="E999" s="2" t="e">
        <f>(E998-E996)/E996*100</f>
        <v>#N/A</v>
      </c>
      <c r="F999" s="98"/>
      <c r="G999" s="95"/>
      <c r="H999" s="82"/>
    </row>
    <row r="1000" spans="1:8" x14ac:dyDescent="0.4">
      <c r="A1000" s="100"/>
      <c r="B1000" s="97"/>
      <c r="C1000" s="13" t="str">
        <f>C995</f>
        <v xml:space="preserve">Measured, </v>
      </c>
      <c r="D1000" s="43"/>
      <c r="E1000" s="43"/>
      <c r="F1000" s="98"/>
      <c r="G1000" s="95"/>
      <c r="H1000" s="82"/>
    </row>
    <row r="1001" spans="1:8" x14ac:dyDescent="0.4">
      <c r="A1001" s="100"/>
      <c r="B1001" s="97"/>
      <c r="C1001" s="13" t="s">
        <v>186</v>
      </c>
      <c r="D1001" s="2" t="e">
        <f>(D1000-D996)/D996*100</f>
        <v>#N/A</v>
      </c>
      <c r="E1001" s="2" t="e">
        <f>(E1000-E996)/E996*100</f>
        <v>#N/A</v>
      </c>
      <c r="F1001" s="98"/>
      <c r="G1001" s="95"/>
      <c r="H1001" s="82"/>
    </row>
    <row r="1002" spans="1:8" x14ac:dyDescent="0.4">
      <c r="A1002" s="100"/>
      <c r="B1002" s="97"/>
      <c r="C1002" s="42" t="s">
        <v>215</v>
      </c>
      <c r="D1002" s="43"/>
      <c r="E1002" s="43"/>
      <c r="F1002" s="98"/>
      <c r="G1002" s="95"/>
      <c r="H1002" s="82"/>
    </row>
    <row r="1003" spans="1:8" x14ac:dyDescent="0.4">
      <c r="A1003" s="100"/>
      <c r="B1003" s="97"/>
      <c r="C1003" s="13" t="s">
        <v>187</v>
      </c>
      <c r="D1003" s="2" t="e">
        <f>INDEX('Equipment list'!$B$189:$B$220, (MATCH(A1002,'Equipment list'!$D$189:$D$220,0)),1)</f>
        <v>#N/A</v>
      </c>
      <c r="E1003" s="2" t="e">
        <f>INDEX('Equipment list'!$C$189:$C$220, (MATCH(A1002,'Equipment list'!$D$189:$D$220,0)),1)</f>
        <v>#N/A</v>
      </c>
      <c r="F1003" s="98"/>
      <c r="G1003" s="95"/>
      <c r="H1003" s="82"/>
    </row>
    <row r="1004" spans="1:8" x14ac:dyDescent="0.4">
      <c r="A1004" s="100"/>
      <c r="B1004" s="97"/>
      <c r="C1004" s="13" t="s">
        <v>186</v>
      </c>
      <c r="D1004" s="2" t="e">
        <f>(D1002-D1003)/D1003*100</f>
        <v>#N/A</v>
      </c>
      <c r="E1004" s="2" t="e">
        <f>(E1002-E1003)/E1003*100</f>
        <v>#N/A</v>
      </c>
      <c r="F1004" s="98"/>
      <c r="G1004" s="95"/>
      <c r="H1004" s="82"/>
    </row>
    <row r="1005" spans="1:8" x14ac:dyDescent="0.4">
      <c r="A1005" s="100"/>
      <c r="B1005" s="97"/>
      <c r="C1005" s="13" t="str">
        <f>C1002</f>
        <v xml:space="preserve">Measured, </v>
      </c>
      <c r="D1005" s="43"/>
      <c r="E1005" s="43"/>
      <c r="F1005" s="98"/>
      <c r="G1005" s="95"/>
      <c r="H1005" s="82"/>
    </row>
    <row r="1006" spans="1:8" x14ac:dyDescent="0.4">
      <c r="A1006" s="100"/>
      <c r="B1006" s="97"/>
      <c r="C1006" s="13" t="s">
        <v>186</v>
      </c>
      <c r="D1006" s="2" t="e">
        <f>(D1005-D1003)/D1003*100</f>
        <v>#N/A</v>
      </c>
      <c r="E1006" s="2" t="e">
        <f>(E1005-E1003)/E1003*100</f>
        <v>#N/A</v>
      </c>
      <c r="F1006" s="98"/>
      <c r="G1006" s="95"/>
      <c r="H1006" s="82"/>
    </row>
    <row r="1007" spans="1:8" x14ac:dyDescent="0.4">
      <c r="A1007" s="100"/>
      <c r="B1007" s="97"/>
      <c r="C1007" s="13" t="str">
        <f>C1002</f>
        <v xml:space="preserve">Measured, </v>
      </c>
      <c r="D1007" s="43"/>
      <c r="E1007" s="43"/>
      <c r="F1007" s="98"/>
      <c r="G1007" s="95"/>
      <c r="H1007" s="82"/>
    </row>
    <row r="1008" spans="1:8" x14ac:dyDescent="0.4">
      <c r="A1008" s="100"/>
      <c r="B1008" s="97"/>
      <c r="C1008" s="13" t="s">
        <v>186</v>
      </c>
      <c r="D1008" s="2" t="e">
        <f>(D1007-D1003)/D1003*100</f>
        <v>#N/A</v>
      </c>
      <c r="E1008" s="2" t="e">
        <f>(E1007-E1003)/E1003*100</f>
        <v>#N/A</v>
      </c>
      <c r="F1008" s="98"/>
      <c r="G1008" s="95"/>
      <c r="H1008" s="82"/>
    </row>
    <row r="1009" spans="1:8" x14ac:dyDescent="0.4">
      <c r="A1009" s="100"/>
      <c r="B1009" s="97"/>
      <c r="C1009" s="42" t="s">
        <v>215</v>
      </c>
      <c r="D1009" s="43"/>
      <c r="E1009" s="43"/>
      <c r="F1009" s="98"/>
      <c r="G1009" s="95"/>
      <c r="H1009" s="82"/>
    </row>
    <row r="1010" spans="1:8" x14ac:dyDescent="0.4">
      <c r="A1010" s="100"/>
      <c r="B1010" s="97"/>
      <c r="C1010" s="13" t="s">
        <v>187</v>
      </c>
      <c r="D1010" s="2" t="e">
        <f>INDEX('Equipment list'!$B$189:$B$220, (MATCH(A1009,'Equipment list'!$D$189:$D$220,0)),1)</f>
        <v>#N/A</v>
      </c>
      <c r="E1010" s="2" t="e">
        <f>INDEX('Equipment list'!$C$189:$C$220, (MATCH(A1009,'Equipment list'!$D$189:$D$220,0)),1)</f>
        <v>#N/A</v>
      </c>
      <c r="F1010" s="98"/>
      <c r="G1010" s="95"/>
      <c r="H1010" s="82"/>
    </row>
    <row r="1011" spans="1:8" x14ac:dyDescent="0.4">
      <c r="A1011" s="100"/>
      <c r="B1011" s="97"/>
      <c r="C1011" s="13" t="s">
        <v>186</v>
      </c>
      <c r="D1011" s="2" t="e">
        <f>(D1009-D1010)/D1010*100</f>
        <v>#N/A</v>
      </c>
      <c r="E1011" s="2" t="e">
        <f>(E1009-E1010)/E1010*100</f>
        <v>#N/A</v>
      </c>
      <c r="F1011" s="98"/>
      <c r="G1011" s="95"/>
      <c r="H1011" s="82"/>
    </row>
    <row r="1012" spans="1:8" x14ac:dyDescent="0.4">
      <c r="A1012" s="100"/>
      <c r="B1012" s="97"/>
      <c r="C1012" s="13" t="str">
        <f>C1009</f>
        <v xml:space="preserve">Measured, </v>
      </c>
      <c r="D1012" s="43"/>
      <c r="E1012" s="43"/>
      <c r="F1012" s="98"/>
      <c r="G1012" s="95"/>
      <c r="H1012" s="82"/>
    </row>
    <row r="1013" spans="1:8" x14ac:dyDescent="0.4">
      <c r="A1013" s="100"/>
      <c r="B1013" s="97"/>
      <c r="C1013" s="13" t="s">
        <v>186</v>
      </c>
      <c r="D1013" s="2" t="e">
        <f>(D1012-D1010)/D1010*100</f>
        <v>#N/A</v>
      </c>
      <c r="E1013" s="2" t="e">
        <f>(E1012-E1010)/E1010*100</f>
        <v>#N/A</v>
      </c>
      <c r="F1013" s="98"/>
      <c r="G1013" s="95"/>
      <c r="H1013" s="82"/>
    </row>
    <row r="1014" spans="1:8" x14ac:dyDescent="0.4">
      <c r="A1014" s="100"/>
      <c r="B1014" s="97"/>
      <c r="C1014" s="13" t="str">
        <f>C1009</f>
        <v xml:space="preserve">Measured, </v>
      </c>
      <c r="D1014" s="43"/>
      <c r="E1014" s="43"/>
      <c r="F1014" s="98"/>
      <c r="G1014" s="95"/>
      <c r="H1014" s="82"/>
    </row>
    <row r="1015" spans="1:8" x14ac:dyDescent="0.4">
      <c r="A1015" s="100"/>
      <c r="B1015" s="97"/>
      <c r="C1015" s="13" t="s">
        <v>186</v>
      </c>
      <c r="D1015" s="2" t="e">
        <f>(D1014-D1010)/D1010*100</f>
        <v>#N/A</v>
      </c>
      <c r="E1015" s="2" t="e">
        <f>(E1014-E1010)/E1010*100</f>
        <v>#N/A</v>
      </c>
      <c r="F1015" s="98"/>
      <c r="G1015" s="95"/>
      <c r="H1015" s="82"/>
    </row>
    <row r="1016" spans="1:8" x14ac:dyDescent="0.4">
      <c r="A1016" s="100"/>
      <c r="B1016" s="97"/>
      <c r="C1016" s="42" t="s">
        <v>215</v>
      </c>
      <c r="D1016" s="43"/>
      <c r="E1016" s="43"/>
      <c r="F1016" s="98"/>
      <c r="G1016" s="95"/>
      <c r="H1016" s="82"/>
    </row>
    <row r="1017" spans="1:8" x14ac:dyDescent="0.4">
      <c r="A1017" s="100"/>
      <c r="B1017" s="97"/>
      <c r="C1017" s="13" t="s">
        <v>187</v>
      </c>
      <c r="D1017" s="2" t="e">
        <f>INDEX('Equipment list'!$B$189:$B$220, (MATCH(A1016,'Equipment list'!$D$189:$D$220,0)),1)</f>
        <v>#N/A</v>
      </c>
      <c r="E1017" s="2" t="e">
        <f>INDEX('Equipment list'!$C$189:$C$220, (MATCH(A1016,'Equipment list'!$D$189:$D$220,0)),1)</f>
        <v>#N/A</v>
      </c>
      <c r="F1017" s="98"/>
      <c r="G1017" s="95"/>
      <c r="H1017" s="82"/>
    </row>
    <row r="1018" spans="1:8" x14ac:dyDescent="0.4">
      <c r="A1018" s="100"/>
      <c r="B1018" s="97"/>
      <c r="C1018" s="13" t="s">
        <v>186</v>
      </c>
      <c r="D1018" s="2" t="e">
        <f>(D1016-D1017)/D1017*100</f>
        <v>#N/A</v>
      </c>
      <c r="E1018" s="2" t="e">
        <f>(E1016-E1017)/E1017*100</f>
        <v>#N/A</v>
      </c>
      <c r="F1018" s="98"/>
      <c r="G1018" s="95"/>
      <c r="H1018" s="82"/>
    </row>
    <row r="1019" spans="1:8" x14ac:dyDescent="0.4">
      <c r="A1019" s="100"/>
      <c r="B1019" s="97"/>
      <c r="C1019" s="13" t="str">
        <f>C1016</f>
        <v xml:space="preserve">Measured, </v>
      </c>
      <c r="D1019" s="43"/>
      <c r="E1019" s="43"/>
      <c r="F1019" s="98"/>
      <c r="G1019" s="95"/>
      <c r="H1019" s="82"/>
    </row>
    <row r="1020" spans="1:8" x14ac:dyDescent="0.4">
      <c r="A1020" s="100"/>
      <c r="B1020" s="97"/>
      <c r="C1020" s="13" t="s">
        <v>186</v>
      </c>
      <c r="D1020" s="2" t="e">
        <f>(D1019-D1017)/D1017*100</f>
        <v>#N/A</v>
      </c>
      <c r="E1020" s="2" t="e">
        <f>(E1019-E1017)/E1017*100</f>
        <v>#N/A</v>
      </c>
      <c r="F1020" s="98"/>
      <c r="G1020" s="95"/>
      <c r="H1020" s="82"/>
    </row>
    <row r="1021" spans="1:8" x14ac:dyDescent="0.4">
      <c r="A1021" s="100"/>
      <c r="B1021" s="97"/>
      <c r="C1021" s="13" t="str">
        <f>C1016</f>
        <v xml:space="preserve">Measured, </v>
      </c>
      <c r="D1021" s="43"/>
      <c r="E1021" s="43"/>
      <c r="F1021" s="98"/>
      <c r="G1021" s="95"/>
      <c r="H1021" s="82"/>
    </row>
    <row r="1022" spans="1:8" x14ac:dyDescent="0.4">
      <c r="A1022" s="100"/>
      <c r="B1022" s="97"/>
      <c r="C1022" s="13" t="s">
        <v>186</v>
      </c>
      <c r="D1022" s="2" t="e">
        <f>(D1021-D1017)/D1017*100</f>
        <v>#N/A</v>
      </c>
      <c r="E1022" s="2" t="e">
        <f>(E1021-E1017)/E1017*100</f>
        <v>#N/A</v>
      </c>
      <c r="F1022" s="98"/>
      <c r="G1022" s="95"/>
      <c r="H1022" s="82"/>
    </row>
    <row r="1023" spans="1:8" x14ac:dyDescent="0.4">
      <c r="A1023" s="100"/>
      <c r="B1023" s="97"/>
      <c r="C1023" s="42" t="s">
        <v>215</v>
      </c>
      <c r="D1023" s="43"/>
      <c r="E1023" s="43"/>
      <c r="F1023" s="98"/>
      <c r="G1023" s="95"/>
      <c r="H1023" s="82"/>
    </row>
    <row r="1024" spans="1:8" x14ac:dyDescent="0.4">
      <c r="A1024" s="100"/>
      <c r="B1024" s="97"/>
      <c r="C1024" s="13" t="s">
        <v>187</v>
      </c>
      <c r="D1024" s="2" t="e">
        <f>INDEX('Equipment list'!$B$189:$B$220, (MATCH(A1023,'Equipment list'!$D$189:$D$220,0)),1)</f>
        <v>#N/A</v>
      </c>
      <c r="E1024" s="2" t="e">
        <f>INDEX('Equipment list'!$C$189:$C$220, (MATCH(A1023,'Equipment list'!$D$189:$D$220,0)),1)</f>
        <v>#N/A</v>
      </c>
      <c r="F1024" s="98"/>
      <c r="G1024" s="95"/>
      <c r="H1024" s="82"/>
    </row>
    <row r="1025" spans="1:8" x14ac:dyDescent="0.4">
      <c r="A1025" s="100"/>
      <c r="B1025" s="97"/>
      <c r="C1025" s="13" t="s">
        <v>186</v>
      </c>
      <c r="D1025" s="2" t="e">
        <f>(D1023-D1024)/D1024*100</f>
        <v>#N/A</v>
      </c>
      <c r="E1025" s="2" t="e">
        <f>(E1023-E1024)/E1024*100</f>
        <v>#N/A</v>
      </c>
      <c r="F1025" s="98"/>
      <c r="G1025" s="95"/>
      <c r="H1025" s="82"/>
    </row>
    <row r="1026" spans="1:8" x14ac:dyDescent="0.4">
      <c r="A1026" s="100"/>
      <c r="B1026" s="97"/>
      <c r="C1026" s="13" t="str">
        <f>C1023</f>
        <v xml:space="preserve">Measured, </v>
      </c>
      <c r="D1026" s="43"/>
      <c r="E1026" s="43"/>
      <c r="F1026" s="98"/>
      <c r="G1026" s="95"/>
      <c r="H1026" s="82"/>
    </row>
    <row r="1027" spans="1:8" x14ac:dyDescent="0.4">
      <c r="A1027" s="100"/>
      <c r="B1027" s="97"/>
      <c r="C1027" s="13" t="s">
        <v>186</v>
      </c>
      <c r="D1027" s="2" t="e">
        <f>(D1026-D1024)/D1024*100</f>
        <v>#N/A</v>
      </c>
      <c r="E1027" s="2" t="e">
        <f>(E1026-E1024)/E1024*100</f>
        <v>#N/A</v>
      </c>
      <c r="F1027" s="98"/>
      <c r="G1027" s="95"/>
      <c r="H1027" s="82"/>
    </row>
    <row r="1028" spans="1:8" x14ac:dyDescent="0.4">
      <c r="A1028" s="100"/>
      <c r="B1028" s="97"/>
      <c r="C1028" s="13" t="str">
        <f>C1023</f>
        <v xml:space="preserve">Measured, </v>
      </c>
      <c r="D1028" s="43"/>
      <c r="E1028" s="43"/>
      <c r="F1028" s="98"/>
      <c r="G1028" s="95"/>
      <c r="H1028" s="82"/>
    </row>
    <row r="1029" spans="1:8" x14ac:dyDescent="0.4">
      <c r="A1029" s="100"/>
      <c r="B1029" s="97"/>
      <c r="C1029" s="13" t="s">
        <v>186</v>
      </c>
      <c r="D1029" s="2" t="e">
        <f>(D1028-D1024)/D1024*100</f>
        <v>#N/A</v>
      </c>
      <c r="E1029" s="2" t="e">
        <f>(E1028-E1024)/E1024*100</f>
        <v>#N/A</v>
      </c>
      <c r="F1029" s="98"/>
      <c r="G1029" s="95"/>
      <c r="H1029" s="82"/>
    </row>
    <row r="1030" spans="1:8" x14ac:dyDescent="0.4">
      <c r="A1030" s="100"/>
      <c r="B1030" s="97"/>
      <c r="C1030" s="42" t="s">
        <v>215</v>
      </c>
      <c r="D1030" s="43"/>
      <c r="E1030" s="43"/>
      <c r="F1030" s="98"/>
      <c r="G1030" s="95"/>
      <c r="H1030" s="82"/>
    </row>
    <row r="1031" spans="1:8" x14ac:dyDescent="0.4">
      <c r="A1031" s="100"/>
      <c r="B1031" s="97"/>
      <c r="C1031" s="13" t="s">
        <v>187</v>
      </c>
      <c r="D1031" s="2" t="e">
        <f>INDEX('Equipment list'!$B$189:$B$220, (MATCH(A1030,'Equipment list'!$D$189:$D$220,0)),1)</f>
        <v>#N/A</v>
      </c>
      <c r="E1031" s="2" t="e">
        <f>INDEX('Equipment list'!$C$189:$C$220, (MATCH(A1030,'Equipment list'!$D$189:$D$220,0)),1)</f>
        <v>#N/A</v>
      </c>
      <c r="F1031" s="98"/>
      <c r="G1031" s="95"/>
      <c r="H1031" s="82"/>
    </row>
    <row r="1032" spans="1:8" x14ac:dyDescent="0.4">
      <c r="A1032" s="100"/>
      <c r="B1032" s="97"/>
      <c r="C1032" s="13" t="s">
        <v>186</v>
      </c>
      <c r="D1032" s="2" t="e">
        <f>(D1030-D1031)/D1031*100</f>
        <v>#N/A</v>
      </c>
      <c r="E1032" s="2" t="e">
        <f>(E1030-E1031)/E1031*100</f>
        <v>#N/A</v>
      </c>
      <c r="F1032" s="98"/>
      <c r="G1032" s="95"/>
      <c r="H1032" s="82"/>
    </row>
    <row r="1033" spans="1:8" x14ac:dyDescent="0.4">
      <c r="A1033" s="100"/>
      <c r="B1033" s="97"/>
      <c r="C1033" s="13" t="str">
        <f>C1030</f>
        <v xml:space="preserve">Measured, </v>
      </c>
      <c r="D1033" s="43"/>
      <c r="E1033" s="43"/>
      <c r="F1033" s="98"/>
      <c r="G1033" s="95"/>
      <c r="H1033" s="82"/>
    </row>
    <row r="1034" spans="1:8" x14ac:dyDescent="0.4">
      <c r="A1034" s="100"/>
      <c r="B1034" s="97"/>
      <c r="C1034" s="13" t="s">
        <v>186</v>
      </c>
      <c r="D1034" s="2" t="e">
        <f>(D1033-D1031)/D1031*100</f>
        <v>#N/A</v>
      </c>
      <c r="E1034" s="2" t="e">
        <f>(E1033-E1031)/E1031*100</f>
        <v>#N/A</v>
      </c>
      <c r="F1034" s="98"/>
      <c r="G1034" s="95"/>
      <c r="H1034" s="82"/>
    </row>
    <row r="1035" spans="1:8" x14ac:dyDescent="0.4">
      <c r="A1035" s="100"/>
      <c r="B1035" s="97"/>
      <c r="C1035" s="13" t="str">
        <f>C1030</f>
        <v xml:space="preserve">Measured, </v>
      </c>
      <c r="D1035" s="43"/>
      <c r="E1035" s="43"/>
      <c r="F1035" s="98"/>
      <c r="G1035" s="95"/>
      <c r="H1035" s="82"/>
    </row>
    <row r="1036" spans="1:8" x14ac:dyDescent="0.4">
      <c r="A1036" s="100"/>
      <c r="B1036" s="97"/>
      <c r="C1036" s="13" t="s">
        <v>186</v>
      </c>
      <c r="D1036" s="2" t="e">
        <f>(D1035-D1031)/D1031*100</f>
        <v>#N/A</v>
      </c>
      <c r="E1036" s="2" t="e">
        <f>(E1035-E1031)/E1031*100</f>
        <v>#N/A</v>
      </c>
      <c r="F1036" s="98"/>
      <c r="G1036" s="95"/>
      <c r="H1036" s="82"/>
    </row>
    <row r="1037" spans="1:8" x14ac:dyDescent="0.4">
      <c r="A1037" s="100"/>
      <c r="B1037" s="97"/>
      <c r="C1037" s="42" t="s">
        <v>215</v>
      </c>
      <c r="D1037" s="43"/>
      <c r="E1037" s="43"/>
      <c r="F1037" s="98"/>
      <c r="G1037" s="95"/>
      <c r="H1037" s="82"/>
    </row>
    <row r="1038" spans="1:8" x14ac:dyDescent="0.4">
      <c r="A1038" s="100"/>
      <c r="B1038" s="97"/>
      <c r="C1038" s="13" t="s">
        <v>187</v>
      </c>
      <c r="D1038" s="2" t="e">
        <f>INDEX('Equipment list'!$B$189:$B$220, (MATCH(A1037,'Equipment list'!$D$189:$D$220,0)),1)</f>
        <v>#N/A</v>
      </c>
      <c r="E1038" s="2" t="e">
        <f>INDEX('Equipment list'!$C$189:$C$220, (MATCH(A1037,'Equipment list'!$D$189:$D$220,0)),1)</f>
        <v>#N/A</v>
      </c>
      <c r="F1038" s="98"/>
      <c r="G1038" s="95"/>
      <c r="H1038" s="82"/>
    </row>
    <row r="1039" spans="1:8" x14ac:dyDescent="0.4">
      <c r="A1039" s="100"/>
      <c r="B1039" s="97"/>
      <c r="C1039" s="13" t="s">
        <v>186</v>
      </c>
      <c r="D1039" s="2" t="e">
        <f>(D1037-D1038)/D1038*100</f>
        <v>#N/A</v>
      </c>
      <c r="E1039" s="2" t="e">
        <f>(E1037-E1038)/E1038*100</f>
        <v>#N/A</v>
      </c>
      <c r="F1039" s="98"/>
      <c r="G1039" s="95"/>
      <c r="H1039" s="82"/>
    </row>
    <row r="1040" spans="1:8" x14ac:dyDescent="0.4">
      <c r="A1040" s="100"/>
      <c r="B1040" s="97"/>
      <c r="C1040" s="13" t="str">
        <f>C1037</f>
        <v xml:space="preserve">Measured, </v>
      </c>
      <c r="D1040" s="43"/>
      <c r="E1040" s="43"/>
      <c r="F1040" s="98"/>
      <c r="G1040" s="95"/>
      <c r="H1040" s="82"/>
    </row>
    <row r="1041" spans="1:8" x14ac:dyDescent="0.4">
      <c r="A1041" s="100"/>
      <c r="B1041" s="97"/>
      <c r="C1041" s="13" t="s">
        <v>186</v>
      </c>
      <c r="D1041" s="2" t="e">
        <f>(D1040-D1038)/D1038*100</f>
        <v>#N/A</v>
      </c>
      <c r="E1041" s="2" t="e">
        <f>(E1040-E1038)/E1038*100</f>
        <v>#N/A</v>
      </c>
      <c r="F1041" s="98"/>
      <c r="G1041" s="95"/>
      <c r="H1041" s="82"/>
    </row>
    <row r="1042" spans="1:8" x14ac:dyDescent="0.4">
      <c r="A1042" s="100"/>
      <c r="B1042" s="97"/>
      <c r="C1042" s="13" t="str">
        <f>C1037</f>
        <v xml:space="preserve">Measured, </v>
      </c>
      <c r="D1042" s="43"/>
      <c r="E1042" s="43"/>
      <c r="F1042" s="98"/>
      <c r="G1042" s="95"/>
      <c r="H1042" s="82"/>
    </row>
    <row r="1043" spans="1:8" x14ac:dyDescent="0.4">
      <c r="A1043" s="100"/>
      <c r="B1043" s="97"/>
      <c r="C1043" s="13" t="s">
        <v>186</v>
      </c>
      <c r="D1043" s="2" t="e">
        <f>(D1042-D1038)/D1038*100</f>
        <v>#N/A</v>
      </c>
      <c r="E1043" s="2" t="e">
        <f>(E1042-E1038)/E1038*100</f>
        <v>#N/A</v>
      </c>
      <c r="F1043" s="98"/>
      <c r="G1043" s="95"/>
      <c r="H1043" s="82"/>
    </row>
  </sheetData>
  <sheetProtection sheet="1" objects="1" scenarios="1" formatCells="0" formatColumns="0" formatRows="0" insertColumns="0" insertRows="0"/>
  <mergeCells count="1046">
    <mergeCell ref="A1037:A1039"/>
    <mergeCell ref="B1037:B1043"/>
    <mergeCell ref="F1037:F1043"/>
    <mergeCell ref="G1037:G1043"/>
    <mergeCell ref="H1037:H1043"/>
    <mergeCell ref="A1040:A1041"/>
    <mergeCell ref="A1042:A1043"/>
    <mergeCell ref="A1023:A1025"/>
    <mergeCell ref="B1023:B1029"/>
    <mergeCell ref="F1023:F1029"/>
    <mergeCell ref="G1023:G1029"/>
    <mergeCell ref="H1023:H1029"/>
    <mergeCell ref="A1026:A1027"/>
    <mergeCell ref="A1028:A1029"/>
    <mergeCell ref="A1030:A1032"/>
    <mergeCell ref="B1030:B1036"/>
    <mergeCell ref="F1030:F1036"/>
    <mergeCell ref="G1030:G1036"/>
    <mergeCell ref="H1030:H1036"/>
    <mergeCell ref="A1033:A1034"/>
    <mergeCell ref="A1035:A1036"/>
    <mergeCell ref="A1009:A1011"/>
    <mergeCell ref="B1009:B1015"/>
    <mergeCell ref="F1009:F1015"/>
    <mergeCell ref="G1009:G1015"/>
    <mergeCell ref="H1009:H1015"/>
    <mergeCell ref="A1012:A1013"/>
    <mergeCell ref="A1014:A1015"/>
    <mergeCell ref="A1016:A1018"/>
    <mergeCell ref="B1016:B1022"/>
    <mergeCell ref="F1016:F1022"/>
    <mergeCell ref="G1016:G1022"/>
    <mergeCell ref="H1016:H1022"/>
    <mergeCell ref="A1019:A1020"/>
    <mergeCell ref="A1021:A1022"/>
    <mergeCell ref="A995:A997"/>
    <mergeCell ref="B995:B1001"/>
    <mergeCell ref="F995:F1001"/>
    <mergeCell ref="G995:G1001"/>
    <mergeCell ref="H995:H1001"/>
    <mergeCell ref="A998:A999"/>
    <mergeCell ref="A1000:A1001"/>
    <mergeCell ref="A1002:A1004"/>
    <mergeCell ref="B1002:B1008"/>
    <mergeCell ref="F1002:F1008"/>
    <mergeCell ref="G1002:G1008"/>
    <mergeCell ref="H1002:H1008"/>
    <mergeCell ref="A1005:A1006"/>
    <mergeCell ref="A1007:A1008"/>
    <mergeCell ref="A981:A983"/>
    <mergeCell ref="B981:B987"/>
    <mergeCell ref="F981:F987"/>
    <mergeCell ref="G981:G987"/>
    <mergeCell ref="H981:H987"/>
    <mergeCell ref="A984:A985"/>
    <mergeCell ref="A986:A987"/>
    <mergeCell ref="A988:A990"/>
    <mergeCell ref="B988:B994"/>
    <mergeCell ref="F988:F994"/>
    <mergeCell ref="G988:G994"/>
    <mergeCell ref="H988:H994"/>
    <mergeCell ref="A991:A992"/>
    <mergeCell ref="A993:A994"/>
    <mergeCell ref="A967:A969"/>
    <mergeCell ref="B967:B973"/>
    <mergeCell ref="F967:F973"/>
    <mergeCell ref="G967:G973"/>
    <mergeCell ref="H967:H973"/>
    <mergeCell ref="A970:A971"/>
    <mergeCell ref="A972:A973"/>
    <mergeCell ref="A974:A976"/>
    <mergeCell ref="B974:B980"/>
    <mergeCell ref="F974:F980"/>
    <mergeCell ref="G974:G980"/>
    <mergeCell ref="H974:H980"/>
    <mergeCell ref="A977:A978"/>
    <mergeCell ref="A979:A980"/>
    <mergeCell ref="A953:A955"/>
    <mergeCell ref="B953:B959"/>
    <mergeCell ref="F953:F959"/>
    <mergeCell ref="G953:G959"/>
    <mergeCell ref="H953:H959"/>
    <mergeCell ref="A956:A957"/>
    <mergeCell ref="A958:A959"/>
    <mergeCell ref="A960:A962"/>
    <mergeCell ref="B960:B966"/>
    <mergeCell ref="F960:F966"/>
    <mergeCell ref="G960:G966"/>
    <mergeCell ref="H960:H966"/>
    <mergeCell ref="A963:A964"/>
    <mergeCell ref="A965:A966"/>
    <mergeCell ref="A939:A941"/>
    <mergeCell ref="B939:B945"/>
    <mergeCell ref="F939:F945"/>
    <mergeCell ref="G939:G945"/>
    <mergeCell ref="H939:H945"/>
    <mergeCell ref="A942:A943"/>
    <mergeCell ref="A944:A945"/>
    <mergeCell ref="A946:A948"/>
    <mergeCell ref="B946:B952"/>
    <mergeCell ref="F946:F952"/>
    <mergeCell ref="G946:G952"/>
    <mergeCell ref="H946:H952"/>
    <mergeCell ref="A949:A950"/>
    <mergeCell ref="A951:A952"/>
    <mergeCell ref="A925:A927"/>
    <mergeCell ref="B925:B931"/>
    <mergeCell ref="F925:F931"/>
    <mergeCell ref="G925:G931"/>
    <mergeCell ref="H925:H931"/>
    <mergeCell ref="A928:A929"/>
    <mergeCell ref="A930:A931"/>
    <mergeCell ref="A932:A934"/>
    <mergeCell ref="B932:B938"/>
    <mergeCell ref="F932:F938"/>
    <mergeCell ref="G932:G938"/>
    <mergeCell ref="H932:H938"/>
    <mergeCell ref="A935:A936"/>
    <mergeCell ref="A937:A938"/>
    <mergeCell ref="A911:A913"/>
    <mergeCell ref="B911:B917"/>
    <mergeCell ref="F911:F917"/>
    <mergeCell ref="G911:G917"/>
    <mergeCell ref="H911:H917"/>
    <mergeCell ref="A914:A915"/>
    <mergeCell ref="A916:A917"/>
    <mergeCell ref="A918:A920"/>
    <mergeCell ref="B918:B924"/>
    <mergeCell ref="F918:F924"/>
    <mergeCell ref="G918:G924"/>
    <mergeCell ref="H918:H924"/>
    <mergeCell ref="A921:A922"/>
    <mergeCell ref="A923:A924"/>
    <mergeCell ref="A897:A899"/>
    <mergeCell ref="B897:B903"/>
    <mergeCell ref="F897:F903"/>
    <mergeCell ref="G897:G903"/>
    <mergeCell ref="H897:H903"/>
    <mergeCell ref="A900:A901"/>
    <mergeCell ref="A902:A903"/>
    <mergeCell ref="A904:A906"/>
    <mergeCell ref="B904:B910"/>
    <mergeCell ref="F904:F910"/>
    <mergeCell ref="G904:G910"/>
    <mergeCell ref="H904:H910"/>
    <mergeCell ref="A907:A908"/>
    <mergeCell ref="A909:A910"/>
    <mergeCell ref="A883:A885"/>
    <mergeCell ref="B883:B889"/>
    <mergeCell ref="F883:F889"/>
    <mergeCell ref="G883:G889"/>
    <mergeCell ref="H883:H889"/>
    <mergeCell ref="A886:A887"/>
    <mergeCell ref="A888:A889"/>
    <mergeCell ref="A890:A892"/>
    <mergeCell ref="B890:B896"/>
    <mergeCell ref="F890:F896"/>
    <mergeCell ref="G890:G896"/>
    <mergeCell ref="H890:H896"/>
    <mergeCell ref="A893:A894"/>
    <mergeCell ref="A895:A896"/>
    <mergeCell ref="A876:A878"/>
    <mergeCell ref="B876:B882"/>
    <mergeCell ref="F876:F882"/>
    <mergeCell ref="G876:G882"/>
    <mergeCell ref="H876:H882"/>
    <mergeCell ref="A879:A880"/>
    <mergeCell ref="A881:A882"/>
    <mergeCell ref="A855:A857"/>
    <mergeCell ref="B855:B861"/>
    <mergeCell ref="F855:F861"/>
    <mergeCell ref="G855:G861"/>
    <mergeCell ref="H855:H861"/>
    <mergeCell ref="A858:A859"/>
    <mergeCell ref="A860:A861"/>
    <mergeCell ref="A862:A864"/>
    <mergeCell ref="B862:B868"/>
    <mergeCell ref="F862:F868"/>
    <mergeCell ref="G862:G868"/>
    <mergeCell ref="H862:H868"/>
    <mergeCell ref="A865:A866"/>
    <mergeCell ref="A867:A868"/>
    <mergeCell ref="B10:B16"/>
    <mergeCell ref="F10:F16"/>
    <mergeCell ref="H10:H16"/>
    <mergeCell ref="G1:G2"/>
    <mergeCell ref="H1:H2"/>
    <mergeCell ref="H3:H9"/>
    <mergeCell ref="A1:A2"/>
    <mergeCell ref="B1:B2"/>
    <mergeCell ref="C1:C2"/>
    <mergeCell ref="D1:F1"/>
    <mergeCell ref="B3:B9"/>
    <mergeCell ref="F3:F9"/>
    <mergeCell ref="A869:A871"/>
    <mergeCell ref="B869:B875"/>
    <mergeCell ref="F869:F875"/>
    <mergeCell ref="G869:G875"/>
    <mergeCell ref="H869:H875"/>
    <mergeCell ref="A872:A873"/>
    <mergeCell ref="A874:A875"/>
    <mergeCell ref="B45:B51"/>
    <mergeCell ref="F45:F51"/>
    <mergeCell ref="H45:H51"/>
    <mergeCell ref="B66:B72"/>
    <mergeCell ref="F66:F72"/>
    <mergeCell ref="H66:H72"/>
    <mergeCell ref="B59:B65"/>
    <mergeCell ref="F59:F65"/>
    <mergeCell ref="H59:H65"/>
    <mergeCell ref="B24:B30"/>
    <mergeCell ref="F24:F30"/>
    <mergeCell ref="H24:H30"/>
    <mergeCell ref="B17:B23"/>
    <mergeCell ref="F17:F23"/>
    <mergeCell ref="H17:H23"/>
    <mergeCell ref="B38:B44"/>
    <mergeCell ref="F38:F44"/>
    <mergeCell ref="H38:H44"/>
    <mergeCell ref="B31:B37"/>
    <mergeCell ref="F31:F37"/>
    <mergeCell ref="H31:H37"/>
    <mergeCell ref="B80:B84"/>
    <mergeCell ref="F80:F84"/>
    <mergeCell ref="H80:H84"/>
    <mergeCell ref="A83:A84"/>
    <mergeCell ref="B73:B79"/>
    <mergeCell ref="F73:F79"/>
    <mergeCell ref="H73:H79"/>
    <mergeCell ref="A76:A77"/>
    <mergeCell ref="B92:B98"/>
    <mergeCell ref="F92:F98"/>
    <mergeCell ref="H92:H98"/>
    <mergeCell ref="A97:A98"/>
    <mergeCell ref="B85:B91"/>
    <mergeCell ref="F85:F91"/>
    <mergeCell ref="H85:H91"/>
    <mergeCell ref="B52:B58"/>
    <mergeCell ref="F52:F58"/>
    <mergeCell ref="H52:H58"/>
    <mergeCell ref="A38:A40"/>
    <mergeCell ref="A41:A42"/>
    <mergeCell ref="A43:A44"/>
    <mergeCell ref="A31:A33"/>
    <mergeCell ref="A34:A35"/>
    <mergeCell ref="A36:A37"/>
    <mergeCell ref="A106:A108"/>
    <mergeCell ref="B106:B112"/>
    <mergeCell ref="F106:F112"/>
    <mergeCell ref="G106:G112"/>
    <mergeCell ref="H106:H112"/>
    <mergeCell ref="A109:A110"/>
    <mergeCell ref="A111:A112"/>
    <mergeCell ref="A99:A101"/>
    <mergeCell ref="B99:B105"/>
    <mergeCell ref="F99:F105"/>
    <mergeCell ref="G99:G105"/>
    <mergeCell ref="H99:H105"/>
    <mergeCell ref="A102:A103"/>
    <mergeCell ref="A104:A105"/>
    <mergeCell ref="A120:A122"/>
    <mergeCell ref="B120:B126"/>
    <mergeCell ref="F120:F126"/>
    <mergeCell ref="G120:G126"/>
    <mergeCell ref="H120:H126"/>
    <mergeCell ref="A123:A124"/>
    <mergeCell ref="A125:A126"/>
    <mergeCell ref="A113:A115"/>
    <mergeCell ref="B113:B119"/>
    <mergeCell ref="F113:F119"/>
    <mergeCell ref="G113:G119"/>
    <mergeCell ref="H113:H119"/>
    <mergeCell ref="A116:A117"/>
    <mergeCell ref="A118:A119"/>
    <mergeCell ref="A134:A136"/>
    <mergeCell ref="B134:B140"/>
    <mergeCell ref="F134:F140"/>
    <mergeCell ref="G134:G140"/>
    <mergeCell ref="H134:H140"/>
    <mergeCell ref="A137:A138"/>
    <mergeCell ref="A139:A140"/>
    <mergeCell ref="A127:A129"/>
    <mergeCell ref="B127:B133"/>
    <mergeCell ref="F127:F133"/>
    <mergeCell ref="G127:G133"/>
    <mergeCell ref="H127:H133"/>
    <mergeCell ref="A130:A131"/>
    <mergeCell ref="A132:A133"/>
    <mergeCell ref="A148:A150"/>
    <mergeCell ref="B148:B154"/>
    <mergeCell ref="F148:F154"/>
    <mergeCell ref="G148:G154"/>
    <mergeCell ref="H148:H154"/>
    <mergeCell ref="A151:A152"/>
    <mergeCell ref="A153:A154"/>
    <mergeCell ref="A141:A143"/>
    <mergeCell ref="B141:B147"/>
    <mergeCell ref="F141:F147"/>
    <mergeCell ref="G141:G147"/>
    <mergeCell ref="H141:H147"/>
    <mergeCell ref="A144:A145"/>
    <mergeCell ref="A146:A147"/>
    <mergeCell ref="A162:A164"/>
    <mergeCell ref="B162:B168"/>
    <mergeCell ref="F162:F168"/>
    <mergeCell ref="G162:G168"/>
    <mergeCell ref="H162:H168"/>
    <mergeCell ref="A165:A166"/>
    <mergeCell ref="A167:A168"/>
    <mergeCell ref="A155:A157"/>
    <mergeCell ref="B155:B161"/>
    <mergeCell ref="F155:F161"/>
    <mergeCell ref="G155:G161"/>
    <mergeCell ref="H155:H161"/>
    <mergeCell ref="A158:A159"/>
    <mergeCell ref="A160:A161"/>
    <mergeCell ref="A176:A178"/>
    <mergeCell ref="B176:B182"/>
    <mergeCell ref="F176:F182"/>
    <mergeCell ref="G176:G182"/>
    <mergeCell ref="H176:H182"/>
    <mergeCell ref="A179:A180"/>
    <mergeCell ref="A181:A182"/>
    <mergeCell ref="A169:A171"/>
    <mergeCell ref="B169:B175"/>
    <mergeCell ref="F169:F175"/>
    <mergeCell ref="G169:G175"/>
    <mergeCell ref="H169:H175"/>
    <mergeCell ref="A172:A173"/>
    <mergeCell ref="A174:A175"/>
    <mergeCell ref="A190:A192"/>
    <mergeCell ref="B190:B196"/>
    <mergeCell ref="F190:F196"/>
    <mergeCell ref="G190:G196"/>
    <mergeCell ref="H190:H196"/>
    <mergeCell ref="A193:A194"/>
    <mergeCell ref="A195:A196"/>
    <mergeCell ref="A183:A185"/>
    <mergeCell ref="B183:B189"/>
    <mergeCell ref="F183:F189"/>
    <mergeCell ref="G183:G189"/>
    <mergeCell ref="H183:H189"/>
    <mergeCell ref="A186:A187"/>
    <mergeCell ref="A188:A189"/>
    <mergeCell ref="A204:A206"/>
    <mergeCell ref="B204:B210"/>
    <mergeCell ref="F204:F210"/>
    <mergeCell ref="G204:G210"/>
    <mergeCell ref="H204:H210"/>
    <mergeCell ref="A207:A208"/>
    <mergeCell ref="A209:A210"/>
    <mergeCell ref="A197:A199"/>
    <mergeCell ref="B197:B203"/>
    <mergeCell ref="F197:F203"/>
    <mergeCell ref="G197:G203"/>
    <mergeCell ref="H197:H203"/>
    <mergeCell ref="A200:A201"/>
    <mergeCell ref="A202:A203"/>
    <mergeCell ref="A218:A220"/>
    <mergeCell ref="B218:B224"/>
    <mergeCell ref="F218:F224"/>
    <mergeCell ref="G218:G224"/>
    <mergeCell ref="H218:H224"/>
    <mergeCell ref="A221:A222"/>
    <mergeCell ref="A223:A224"/>
    <mergeCell ref="A211:A213"/>
    <mergeCell ref="B211:B217"/>
    <mergeCell ref="F211:F217"/>
    <mergeCell ref="G211:G217"/>
    <mergeCell ref="H211:H217"/>
    <mergeCell ref="A214:A215"/>
    <mergeCell ref="A216:A217"/>
    <mergeCell ref="A232:A234"/>
    <mergeCell ref="B232:B238"/>
    <mergeCell ref="F232:F238"/>
    <mergeCell ref="G232:G238"/>
    <mergeCell ref="H232:H238"/>
    <mergeCell ref="A235:A236"/>
    <mergeCell ref="A237:A238"/>
    <mergeCell ref="A225:A227"/>
    <mergeCell ref="B225:B231"/>
    <mergeCell ref="F225:F231"/>
    <mergeCell ref="G225:G231"/>
    <mergeCell ref="H225:H231"/>
    <mergeCell ref="A228:A229"/>
    <mergeCell ref="A230:A231"/>
    <mergeCell ref="A246:A248"/>
    <mergeCell ref="B246:B252"/>
    <mergeCell ref="F246:F252"/>
    <mergeCell ref="G246:G252"/>
    <mergeCell ref="H246:H252"/>
    <mergeCell ref="A249:A250"/>
    <mergeCell ref="A251:A252"/>
    <mergeCell ref="A239:A241"/>
    <mergeCell ref="B239:B245"/>
    <mergeCell ref="F239:F245"/>
    <mergeCell ref="G239:G245"/>
    <mergeCell ref="H239:H245"/>
    <mergeCell ref="A242:A243"/>
    <mergeCell ref="A244:A245"/>
    <mergeCell ref="A260:A262"/>
    <mergeCell ref="B260:B266"/>
    <mergeCell ref="F260:F266"/>
    <mergeCell ref="G260:G266"/>
    <mergeCell ref="H260:H266"/>
    <mergeCell ref="A263:A264"/>
    <mergeCell ref="A265:A266"/>
    <mergeCell ref="A253:A255"/>
    <mergeCell ref="B253:B259"/>
    <mergeCell ref="F253:F259"/>
    <mergeCell ref="G253:G259"/>
    <mergeCell ref="H253:H259"/>
    <mergeCell ref="A256:A257"/>
    <mergeCell ref="A258:A259"/>
    <mergeCell ref="A274:A276"/>
    <mergeCell ref="B274:B280"/>
    <mergeCell ref="F274:F280"/>
    <mergeCell ref="G274:G280"/>
    <mergeCell ref="H274:H280"/>
    <mergeCell ref="A277:A278"/>
    <mergeCell ref="A279:A280"/>
    <mergeCell ref="A267:A269"/>
    <mergeCell ref="B267:B273"/>
    <mergeCell ref="F267:F273"/>
    <mergeCell ref="G267:G273"/>
    <mergeCell ref="H267:H273"/>
    <mergeCell ref="A270:A271"/>
    <mergeCell ref="A272:A273"/>
    <mergeCell ref="A288:A290"/>
    <mergeCell ref="B288:B294"/>
    <mergeCell ref="F288:F294"/>
    <mergeCell ref="G288:G294"/>
    <mergeCell ref="H288:H294"/>
    <mergeCell ref="A291:A292"/>
    <mergeCell ref="A293:A294"/>
    <mergeCell ref="A281:A283"/>
    <mergeCell ref="B281:B287"/>
    <mergeCell ref="F281:F287"/>
    <mergeCell ref="G281:G287"/>
    <mergeCell ref="H281:H287"/>
    <mergeCell ref="A284:A285"/>
    <mergeCell ref="A286:A287"/>
    <mergeCell ref="A302:A304"/>
    <mergeCell ref="B302:B308"/>
    <mergeCell ref="F302:F308"/>
    <mergeCell ref="G302:G308"/>
    <mergeCell ref="H302:H308"/>
    <mergeCell ref="A305:A306"/>
    <mergeCell ref="A307:A308"/>
    <mergeCell ref="A295:A297"/>
    <mergeCell ref="B295:B301"/>
    <mergeCell ref="F295:F301"/>
    <mergeCell ref="G295:G301"/>
    <mergeCell ref="H295:H301"/>
    <mergeCell ref="A298:A299"/>
    <mergeCell ref="A300:A301"/>
    <mergeCell ref="A316:A318"/>
    <mergeCell ref="B316:B322"/>
    <mergeCell ref="F316:F322"/>
    <mergeCell ref="G316:G322"/>
    <mergeCell ref="H316:H322"/>
    <mergeCell ref="A319:A320"/>
    <mergeCell ref="A321:A322"/>
    <mergeCell ref="A309:A311"/>
    <mergeCell ref="B309:B315"/>
    <mergeCell ref="F309:F315"/>
    <mergeCell ref="G309:G315"/>
    <mergeCell ref="H309:H315"/>
    <mergeCell ref="A312:A313"/>
    <mergeCell ref="A314:A315"/>
    <mergeCell ref="A330:A332"/>
    <mergeCell ref="B330:B336"/>
    <mergeCell ref="F330:F336"/>
    <mergeCell ref="G330:G336"/>
    <mergeCell ref="H330:H336"/>
    <mergeCell ref="A333:A334"/>
    <mergeCell ref="A335:A336"/>
    <mergeCell ref="A323:A325"/>
    <mergeCell ref="B323:B329"/>
    <mergeCell ref="F323:F329"/>
    <mergeCell ref="G323:G329"/>
    <mergeCell ref="H323:H329"/>
    <mergeCell ref="A326:A327"/>
    <mergeCell ref="A328:A329"/>
    <mergeCell ref="A344:A346"/>
    <mergeCell ref="B344:B350"/>
    <mergeCell ref="F344:F350"/>
    <mergeCell ref="G344:G350"/>
    <mergeCell ref="H344:H350"/>
    <mergeCell ref="A347:A348"/>
    <mergeCell ref="A349:A350"/>
    <mergeCell ref="A337:A339"/>
    <mergeCell ref="B337:B343"/>
    <mergeCell ref="F337:F343"/>
    <mergeCell ref="G337:G343"/>
    <mergeCell ref="H337:H343"/>
    <mergeCell ref="A340:A341"/>
    <mergeCell ref="A342:A343"/>
    <mergeCell ref="A358:A360"/>
    <mergeCell ref="B358:B364"/>
    <mergeCell ref="F358:F364"/>
    <mergeCell ref="G358:G364"/>
    <mergeCell ref="H358:H364"/>
    <mergeCell ref="A361:A362"/>
    <mergeCell ref="A363:A364"/>
    <mergeCell ref="A351:A353"/>
    <mergeCell ref="B351:B357"/>
    <mergeCell ref="F351:F357"/>
    <mergeCell ref="G351:G357"/>
    <mergeCell ref="H351:H357"/>
    <mergeCell ref="A354:A355"/>
    <mergeCell ref="A356:A357"/>
    <mergeCell ref="A372:A374"/>
    <mergeCell ref="B372:B378"/>
    <mergeCell ref="F372:F378"/>
    <mergeCell ref="G372:G378"/>
    <mergeCell ref="H372:H378"/>
    <mergeCell ref="A375:A376"/>
    <mergeCell ref="A377:A378"/>
    <mergeCell ref="A365:A367"/>
    <mergeCell ref="B365:B371"/>
    <mergeCell ref="F365:F371"/>
    <mergeCell ref="G365:G371"/>
    <mergeCell ref="H365:H371"/>
    <mergeCell ref="A368:A369"/>
    <mergeCell ref="A370:A371"/>
    <mergeCell ref="A386:A388"/>
    <mergeCell ref="B386:B392"/>
    <mergeCell ref="F386:F392"/>
    <mergeCell ref="G386:G392"/>
    <mergeCell ref="H386:H392"/>
    <mergeCell ref="A389:A390"/>
    <mergeCell ref="A391:A392"/>
    <mergeCell ref="A379:A381"/>
    <mergeCell ref="B379:B385"/>
    <mergeCell ref="F379:F385"/>
    <mergeCell ref="G379:G385"/>
    <mergeCell ref="H379:H385"/>
    <mergeCell ref="A382:A383"/>
    <mergeCell ref="A384:A385"/>
    <mergeCell ref="A400:A402"/>
    <mergeCell ref="B400:B406"/>
    <mergeCell ref="F400:F406"/>
    <mergeCell ref="G400:G406"/>
    <mergeCell ref="H400:H406"/>
    <mergeCell ref="A403:A404"/>
    <mergeCell ref="A405:A406"/>
    <mergeCell ref="A393:A395"/>
    <mergeCell ref="B393:B399"/>
    <mergeCell ref="F393:F399"/>
    <mergeCell ref="G393:G399"/>
    <mergeCell ref="H393:H399"/>
    <mergeCell ref="A396:A397"/>
    <mergeCell ref="A398:A399"/>
    <mergeCell ref="A414:A416"/>
    <mergeCell ref="B414:B420"/>
    <mergeCell ref="F414:F420"/>
    <mergeCell ref="G414:G420"/>
    <mergeCell ref="H414:H420"/>
    <mergeCell ref="A417:A418"/>
    <mergeCell ref="A419:A420"/>
    <mergeCell ref="A407:A409"/>
    <mergeCell ref="B407:B413"/>
    <mergeCell ref="F407:F413"/>
    <mergeCell ref="G407:G413"/>
    <mergeCell ref="H407:H413"/>
    <mergeCell ref="A410:A411"/>
    <mergeCell ref="A412:A413"/>
    <mergeCell ref="A428:A430"/>
    <mergeCell ref="B428:B434"/>
    <mergeCell ref="F428:F434"/>
    <mergeCell ref="G428:G434"/>
    <mergeCell ref="H428:H434"/>
    <mergeCell ref="A431:A432"/>
    <mergeCell ref="A433:A434"/>
    <mergeCell ref="A421:A423"/>
    <mergeCell ref="B421:B427"/>
    <mergeCell ref="F421:F427"/>
    <mergeCell ref="G421:G427"/>
    <mergeCell ref="H421:H427"/>
    <mergeCell ref="A424:A425"/>
    <mergeCell ref="A426:A427"/>
    <mergeCell ref="A442:A444"/>
    <mergeCell ref="B442:B448"/>
    <mergeCell ref="F442:F448"/>
    <mergeCell ref="G442:G448"/>
    <mergeCell ref="H442:H448"/>
    <mergeCell ref="A445:A446"/>
    <mergeCell ref="A447:A448"/>
    <mergeCell ref="A435:A437"/>
    <mergeCell ref="B435:B441"/>
    <mergeCell ref="F435:F441"/>
    <mergeCell ref="G435:G441"/>
    <mergeCell ref="H435:H441"/>
    <mergeCell ref="A438:A439"/>
    <mergeCell ref="A440:A441"/>
    <mergeCell ref="A456:A458"/>
    <mergeCell ref="B456:B462"/>
    <mergeCell ref="F456:F462"/>
    <mergeCell ref="G456:G462"/>
    <mergeCell ref="H456:H462"/>
    <mergeCell ref="A459:A460"/>
    <mergeCell ref="A461:A462"/>
    <mergeCell ref="A449:A451"/>
    <mergeCell ref="B449:B455"/>
    <mergeCell ref="F449:F455"/>
    <mergeCell ref="G449:G455"/>
    <mergeCell ref="H449:H455"/>
    <mergeCell ref="A452:A453"/>
    <mergeCell ref="A454:A455"/>
    <mergeCell ref="A470:A472"/>
    <mergeCell ref="B470:B476"/>
    <mergeCell ref="F470:F476"/>
    <mergeCell ref="G470:G476"/>
    <mergeCell ref="H470:H476"/>
    <mergeCell ref="A473:A474"/>
    <mergeCell ref="A475:A476"/>
    <mergeCell ref="A463:A465"/>
    <mergeCell ref="B463:B469"/>
    <mergeCell ref="F463:F469"/>
    <mergeCell ref="G463:G469"/>
    <mergeCell ref="H463:H469"/>
    <mergeCell ref="A466:A467"/>
    <mergeCell ref="A468:A469"/>
    <mergeCell ref="A484:A486"/>
    <mergeCell ref="B484:B490"/>
    <mergeCell ref="F484:F490"/>
    <mergeCell ref="G484:G490"/>
    <mergeCell ref="H484:H490"/>
    <mergeCell ref="A487:A488"/>
    <mergeCell ref="A489:A490"/>
    <mergeCell ref="A477:A479"/>
    <mergeCell ref="B477:B483"/>
    <mergeCell ref="F477:F483"/>
    <mergeCell ref="G477:G483"/>
    <mergeCell ref="H477:H483"/>
    <mergeCell ref="A480:A481"/>
    <mergeCell ref="A482:A483"/>
    <mergeCell ref="A498:A500"/>
    <mergeCell ref="B498:B504"/>
    <mergeCell ref="F498:F504"/>
    <mergeCell ref="G498:G504"/>
    <mergeCell ref="H498:H504"/>
    <mergeCell ref="A501:A502"/>
    <mergeCell ref="A503:A504"/>
    <mergeCell ref="A491:A493"/>
    <mergeCell ref="B491:B497"/>
    <mergeCell ref="F491:F497"/>
    <mergeCell ref="G491:G497"/>
    <mergeCell ref="H491:H497"/>
    <mergeCell ref="A494:A495"/>
    <mergeCell ref="A496:A497"/>
    <mergeCell ref="A512:A514"/>
    <mergeCell ref="B512:B518"/>
    <mergeCell ref="F512:F518"/>
    <mergeCell ref="G512:G518"/>
    <mergeCell ref="H512:H518"/>
    <mergeCell ref="A515:A516"/>
    <mergeCell ref="A517:A518"/>
    <mergeCell ref="A505:A507"/>
    <mergeCell ref="B505:B511"/>
    <mergeCell ref="F505:F511"/>
    <mergeCell ref="G505:G511"/>
    <mergeCell ref="H505:H511"/>
    <mergeCell ref="A508:A509"/>
    <mergeCell ref="A510:A511"/>
    <mergeCell ref="A526:A528"/>
    <mergeCell ref="B526:B532"/>
    <mergeCell ref="F526:F532"/>
    <mergeCell ref="G526:G532"/>
    <mergeCell ref="H526:H532"/>
    <mergeCell ref="A529:A530"/>
    <mergeCell ref="A531:A532"/>
    <mergeCell ref="A519:A521"/>
    <mergeCell ref="B519:B525"/>
    <mergeCell ref="F519:F525"/>
    <mergeCell ref="G519:G525"/>
    <mergeCell ref="H519:H525"/>
    <mergeCell ref="A522:A523"/>
    <mergeCell ref="A524:A525"/>
    <mergeCell ref="A540:A542"/>
    <mergeCell ref="B540:B546"/>
    <mergeCell ref="F540:F546"/>
    <mergeCell ref="G540:G546"/>
    <mergeCell ref="H540:H546"/>
    <mergeCell ref="A543:A544"/>
    <mergeCell ref="A545:A546"/>
    <mergeCell ref="A533:A535"/>
    <mergeCell ref="B533:B539"/>
    <mergeCell ref="F533:F539"/>
    <mergeCell ref="G533:G539"/>
    <mergeCell ref="H533:H539"/>
    <mergeCell ref="A536:A537"/>
    <mergeCell ref="A538:A539"/>
    <mergeCell ref="A554:A556"/>
    <mergeCell ref="B554:B560"/>
    <mergeCell ref="F554:F560"/>
    <mergeCell ref="G554:G560"/>
    <mergeCell ref="H554:H560"/>
    <mergeCell ref="A557:A558"/>
    <mergeCell ref="A559:A560"/>
    <mergeCell ref="A547:A549"/>
    <mergeCell ref="B547:B553"/>
    <mergeCell ref="F547:F553"/>
    <mergeCell ref="G547:G553"/>
    <mergeCell ref="H547:H553"/>
    <mergeCell ref="A550:A551"/>
    <mergeCell ref="A552:A553"/>
    <mergeCell ref="A568:A570"/>
    <mergeCell ref="B568:B574"/>
    <mergeCell ref="F568:F574"/>
    <mergeCell ref="G568:G574"/>
    <mergeCell ref="H568:H574"/>
    <mergeCell ref="A571:A572"/>
    <mergeCell ref="A573:A574"/>
    <mergeCell ref="A561:A563"/>
    <mergeCell ref="B561:B567"/>
    <mergeCell ref="F561:F567"/>
    <mergeCell ref="G561:G567"/>
    <mergeCell ref="H561:H567"/>
    <mergeCell ref="A564:A565"/>
    <mergeCell ref="A566:A567"/>
    <mergeCell ref="A582:A584"/>
    <mergeCell ref="B582:B588"/>
    <mergeCell ref="F582:F588"/>
    <mergeCell ref="G582:G588"/>
    <mergeCell ref="H582:H588"/>
    <mergeCell ref="A585:A586"/>
    <mergeCell ref="A587:A588"/>
    <mergeCell ref="A575:A577"/>
    <mergeCell ref="B575:B581"/>
    <mergeCell ref="F575:F581"/>
    <mergeCell ref="G575:G581"/>
    <mergeCell ref="H575:H581"/>
    <mergeCell ref="A578:A579"/>
    <mergeCell ref="A580:A581"/>
    <mergeCell ref="A596:A598"/>
    <mergeCell ref="B596:B602"/>
    <mergeCell ref="F596:F602"/>
    <mergeCell ref="G596:G602"/>
    <mergeCell ref="H596:H602"/>
    <mergeCell ref="A599:A600"/>
    <mergeCell ref="A601:A602"/>
    <mergeCell ref="A589:A591"/>
    <mergeCell ref="B589:B595"/>
    <mergeCell ref="F589:F595"/>
    <mergeCell ref="G589:G595"/>
    <mergeCell ref="H589:H595"/>
    <mergeCell ref="A592:A593"/>
    <mergeCell ref="A594:A595"/>
    <mergeCell ref="A610:A612"/>
    <mergeCell ref="B610:B616"/>
    <mergeCell ref="F610:F616"/>
    <mergeCell ref="G610:G616"/>
    <mergeCell ref="H610:H616"/>
    <mergeCell ref="A613:A614"/>
    <mergeCell ref="A615:A616"/>
    <mergeCell ref="A603:A605"/>
    <mergeCell ref="B603:B609"/>
    <mergeCell ref="F603:F609"/>
    <mergeCell ref="G603:G609"/>
    <mergeCell ref="H603:H609"/>
    <mergeCell ref="A606:A607"/>
    <mergeCell ref="A608:A609"/>
    <mergeCell ref="A624:A626"/>
    <mergeCell ref="B624:B630"/>
    <mergeCell ref="F624:F630"/>
    <mergeCell ref="G624:G630"/>
    <mergeCell ref="H624:H630"/>
    <mergeCell ref="A627:A628"/>
    <mergeCell ref="A629:A630"/>
    <mergeCell ref="A617:A619"/>
    <mergeCell ref="B617:B623"/>
    <mergeCell ref="F617:F623"/>
    <mergeCell ref="G617:G623"/>
    <mergeCell ref="H617:H623"/>
    <mergeCell ref="A620:A621"/>
    <mergeCell ref="A622:A623"/>
    <mergeCell ref="A638:A640"/>
    <mergeCell ref="B638:B644"/>
    <mergeCell ref="F638:F644"/>
    <mergeCell ref="G638:G644"/>
    <mergeCell ref="H638:H644"/>
    <mergeCell ref="A641:A642"/>
    <mergeCell ref="A643:A644"/>
    <mergeCell ref="A631:A633"/>
    <mergeCell ref="B631:B637"/>
    <mergeCell ref="F631:F637"/>
    <mergeCell ref="G631:G637"/>
    <mergeCell ref="H631:H637"/>
    <mergeCell ref="A634:A635"/>
    <mergeCell ref="A636:A637"/>
    <mergeCell ref="A652:A654"/>
    <mergeCell ref="B652:B658"/>
    <mergeCell ref="F652:F658"/>
    <mergeCell ref="G652:G658"/>
    <mergeCell ref="H652:H658"/>
    <mergeCell ref="A655:A656"/>
    <mergeCell ref="A657:A658"/>
    <mergeCell ref="A645:A647"/>
    <mergeCell ref="B645:B651"/>
    <mergeCell ref="F645:F651"/>
    <mergeCell ref="G645:G651"/>
    <mergeCell ref="H645:H651"/>
    <mergeCell ref="A648:A649"/>
    <mergeCell ref="A650:A651"/>
    <mergeCell ref="A666:A668"/>
    <mergeCell ref="B666:B672"/>
    <mergeCell ref="F666:F672"/>
    <mergeCell ref="G666:G672"/>
    <mergeCell ref="H666:H672"/>
    <mergeCell ref="A669:A670"/>
    <mergeCell ref="A671:A672"/>
    <mergeCell ref="A659:A661"/>
    <mergeCell ref="B659:B665"/>
    <mergeCell ref="F659:F665"/>
    <mergeCell ref="G659:G665"/>
    <mergeCell ref="H659:H665"/>
    <mergeCell ref="A662:A663"/>
    <mergeCell ref="A664:A665"/>
    <mergeCell ref="A680:A682"/>
    <mergeCell ref="B680:B686"/>
    <mergeCell ref="F680:F686"/>
    <mergeCell ref="G680:G686"/>
    <mergeCell ref="H680:H686"/>
    <mergeCell ref="A683:A684"/>
    <mergeCell ref="A685:A686"/>
    <mergeCell ref="A673:A675"/>
    <mergeCell ref="B673:B679"/>
    <mergeCell ref="F673:F679"/>
    <mergeCell ref="G673:G679"/>
    <mergeCell ref="H673:H679"/>
    <mergeCell ref="A676:A677"/>
    <mergeCell ref="A678:A679"/>
    <mergeCell ref="A694:A696"/>
    <mergeCell ref="B694:B700"/>
    <mergeCell ref="F694:F700"/>
    <mergeCell ref="G694:G700"/>
    <mergeCell ref="H694:H700"/>
    <mergeCell ref="A697:A698"/>
    <mergeCell ref="A699:A700"/>
    <mergeCell ref="A687:A689"/>
    <mergeCell ref="B687:B693"/>
    <mergeCell ref="F687:F693"/>
    <mergeCell ref="G687:G693"/>
    <mergeCell ref="H687:H693"/>
    <mergeCell ref="A690:A691"/>
    <mergeCell ref="A692:A693"/>
    <mergeCell ref="A708:A710"/>
    <mergeCell ref="B708:B714"/>
    <mergeCell ref="F708:F714"/>
    <mergeCell ref="G708:G714"/>
    <mergeCell ref="H708:H714"/>
    <mergeCell ref="A711:A712"/>
    <mergeCell ref="A713:A714"/>
    <mergeCell ref="A701:A703"/>
    <mergeCell ref="B701:B707"/>
    <mergeCell ref="F701:F707"/>
    <mergeCell ref="G701:G707"/>
    <mergeCell ref="H701:H707"/>
    <mergeCell ref="A704:A705"/>
    <mergeCell ref="A706:A707"/>
    <mergeCell ref="A722:A724"/>
    <mergeCell ref="B722:B728"/>
    <mergeCell ref="F722:F728"/>
    <mergeCell ref="G722:G728"/>
    <mergeCell ref="H722:H728"/>
    <mergeCell ref="A725:A726"/>
    <mergeCell ref="A727:A728"/>
    <mergeCell ref="A715:A717"/>
    <mergeCell ref="B715:B721"/>
    <mergeCell ref="F715:F721"/>
    <mergeCell ref="G715:G721"/>
    <mergeCell ref="H715:H721"/>
    <mergeCell ref="A718:A719"/>
    <mergeCell ref="A720:A721"/>
    <mergeCell ref="A736:A738"/>
    <mergeCell ref="B736:B742"/>
    <mergeCell ref="F736:F742"/>
    <mergeCell ref="G736:G742"/>
    <mergeCell ref="H736:H742"/>
    <mergeCell ref="A739:A740"/>
    <mergeCell ref="A741:A742"/>
    <mergeCell ref="A729:A731"/>
    <mergeCell ref="B729:B735"/>
    <mergeCell ref="F729:F735"/>
    <mergeCell ref="G729:G735"/>
    <mergeCell ref="H729:H735"/>
    <mergeCell ref="A732:A733"/>
    <mergeCell ref="A734:A735"/>
    <mergeCell ref="A750:A752"/>
    <mergeCell ref="B750:B756"/>
    <mergeCell ref="F750:F756"/>
    <mergeCell ref="G750:G756"/>
    <mergeCell ref="H750:H756"/>
    <mergeCell ref="A753:A754"/>
    <mergeCell ref="A755:A756"/>
    <mergeCell ref="A743:A745"/>
    <mergeCell ref="B743:B749"/>
    <mergeCell ref="F743:F749"/>
    <mergeCell ref="G743:G749"/>
    <mergeCell ref="H743:H749"/>
    <mergeCell ref="A746:A747"/>
    <mergeCell ref="A748:A749"/>
    <mergeCell ref="A764:A766"/>
    <mergeCell ref="B764:B770"/>
    <mergeCell ref="F764:F770"/>
    <mergeCell ref="G764:G770"/>
    <mergeCell ref="H764:H770"/>
    <mergeCell ref="A767:A768"/>
    <mergeCell ref="A769:A770"/>
    <mergeCell ref="A757:A759"/>
    <mergeCell ref="B757:B763"/>
    <mergeCell ref="F757:F763"/>
    <mergeCell ref="G757:G763"/>
    <mergeCell ref="H757:H763"/>
    <mergeCell ref="A760:A761"/>
    <mergeCell ref="A762:A763"/>
    <mergeCell ref="A771:A773"/>
    <mergeCell ref="B771:B777"/>
    <mergeCell ref="F771:F777"/>
    <mergeCell ref="G771:G777"/>
    <mergeCell ref="H771:H777"/>
    <mergeCell ref="A774:A775"/>
    <mergeCell ref="A776:A777"/>
    <mergeCell ref="A792:A794"/>
    <mergeCell ref="B792:B798"/>
    <mergeCell ref="F792:F798"/>
    <mergeCell ref="G792:G798"/>
    <mergeCell ref="H792:H798"/>
    <mergeCell ref="A795:A796"/>
    <mergeCell ref="A797:A798"/>
    <mergeCell ref="A785:A787"/>
    <mergeCell ref="B785:B791"/>
    <mergeCell ref="F785:F791"/>
    <mergeCell ref="G785:G791"/>
    <mergeCell ref="H785:H791"/>
    <mergeCell ref="A788:A789"/>
    <mergeCell ref="A790:A791"/>
    <mergeCell ref="A804:A805"/>
    <mergeCell ref="A820:A822"/>
    <mergeCell ref="B820:B826"/>
    <mergeCell ref="F820:F826"/>
    <mergeCell ref="G820:G826"/>
    <mergeCell ref="H820:H826"/>
    <mergeCell ref="A823:A824"/>
    <mergeCell ref="A825:A826"/>
    <mergeCell ref="A813:A815"/>
    <mergeCell ref="B813:B819"/>
    <mergeCell ref="F813:F819"/>
    <mergeCell ref="G813:G819"/>
    <mergeCell ref="H813:H819"/>
    <mergeCell ref="A816:A817"/>
    <mergeCell ref="A818:A819"/>
    <mergeCell ref="A778:A780"/>
    <mergeCell ref="B778:B784"/>
    <mergeCell ref="F778:F784"/>
    <mergeCell ref="G778:G784"/>
    <mergeCell ref="H778:H784"/>
    <mergeCell ref="A781:A782"/>
    <mergeCell ref="A783:A784"/>
    <mergeCell ref="A848:A850"/>
    <mergeCell ref="B848:B854"/>
    <mergeCell ref="F848:F854"/>
    <mergeCell ref="G848:G854"/>
    <mergeCell ref="H848:H854"/>
    <mergeCell ref="A851:A852"/>
    <mergeCell ref="A853:A854"/>
    <mergeCell ref="A841:A843"/>
    <mergeCell ref="B841:B847"/>
    <mergeCell ref="F841:F847"/>
    <mergeCell ref="G841:G847"/>
    <mergeCell ref="H841:H847"/>
    <mergeCell ref="A844:A845"/>
    <mergeCell ref="A846:A847"/>
    <mergeCell ref="A806:A808"/>
    <mergeCell ref="B806:B812"/>
    <mergeCell ref="F806:F812"/>
    <mergeCell ref="G806:G812"/>
    <mergeCell ref="H806:H812"/>
    <mergeCell ref="A809:A810"/>
    <mergeCell ref="A811:A812"/>
    <mergeCell ref="A66:A68"/>
    <mergeCell ref="A69:A70"/>
    <mergeCell ref="A71:A72"/>
    <mergeCell ref="A59:A61"/>
    <mergeCell ref="A62:A63"/>
    <mergeCell ref="A64:A65"/>
    <mergeCell ref="A73:A75"/>
    <mergeCell ref="A80:A82"/>
    <mergeCell ref="A92:A94"/>
    <mergeCell ref="A85:A87"/>
    <mergeCell ref="A88:A89"/>
    <mergeCell ref="A90:A91"/>
    <mergeCell ref="A834:A836"/>
    <mergeCell ref="B834:B840"/>
    <mergeCell ref="F834:F840"/>
    <mergeCell ref="G834:G840"/>
    <mergeCell ref="H834:H840"/>
    <mergeCell ref="A837:A838"/>
    <mergeCell ref="A839:A840"/>
    <mergeCell ref="A827:A829"/>
    <mergeCell ref="B827:B833"/>
    <mergeCell ref="F827:F833"/>
    <mergeCell ref="G827:G833"/>
    <mergeCell ref="H827:H833"/>
    <mergeCell ref="A830:A831"/>
    <mergeCell ref="A832:A833"/>
    <mergeCell ref="A799:A801"/>
    <mergeCell ref="B799:B805"/>
    <mergeCell ref="F799:F805"/>
    <mergeCell ref="G799:G805"/>
    <mergeCell ref="H799:H805"/>
    <mergeCell ref="A802:A803"/>
    <mergeCell ref="G10:G16"/>
    <mergeCell ref="G3:G9"/>
    <mergeCell ref="G24:G30"/>
    <mergeCell ref="G17:G23"/>
    <mergeCell ref="G38:G44"/>
    <mergeCell ref="G31:G37"/>
    <mergeCell ref="G52:G58"/>
    <mergeCell ref="G45:G51"/>
    <mergeCell ref="G59:G72"/>
    <mergeCell ref="G92:G98"/>
    <mergeCell ref="G85:G91"/>
    <mergeCell ref="G73:G84"/>
    <mergeCell ref="A78:A79"/>
    <mergeCell ref="A95:A96"/>
    <mergeCell ref="A10:A12"/>
    <mergeCell ref="A13:A14"/>
    <mergeCell ref="A15:A16"/>
    <mergeCell ref="A6:A7"/>
    <mergeCell ref="A8:A9"/>
    <mergeCell ref="A3:A5"/>
    <mergeCell ref="A24:A26"/>
    <mergeCell ref="A27:A28"/>
    <mergeCell ref="A29:A30"/>
    <mergeCell ref="A17:A19"/>
    <mergeCell ref="A20:A21"/>
    <mergeCell ref="A22:A23"/>
    <mergeCell ref="A52:A54"/>
    <mergeCell ref="A55:A56"/>
    <mergeCell ref="A57:A58"/>
    <mergeCell ref="A45:A47"/>
    <mergeCell ref="A48:A49"/>
    <mergeCell ref="A50:A51"/>
  </mergeCells>
  <phoneticPr fontId="1" type="noConversion"/>
  <conditionalFormatting sqref="D5:E5 D7:E7 D9:E9">
    <cfRule type="cellIs" dxfId="320" priority="607" operator="lessThan">
      <formula>-5</formula>
    </cfRule>
    <cfRule type="cellIs" dxfId="319" priority="608" operator="greaterThan">
      <formula>5</formula>
    </cfRule>
  </conditionalFormatting>
  <conditionalFormatting sqref="D12:E12 D14:E14 D16:E16">
    <cfRule type="cellIs" dxfId="318" priority="295" operator="lessThan">
      <formula>-5</formula>
    </cfRule>
    <cfRule type="cellIs" dxfId="317" priority="296" operator="greaterThan">
      <formula>5</formula>
    </cfRule>
  </conditionalFormatting>
  <conditionalFormatting sqref="D19:E19 D21:E21 D23:E23">
    <cfRule type="cellIs" dxfId="316" priority="293" operator="lessThan">
      <formula>-5</formula>
    </cfRule>
    <cfRule type="cellIs" dxfId="315" priority="294" operator="greaterThan">
      <formula>5</formula>
    </cfRule>
  </conditionalFormatting>
  <conditionalFormatting sqref="D26:E26 D28:E28 D30:E30">
    <cfRule type="cellIs" dxfId="314" priority="291" operator="lessThan">
      <formula>-5</formula>
    </cfRule>
    <cfRule type="cellIs" dxfId="313" priority="292" operator="greaterThan">
      <formula>5</formula>
    </cfRule>
  </conditionalFormatting>
  <conditionalFormatting sqref="D33:E33 D35:E35 D37:E37">
    <cfRule type="cellIs" dxfId="312" priority="289" operator="lessThan">
      <formula>-5</formula>
    </cfRule>
    <cfRule type="cellIs" dxfId="311" priority="290" operator="greaterThan">
      <formula>5</formula>
    </cfRule>
  </conditionalFormatting>
  <conditionalFormatting sqref="D40:E40 D42:E42 D44:E44">
    <cfRule type="cellIs" dxfId="310" priority="287" operator="lessThan">
      <formula>-5</formula>
    </cfRule>
    <cfRule type="cellIs" dxfId="309" priority="288" operator="greaterThan">
      <formula>5</formula>
    </cfRule>
  </conditionalFormatting>
  <conditionalFormatting sqref="D47:E47 D49:E49 D51:E51">
    <cfRule type="cellIs" dxfId="308" priority="285" operator="lessThan">
      <formula>-5</formula>
    </cfRule>
    <cfRule type="cellIs" dxfId="307" priority="286" operator="greaterThan">
      <formula>5</formula>
    </cfRule>
  </conditionalFormatting>
  <conditionalFormatting sqref="D54:E54 D56:E56 D58:E58">
    <cfRule type="cellIs" dxfId="306" priority="283" operator="lessThan">
      <formula>-5</formula>
    </cfRule>
    <cfRule type="cellIs" dxfId="305" priority="284" operator="greaterThan">
      <formula>5</formula>
    </cfRule>
  </conditionalFormatting>
  <conditionalFormatting sqref="D61:E61 D63:E63 D65:E65">
    <cfRule type="cellIs" dxfId="304" priority="281" operator="lessThan">
      <formula>-5</formula>
    </cfRule>
    <cfRule type="cellIs" dxfId="303" priority="282" operator="greaterThan">
      <formula>5</formula>
    </cfRule>
  </conditionalFormatting>
  <conditionalFormatting sqref="D68:E68 D70:E70 D72:E72">
    <cfRule type="cellIs" dxfId="302" priority="279" operator="lessThan">
      <formula>-5</formula>
    </cfRule>
    <cfRule type="cellIs" dxfId="301" priority="280" operator="greaterThan">
      <formula>5</formula>
    </cfRule>
  </conditionalFormatting>
  <conditionalFormatting sqref="D75:E75 D77:E77 D79:E79">
    <cfRule type="cellIs" dxfId="300" priority="277" operator="lessThan">
      <formula>-5</formula>
    </cfRule>
    <cfRule type="cellIs" dxfId="299" priority="278" operator="greaterThan">
      <formula>5</formula>
    </cfRule>
  </conditionalFormatting>
  <conditionalFormatting sqref="D82:E82 D84:E84">
    <cfRule type="cellIs" dxfId="298" priority="275" operator="lessThan">
      <formula>-5</formula>
    </cfRule>
    <cfRule type="cellIs" dxfId="297" priority="276" operator="greaterThan">
      <formula>5</formula>
    </cfRule>
  </conditionalFormatting>
  <conditionalFormatting sqref="D87:E87 D89:E89 D91:E91">
    <cfRule type="cellIs" dxfId="296" priority="273" operator="lessThan">
      <formula>-5</formula>
    </cfRule>
    <cfRule type="cellIs" dxfId="295" priority="274" operator="greaterThan">
      <formula>5</formula>
    </cfRule>
  </conditionalFormatting>
  <conditionalFormatting sqref="D94:E94 D96:E96 D98:E98">
    <cfRule type="cellIs" dxfId="294" priority="271" operator="lessThan">
      <formula>-5</formula>
    </cfRule>
    <cfRule type="cellIs" dxfId="293" priority="272" operator="greaterThan">
      <formula>5</formula>
    </cfRule>
  </conditionalFormatting>
  <conditionalFormatting sqref="D101:E101 D103:E103 D105:E105">
    <cfRule type="cellIs" dxfId="292" priority="269" operator="lessThan">
      <formula>-5</formula>
    </cfRule>
    <cfRule type="cellIs" dxfId="291" priority="270" operator="greaterThan">
      <formula>5</formula>
    </cfRule>
  </conditionalFormatting>
  <conditionalFormatting sqref="D108:E108 D110:E110 D112:E112">
    <cfRule type="cellIs" dxfId="290" priority="267" operator="lessThan">
      <formula>-5</formula>
    </cfRule>
    <cfRule type="cellIs" dxfId="289" priority="268" operator="greaterThan">
      <formula>5</formula>
    </cfRule>
  </conditionalFormatting>
  <conditionalFormatting sqref="D115:E115 D117:E117 D119:E119">
    <cfRule type="cellIs" dxfId="288" priority="265" operator="lessThan">
      <formula>-5</formula>
    </cfRule>
    <cfRule type="cellIs" dxfId="287" priority="266" operator="greaterThan">
      <formula>5</formula>
    </cfRule>
  </conditionalFormatting>
  <conditionalFormatting sqref="D122:E122 D124:E124 D126:E126">
    <cfRule type="cellIs" dxfId="286" priority="263" operator="lessThan">
      <formula>-5</formula>
    </cfRule>
    <cfRule type="cellIs" dxfId="285" priority="264" operator="greaterThan">
      <formula>5</formula>
    </cfRule>
  </conditionalFormatting>
  <conditionalFormatting sqref="D129:E129 D131:E131 D133:E133">
    <cfRule type="cellIs" dxfId="284" priority="261" operator="lessThan">
      <formula>-5</formula>
    </cfRule>
    <cfRule type="cellIs" dxfId="283" priority="262" operator="greaterThan">
      <formula>5</formula>
    </cfRule>
  </conditionalFormatting>
  <conditionalFormatting sqref="D136:E136 D138:E138 D140:E140">
    <cfRule type="cellIs" dxfId="282" priority="259" operator="lessThan">
      <formula>-5</formula>
    </cfRule>
    <cfRule type="cellIs" dxfId="281" priority="260" operator="greaterThan">
      <formula>5</formula>
    </cfRule>
  </conditionalFormatting>
  <conditionalFormatting sqref="D143:E143 D145:E145 D147:E147">
    <cfRule type="cellIs" dxfId="280" priority="257" operator="lessThan">
      <formula>-5</formula>
    </cfRule>
    <cfRule type="cellIs" dxfId="279" priority="258" operator="greaterThan">
      <formula>5</formula>
    </cfRule>
  </conditionalFormatting>
  <conditionalFormatting sqref="D150:E150 D152:E152 D154:E154">
    <cfRule type="cellIs" dxfId="278" priority="255" operator="lessThan">
      <formula>-5</formula>
    </cfRule>
    <cfRule type="cellIs" dxfId="277" priority="256" operator="greaterThan">
      <formula>5</formula>
    </cfRule>
  </conditionalFormatting>
  <conditionalFormatting sqref="D157:E157 D159:E159 D161:E161">
    <cfRule type="cellIs" dxfId="276" priority="253" operator="lessThan">
      <formula>-5</formula>
    </cfRule>
    <cfRule type="cellIs" dxfId="275" priority="254" operator="greaterThan">
      <formula>5</formula>
    </cfRule>
  </conditionalFormatting>
  <conditionalFormatting sqref="D164:E164 D166:E166 D168:E168">
    <cfRule type="cellIs" dxfId="274" priority="251" operator="lessThan">
      <formula>-5</formula>
    </cfRule>
    <cfRule type="cellIs" dxfId="273" priority="252" operator="greaterThan">
      <formula>5</formula>
    </cfRule>
  </conditionalFormatting>
  <conditionalFormatting sqref="D171:E171 D173:E173 D175:E175">
    <cfRule type="cellIs" dxfId="272" priority="249" operator="lessThan">
      <formula>-5</formula>
    </cfRule>
    <cfRule type="cellIs" dxfId="271" priority="250" operator="greaterThan">
      <formula>5</formula>
    </cfRule>
  </conditionalFormatting>
  <conditionalFormatting sqref="D178:E178 D180:E180 D182:E182">
    <cfRule type="cellIs" dxfId="270" priority="247" operator="lessThan">
      <formula>-5</formula>
    </cfRule>
    <cfRule type="cellIs" dxfId="269" priority="248" operator="greaterThan">
      <formula>5</formula>
    </cfRule>
  </conditionalFormatting>
  <conditionalFormatting sqref="D185:E185 D187:E187 D189:E189">
    <cfRule type="cellIs" dxfId="268" priority="245" operator="lessThan">
      <formula>-5</formula>
    </cfRule>
    <cfRule type="cellIs" dxfId="267" priority="246" operator="greaterThan">
      <formula>5</formula>
    </cfRule>
  </conditionalFormatting>
  <conditionalFormatting sqref="D192:E192 D194:E194 D196:E196">
    <cfRule type="cellIs" dxfId="266" priority="243" operator="lessThan">
      <formula>-5</formula>
    </cfRule>
    <cfRule type="cellIs" dxfId="265" priority="244" operator="greaterThan">
      <formula>5</formula>
    </cfRule>
  </conditionalFormatting>
  <conditionalFormatting sqref="D199:E199 D201:E201 D203:E203">
    <cfRule type="cellIs" dxfId="264" priority="241" operator="lessThan">
      <formula>-5</formula>
    </cfRule>
    <cfRule type="cellIs" dxfId="263" priority="242" operator="greaterThan">
      <formula>5</formula>
    </cfRule>
  </conditionalFormatting>
  <conditionalFormatting sqref="D206:E206 D208:E208 D210:E210">
    <cfRule type="cellIs" dxfId="262" priority="239" operator="lessThan">
      <formula>-5</formula>
    </cfRule>
    <cfRule type="cellIs" dxfId="261" priority="240" operator="greaterThan">
      <formula>5</formula>
    </cfRule>
  </conditionalFormatting>
  <conditionalFormatting sqref="D213:E213 D215:E215 D217:E217">
    <cfRule type="cellIs" dxfId="260" priority="237" operator="lessThan">
      <formula>-5</formula>
    </cfRule>
    <cfRule type="cellIs" dxfId="259" priority="238" operator="greaterThan">
      <formula>5</formula>
    </cfRule>
  </conditionalFormatting>
  <conditionalFormatting sqref="D220:E220 D222:E222 D224:E224">
    <cfRule type="cellIs" dxfId="258" priority="235" operator="lessThan">
      <formula>-5</formula>
    </cfRule>
    <cfRule type="cellIs" dxfId="257" priority="236" operator="greaterThan">
      <formula>5</formula>
    </cfRule>
  </conditionalFormatting>
  <conditionalFormatting sqref="D227:E227 D229:E229 D231:E231">
    <cfRule type="cellIs" dxfId="256" priority="233" operator="lessThan">
      <formula>-5</formula>
    </cfRule>
    <cfRule type="cellIs" dxfId="255" priority="234" operator="greaterThan">
      <formula>5</formula>
    </cfRule>
  </conditionalFormatting>
  <conditionalFormatting sqref="D234:E234 D236:E236 D238:E238">
    <cfRule type="cellIs" dxfId="254" priority="231" operator="lessThan">
      <formula>-5</formula>
    </cfRule>
    <cfRule type="cellIs" dxfId="253" priority="232" operator="greaterThan">
      <formula>5</formula>
    </cfRule>
  </conditionalFormatting>
  <conditionalFormatting sqref="D241:E241 D243:E243 D245:E245">
    <cfRule type="cellIs" dxfId="252" priority="229" operator="lessThan">
      <formula>-5</formula>
    </cfRule>
    <cfRule type="cellIs" dxfId="251" priority="230" operator="greaterThan">
      <formula>5</formula>
    </cfRule>
  </conditionalFormatting>
  <conditionalFormatting sqref="D248:E248 D250:E250 D252:E252">
    <cfRule type="cellIs" dxfId="250" priority="227" operator="lessThan">
      <formula>-5</formula>
    </cfRule>
    <cfRule type="cellIs" dxfId="249" priority="228" operator="greaterThan">
      <formula>5</formula>
    </cfRule>
  </conditionalFormatting>
  <conditionalFormatting sqref="D255:E255 D257:E257 D259:E259">
    <cfRule type="cellIs" dxfId="248" priority="225" operator="lessThan">
      <formula>-5</formula>
    </cfRule>
    <cfRule type="cellIs" dxfId="247" priority="226" operator="greaterThan">
      <formula>5</formula>
    </cfRule>
  </conditionalFormatting>
  <conditionalFormatting sqref="D262:E262 D264:E264 D266:E266">
    <cfRule type="cellIs" dxfId="246" priority="223" operator="lessThan">
      <formula>-5</formula>
    </cfRule>
    <cfRule type="cellIs" dxfId="245" priority="224" operator="greaterThan">
      <formula>5</formula>
    </cfRule>
  </conditionalFormatting>
  <conditionalFormatting sqref="D269:E269 D271:E271 D273:E273">
    <cfRule type="cellIs" dxfId="244" priority="221" operator="lessThan">
      <formula>-5</formula>
    </cfRule>
    <cfRule type="cellIs" dxfId="243" priority="222" operator="greaterThan">
      <formula>5</formula>
    </cfRule>
  </conditionalFormatting>
  <conditionalFormatting sqref="D276:E276 D278:E278 D280:E280">
    <cfRule type="cellIs" dxfId="242" priority="219" operator="lessThan">
      <formula>-5</formula>
    </cfRule>
    <cfRule type="cellIs" dxfId="241" priority="220" operator="greaterThan">
      <formula>5</formula>
    </cfRule>
  </conditionalFormatting>
  <conditionalFormatting sqref="D283:E283 D285:E285 D287:E287">
    <cfRule type="cellIs" dxfId="240" priority="217" operator="lessThan">
      <formula>-5</formula>
    </cfRule>
    <cfRule type="cellIs" dxfId="239" priority="218" operator="greaterThan">
      <formula>5</formula>
    </cfRule>
  </conditionalFormatting>
  <conditionalFormatting sqref="D290:E290 D292:E292 D294:E294">
    <cfRule type="cellIs" dxfId="238" priority="215" operator="lessThan">
      <formula>-5</formula>
    </cfRule>
    <cfRule type="cellIs" dxfId="237" priority="216" operator="greaterThan">
      <formula>5</formula>
    </cfRule>
  </conditionalFormatting>
  <conditionalFormatting sqref="D297:E297 D299:E299 D301:E301">
    <cfRule type="cellIs" dxfId="236" priority="213" operator="lessThan">
      <formula>-5</formula>
    </cfRule>
    <cfRule type="cellIs" dxfId="235" priority="214" operator="greaterThan">
      <formula>5</formula>
    </cfRule>
  </conditionalFormatting>
  <conditionalFormatting sqref="D304:E304 D306:E306 D308:E308">
    <cfRule type="cellIs" dxfId="234" priority="211" operator="lessThan">
      <formula>-5</formula>
    </cfRule>
    <cfRule type="cellIs" dxfId="233" priority="212" operator="greaterThan">
      <formula>5</formula>
    </cfRule>
  </conditionalFormatting>
  <conditionalFormatting sqref="D311:E311 D313:E313 D315:E315">
    <cfRule type="cellIs" dxfId="232" priority="209" operator="lessThan">
      <formula>-5</formula>
    </cfRule>
    <cfRule type="cellIs" dxfId="231" priority="210" operator="greaterThan">
      <formula>5</formula>
    </cfRule>
  </conditionalFormatting>
  <conditionalFormatting sqref="D318:E318 D320:E320 D322:E322">
    <cfRule type="cellIs" dxfId="230" priority="207" operator="lessThan">
      <formula>-5</formula>
    </cfRule>
    <cfRule type="cellIs" dxfId="229" priority="208" operator="greaterThan">
      <formula>5</formula>
    </cfRule>
  </conditionalFormatting>
  <conditionalFormatting sqref="D325:E325 D327:E327 D329:E329">
    <cfRule type="cellIs" dxfId="228" priority="205" operator="lessThan">
      <formula>-5</formula>
    </cfRule>
    <cfRule type="cellIs" dxfId="227" priority="206" operator="greaterThan">
      <formula>5</formula>
    </cfRule>
  </conditionalFormatting>
  <conditionalFormatting sqref="D332:E332 D334:E334 D336:E336">
    <cfRule type="cellIs" dxfId="226" priority="203" operator="lessThan">
      <formula>-5</formula>
    </cfRule>
    <cfRule type="cellIs" dxfId="225" priority="204" operator="greaterThan">
      <formula>5</formula>
    </cfRule>
  </conditionalFormatting>
  <conditionalFormatting sqref="D339:E339 D341:E341 D343:E343">
    <cfRule type="cellIs" dxfId="224" priority="201" operator="lessThan">
      <formula>-5</formula>
    </cfRule>
    <cfRule type="cellIs" dxfId="223" priority="202" operator="greaterThan">
      <formula>5</formula>
    </cfRule>
  </conditionalFormatting>
  <conditionalFormatting sqref="D346:E346 D348:E348 D350:E350">
    <cfRule type="cellIs" dxfId="222" priority="199" operator="lessThan">
      <formula>-5</formula>
    </cfRule>
    <cfRule type="cellIs" dxfId="221" priority="200" operator="greaterThan">
      <formula>5</formula>
    </cfRule>
  </conditionalFormatting>
  <conditionalFormatting sqref="D353:E353 D355:E355 D357:E357">
    <cfRule type="cellIs" dxfId="220" priority="197" operator="lessThan">
      <formula>-5</formula>
    </cfRule>
    <cfRule type="cellIs" dxfId="219" priority="198" operator="greaterThan">
      <formula>5</formula>
    </cfRule>
  </conditionalFormatting>
  <conditionalFormatting sqref="D360:E360 D362:E362 D364:E364">
    <cfRule type="cellIs" dxfId="218" priority="195" operator="lessThan">
      <formula>-5</formula>
    </cfRule>
    <cfRule type="cellIs" dxfId="217" priority="196" operator="greaterThan">
      <formula>5</formula>
    </cfRule>
  </conditionalFormatting>
  <conditionalFormatting sqref="D367:E367 D369:E369 D371:E371">
    <cfRule type="cellIs" dxfId="216" priority="193" operator="lessThan">
      <formula>-5</formula>
    </cfRule>
    <cfRule type="cellIs" dxfId="215" priority="194" operator="greaterThan">
      <formula>5</formula>
    </cfRule>
  </conditionalFormatting>
  <conditionalFormatting sqref="D374:E374 D376:E376 D378:E378">
    <cfRule type="cellIs" dxfId="214" priority="191" operator="lessThan">
      <formula>-5</formula>
    </cfRule>
    <cfRule type="cellIs" dxfId="213" priority="192" operator="greaterThan">
      <formula>5</formula>
    </cfRule>
  </conditionalFormatting>
  <conditionalFormatting sqref="D381:E381 D383:E383 D385:E385">
    <cfRule type="cellIs" dxfId="212" priority="189" operator="lessThan">
      <formula>-5</formula>
    </cfRule>
    <cfRule type="cellIs" dxfId="211" priority="190" operator="greaterThan">
      <formula>5</formula>
    </cfRule>
  </conditionalFormatting>
  <conditionalFormatting sqref="D388:E388 D390:E390 D392:E392">
    <cfRule type="cellIs" dxfId="210" priority="187" operator="lessThan">
      <formula>-5</formula>
    </cfRule>
    <cfRule type="cellIs" dxfId="209" priority="188" operator="greaterThan">
      <formula>5</formula>
    </cfRule>
  </conditionalFormatting>
  <conditionalFormatting sqref="D395:E395 D397:E397 D399:E399">
    <cfRule type="cellIs" dxfId="208" priority="185" operator="lessThan">
      <formula>-5</formula>
    </cfRule>
    <cfRule type="cellIs" dxfId="207" priority="186" operator="greaterThan">
      <formula>5</formula>
    </cfRule>
  </conditionalFormatting>
  <conditionalFormatting sqref="D402:E402 D404:E404 D406:E406">
    <cfRule type="cellIs" dxfId="206" priority="183" operator="lessThan">
      <formula>-5</formula>
    </cfRule>
    <cfRule type="cellIs" dxfId="205" priority="184" operator="greaterThan">
      <formula>5</formula>
    </cfRule>
  </conditionalFormatting>
  <conditionalFormatting sqref="D409:E409 D411:E411 D413:E413">
    <cfRule type="cellIs" dxfId="204" priority="181" operator="lessThan">
      <formula>-5</formula>
    </cfRule>
    <cfRule type="cellIs" dxfId="203" priority="182" operator="greaterThan">
      <formula>5</formula>
    </cfRule>
  </conditionalFormatting>
  <conditionalFormatting sqref="D416:E416 D418:E418 D420:E420">
    <cfRule type="cellIs" dxfId="202" priority="179" operator="lessThan">
      <formula>-5</formula>
    </cfRule>
    <cfRule type="cellIs" dxfId="201" priority="180" operator="greaterThan">
      <formula>5</formula>
    </cfRule>
  </conditionalFormatting>
  <conditionalFormatting sqref="D423:E423 D425:E425 D427:E427">
    <cfRule type="cellIs" dxfId="200" priority="177" operator="lessThan">
      <formula>-5</formula>
    </cfRule>
    <cfRule type="cellIs" dxfId="199" priority="178" operator="greaterThan">
      <formula>5</formula>
    </cfRule>
  </conditionalFormatting>
  <conditionalFormatting sqref="D430:E430 D432:E432 D434:E434">
    <cfRule type="cellIs" dxfId="198" priority="175" operator="lessThan">
      <formula>-5</formula>
    </cfRule>
    <cfRule type="cellIs" dxfId="197" priority="176" operator="greaterThan">
      <formula>5</formula>
    </cfRule>
  </conditionalFormatting>
  <conditionalFormatting sqref="D437:E437 D439:E439 D441:E441">
    <cfRule type="cellIs" dxfId="196" priority="173" operator="lessThan">
      <formula>-5</formula>
    </cfRule>
    <cfRule type="cellIs" dxfId="195" priority="174" operator="greaterThan">
      <formula>5</formula>
    </cfRule>
  </conditionalFormatting>
  <conditionalFormatting sqref="D444:E444 D446:E446 D448:E448">
    <cfRule type="cellIs" dxfId="194" priority="171" operator="lessThan">
      <formula>-5</formula>
    </cfRule>
    <cfRule type="cellIs" dxfId="193" priority="172" operator="greaterThan">
      <formula>5</formula>
    </cfRule>
  </conditionalFormatting>
  <conditionalFormatting sqref="D451:E451 D453:E453 D455:E455">
    <cfRule type="cellIs" dxfId="192" priority="169" operator="lessThan">
      <formula>-5</formula>
    </cfRule>
    <cfRule type="cellIs" dxfId="191" priority="170" operator="greaterThan">
      <formula>5</formula>
    </cfRule>
  </conditionalFormatting>
  <conditionalFormatting sqref="D458:E458 D460:E460 D462:E462">
    <cfRule type="cellIs" dxfId="190" priority="167" operator="lessThan">
      <formula>-5</formula>
    </cfRule>
    <cfRule type="cellIs" dxfId="189" priority="168" operator="greaterThan">
      <formula>5</formula>
    </cfRule>
  </conditionalFormatting>
  <conditionalFormatting sqref="D465:E465 D467:E467 D469:E469">
    <cfRule type="cellIs" dxfId="188" priority="165" operator="lessThan">
      <formula>-5</formula>
    </cfRule>
    <cfRule type="cellIs" dxfId="187" priority="166" operator="greaterThan">
      <formula>5</formula>
    </cfRule>
  </conditionalFormatting>
  <conditionalFormatting sqref="D472:E472 D474:E474 D476:E476">
    <cfRule type="cellIs" dxfId="186" priority="163" operator="lessThan">
      <formula>-5</formula>
    </cfRule>
    <cfRule type="cellIs" dxfId="185" priority="164" operator="greaterThan">
      <formula>5</formula>
    </cfRule>
  </conditionalFormatting>
  <conditionalFormatting sqref="D479:E479 D481:E481 D483:E483">
    <cfRule type="cellIs" dxfId="184" priority="161" operator="lessThan">
      <formula>-5</formula>
    </cfRule>
    <cfRule type="cellIs" dxfId="183" priority="162" operator="greaterThan">
      <formula>5</formula>
    </cfRule>
  </conditionalFormatting>
  <conditionalFormatting sqref="D486:E486 D488:E488 D490:E490">
    <cfRule type="cellIs" dxfId="182" priority="159" operator="lessThan">
      <formula>-5</formula>
    </cfRule>
    <cfRule type="cellIs" dxfId="181" priority="160" operator="greaterThan">
      <formula>5</formula>
    </cfRule>
  </conditionalFormatting>
  <conditionalFormatting sqref="D493:E493 D495:E495 D497:E497">
    <cfRule type="cellIs" dxfId="180" priority="157" operator="lessThan">
      <formula>-5</formula>
    </cfRule>
    <cfRule type="cellIs" dxfId="179" priority="158" operator="greaterThan">
      <formula>5</formula>
    </cfRule>
  </conditionalFormatting>
  <conditionalFormatting sqref="D500:E500 D502:E502 D504:E504">
    <cfRule type="cellIs" dxfId="178" priority="155" operator="lessThan">
      <formula>-5</formula>
    </cfRule>
    <cfRule type="cellIs" dxfId="177" priority="156" operator="greaterThan">
      <formula>5</formula>
    </cfRule>
  </conditionalFormatting>
  <conditionalFormatting sqref="D507:E507 D509:E509 D511:E511">
    <cfRule type="cellIs" dxfId="176" priority="153" operator="lessThan">
      <formula>-5</formula>
    </cfRule>
    <cfRule type="cellIs" dxfId="175" priority="154" operator="greaterThan">
      <formula>5</formula>
    </cfRule>
  </conditionalFormatting>
  <conditionalFormatting sqref="D514:E514 D516:E516 D518:E518">
    <cfRule type="cellIs" dxfId="174" priority="151" operator="lessThan">
      <formula>-5</formula>
    </cfRule>
    <cfRule type="cellIs" dxfId="173" priority="152" operator="greaterThan">
      <formula>5</formula>
    </cfRule>
  </conditionalFormatting>
  <conditionalFormatting sqref="D521:E521 D523:E523 D525:E525">
    <cfRule type="cellIs" dxfId="172" priority="149" operator="lessThan">
      <formula>-5</formula>
    </cfRule>
    <cfRule type="cellIs" dxfId="171" priority="150" operator="greaterThan">
      <formula>5</formula>
    </cfRule>
  </conditionalFormatting>
  <conditionalFormatting sqref="D528:E528 D530:E530 D532:E532">
    <cfRule type="cellIs" dxfId="170" priority="147" operator="lessThan">
      <formula>-5</formula>
    </cfRule>
    <cfRule type="cellIs" dxfId="169" priority="148" operator="greaterThan">
      <formula>5</formula>
    </cfRule>
  </conditionalFormatting>
  <conditionalFormatting sqref="D535:E535 D537:E537 D539:E539">
    <cfRule type="cellIs" dxfId="168" priority="145" operator="lessThan">
      <formula>-5</formula>
    </cfRule>
    <cfRule type="cellIs" dxfId="167" priority="146" operator="greaterThan">
      <formula>5</formula>
    </cfRule>
  </conditionalFormatting>
  <conditionalFormatting sqref="D542:E542 D544:E544 D546:E546">
    <cfRule type="cellIs" dxfId="166" priority="143" operator="lessThan">
      <formula>-5</formula>
    </cfRule>
    <cfRule type="cellIs" dxfId="165" priority="144" operator="greaterThan">
      <formula>5</formula>
    </cfRule>
  </conditionalFormatting>
  <conditionalFormatting sqref="D549:E549 D551:E551 D553:E553">
    <cfRule type="cellIs" dxfId="164" priority="141" operator="lessThan">
      <formula>-5</formula>
    </cfRule>
    <cfRule type="cellIs" dxfId="163" priority="142" operator="greaterThan">
      <formula>5</formula>
    </cfRule>
  </conditionalFormatting>
  <conditionalFormatting sqref="D556:E556 D558:E558 D560:E560">
    <cfRule type="cellIs" dxfId="162" priority="139" operator="lessThan">
      <formula>-5</formula>
    </cfRule>
    <cfRule type="cellIs" dxfId="161" priority="140" operator="greaterThan">
      <formula>5</formula>
    </cfRule>
  </conditionalFormatting>
  <conditionalFormatting sqref="D563:E563 D565:E565 D567:E567">
    <cfRule type="cellIs" dxfId="160" priority="137" operator="lessThan">
      <formula>-5</formula>
    </cfRule>
    <cfRule type="cellIs" dxfId="159" priority="138" operator="greaterThan">
      <formula>5</formula>
    </cfRule>
  </conditionalFormatting>
  <conditionalFormatting sqref="D570:E570 D572:E572 D574:E574">
    <cfRule type="cellIs" dxfId="158" priority="135" operator="lessThan">
      <formula>-5</formula>
    </cfRule>
    <cfRule type="cellIs" dxfId="157" priority="136" operator="greaterThan">
      <formula>5</formula>
    </cfRule>
  </conditionalFormatting>
  <conditionalFormatting sqref="D577:E577 D579:E579 D581:E581">
    <cfRule type="cellIs" dxfId="156" priority="133" operator="lessThan">
      <formula>-5</formula>
    </cfRule>
    <cfRule type="cellIs" dxfId="155" priority="134" operator="greaterThan">
      <formula>5</formula>
    </cfRule>
  </conditionalFormatting>
  <conditionalFormatting sqref="D584:E584 D586:E586 D588:E588">
    <cfRule type="cellIs" dxfId="154" priority="131" operator="lessThan">
      <formula>-5</formula>
    </cfRule>
    <cfRule type="cellIs" dxfId="153" priority="132" operator="greaterThan">
      <formula>5</formula>
    </cfRule>
  </conditionalFormatting>
  <conditionalFormatting sqref="D591:E591 D593:E593 D595:E595">
    <cfRule type="cellIs" dxfId="152" priority="129" operator="lessThan">
      <formula>-5</formula>
    </cfRule>
    <cfRule type="cellIs" dxfId="151" priority="130" operator="greaterThan">
      <formula>5</formula>
    </cfRule>
  </conditionalFormatting>
  <conditionalFormatting sqref="D598:E598 D600:E600 D602:E602">
    <cfRule type="cellIs" dxfId="150" priority="127" operator="lessThan">
      <formula>-5</formula>
    </cfRule>
    <cfRule type="cellIs" dxfId="149" priority="128" operator="greaterThan">
      <formula>5</formula>
    </cfRule>
  </conditionalFormatting>
  <conditionalFormatting sqref="D605:E605 D607:E607 D609:E609">
    <cfRule type="cellIs" dxfId="148" priority="125" operator="lessThan">
      <formula>-5</formula>
    </cfRule>
    <cfRule type="cellIs" dxfId="147" priority="126" operator="greaterThan">
      <formula>5</formula>
    </cfRule>
  </conditionalFormatting>
  <conditionalFormatting sqref="D612:E612 D614:E614 D616:E616">
    <cfRule type="cellIs" dxfId="146" priority="123" operator="lessThan">
      <formula>-5</formula>
    </cfRule>
    <cfRule type="cellIs" dxfId="145" priority="124" operator="greaterThan">
      <formula>5</formula>
    </cfRule>
  </conditionalFormatting>
  <conditionalFormatting sqref="D619:E619 D621:E621 D623:E623">
    <cfRule type="cellIs" dxfId="144" priority="121" operator="lessThan">
      <formula>-5</formula>
    </cfRule>
    <cfRule type="cellIs" dxfId="143" priority="122" operator="greaterThan">
      <formula>5</formula>
    </cfRule>
  </conditionalFormatting>
  <conditionalFormatting sqref="D626:E626 D628:E628 D630:E630">
    <cfRule type="cellIs" dxfId="142" priority="119" operator="lessThan">
      <formula>-5</formula>
    </cfRule>
    <cfRule type="cellIs" dxfId="141" priority="120" operator="greaterThan">
      <formula>5</formula>
    </cfRule>
  </conditionalFormatting>
  <conditionalFormatting sqref="D633:E633 D635:E635 D637:E637">
    <cfRule type="cellIs" dxfId="140" priority="117" operator="lessThan">
      <formula>-5</formula>
    </cfRule>
    <cfRule type="cellIs" dxfId="139" priority="118" operator="greaterThan">
      <formula>5</formula>
    </cfRule>
  </conditionalFormatting>
  <conditionalFormatting sqref="D640:E640 D642:E642 D644:E644">
    <cfRule type="cellIs" dxfId="138" priority="115" operator="lessThan">
      <formula>-5</formula>
    </cfRule>
    <cfRule type="cellIs" dxfId="137" priority="116" operator="greaterThan">
      <formula>5</formula>
    </cfRule>
  </conditionalFormatting>
  <conditionalFormatting sqref="D647:E647 D649:E649 D651:E651">
    <cfRule type="cellIs" dxfId="136" priority="113" operator="lessThan">
      <formula>-5</formula>
    </cfRule>
    <cfRule type="cellIs" dxfId="135" priority="114" operator="greaterThan">
      <formula>5</formula>
    </cfRule>
  </conditionalFormatting>
  <conditionalFormatting sqref="D654:E654 D656:E656 D658:E658">
    <cfRule type="cellIs" dxfId="134" priority="111" operator="lessThan">
      <formula>-5</formula>
    </cfRule>
    <cfRule type="cellIs" dxfId="133" priority="112" operator="greaterThan">
      <formula>5</formula>
    </cfRule>
  </conditionalFormatting>
  <conditionalFormatting sqref="D661:E661 D663:E663 D665:E665">
    <cfRule type="cellIs" dxfId="132" priority="109" operator="lessThan">
      <formula>-5</formula>
    </cfRule>
    <cfRule type="cellIs" dxfId="131" priority="110" operator="greaterThan">
      <formula>5</formula>
    </cfRule>
  </conditionalFormatting>
  <conditionalFormatting sqref="D668:E668 D670:E670 D672:E672">
    <cfRule type="cellIs" dxfId="130" priority="107" operator="lessThan">
      <formula>-5</formula>
    </cfRule>
    <cfRule type="cellIs" dxfId="129" priority="108" operator="greaterThan">
      <formula>5</formula>
    </cfRule>
  </conditionalFormatting>
  <conditionalFormatting sqref="D675:E675 D677:E677 D679:E679">
    <cfRule type="cellIs" dxfId="128" priority="105" operator="lessThan">
      <formula>-5</formula>
    </cfRule>
    <cfRule type="cellIs" dxfId="127" priority="106" operator="greaterThan">
      <formula>5</formula>
    </cfRule>
  </conditionalFormatting>
  <conditionalFormatting sqref="D682:E682 D684:E684 D686:E686">
    <cfRule type="cellIs" dxfId="126" priority="103" operator="lessThan">
      <formula>-5</formula>
    </cfRule>
    <cfRule type="cellIs" dxfId="125" priority="104" operator="greaterThan">
      <formula>5</formula>
    </cfRule>
  </conditionalFormatting>
  <conditionalFormatting sqref="D689:E689 D691:E691 D693:E693">
    <cfRule type="cellIs" dxfId="124" priority="101" operator="lessThan">
      <formula>-5</formula>
    </cfRule>
    <cfRule type="cellIs" dxfId="123" priority="102" operator="greaterThan">
      <formula>5</formula>
    </cfRule>
  </conditionalFormatting>
  <conditionalFormatting sqref="D696:E696 D698:E698 D700:E700">
    <cfRule type="cellIs" dxfId="122" priority="99" operator="lessThan">
      <formula>-5</formula>
    </cfRule>
    <cfRule type="cellIs" dxfId="121" priority="100" operator="greaterThan">
      <formula>5</formula>
    </cfRule>
  </conditionalFormatting>
  <conditionalFormatting sqref="D703:E703 D705:E705 D707:E707">
    <cfRule type="cellIs" dxfId="120" priority="97" operator="lessThan">
      <formula>-5</formula>
    </cfRule>
    <cfRule type="cellIs" dxfId="119" priority="98" operator="greaterThan">
      <formula>5</formula>
    </cfRule>
  </conditionalFormatting>
  <conditionalFormatting sqref="D710:E710 D712:E712 D714:E714">
    <cfRule type="cellIs" dxfId="118" priority="95" operator="lessThan">
      <formula>-5</formula>
    </cfRule>
    <cfRule type="cellIs" dxfId="117" priority="96" operator="greaterThan">
      <formula>5</formula>
    </cfRule>
  </conditionalFormatting>
  <conditionalFormatting sqref="D717:E717 D719:E719 D721:E721">
    <cfRule type="cellIs" dxfId="116" priority="93" operator="lessThan">
      <formula>-5</formula>
    </cfRule>
    <cfRule type="cellIs" dxfId="115" priority="94" operator="greaterThan">
      <formula>5</formula>
    </cfRule>
  </conditionalFormatting>
  <conditionalFormatting sqref="D724:E724 D726:E726 D728:E728">
    <cfRule type="cellIs" dxfId="114" priority="91" operator="lessThan">
      <formula>-5</formula>
    </cfRule>
    <cfRule type="cellIs" dxfId="113" priority="92" operator="greaterThan">
      <formula>5</formula>
    </cfRule>
  </conditionalFormatting>
  <conditionalFormatting sqref="D731:E731 D733:E733 D735:E735">
    <cfRule type="cellIs" dxfId="112" priority="89" operator="lessThan">
      <formula>-5</formula>
    </cfRule>
    <cfRule type="cellIs" dxfId="111" priority="90" operator="greaterThan">
      <formula>5</formula>
    </cfRule>
  </conditionalFormatting>
  <conditionalFormatting sqref="D738:E738 D740:E740 D742:E742">
    <cfRule type="cellIs" dxfId="110" priority="87" operator="lessThan">
      <formula>-5</formula>
    </cfRule>
    <cfRule type="cellIs" dxfId="109" priority="88" operator="greaterThan">
      <formula>5</formula>
    </cfRule>
  </conditionalFormatting>
  <conditionalFormatting sqref="D745:E745 D747:E747 D749:E749">
    <cfRule type="cellIs" dxfId="108" priority="85" operator="lessThan">
      <formula>-5</formula>
    </cfRule>
    <cfRule type="cellIs" dxfId="107" priority="86" operator="greaterThan">
      <formula>5</formula>
    </cfRule>
  </conditionalFormatting>
  <conditionalFormatting sqref="D752:E752 D754:E754 D756:E756">
    <cfRule type="cellIs" dxfId="106" priority="83" operator="lessThan">
      <formula>-5</formula>
    </cfRule>
    <cfRule type="cellIs" dxfId="105" priority="84" operator="greaterThan">
      <formula>5</formula>
    </cfRule>
  </conditionalFormatting>
  <conditionalFormatting sqref="D759:E759 D761:E761 D763:E763">
    <cfRule type="cellIs" dxfId="104" priority="81" operator="lessThan">
      <formula>-5</formula>
    </cfRule>
    <cfRule type="cellIs" dxfId="103" priority="82" operator="greaterThan">
      <formula>5</formula>
    </cfRule>
  </conditionalFormatting>
  <conditionalFormatting sqref="D766:E766 D768:E768 D770:E770">
    <cfRule type="cellIs" dxfId="102" priority="79" operator="lessThan">
      <formula>-5</formula>
    </cfRule>
    <cfRule type="cellIs" dxfId="101" priority="80" operator="greaterThan">
      <formula>5</formula>
    </cfRule>
  </conditionalFormatting>
  <conditionalFormatting sqref="D773:E773 D775:E775 D777:E777">
    <cfRule type="cellIs" dxfId="100" priority="77" operator="lessThan">
      <formula>-5</formula>
    </cfRule>
    <cfRule type="cellIs" dxfId="99" priority="78" operator="greaterThan">
      <formula>5</formula>
    </cfRule>
  </conditionalFormatting>
  <conditionalFormatting sqref="D780:E780 D782:E782 D784:E784">
    <cfRule type="cellIs" dxfId="98" priority="75" operator="lessThan">
      <formula>-5</formula>
    </cfRule>
    <cfRule type="cellIs" dxfId="97" priority="76" operator="greaterThan">
      <formula>5</formula>
    </cfRule>
  </conditionalFormatting>
  <conditionalFormatting sqref="D787:E787 D789:E789 D791:E791">
    <cfRule type="cellIs" dxfId="96" priority="73" operator="lessThan">
      <formula>-5</formula>
    </cfRule>
    <cfRule type="cellIs" dxfId="95" priority="74" operator="greaterThan">
      <formula>5</formula>
    </cfRule>
  </conditionalFormatting>
  <conditionalFormatting sqref="D794:E794 D796:E796 D798:E798">
    <cfRule type="cellIs" dxfId="94" priority="71" operator="lessThan">
      <formula>-5</formula>
    </cfRule>
    <cfRule type="cellIs" dxfId="93" priority="72" operator="greaterThan">
      <formula>5</formula>
    </cfRule>
  </conditionalFormatting>
  <conditionalFormatting sqref="D801:E801 D803:E803 D805:E805">
    <cfRule type="cellIs" dxfId="92" priority="69" operator="lessThan">
      <formula>-5</formula>
    </cfRule>
    <cfRule type="cellIs" dxfId="91" priority="70" operator="greaterThan">
      <formula>5</formula>
    </cfRule>
  </conditionalFormatting>
  <conditionalFormatting sqref="D808:E808 D810:E810 D812:E812">
    <cfRule type="cellIs" dxfId="90" priority="67" operator="lessThan">
      <formula>-5</formula>
    </cfRule>
    <cfRule type="cellIs" dxfId="89" priority="68" operator="greaterThan">
      <formula>5</formula>
    </cfRule>
  </conditionalFormatting>
  <conditionalFormatting sqref="D815:E815 D817:E817 D819:E819">
    <cfRule type="cellIs" dxfId="88" priority="65" operator="lessThan">
      <formula>-5</formula>
    </cfRule>
    <cfRule type="cellIs" dxfId="87" priority="66" operator="greaterThan">
      <formula>5</formula>
    </cfRule>
  </conditionalFormatting>
  <conditionalFormatting sqref="D822:E822 D824:E824 D826:E826">
    <cfRule type="cellIs" dxfId="86" priority="63" operator="lessThan">
      <formula>-5</formula>
    </cfRule>
    <cfRule type="cellIs" dxfId="85" priority="64" operator="greaterThan">
      <formula>5</formula>
    </cfRule>
  </conditionalFormatting>
  <conditionalFormatting sqref="D829:E829 D831:E831 D833:E833">
    <cfRule type="cellIs" dxfId="84" priority="61" operator="lessThan">
      <formula>-5</formula>
    </cfRule>
    <cfRule type="cellIs" dxfId="83" priority="62" operator="greaterThan">
      <formula>5</formula>
    </cfRule>
  </conditionalFormatting>
  <conditionalFormatting sqref="D836:E836 D838:E838 D840:E840">
    <cfRule type="cellIs" dxfId="82" priority="59" operator="lessThan">
      <formula>-5</formula>
    </cfRule>
    <cfRule type="cellIs" dxfId="81" priority="60" operator="greaterThan">
      <formula>5</formula>
    </cfRule>
  </conditionalFormatting>
  <conditionalFormatting sqref="D843:E843 D845:E845 D847:E847">
    <cfRule type="cellIs" dxfId="80" priority="57" operator="lessThan">
      <formula>-5</formula>
    </cfRule>
    <cfRule type="cellIs" dxfId="79" priority="58" operator="greaterThan">
      <formula>5</formula>
    </cfRule>
  </conditionalFormatting>
  <conditionalFormatting sqref="D850:E850 D852:E852 D854:E854">
    <cfRule type="cellIs" dxfId="78" priority="55" operator="lessThan">
      <formula>-5</formula>
    </cfRule>
    <cfRule type="cellIs" dxfId="77" priority="56" operator="greaterThan">
      <formula>5</formula>
    </cfRule>
  </conditionalFormatting>
  <conditionalFormatting sqref="D857:E857 D859:E859 D861:E861">
    <cfRule type="cellIs" dxfId="76" priority="53" operator="lessThan">
      <formula>-5</formula>
    </cfRule>
    <cfRule type="cellIs" dxfId="75" priority="54" operator="greaterThan">
      <formula>5</formula>
    </cfRule>
  </conditionalFormatting>
  <conditionalFormatting sqref="D864:E864 D866:E866 D868:E868">
    <cfRule type="cellIs" dxfId="74" priority="51" operator="lessThan">
      <formula>-5</formula>
    </cfRule>
    <cfRule type="cellIs" dxfId="73" priority="52" operator="greaterThan">
      <formula>5</formula>
    </cfRule>
  </conditionalFormatting>
  <conditionalFormatting sqref="D871:E871 D873:E873 D875:E875">
    <cfRule type="cellIs" dxfId="72" priority="49" operator="lessThan">
      <formula>-5</formula>
    </cfRule>
    <cfRule type="cellIs" dxfId="71" priority="50" operator="greaterThan">
      <formula>5</formula>
    </cfRule>
  </conditionalFormatting>
  <conditionalFormatting sqref="D878:E878 D880:E880 D882:E882">
    <cfRule type="cellIs" dxfId="70" priority="47" operator="lessThan">
      <formula>-5</formula>
    </cfRule>
    <cfRule type="cellIs" dxfId="69" priority="48" operator="greaterThan">
      <formula>5</formula>
    </cfRule>
  </conditionalFormatting>
  <conditionalFormatting sqref="D885:E885 D887:E887 D889:E889">
    <cfRule type="cellIs" dxfId="68" priority="45" operator="lessThan">
      <formula>-5</formula>
    </cfRule>
    <cfRule type="cellIs" dxfId="67" priority="46" operator="greaterThan">
      <formula>5</formula>
    </cfRule>
  </conditionalFormatting>
  <conditionalFormatting sqref="D892:E892 D894:E894 D896:E896">
    <cfRule type="cellIs" dxfId="66" priority="43" operator="lessThan">
      <formula>-5</formula>
    </cfRule>
    <cfRule type="cellIs" dxfId="65" priority="44" operator="greaterThan">
      <formula>5</formula>
    </cfRule>
  </conditionalFormatting>
  <conditionalFormatting sqref="D899:E899 D901:E901 D903:E903">
    <cfRule type="cellIs" dxfId="64" priority="41" operator="lessThan">
      <formula>-5</formula>
    </cfRule>
    <cfRule type="cellIs" dxfId="63" priority="42" operator="greaterThan">
      <formula>5</formula>
    </cfRule>
  </conditionalFormatting>
  <conditionalFormatting sqref="D906:E906 D908:E908 D910:E910">
    <cfRule type="cellIs" dxfId="62" priority="39" operator="lessThan">
      <formula>-5</formula>
    </cfRule>
    <cfRule type="cellIs" dxfId="61" priority="40" operator="greaterThan">
      <formula>5</formula>
    </cfRule>
  </conditionalFormatting>
  <conditionalFormatting sqref="D913:E913 D915:E915 D917:E917">
    <cfRule type="cellIs" dxfId="60" priority="37" operator="lessThan">
      <formula>-5</formula>
    </cfRule>
    <cfRule type="cellIs" dxfId="59" priority="38" operator="greaterThan">
      <formula>5</formula>
    </cfRule>
  </conditionalFormatting>
  <conditionalFormatting sqref="D920:E920 D922:E922 D924:E924">
    <cfRule type="cellIs" dxfId="58" priority="35" operator="lessThan">
      <formula>-5</formula>
    </cfRule>
    <cfRule type="cellIs" dxfId="57" priority="36" operator="greaterThan">
      <formula>5</formula>
    </cfRule>
  </conditionalFormatting>
  <conditionalFormatting sqref="D927:E927 D929:E929 D931:E931">
    <cfRule type="cellIs" dxfId="56" priority="33" operator="lessThan">
      <formula>-5</formula>
    </cfRule>
    <cfRule type="cellIs" dxfId="55" priority="34" operator="greaterThan">
      <formula>5</formula>
    </cfRule>
  </conditionalFormatting>
  <conditionalFormatting sqref="D934:E934 D936:E936 D938:E938">
    <cfRule type="cellIs" dxfId="54" priority="31" operator="lessThan">
      <formula>-5</formula>
    </cfRule>
    <cfRule type="cellIs" dxfId="53" priority="32" operator="greaterThan">
      <formula>5</formula>
    </cfRule>
  </conditionalFormatting>
  <conditionalFormatting sqref="D941:E941 D943:E943 D945:E945">
    <cfRule type="cellIs" dxfId="52" priority="29" operator="lessThan">
      <formula>-5</formula>
    </cfRule>
    <cfRule type="cellIs" dxfId="51" priority="30" operator="greaterThan">
      <formula>5</formula>
    </cfRule>
  </conditionalFormatting>
  <conditionalFormatting sqref="D948:E948 D950:E950 D952:E952">
    <cfRule type="cellIs" dxfId="50" priority="27" operator="lessThan">
      <formula>-5</formula>
    </cfRule>
    <cfRule type="cellIs" dxfId="49" priority="28" operator="greaterThan">
      <formula>5</formula>
    </cfRule>
  </conditionalFormatting>
  <conditionalFormatting sqref="D955:E955 D957:E957 D959:E959">
    <cfRule type="cellIs" dxfId="48" priority="25" operator="lessThan">
      <formula>-5</formula>
    </cfRule>
    <cfRule type="cellIs" dxfId="47" priority="26" operator="greaterThan">
      <formula>5</formula>
    </cfRule>
  </conditionalFormatting>
  <conditionalFormatting sqref="D962:E962 D964:E964 D966:E966">
    <cfRule type="cellIs" dxfId="46" priority="23" operator="lessThan">
      <formula>-5</formula>
    </cfRule>
    <cfRule type="cellIs" dxfId="45" priority="24" operator="greaterThan">
      <formula>5</formula>
    </cfRule>
  </conditionalFormatting>
  <conditionalFormatting sqref="D969:E969 D971:E971 D973:E973">
    <cfRule type="cellIs" dxfId="44" priority="21" operator="lessThan">
      <formula>-5</formula>
    </cfRule>
    <cfRule type="cellIs" dxfId="43" priority="22" operator="greaterThan">
      <formula>5</formula>
    </cfRule>
  </conditionalFormatting>
  <conditionalFormatting sqref="D976:E976 D978:E978 D980:E980">
    <cfRule type="cellIs" dxfId="42" priority="19" operator="lessThan">
      <formula>-5</formula>
    </cfRule>
    <cfRule type="cellIs" dxfId="41" priority="20" operator="greaterThan">
      <formula>5</formula>
    </cfRule>
  </conditionalFormatting>
  <conditionalFormatting sqref="D983:E983 D985:E985 D987:E987">
    <cfRule type="cellIs" dxfId="40" priority="17" operator="lessThan">
      <formula>-5</formula>
    </cfRule>
    <cfRule type="cellIs" dxfId="39" priority="18" operator="greaterThan">
      <formula>5</formula>
    </cfRule>
  </conditionalFormatting>
  <conditionalFormatting sqref="D990:E990 D992:E992 D994:E994">
    <cfRule type="cellIs" dxfId="38" priority="15" operator="lessThan">
      <formula>-5</formula>
    </cfRule>
    <cfRule type="cellIs" dxfId="37" priority="16" operator="greaterThan">
      <formula>5</formula>
    </cfRule>
  </conditionalFormatting>
  <conditionalFormatting sqref="D997:E997 D999:E999 D1001:E1001">
    <cfRule type="cellIs" dxfId="36" priority="13" operator="lessThan">
      <formula>-5</formula>
    </cfRule>
    <cfRule type="cellIs" dxfId="35" priority="14" operator="greaterThan">
      <formula>5</formula>
    </cfRule>
  </conditionalFormatting>
  <conditionalFormatting sqref="D1004:E1004 D1006:E1006 D1008:E1008">
    <cfRule type="cellIs" dxfId="34" priority="11" operator="lessThan">
      <formula>-5</formula>
    </cfRule>
    <cfRule type="cellIs" dxfId="33" priority="12" operator="greaterThan">
      <formula>5</formula>
    </cfRule>
  </conditionalFormatting>
  <conditionalFormatting sqref="D1011:E1011 D1013:E1013 D1015:E1015">
    <cfRule type="cellIs" dxfId="32" priority="9" operator="lessThan">
      <formula>-5</formula>
    </cfRule>
    <cfRule type="cellIs" dxfId="31" priority="10" operator="greaterThan">
      <formula>5</formula>
    </cfRule>
  </conditionalFormatting>
  <conditionalFormatting sqref="D1018:E1018 D1020:E1020 D1022:E1022">
    <cfRule type="cellIs" dxfId="30" priority="7" operator="lessThan">
      <formula>-5</formula>
    </cfRule>
    <cfRule type="cellIs" dxfId="29" priority="8" operator="greaterThan">
      <formula>5</formula>
    </cfRule>
  </conditionalFormatting>
  <conditionalFormatting sqref="D1025:E1025 D1027:E1027 D1029:E1029">
    <cfRule type="cellIs" dxfId="28" priority="5" operator="lessThan">
      <formula>-5</formula>
    </cfRule>
    <cfRule type="cellIs" dxfId="27" priority="6" operator="greaterThan">
      <formula>5</formula>
    </cfRule>
  </conditionalFormatting>
  <conditionalFormatting sqref="D1032:E1032 D1034:E1034 D1036:E1036">
    <cfRule type="cellIs" dxfId="26" priority="3" operator="lessThan">
      <formula>-5</formula>
    </cfRule>
    <cfRule type="cellIs" dxfId="25" priority="4" operator="greaterThan">
      <formula>5</formula>
    </cfRule>
  </conditionalFormatting>
  <conditionalFormatting sqref="D1039:E1039 D1041:E1041 D1043:E1043">
    <cfRule type="cellIs" dxfId="24" priority="1" operator="lessThan">
      <formula>-5</formula>
    </cfRule>
    <cfRule type="cellIs" dxfId="23" priority="2" operator="greaterThan">
      <formula>5</formula>
    </cfRule>
  </conditionalFormatting>
  <dataValidations count="9">
    <dataValidation allowBlank="1" showInputMessage="1" showErrorMessage="1" promptTitle="Tisuue 저 주파수" prompt="용액 Cal 에서 가장 낮은 주파수" sqref="A6:A7 A13:A14 A20:A21 A27:A28 A34:A35 A41:A42 A48:A49 A55:A56 A62:A63 A69:A70 A76:A77 A83:A84 A88:A89 A95:A96 A102:A103 A109:A110 A116:A117 A123:A124 A130:A131 A137:A138 A144:A145 A151:A152 A158:A159 A165:A166 A172:A173 A179:A180 A186:A187 A193:A194 A200:A201 A207:A208 A214:A215 A221:A222 A228:A229 A235:A236 A242:A243 A249:A250 A256:A257 A263:A264 A270:A271 A277:A278 A284:A285 A291:A292 A298:A299 A305:A306 A312:A313 A319:A320 A326:A327 A333:A334 A340:A341 A347:A348 A354:A355 A361:A362 A368:A369 A375:A376 A382:A383 A389:A390 A396:A397 A403:A404 A410:A411 A417:A418 A424:A425 A431:A432 A438:A439 A445:A446 A452:A453 A459:A460 A466:A467 A473:A474 A480:A481 A487:A488 A494:A495 A501:A502 A508:A509 A515:A516 A522:A523 A529:A530 A536:A537 A543:A544 A550:A551 A557:A558 A564:A565 A571:A572 A578:A579 A585:A586 A592:A593 A599:A600 A606:A607 A613:A614 A620:A621 A627:A628 A634:A635 A641:A642 A648:A649 A655:A656 A662:A663 A669:A670 A676:A677 A683:A684 A690:A691 A697:A698 A704:A705 A711:A712 A718:A719 A725:A726 A732:A733 A739:A740 A746:A747 A753:A754 A760:A761 A767:A768 A774:A775 A781:A782 A788:A789 A795:A796 A802:A803 A809:A810 A816:A817 A823:A824 A830:A831 A837:A838 A844:A845 A851:A852 A858:A859 A865:A866 A872:A873 A879:A880 A886:A887 A893:A894 A900:A901 A907:A908 A914:A915 A921:A922 A928:A929 A935:A936 A942:A943 A949:A950 A956:A957 A963:A964 A970:A971 A977:A978 A984:A985 A991:A992 A998:A999 A1005:A1006 A1012:A1013 A1019:A1020 A1026:A1027 A1033:A1034 A1040:A1041" xr:uid="{00000000-0002-0000-0100-000000000000}"/>
    <dataValidation allowBlank="1" showInputMessage="1" showErrorMessage="1" promptTitle="Tisuue 고 주파수" prompt="용액 Cal에서 가장 높은 주파수" sqref="A8:A9 A15:A16 A22:A23 A29:A30 A36:A37 A43:A44 A50:A51 A57:A58 A64:A65 A71:A72 A78:A79 A90:A91 A97:A98 A104:A105 A111:A112 A118:A119 A125:A126 A132:A133 A139:A140 A146:A147 A153:A154 A160:A161 A167:A168 A174:A175 A181:A182 A188:A189 A195:A196 A202:A203 A209:A210 A216:A217 A223:A224 A230:A231 A237:A238 A244:A245 A251:A252 A258:A259 A265:A266 A272:A273 A279:A280 A286:A287 A293:A294 A300:A301 A307:A308 A314:A315 A321:A322 A328:A329 A335:A336 A342:A343 A349:A350 A356:A357 A363:A364 A370:A371 A377:A378 A384:A385 A391:A392 A398:A399 A405:A406 A412:A413 A419:A420 A426:A427 A433:A434 A440:A441 A447:A448 A454:A455 A461:A462 A468:A469 A475:A476 A482:A483 A489:A490 A496:A497 A503:A504 A510:A511 A517:A518 A524:A525 A531:A532 A538:A539 A545:A546 A552:A553 A559:A560 A566:A567 A573:A574 A580:A581 A587:A588 A594:A595 A601:A602 A608:A609 A615:A616 A622:A623 A629:A630 A636:A637 A643:A644 A650:A651 A657:A658 A664:A665 A671:A672 A678:A679 A685:A686 A692:A693 A699:A700 A706:A707 A713:A714 A720:A721 A727:A728 A734:A735 A741:A742 A748:A749 A755:A756 A762:A763 A769:A770 A776:A777 A783:A784 A790:A791 A797:A798 A804:A805 A811:A812 A818:A819 A825:A826 A832:A833 A839:A840 A846:A847 A853:A854 A860:A861 A867:A868 A874:A875 A881:A882 A888:A889 A895:A896 A902:A903 A909:A910 A916:A917 A923:A924 A930:A931 A937:A938 A944:A945 A951:A952 A958:A959 A965:A966 A972:A973 A979:A980 A986:A987 A993:A994 A1000:A1001 A1007:A1008 A1014:A1015 A1021:A1022 A1028:A1029 A1035:A1036 A1042:A1043" xr:uid="{00000000-0002-0000-0100-000001000000}"/>
    <dataValidation allowBlank="1" showInputMessage="1" showErrorMessage="1" promptTitle="Limits / Measured" prompt="용액 Cal 날짜_x000a_예) Measured, 2019-09-17" sqref="C3 C10 C17 C24 C31 C38 C45 C52 C59 C66 C73 C80 C85 C92 C99 C106 C113 C120 C127 C134 C141 C148 C155 C162 C169 C176 C183 C190 C197 C204 C211 C218 C225 C232 C239 C246 C253 C260 C267 C274 C281 C288 C295 C302 C309 C316 C323 C330 C337 C344 C351 C358 C365 C372 C379 C386 C393 C400 C407 C414 C421 C428 C435 C442 C449 C456 C463 C470 C477 C484 C491 C498 C505 C512 C519 C526 C533 C540 C547 C554 C561 C568 C575 C582 C589 C596 C603 C610 C617 C624 C631 C638 C645 C652 C659 C666 C673 C680 C687 C694 C701 C708 C715 C722 C729 C736 C743 C750 C757 C764 C771 C778 C785 C792 C799 C806 C813 C820 C827 C834 C841 C848 C855 C862 C869 C876 C883 C890 C897 C904 C911 C918 C925 C932 C939 C946 C953 C960 C967 C974 C981 C988 C995 C1002 C1009 C1016 C1023 C1030 C1037" xr:uid="{00000000-0002-0000-0100-000002000000}"/>
    <dataValidation allowBlank="1" showInputMessage="1" showErrorMessage="1" promptTitle="Permittivity" prompt="해당 주파수 유전율" sqref="D3 D6 D8 D10 D13 D15 D17 D20 D22 D24 D27 D29 D31 D34 D36 D38 D41 D43 D45 D48 D50 D52 D55 D57 D59 D62 D64 D66 D69 D71 D73 D76 D78 D80 D83 D85 D88 D90 D92 D95 D97 D99 D102 D104 D106 D109 D111 D113 D116 D118 D120 D123 D125 D127 D130 D132 D134 D137 D139 D141 D144 D146 D148 D151 D153 D155 D158 D160 D162 D165 D167 D169 D172 D174 D176 D179 D181 D183 D186 D188 D190 D193 D195 D197 D200 D202 D204 D207 D209 D211 D214 D216 D218 D221 D223 D225 D228 D230 D232 D235 D237 D239 D242 D244 D246 D249 D251 D253 D256 D258 D260 D263 D265 D267 D270 D272 D274 D277 D279 D281 D284 D286 D288 D291 D293 D295 D298 D300 D302 D305 D307 D309 D312 D314 D316 D319 D321 D323 D326 D328 D330 D333 D335 D337 D340 D342 D344 D347 D349 D351 D354 D356 D358 D361 D363 D365 D368 D370 D372 D375 D377 D379 D382 D384 D386 D389 D391 D393 D396 D398 D400 D403 D405 D407 D410 D412 D414 D417 D419 D421 D424 D426 D428 D431 D433 D435 D438 D440 D442 D445 D447 D449 D452 D454 D456 D459 D461 D463 D466 D468 D470 D473 D475 D477 D480 D482 D484 D487 D489 D491 D494 D496 D498 D501 D503 D505 D508 D510 D512 D515 D517 D519 D522 D524 D526 D529 D531 D533 D536 D538 D540 D543 D545 D547 D550 D552 D554 D557 D559 D561 D564 D566 D568 D571 D573 D575 D578 D580 D582 D585 D587 D589 D592 D594 D596 D599 D601 D603 D606 D608 D610 D613 D615 D617 D620 D622 D624 D627 D629 D631 D634 D636 D638 D641 D643 D645 D648 D650 D652 D655 D657 D659 D662 D664 D666 D669 D671 D673 D676 D678 D680 D683 D685 D687 D690 D692 D694 D697 D699 D701 D704 D706 D708 D711 D713 D715 D718 D720 D722 D725 D727 D729 D732 D734 D736 D739 D741 D743 D746 D748 D750 D753 D755 D757 D760 D762 D764 D767 D769 D771 D774 D776 D778 D781 D783 D785 D788 D790 D792 D795 D797 D799 D802 D804 D806 D809 D811 D813 D816 D818 D820 D823 D825 D827 D830 D832 D834 D837 D839 D841 D844 D846 D848 D851 D853 D855 D858 D860 D862 D865 D867 D869 D872 D874 D876 D879 D881 D883 D886 D888 D890 D893 D895 D897 D900 D902 D904 D907 D909 D911 D914 D916 D918 D921 D923 D925 D928 D930 D932 D935 D937 D939 D942 D944 D946 D949 D951 D953 D956 D958 D960 D963 D965 D967 D970 D972 D974 D977 D979 D981 D984 D986 D988 D991 D993 D995 D998 D1000 D1002 D1005 D1007 D1009 D1012 D1014 D1016 D1019 D1021 D1023 D1026 D1028 D1030 D1033 D1035 D1037 D1040 D1042" xr:uid="{00000000-0002-0000-0100-000003000000}"/>
    <dataValidation allowBlank="1" showInputMessage="1" showErrorMessage="1" promptTitle="Conductivity" prompt="해당 주파수 도전율" sqref="E3 E6 E8 E10 E13 E15 E17 E20 E22 E24 E27 E29 E31 E34 E36 E38 E41 E43 E45 E48 E50 E52 E55 E57 E59 E62 E64 E66 E69 E71 E73 E76 E78 E80 E83 E85 E88 E90 E92 E95 E97 E99 E102 E104 E106 E109 E111 E113 E116 E118 E120 E123 E125 E127 E130 E132 E134 E137 E139 E141 E144 E146 E148 E151 E153 E155 E158 E160 E162 E165 E167 E169 E172 E174 E176 E179 E181 E183 E186 E188 E190 E193 E195 E197 E200 E202 E204 E207 E209 E211 E214 E216 E218 E221 E223 E225 E228 E230 E232 E235 E237 E239 E242 E244 E246 E249 E251 E253 E256 E258 E260 E263 E265 E267 E270 E272 E274 E277 E279 E281 E284 E286 E288 E291 E293 E295 E298 E300 E302 E305 E307 E309 E312 E314 E316 E319 E321 E323 E326 E328 E330 E333 E335 E337 E340 E342 E344 E347 E349 E351 E354 E356 E358 E361 E363 E365 E368 E370 E372 E375 E377 E379 E382 E384 E386 E389 E391 E393 E396 E398 E400 E403 E405 E407 E410 E412 E414 E417 E419 E421 E424 E426 E428 E431 E433 E435 E438 E440 E442 E445 E447 E449 E452 E454 E456 E459 E461 E463 E466 E468 E470 E473 E475 E477 E480 E482 E484 E487 E489 E491 E494 E496 E498 E501 E503 E505 E508 E510 E512 E515 E517 E519 E522 E524 E526 E529 E531 E533 E536 E538 E540 E543 E545 E547 E550 E552 E554 E557 E559 E561 E564 E566 E568 E571 E573 E575 E578 E580 E582 E585 E587 E589 E592 E594 E596 E599 E601 E603 E606 E608 E610 E613 E615 E617 E620 E622 E624 E627 E629 E631 E634 E636 E638 E641 E643 E645 E648 E650 E652 E655 E657 E659 E662 E664 E666 E669 E671 E673 E676 E678 E680 E683 E685 E687 E690 E692 E694 E697 E699 E701 E704 E706 E708 E711 E713 E715 E718 E720 E722 E725 E727 E729 E732 E734 E736 E739 E741 E743 E746 E748 E750 E753 E755 E757 E760 E762 E764 E767 E769 E771 E774 E776 E778 E781 E783 E785 E788 E790 E792 E795 E797 E799 E802 E804 E806 E809 E811 E813 E816 E818 E820 E823 E825 E827 E830 E832 E834 E837 E839 E841 E844 E846 E848 E851 E853 E855 E858 E860 E862 E865 E867 E869 E872 E874 E876 E879 E881 E883 E886 E888 E890 E893 E895 E897 E900 E902 E904 E907 E909 E911 E914 E916 E918 E921 E923 E925 E928 E930 E932 E935 E937 E939 E942 E944 E946 E949 E951 E953 E956 E958 E960 E963 E965 E967 E970 E972 E974 E977 E979 E981 E984 E986 E988 E991 E993 E995 E998 E1000 E1002 E1005 E1007 E1009 E1012 E1014 E1016 E1019 E1021 E1023 E1026 E1028 E1030 E1033 E1035 E1037 E1040 E1042" xr:uid="{00000000-0002-0000-0100-000004000000}"/>
    <dataValidation allowBlank="1" showInputMessage="1" showErrorMessage="1" promptTitle="Simulated Tissue Temp(℃)" prompt="용액 온도" sqref="F3:F1043" xr:uid="{00000000-0002-0000-0100-000005000000}"/>
    <dataValidation allowBlank="1" showInputMessage="1" showErrorMessage="1" promptTitle="Band" prompt="측정 밴드" sqref="G3:G1043" xr:uid="{00000000-0002-0000-0100-000006000000}"/>
    <dataValidation allowBlank="1" showInputMessage="1" showErrorMessage="1" promptTitle="Chamber" prompt="측정 챔버" sqref="H3:H1043" xr:uid="{00000000-0002-0000-0100-000007000000}"/>
    <dataValidation type="list" allowBlank="1" showInputMessage="1" showErrorMessage="1" promptTitle="Tisuue 주파수" prompt="측정 주파수를 선택하시오." sqref="A10:A12 A1037:A1039 A1030:A1032 A1023:A1025 A1016:A1018 A1009:A1011 A1002:A1004 A995:A997 A988:A990 A981:A983 A974:A976 A967:A969 A960:A962 A953:A955 A946:A948 A939:A941 A932:A934 A925:A927 A918:A920 A911:A913 A904:A906 A897:A899 A890:A892 A883:A885 A876:A878 A869:A871 A862:A864 A855:A857 A848:A850 A841:A843 A834:A836 A827:A829 A820:A822 A813:A815 A806:A808 A799:A801 A792:A794 A785:A787 A778:A780 A771:A773 A764:A766 A757:A759 A750:A752 A743:A745 A736:A738 A729:A731 A722:A724 A715:A717 A708:A710 A701:A703 A694:A696 A687:A689 A680:A682 A673:A675 A666:A668 A659:A661 A652:A654 A645:A647 A638:A640 A631:A633 A624:A626 A617:A619 A610:A612 A603:A605 A596:A598 A589:A591 A582:A584 A575:A577 A568:A570 A561:A563 A554:A556 A547:A549 A540:A542 A533:A535 A526:A528 A519:A521 A512:A514 A505:A507 A498:A500 A491:A493 A484:A486 A477:A479 A470:A472 A463:A465 A456:A458 A449:A451 A442:A444 A435:A437 A428:A430 A421:A423 A414:A416 A407:A409 A400:A402 A393:A395 A386:A388 A379:A381 A372:A374 A365:A367 A358:A360 A351:A353 A344:A346 A337:A339 A330:A332 A323:A325 A316:A318 A309:A311 A302:A304 A295:A297 A288:A290 A281:A283 A274:A276 A267:A269 A260:A262 A253:A255 A246:A248 A239:A241 A232:A234 A225:A227 A218:A220 A211:A213 A204:A206 A197:A199 A190:A192 A183:A185 A176:A178 A169:A171 A162:A164 A155:A157 A148:A150 A141:A143 A134:A136 A127:A129 A120:A122 A113:A115 A106:A108 A99:A101 A92:A94 A85:A87 A80:A82 A73:A75 A66:A68 A59:A61 A52:A54 A45:A47 A38:A40 A31:A33 A24:A26 A17:A19" xr:uid="{00000000-0002-0000-0100-000008000000}">
      <formula1>$D$173:$D$200</formula1>
    </dataValidation>
  </dataValidations>
  <printOptions horizontalCentered="1"/>
  <pageMargins left="0.23622047244094491" right="0.23622047244094491" top="0.98425196850393704" bottom="0.74803149606299213" header="0.47244094488188981" footer="0.31496062992125984"/>
  <pageSetup paperSize="9" scale="81" firstPageNumber="2" fitToHeight="0" orientation="portrait" useFirstPageNumber="1" r:id="rId1"/>
  <headerFooter>
    <oddHeader>&amp;L&amp;G&amp;C&amp;"-,굵게"&amp;25SAR Test Worksheet</oddHeader>
    <oddFooter>&amp;LRTT5041-49(2018.01.01)(5)                                                      &amp;C&amp;P/&amp;N&amp;RA4(210mm*297mm)</oddFooter>
  </headerFooter>
  <colBreaks count="1" manualBreakCount="1">
    <brk id="6" max="43" man="1"/>
  </colBreaks>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promptTitle="Tisuue 주파수" prompt="측정 주파수를 선택하시오." xr:uid="{00000000-0002-0000-0100-00009C000000}">
          <x14:formula1>
            <xm:f>'Equipment list'!$D$189:$D$220</xm:f>
          </x14:formula1>
          <xm:sqref>A3:A5</xm:sqref>
        </x14:dataValidation>
        <x14:dataValidation type="list" allowBlank="1" showInputMessage="1" showErrorMessage="1" promptTitle="Tissue type" prompt="용액 종류" xr:uid="{00000000-0002-0000-0100-00009D000000}">
          <x14:formula1>
            <xm:f>'Equipment list'!$G$4:$G$6</xm:f>
          </x14:formula1>
          <xm:sqref>B3:B1043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R724"/>
  <sheetViews>
    <sheetView view="pageBreakPreview" zoomScaleNormal="100" zoomScaleSheetLayoutView="100" zoomScalePageLayoutView="40" workbookViewId="0">
      <selection activeCell="Q5" sqref="Q5"/>
    </sheetView>
  </sheetViews>
  <sheetFormatPr defaultColWidth="9" defaultRowHeight="15.6" x14ac:dyDescent="0.4"/>
  <cols>
    <col min="1" max="1" width="12" style="11" customWidth="1"/>
    <col min="2" max="2" width="9.19921875" style="11" customWidth="1"/>
    <col min="3" max="3" width="9.09765625" style="11" customWidth="1"/>
    <col min="4" max="5" width="11.59765625" style="11" customWidth="1"/>
    <col min="6" max="6" width="10.3984375" style="11" customWidth="1"/>
    <col min="7" max="7" width="10.59765625" style="11" customWidth="1"/>
    <col min="8" max="8" width="9.09765625" style="11" customWidth="1"/>
    <col min="9" max="9" width="9.19921875" style="11" customWidth="1"/>
    <col min="10" max="10" width="9.8984375" style="11" customWidth="1"/>
    <col min="11" max="11" width="10.09765625" style="11" customWidth="1"/>
    <col min="12" max="12" width="10.09765625" style="48" customWidth="1"/>
    <col min="13" max="13" width="23.3984375" style="11" bestFit="1" customWidth="1"/>
    <col min="14" max="16384" width="9" style="11"/>
  </cols>
  <sheetData>
    <row r="1" spans="1:18" ht="16.5" customHeight="1" x14ac:dyDescent="0.4">
      <c r="A1" s="104" t="s">
        <v>237</v>
      </c>
      <c r="B1" s="104" t="s">
        <v>196</v>
      </c>
      <c r="C1" s="104" t="s">
        <v>195</v>
      </c>
      <c r="D1" s="104" t="s">
        <v>194</v>
      </c>
      <c r="E1" s="104" t="s">
        <v>193</v>
      </c>
      <c r="F1" s="104" t="s">
        <v>192</v>
      </c>
      <c r="G1" s="104" t="s">
        <v>191</v>
      </c>
      <c r="H1" s="104" t="s">
        <v>190</v>
      </c>
      <c r="I1" s="104" t="s">
        <v>189</v>
      </c>
      <c r="J1" s="104" t="s">
        <v>238</v>
      </c>
      <c r="K1" s="104" t="s">
        <v>239</v>
      </c>
      <c r="L1" s="74" t="s">
        <v>271</v>
      </c>
      <c r="M1" s="74" t="s">
        <v>210</v>
      </c>
      <c r="N1" s="74" t="s">
        <v>240</v>
      </c>
      <c r="O1" s="74" t="s">
        <v>211</v>
      </c>
      <c r="P1" s="74" t="s">
        <v>212</v>
      </c>
      <c r="Q1" s="74"/>
      <c r="R1" s="29"/>
    </row>
    <row r="2" spans="1:18" ht="16.5" customHeight="1" x14ac:dyDescent="0.4">
      <c r="A2" s="105"/>
      <c r="B2" s="105"/>
      <c r="C2" s="105"/>
      <c r="D2" s="105"/>
      <c r="E2" s="105"/>
      <c r="F2" s="107"/>
      <c r="G2" s="107"/>
      <c r="H2" s="104"/>
      <c r="I2" s="104"/>
      <c r="J2" s="104"/>
      <c r="K2" s="104"/>
      <c r="L2" s="74"/>
      <c r="M2" s="74"/>
      <c r="N2" s="74"/>
      <c r="O2" s="74"/>
      <c r="P2" s="74"/>
      <c r="Q2" s="74"/>
      <c r="R2" s="29"/>
    </row>
    <row r="3" spans="1:18" ht="16.5" customHeight="1" x14ac:dyDescent="0.4">
      <c r="A3" s="105"/>
      <c r="B3" s="105"/>
      <c r="C3" s="105"/>
      <c r="D3" s="105"/>
      <c r="E3" s="105"/>
      <c r="F3" s="107"/>
      <c r="G3" s="107"/>
      <c r="H3" s="104"/>
      <c r="I3" s="104"/>
      <c r="J3" s="104"/>
      <c r="K3" s="104"/>
      <c r="L3" s="74"/>
      <c r="M3" s="74"/>
      <c r="N3" s="74"/>
      <c r="O3" s="74"/>
      <c r="P3" s="74"/>
      <c r="Q3" s="74"/>
      <c r="R3" s="29"/>
    </row>
    <row r="4" spans="1:18" ht="16.5" customHeight="1" x14ac:dyDescent="0.4">
      <c r="A4" s="106"/>
      <c r="B4" s="106"/>
      <c r="C4" s="106"/>
      <c r="D4" s="106"/>
      <c r="E4" s="106"/>
      <c r="F4" s="106"/>
      <c r="G4" s="106"/>
      <c r="H4" s="106"/>
      <c r="I4" s="106"/>
      <c r="J4" s="106"/>
      <c r="K4" s="106"/>
      <c r="L4" s="74"/>
      <c r="M4" s="74"/>
      <c r="N4" s="74"/>
      <c r="O4" s="74"/>
      <c r="P4" s="33" t="s">
        <v>241</v>
      </c>
      <c r="Q4" s="33" t="s">
        <v>242</v>
      </c>
      <c r="R4" s="29"/>
    </row>
    <row r="5" spans="1:18" ht="26.4" x14ac:dyDescent="0.4">
      <c r="A5" s="71" t="s">
        <v>272</v>
      </c>
      <c r="B5" s="46"/>
      <c r="C5" s="54">
        <v>750</v>
      </c>
      <c r="D5" s="15">
        <f>INDEX('Equipment list'!$B$227:$B$256, (MATCH(C5,'Equipment list'!$D$227:$D$256,0)),1)</f>
        <v>8.49</v>
      </c>
      <c r="E5" s="15">
        <f>INDEX('Equipment list'!$C$227:$C$256, (MATCH(C5,'Equipment list'!$D$227:$D$256,0)),1)</f>
        <v>5.55</v>
      </c>
      <c r="F5" s="15">
        <f t="shared" ref="F5" si="0">P5*4</f>
        <v>0</v>
      </c>
      <c r="G5" s="34">
        <f t="shared" ref="G5" si="1">Q5*4</f>
        <v>0</v>
      </c>
      <c r="H5" s="15">
        <f t="shared" ref="H5" si="2">(F5-D5)/D5*100</f>
        <v>-100</v>
      </c>
      <c r="I5" s="15">
        <f t="shared" ref="I5" si="3">(G5-E5)/E5*100</f>
        <v>-100</v>
      </c>
      <c r="J5" s="45"/>
      <c r="K5" s="46"/>
      <c r="L5" s="101" t="s">
        <v>257</v>
      </c>
      <c r="M5" s="50" t="s">
        <v>259</v>
      </c>
      <c r="N5" s="38"/>
      <c r="O5" s="33">
        <f t="shared" ref="O5" si="4">C5</f>
        <v>750</v>
      </c>
      <c r="P5" s="44"/>
      <c r="Q5" s="44"/>
      <c r="R5" s="29"/>
    </row>
    <row r="6" spans="1:18" ht="26.4" x14ac:dyDescent="0.4">
      <c r="A6" s="71" t="s">
        <v>273</v>
      </c>
      <c r="B6" s="46"/>
      <c r="C6" s="54">
        <v>835</v>
      </c>
      <c r="D6" s="34">
        <f>INDEX('Equipment list'!$B$227:$B$256, (MATCH(C6,'Equipment list'!$D$227:$D$256,0)),1)</f>
        <v>9.56</v>
      </c>
      <c r="E6" s="34">
        <f>INDEX('Equipment list'!$C$227:$C$256, (MATCH(C6,'Equipment list'!$D$227:$D$256,0)),1)</f>
        <v>6.22</v>
      </c>
      <c r="F6" s="34">
        <f t="shared" ref="F6:F69" si="5">P6*4</f>
        <v>0</v>
      </c>
      <c r="G6" s="34">
        <f t="shared" ref="G6:G69" si="6">Q6*4</f>
        <v>0</v>
      </c>
      <c r="H6" s="34">
        <f t="shared" ref="H6:H69" si="7">(F6-D6)/D6*100</f>
        <v>-100</v>
      </c>
      <c r="I6" s="34">
        <f t="shared" ref="I6:I69" si="8">(G6-E6)/E6*100</f>
        <v>-100</v>
      </c>
      <c r="J6" s="45"/>
      <c r="K6" s="46"/>
      <c r="L6" s="102"/>
      <c r="M6" s="50" t="s">
        <v>260</v>
      </c>
      <c r="N6" s="39"/>
      <c r="O6" s="37">
        <f t="shared" ref="O6:O69" si="9">C6</f>
        <v>835</v>
      </c>
      <c r="P6" s="44"/>
      <c r="Q6" s="44"/>
    </row>
    <row r="7" spans="1:18" ht="26.4" x14ac:dyDescent="0.4">
      <c r="A7" s="71" t="s">
        <v>274</v>
      </c>
      <c r="B7" s="46"/>
      <c r="C7" s="54">
        <v>900</v>
      </c>
      <c r="D7" s="34">
        <f>INDEX('Equipment list'!$B$227:$B$256, (MATCH(C7,'Equipment list'!$D$227:$D$256,0)),1)</f>
        <v>10.9</v>
      </c>
      <c r="E7" s="34">
        <f>INDEX('Equipment list'!$C$227:$C$256, (MATCH(C7,'Equipment list'!$D$227:$D$256,0)),1)</f>
        <v>6.99</v>
      </c>
      <c r="F7" s="34">
        <f t="shared" si="5"/>
        <v>0</v>
      </c>
      <c r="G7" s="34">
        <f t="shared" si="6"/>
        <v>0</v>
      </c>
      <c r="H7" s="34">
        <f t="shared" si="7"/>
        <v>-100</v>
      </c>
      <c r="I7" s="34">
        <f t="shared" si="8"/>
        <v>-100</v>
      </c>
      <c r="J7" s="45"/>
      <c r="K7" s="46"/>
      <c r="L7" s="102"/>
      <c r="M7" s="50" t="s">
        <v>292</v>
      </c>
      <c r="N7" s="39"/>
      <c r="O7" s="37">
        <f t="shared" si="9"/>
        <v>900</v>
      </c>
      <c r="P7" s="44"/>
      <c r="Q7" s="44"/>
    </row>
    <row r="8" spans="1:18" ht="26.4" x14ac:dyDescent="0.4">
      <c r="A8" s="71" t="s">
        <v>275</v>
      </c>
      <c r="B8" s="46"/>
      <c r="C8" s="54">
        <v>1800</v>
      </c>
      <c r="D8" s="34">
        <f>INDEX('Equipment list'!$B$227:$B$256, (MATCH(C8,'Equipment list'!$D$227:$D$256,0)),1)</f>
        <v>38.4</v>
      </c>
      <c r="E8" s="34">
        <f>INDEX('Equipment list'!$C$227:$C$256, (MATCH(C8,'Equipment list'!$D$227:$D$256,0)),1)</f>
        <v>20.100000000000001</v>
      </c>
      <c r="F8" s="34">
        <f t="shared" si="5"/>
        <v>0</v>
      </c>
      <c r="G8" s="34">
        <f t="shared" si="6"/>
        <v>0</v>
      </c>
      <c r="H8" s="34">
        <f t="shared" si="7"/>
        <v>-100</v>
      </c>
      <c r="I8" s="34">
        <f t="shared" si="8"/>
        <v>-100</v>
      </c>
      <c r="J8" s="45"/>
      <c r="K8" s="46"/>
      <c r="L8" s="102"/>
      <c r="M8" s="50" t="s">
        <v>293</v>
      </c>
      <c r="N8" s="39"/>
      <c r="O8" s="37">
        <f t="shared" si="9"/>
        <v>1800</v>
      </c>
      <c r="P8" s="44"/>
      <c r="Q8" s="44"/>
    </row>
    <row r="9" spans="1:18" ht="26.4" x14ac:dyDescent="0.4">
      <c r="A9" s="71" t="s">
        <v>276</v>
      </c>
      <c r="B9" s="46"/>
      <c r="C9" s="54">
        <v>1900</v>
      </c>
      <c r="D9" s="34">
        <f>INDEX('Equipment list'!$B$227:$B$256, (MATCH(C9,'Equipment list'!$D$227:$D$256,0)),1)</f>
        <v>39.700000000000003</v>
      </c>
      <c r="E9" s="34">
        <f>INDEX('Equipment list'!$C$227:$C$256, (MATCH(C9,'Equipment list'!$D$227:$D$256,0)),1)</f>
        <v>20.5</v>
      </c>
      <c r="F9" s="34">
        <f t="shared" si="5"/>
        <v>0</v>
      </c>
      <c r="G9" s="34">
        <f t="shared" si="6"/>
        <v>0</v>
      </c>
      <c r="H9" s="34">
        <f t="shared" si="7"/>
        <v>-100</v>
      </c>
      <c r="I9" s="34">
        <f t="shared" si="8"/>
        <v>-100</v>
      </c>
      <c r="J9" s="45"/>
      <c r="K9" s="46"/>
      <c r="L9" s="102"/>
      <c r="M9" s="50" t="s">
        <v>294</v>
      </c>
      <c r="N9" s="39"/>
      <c r="O9" s="37">
        <f t="shared" si="9"/>
        <v>1900</v>
      </c>
      <c r="P9" s="44"/>
      <c r="Q9" s="44"/>
    </row>
    <row r="10" spans="1:18" ht="26.4" x14ac:dyDescent="0.4">
      <c r="A10" s="71" t="s">
        <v>277</v>
      </c>
      <c r="B10" s="46"/>
      <c r="C10" s="54">
        <v>1950</v>
      </c>
      <c r="D10" s="34">
        <f>INDEX('Equipment list'!$B$227:$B$256, (MATCH(C10,'Equipment list'!$D$227:$D$256,0)),1)</f>
        <v>40.5</v>
      </c>
      <c r="E10" s="34">
        <f>INDEX('Equipment list'!$C$227:$C$256, (MATCH(C10,'Equipment list'!$D$227:$D$256,0)),1)</f>
        <v>20.9</v>
      </c>
      <c r="F10" s="34">
        <f t="shared" si="5"/>
        <v>0</v>
      </c>
      <c r="G10" s="34">
        <f t="shared" si="6"/>
        <v>0</v>
      </c>
      <c r="H10" s="34">
        <f t="shared" si="7"/>
        <v>-100</v>
      </c>
      <c r="I10" s="34">
        <f t="shared" si="8"/>
        <v>-100</v>
      </c>
      <c r="J10" s="45"/>
      <c r="K10" s="46"/>
      <c r="L10" s="102"/>
      <c r="M10" s="50" t="s">
        <v>294</v>
      </c>
      <c r="N10" s="39"/>
      <c r="O10" s="37">
        <f t="shared" si="9"/>
        <v>1950</v>
      </c>
      <c r="P10" s="44"/>
      <c r="Q10" s="44"/>
    </row>
    <row r="11" spans="1:18" ht="26.4" x14ac:dyDescent="0.4">
      <c r="A11" s="71" t="s">
        <v>278</v>
      </c>
      <c r="B11" s="46"/>
      <c r="C11" s="54">
        <v>2300</v>
      </c>
      <c r="D11" s="34">
        <f>INDEX('Equipment list'!$B$227:$B$256, (MATCH(C11,'Equipment list'!$D$227:$D$256,0)),1)</f>
        <v>48.7</v>
      </c>
      <c r="E11" s="34">
        <f>INDEX('Equipment list'!$C$227:$C$256, (MATCH(C11,'Equipment list'!$D$227:$D$256,0)),1)</f>
        <v>23.3</v>
      </c>
      <c r="F11" s="34">
        <f t="shared" si="5"/>
        <v>0</v>
      </c>
      <c r="G11" s="34">
        <f t="shared" si="6"/>
        <v>0</v>
      </c>
      <c r="H11" s="34">
        <f t="shared" si="7"/>
        <v>-100</v>
      </c>
      <c r="I11" s="34">
        <f t="shared" si="8"/>
        <v>-100</v>
      </c>
      <c r="J11" s="45"/>
      <c r="K11" s="46"/>
      <c r="L11" s="102"/>
      <c r="M11" s="50" t="s">
        <v>264</v>
      </c>
      <c r="N11" s="39"/>
      <c r="O11" s="37">
        <f t="shared" si="9"/>
        <v>2300</v>
      </c>
      <c r="P11" s="44"/>
      <c r="Q11" s="44"/>
    </row>
    <row r="12" spans="1:18" ht="26.4" x14ac:dyDescent="0.4">
      <c r="A12" s="71" t="s">
        <v>279</v>
      </c>
      <c r="B12" s="46"/>
      <c r="C12" s="54">
        <v>2450</v>
      </c>
      <c r="D12" s="34">
        <f>INDEX('Equipment list'!$B$227:$B$256, (MATCH(C12,'Equipment list'!$D$227:$D$256,0)),1)</f>
        <v>52.4</v>
      </c>
      <c r="E12" s="34">
        <f>INDEX('Equipment list'!$C$227:$C$256, (MATCH(C12,'Equipment list'!$D$227:$D$256,0)),1)</f>
        <v>24</v>
      </c>
      <c r="F12" s="34">
        <f t="shared" si="5"/>
        <v>0</v>
      </c>
      <c r="G12" s="34">
        <f t="shared" si="6"/>
        <v>0</v>
      </c>
      <c r="H12" s="34">
        <f t="shared" si="7"/>
        <v>-100</v>
      </c>
      <c r="I12" s="34">
        <f t="shared" si="8"/>
        <v>-100</v>
      </c>
      <c r="J12" s="45"/>
      <c r="K12" s="46"/>
      <c r="L12" s="102"/>
      <c r="M12" s="50" t="s">
        <v>265</v>
      </c>
      <c r="N12" s="39"/>
      <c r="O12" s="37">
        <f t="shared" si="9"/>
        <v>2450</v>
      </c>
      <c r="P12" s="44"/>
      <c r="Q12" s="44"/>
    </row>
    <row r="13" spans="1:18" ht="26.4" x14ac:dyDescent="0.4">
      <c r="A13" s="71" t="s">
        <v>280</v>
      </c>
      <c r="B13" s="46"/>
      <c r="C13" s="54">
        <v>2600</v>
      </c>
      <c r="D13" s="34">
        <f>INDEX('Equipment list'!$B$227:$B$256, (MATCH(C13,'Equipment list'!$D$227:$D$256,0)),1)</f>
        <v>55.3</v>
      </c>
      <c r="E13" s="34">
        <f>INDEX('Equipment list'!$C$227:$C$256, (MATCH(C13,'Equipment list'!$D$227:$D$256,0)),1)</f>
        <v>24.6</v>
      </c>
      <c r="F13" s="34">
        <f t="shared" si="5"/>
        <v>0</v>
      </c>
      <c r="G13" s="34">
        <f t="shared" si="6"/>
        <v>0</v>
      </c>
      <c r="H13" s="34">
        <f t="shared" si="7"/>
        <v>-100</v>
      </c>
      <c r="I13" s="34">
        <f t="shared" si="8"/>
        <v>-100</v>
      </c>
      <c r="J13" s="45"/>
      <c r="K13" s="46"/>
      <c r="L13" s="102"/>
      <c r="M13" s="50" t="s">
        <v>266</v>
      </c>
      <c r="N13" s="39"/>
      <c r="O13" s="37">
        <f t="shared" si="9"/>
        <v>2600</v>
      </c>
      <c r="P13" s="44"/>
      <c r="Q13" s="44"/>
    </row>
    <row r="14" spans="1:18" ht="26.4" x14ac:dyDescent="0.4">
      <c r="A14" s="71" t="s">
        <v>281</v>
      </c>
      <c r="B14" s="46"/>
      <c r="C14" s="54">
        <v>3500</v>
      </c>
      <c r="D14" s="34">
        <f>INDEX('Equipment list'!$B$227:$B$256, (MATCH(C14,'Equipment list'!$D$227:$D$256,0)),1)</f>
        <v>67.099999999999994</v>
      </c>
      <c r="E14" s="34">
        <f>INDEX('Equipment list'!$C$227:$C$256, (MATCH(C14,'Equipment list'!$D$227:$D$256,0)),1)</f>
        <v>25</v>
      </c>
      <c r="F14" s="34">
        <f t="shared" si="5"/>
        <v>0</v>
      </c>
      <c r="G14" s="34">
        <f t="shared" si="6"/>
        <v>0</v>
      </c>
      <c r="H14" s="34">
        <f t="shared" si="7"/>
        <v>-100</v>
      </c>
      <c r="I14" s="34">
        <f t="shared" si="8"/>
        <v>-100</v>
      </c>
      <c r="J14" s="45"/>
      <c r="K14" s="46"/>
      <c r="L14" s="102"/>
      <c r="M14" s="101" t="s">
        <v>267</v>
      </c>
      <c r="N14" s="39"/>
      <c r="O14" s="37">
        <f t="shared" si="9"/>
        <v>3500</v>
      </c>
      <c r="P14" s="44"/>
      <c r="Q14" s="44"/>
    </row>
    <row r="15" spans="1:18" ht="26.4" x14ac:dyDescent="0.4">
      <c r="A15" s="71" t="s">
        <v>282</v>
      </c>
      <c r="B15" s="46"/>
      <c r="C15" s="54">
        <v>3700</v>
      </c>
      <c r="D15" s="34">
        <f>INDEX('Equipment list'!$B$227:$B$256, (MATCH(C15,'Equipment list'!$D$227:$D$256,0)),1)</f>
        <v>67.400000000000006</v>
      </c>
      <c r="E15" s="34">
        <f>INDEX('Equipment list'!$C$227:$C$256, (MATCH(C15,'Equipment list'!$D$227:$D$256,0)),1)</f>
        <v>24.2</v>
      </c>
      <c r="F15" s="34">
        <f t="shared" si="5"/>
        <v>0</v>
      </c>
      <c r="G15" s="34">
        <f t="shared" si="6"/>
        <v>0</v>
      </c>
      <c r="H15" s="34">
        <f t="shared" si="7"/>
        <v>-100</v>
      </c>
      <c r="I15" s="34">
        <f t="shared" si="8"/>
        <v>-100</v>
      </c>
      <c r="J15" s="45"/>
      <c r="K15" s="46"/>
      <c r="L15" s="102"/>
      <c r="M15" s="103"/>
      <c r="N15" s="39"/>
      <c r="O15" s="37">
        <f t="shared" si="9"/>
        <v>3700</v>
      </c>
      <c r="P15" s="44"/>
      <c r="Q15" s="44"/>
    </row>
    <row r="16" spans="1:18" ht="26.4" x14ac:dyDescent="0.4">
      <c r="A16" s="71" t="s">
        <v>283</v>
      </c>
      <c r="B16" s="46"/>
      <c r="C16" s="54">
        <v>5200</v>
      </c>
      <c r="D16" s="34">
        <f>INDEX('Equipment list'!$B$227:$B$256, (MATCH(C16,'Equipment list'!$D$227:$D$256,0)),1)</f>
        <v>76.5</v>
      </c>
      <c r="E16" s="34">
        <f>INDEX('Equipment list'!$C$227:$C$256, (MATCH(C16,'Equipment list'!$D$227:$D$256,0)),1)</f>
        <v>21.6</v>
      </c>
      <c r="F16" s="34">
        <f t="shared" si="5"/>
        <v>0</v>
      </c>
      <c r="G16" s="34">
        <f t="shared" si="6"/>
        <v>0</v>
      </c>
      <c r="H16" s="34">
        <f t="shared" si="7"/>
        <v>-100</v>
      </c>
      <c r="I16" s="34">
        <f t="shared" si="8"/>
        <v>-100</v>
      </c>
      <c r="J16" s="45"/>
      <c r="K16" s="46"/>
      <c r="L16" s="102"/>
      <c r="M16" s="101" t="s">
        <v>268</v>
      </c>
      <c r="N16" s="39"/>
      <c r="O16" s="37">
        <f t="shared" si="9"/>
        <v>5200</v>
      </c>
      <c r="P16" s="44"/>
      <c r="Q16" s="44"/>
    </row>
    <row r="17" spans="1:17" ht="26.4" x14ac:dyDescent="0.4">
      <c r="A17" s="71" t="s">
        <v>283</v>
      </c>
      <c r="B17" s="46"/>
      <c r="C17" s="54">
        <v>5300</v>
      </c>
      <c r="D17" s="34">
        <v>82.6</v>
      </c>
      <c r="E17" s="34">
        <v>23.7</v>
      </c>
      <c r="F17" s="34">
        <f t="shared" si="5"/>
        <v>0</v>
      </c>
      <c r="G17" s="34">
        <f t="shared" si="6"/>
        <v>0</v>
      </c>
      <c r="H17" s="34">
        <f t="shared" si="7"/>
        <v>-100</v>
      </c>
      <c r="I17" s="34">
        <f t="shared" si="8"/>
        <v>-100</v>
      </c>
      <c r="J17" s="45"/>
      <c r="K17" s="46"/>
      <c r="L17" s="102"/>
      <c r="M17" s="103"/>
      <c r="N17" s="39"/>
      <c r="O17" s="37">
        <f t="shared" si="9"/>
        <v>5300</v>
      </c>
      <c r="P17" s="44"/>
      <c r="Q17" s="44"/>
    </row>
    <row r="18" spans="1:17" ht="26.4" x14ac:dyDescent="0.4">
      <c r="A18" s="71" t="s">
        <v>283</v>
      </c>
      <c r="B18" s="46"/>
      <c r="C18" s="54">
        <v>5600</v>
      </c>
      <c r="D18" s="34">
        <v>85</v>
      </c>
      <c r="E18" s="34">
        <v>24.2</v>
      </c>
      <c r="F18" s="34">
        <f t="shared" si="5"/>
        <v>0</v>
      </c>
      <c r="G18" s="34">
        <f t="shared" si="6"/>
        <v>0</v>
      </c>
      <c r="H18" s="34">
        <f t="shared" si="7"/>
        <v>-100</v>
      </c>
      <c r="I18" s="34">
        <f t="shared" si="8"/>
        <v>-100</v>
      </c>
      <c r="J18" s="45"/>
      <c r="K18" s="46"/>
      <c r="L18" s="102"/>
      <c r="M18" s="50" t="s">
        <v>269</v>
      </c>
      <c r="N18" s="39"/>
      <c r="O18" s="37">
        <f t="shared" si="9"/>
        <v>5600</v>
      </c>
      <c r="P18" s="44"/>
      <c r="Q18" s="44"/>
    </row>
    <row r="19" spans="1:17" ht="26.4" x14ac:dyDescent="0.4">
      <c r="A19" s="71" t="s">
        <v>283</v>
      </c>
      <c r="B19" s="46"/>
      <c r="C19" s="54">
        <v>5800</v>
      </c>
      <c r="D19" s="34">
        <f>INDEX('Equipment list'!$B$227:$B$256, (MATCH(C19,'Equipment list'!$D$227:$D$256,0)),1)</f>
        <v>78</v>
      </c>
      <c r="E19" s="34">
        <f>INDEX('Equipment list'!$C$227:$C$256, (MATCH(C19,'Equipment list'!$D$227:$D$256,0)),1)</f>
        <v>21.9</v>
      </c>
      <c r="F19" s="34">
        <f t="shared" si="5"/>
        <v>0</v>
      </c>
      <c r="G19" s="34">
        <f t="shared" si="6"/>
        <v>0</v>
      </c>
      <c r="H19" s="34">
        <f t="shared" si="7"/>
        <v>-100</v>
      </c>
      <c r="I19" s="34">
        <f t="shared" si="8"/>
        <v>-100</v>
      </c>
      <c r="J19" s="45"/>
      <c r="K19" s="46"/>
      <c r="L19" s="103"/>
      <c r="M19" s="50" t="s">
        <v>270</v>
      </c>
      <c r="N19" s="39"/>
      <c r="O19" s="37">
        <f t="shared" si="9"/>
        <v>5800</v>
      </c>
      <c r="P19" s="44"/>
      <c r="Q19" s="44"/>
    </row>
    <row r="20" spans="1:17" ht="26.4" x14ac:dyDescent="0.4">
      <c r="A20" s="71" t="s">
        <v>284</v>
      </c>
      <c r="B20" s="46"/>
      <c r="C20" s="54">
        <v>835</v>
      </c>
      <c r="D20" s="34">
        <f>INDEX('Equipment list'!$B$227:$B$256, (MATCH(C20,'Equipment list'!$D$227:$D$256,0)),1)</f>
        <v>9.56</v>
      </c>
      <c r="E20" s="34">
        <f>INDEX('Equipment list'!$C$227:$C$256, (MATCH(C20,'Equipment list'!$D$227:$D$256,0)),1)</f>
        <v>6.22</v>
      </c>
      <c r="F20" s="34">
        <f t="shared" si="5"/>
        <v>0</v>
      </c>
      <c r="G20" s="34">
        <f t="shared" si="6"/>
        <v>0</v>
      </c>
      <c r="H20" s="34">
        <f t="shared" si="7"/>
        <v>-100</v>
      </c>
      <c r="I20" s="34">
        <f t="shared" si="8"/>
        <v>-100</v>
      </c>
      <c r="J20" s="45"/>
      <c r="K20" s="46"/>
      <c r="L20" s="82" t="s">
        <v>258</v>
      </c>
      <c r="M20" s="50" t="s">
        <v>260</v>
      </c>
      <c r="N20" s="39"/>
      <c r="O20" s="37">
        <f t="shared" si="9"/>
        <v>835</v>
      </c>
      <c r="P20" s="44"/>
      <c r="Q20" s="44"/>
    </row>
    <row r="21" spans="1:17" ht="26.4" x14ac:dyDescent="0.4">
      <c r="A21" s="71" t="s">
        <v>285</v>
      </c>
      <c r="B21" s="46"/>
      <c r="C21" s="54">
        <v>900</v>
      </c>
      <c r="D21" s="34">
        <f>INDEX('Equipment list'!$B$227:$B$256, (MATCH(C21,'Equipment list'!$D$227:$D$256,0)),1)</f>
        <v>10.9</v>
      </c>
      <c r="E21" s="34">
        <f>INDEX('Equipment list'!$C$227:$C$256, (MATCH(C21,'Equipment list'!$D$227:$D$256,0)),1)</f>
        <v>6.99</v>
      </c>
      <c r="F21" s="34">
        <f t="shared" si="5"/>
        <v>0</v>
      </c>
      <c r="G21" s="34">
        <f t="shared" si="6"/>
        <v>0</v>
      </c>
      <c r="H21" s="34">
        <f t="shared" si="7"/>
        <v>-100</v>
      </c>
      <c r="I21" s="34">
        <f t="shared" si="8"/>
        <v>-100</v>
      </c>
      <c r="J21" s="45"/>
      <c r="K21" s="46"/>
      <c r="L21" s="82"/>
      <c r="M21" s="50" t="s">
        <v>292</v>
      </c>
      <c r="N21" s="39"/>
      <c r="O21" s="37">
        <f t="shared" si="9"/>
        <v>900</v>
      </c>
      <c r="P21" s="44"/>
      <c r="Q21" s="44"/>
    </row>
    <row r="22" spans="1:17" ht="26.4" x14ac:dyDescent="0.4">
      <c r="A22" s="71" t="s">
        <v>286</v>
      </c>
      <c r="B22" s="46"/>
      <c r="C22" s="54">
        <v>1800</v>
      </c>
      <c r="D22" s="34">
        <f>INDEX('Equipment list'!$B$227:$B$256, (MATCH(C22,'Equipment list'!$D$227:$D$256,0)),1)</f>
        <v>38.4</v>
      </c>
      <c r="E22" s="34">
        <f>INDEX('Equipment list'!$C$227:$C$256, (MATCH(C22,'Equipment list'!$D$227:$D$256,0)),1)</f>
        <v>20.100000000000001</v>
      </c>
      <c r="F22" s="34">
        <f t="shared" si="5"/>
        <v>0</v>
      </c>
      <c r="G22" s="34">
        <f t="shared" si="6"/>
        <v>0</v>
      </c>
      <c r="H22" s="34">
        <f t="shared" si="7"/>
        <v>-100</v>
      </c>
      <c r="I22" s="34">
        <f t="shared" si="8"/>
        <v>-100</v>
      </c>
      <c r="J22" s="45"/>
      <c r="K22" s="46"/>
      <c r="L22" s="82"/>
      <c r="M22" s="50" t="s">
        <v>293</v>
      </c>
      <c r="N22" s="39"/>
      <c r="O22" s="37">
        <f t="shared" si="9"/>
        <v>1800</v>
      </c>
      <c r="P22" s="44"/>
      <c r="Q22" s="44"/>
    </row>
    <row r="23" spans="1:17" ht="26.4" x14ac:dyDescent="0.4">
      <c r="A23" s="71" t="s">
        <v>287</v>
      </c>
      <c r="B23" s="46"/>
      <c r="C23" s="54">
        <v>1900</v>
      </c>
      <c r="D23" s="34">
        <f>INDEX('Equipment list'!$B$227:$B$256, (MATCH(C23,'Equipment list'!$D$227:$D$256,0)),1)</f>
        <v>39.700000000000003</v>
      </c>
      <c r="E23" s="34">
        <f>INDEX('Equipment list'!$C$227:$C$256, (MATCH(C23,'Equipment list'!$D$227:$D$256,0)),1)</f>
        <v>20.5</v>
      </c>
      <c r="F23" s="34">
        <f t="shared" si="5"/>
        <v>0</v>
      </c>
      <c r="G23" s="34">
        <f t="shared" si="6"/>
        <v>0</v>
      </c>
      <c r="H23" s="34">
        <f t="shared" si="7"/>
        <v>-100</v>
      </c>
      <c r="I23" s="34">
        <f t="shared" si="8"/>
        <v>-100</v>
      </c>
      <c r="J23" s="45"/>
      <c r="K23" s="46"/>
      <c r="L23" s="82"/>
      <c r="M23" s="50" t="s">
        <v>294</v>
      </c>
      <c r="N23" s="39"/>
      <c r="O23" s="37">
        <f t="shared" si="9"/>
        <v>1900</v>
      </c>
      <c r="P23" s="44"/>
      <c r="Q23" s="44"/>
    </row>
    <row r="24" spans="1:17" ht="26.4" x14ac:dyDescent="0.4">
      <c r="A24" s="71" t="s">
        <v>288</v>
      </c>
      <c r="B24" s="46"/>
      <c r="C24" s="54">
        <v>2300</v>
      </c>
      <c r="D24" s="34">
        <f>INDEX('Equipment list'!$B$227:$B$256, (MATCH(C24,'Equipment list'!$D$227:$D$256,0)),1)</f>
        <v>48.7</v>
      </c>
      <c r="E24" s="34">
        <f>INDEX('Equipment list'!$C$227:$C$256, (MATCH(C24,'Equipment list'!$D$227:$D$256,0)),1)</f>
        <v>23.3</v>
      </c>
      <c r="F24" s="34">
        <f t="shared" si="5"/>
        <v>0</v>
      </c>
      <c r="G24" s="34">
        <f t="shared" si="6"/>
        <v>0</v>
      </c>
      <c r="H24" s="34">
        <f t="shared" si="7"/>
        <v>-100</v>
      </c>
      <c r="I24" s="34">
        <f t="shared" si="8"/>
        <v>-100</v>
      </c>
      <c r="J24" s="45"/>
      <c r="K24" s="46"/>
      <c r="L24" s="82"/>
      <c r="M24" s="50" t="s">
        <v>264</v>
      </c>
      <c r="N24" s="39"/>
      <c r="O24" s="37">
        <f t="shared" si="9"/>
        <v>2300</v>
      </c>
      <c r="P24" s="44"/>
      <c r="Q24" s="44"/>
    </row>
    <row r="25" spans="1:17" ht="26.4" x14ac:dyDescent="0.4">
      <c r="A25" s="71" t="s">
        <v>289</v>
      </c>
      <c r="B25" s="46"/>
      <c r="C25" s="54">
        <v>2450</v>
      </c>
      <c r="D25" s="34">
        <f>INDEX('Equipment list'!$B$227:$B$256, (MATCH(C25,'Equipment list'!$D$227:$D$256,0)),1)</f>
        <v>52.4</v>
      </c>
      <c r="E25" s="34">
        <f>INDEX('Equipment list'!$C$227:$C$256, (MATCH(C25,'Equipment list'!$D$227:$D$256,0)),1)</f>
        <v>24</v>
      </c>
      <c r="F25" s="34">
        <f t="shared" si="5"/>
        <v>0</v>
      </c>
      <c r="G25" s="34">
        <f t="shared" si="6"/>
        <v>0</v>
      </c>
      <c r="H25" s="34">
        <f t="shared" si="7"/>
        <v>-100</v>
      </c>
      <c r="I25" s="34">
        <f t="shared" si="8"/>
        <v>-100</v>
      </c>
      <c r="J25" s="45"/>
      <c r="K25" s="46"/>
      <c r="L25" s="82"/>
      <c r="M25" s="50" t="s">
        <v>265</v>
      </c>
      <c r="N25" s="39"/>
      <c r="O25" s="37">
        <f t="shared" si="9"/>
        <v>2450</v>
      </c>
      <c r="P25" s="44"/>
      <c r="Q25" s="44"/>
    </row>
    <row r="26" spans="1:17" ht="26.4" x14ac:dyDescent="0.4">
      <c r="A26" s="71" t="s">
        <v>290</v>
      </c>
      <c r="B26" s="46"/>
      <c r="C26" s="54">
        <v>2600</v>
      </c>
      <c r="D26" s="34">
        <f>INDEX('Equipment list'!$B$227:$B$256, (MATCH(C26,'Equipment list'!$D$227:$D$256,0)),1)</f>
        <v>55.3</v>
      </c>
      <c r="E26" s="34">
        <f>INDEX('Equipment list'!$C$227:$C$256, (MATCH(C26,'Equipment list'!$D$227:$D$256,0)),1)</f>
        <v>24.6</v>
      </c>
      <c r="F26" s="34">
        <f t="shared" si="5"/>
        <v>0</v>
      </c>
      <c r="G26" s="34">
        <f t="shared" si="6"/>
        <v>0</v>
      </c>
      <c r="H26" s="34">
        <f t="shared" si="7"/>
        <v>-100</v>
      </c>
      <c r="I26" s="34">
        <f t="shared" si="8"/>
        <v>-100</v>
      </c>
      <c r="J26" s="45"/>
      <c r="K26" s="46"/>
      <c r="L26" s="82"/>
      <c r="M26" s="50" t="s">
        <v>266</v>
      </c>
      <c r="N26" s="39"/>
      <c r="O26" s="37">
        <f t="shared" si="9"/>
        <v>2600</v>
      </c>
      <c r="P26" s="44"/>
      <c r="Q26" s="44"/>
    </row>
    <row r="27" spans="1:17" ht="26.4" x14ac:dyDescent="0.4">
      <c r="A27" s="71" t="s">
        <v>291</v>
      </c>
      <c r="B27" s="46"/>
      <c r="C27" s="54">
        <v>5200</v>
      </c>
      <c r="D27" s="34">
        <f>INDEX('Equipment list'!$B$227:$B$256, (MATCH(C27,'Equipment list'!$D$227:$D$256,0)),1)</f>
        <v>76.5</v>
      </c>
      <c r="E27" s="34">
        <f>INDEX('Equipment list'!$C$227:$C$256, (MATCH(C27,'Equipment list'!$D$227:$D$256,0)),1)</f>
        <v>21.6</v>
      </c>
      <c r="F27" s="34">
        <f t="shared" si="5"/>
        <v>0</v>
      </c>
      <c r="G27" s="34">
        <f t="shared" si="6"/>
        <v>0</v>
      </c>
      <c r="H27" s="34">
        <f t="shared" si="7"/>
        <v>-100</v>
      </c>
      <c r="I27" s="34">
        <f t="shared" si="8"/>
        <v>-100</v>
      </c>
      <c r="J27" s="45"/>
      <c r="K27" s="46"/>
      <c r="L27" s="82"/>
      <c r="M27" s="101" t="s">
        <v>268</v>
      </c>
      <c r="N27" s="39"/>
      <c r="O27" s="37">
        <f t="shared" si="9"/>
        <v>5200</v>
      </c>
      <c r="P27" s="44"/>
      <c r="Q27" s="44"/>
    </row>
    <row r="28" spans="1:17" ht="26.4" x14ac:dyDescent="0.4">
      <c r="A28" s="71" t="s">
        <v>291</v>
      </c>
      <c r="B28" s="46"/>
      <c r="C28" s="54">
        <v>5300</v>
      </c>
      <c r="D28" s="34">
        <v>83.1</v>
      </c>
      <c r="E28" s="34">
        <v>23.8</v>
      </c>
      <c r="F28" s="34">
        <f t="shared" si="5"/>
        <v>0</v>
      </c>
      <c r="G28" s="34">
        <f t="shared" si="6"/>
        <v>0</v>
      </c>
      <c r="H28" s="34">
        <f t="shared" si="7"/>
        <v>-100</v>
      </c>
      <c r="I28" s="34">
        <f t="shared" si="8"/>
        <v>-100</v>
      </c>
      <c r="J28" s="45"/>
      <c r="K28" s="46"/>
      <c r="L28" s="82"/>
      <c r="M28" s="103"/>
      <c r="N28" s="39"/>
      <c r="O28" s="37">
        <f t="shared" si="9"/>
        <v>5300</v>
      </c>
      <c r="P28" s="44"/>
      <c r="Q28" s="44"/>
    </row>
    <row r="29" spans="1:17" ht="26.4" x14ac:dyDescent="0.4">
      <c r="A29" s="71" t="s">
        <v>291</v>
      </c>
      <c r="B29" s="46"/>
      <c r="C29" s="54">
        <v>5600</v>
      </c>
      <c r="D29" s="34">
        <v>85.3</v>
      </c>
      <c r="E29" s="34">
        <v>24.5</v>
      </c>
      <c r="F29" s="34">
        <f t="shared" si="5"/>
        <v>0</v>
      </c>
      <c r="G29" s="34">
        <f t="shared" si="6"/>
        <v>0</v>
      </c>
      <c r="H29" s="34">
        <f t="shared" si="7"/>
        <v>-100</v>
      </c>
      <c r="I29" s="34">
        <f t="shared" si="8"/>
        <v>-100</v>
      </c>
      <c r="J29" s="45"/>
      <c r="K29" s="46"/>
      <c r="L29" s="82"/>
      <c r="M29" s="50" t="s">
        <v>269</v>
      </c>
      <c r="N29" s="39"/>
      <c r="O29" s="37">
        <f t="shared" si="9"/>
        <v>5600</v>
      </c>
      <c r="P29" s="44"/>
      <c r="Q29" s="44"/>
    </row>
    <row r="30" spans="1:17" ht="26.4" x14ac:dyDescent="0.4">
      <c r="A30" s="71" t="s">
        <v>291</v>
      </c>
      <c r="B30" s="46"/>
      <c r="C30" s="54">
        <v>5800</v>
      </c>
      <c r="D30" s="34">
        <f>INDEX('Equipment list'!$B$227:$B$256, (MATCH(C30,'Equipment list'!$D$227:$D$256,0)),1)</f>
        <v>78</v>
      </c>
      <c r="E30" s="34">
        <f>INDEX('Equipment list'!$C$227:$C$256, (MATCH(C30,'Equipment list'!$D$227:$D$256,0)),1)</f>
        <v>21.9</v>
      </c>
      <c r="F30" s="34">
        <f t="shared" si="5"/>
        <v>0</v>
      </c>
      <c r="G30" s="34">
        <f t="shared" si="6"/>
        <v>0</v>
      </c>
      <c r="H30" s="34">
        <f t="shared" si="7"/>
        <v>-100</v>
      </c>
      <c r="I30" s="34">
        <f t="shared" si="8"/>
        <v>-100</v>
      </c>
      <c r="J30" s="45"/>
      <c r="K30" s="46"/>
      <c r="L30" s="82"/>
      <c r="M30" s="50" t="s">
        <v>270</v>
      </c>
      <c r="N30" s="39"/>
      <c r="O30" s="37">
        <f t="shared" si="9"/>
        <v>5800</v>
      </c>
      <c r="P30" s="44"/>
      <c r="Q30" s="44"/>
    </row>
    <row r="31" spans="1:17" x14ac:dyDescent="0.4">
      <c r="A31" s="70"/>
      <c r="B31" s="46"/>
      <c r="C31" s="46"/>
      <c r="D31" s="34" t="e">
        <f>INDEX('Equipment list'!$B$227:$B$256, (MATCH(C31,'Equipment list'!$D$227:$D$256,0)),1)</f>
        <v>#N/A</v>
      </c>
      <c r="E31" s="34" t="e">
        <f>INDEX('Equipment list'!$C$227:$C$256, (MATCH(C31,'Equipment list'!$D$227:$D$256,0)),1)</f>
        <v>#N/A</v>
      </c>
      <c r="F31" s="34">
        <f t="shared" si="5"/>
        <v>0</v>
      </c>
      <c r="G31" s="34">
        <f t="shared" si="6"/>
        <v>0</v>
      </c>
      <c r="H31" s="34" t="e">
        <f t="shared" si="7"/>
        <v>#N/A</v>
      </c>
      <c r="I31" s="34" t="e">
        <f t="shared" si="8"/>
        <v>#N/A</v>
      </c>
      <c r="J31" s="45"/>
      <c r="K31" s="46"/>
      <c r="L31" s="49"/>
      <c r="M31" s="39"/>
      <c r="N31" s="39"/>
      <c r="O31" s="37">
        <f t="shared" si="9"/>
        <v>0</v>
      </c>
      <c r="P31" s="44"/>
      <c r="Q31" s="44"/>
    </row>
    <row r="32" spans="1:17" x14ac:dyDescent="0.4">
      <c r="A32" s="70"/>
      <c r="B32" s="46"/>
      <c r="C32" s="46"/>
      <c r="D32" s="34" t="e">
        <f>INDEX('Equipment list'!$B$227:$B$256, (MATCH(C32,'Equipment list'!$D$227:$D$256,0)),1)</f>
        <v>#N/A</v>
      </c>
      <c r="E32" s="34" t="e">
        <f>INDEX('Equipment list'!$C$227:$C$256, (MATCH(C32,'Equipment list'!$D$227:$D$256,0)),1)</f>
        <v>#N/A</v>
      </c>
      <c r="F32" s="34">
        <f t="shared" si="5"/>
        <v>0</v>
      </c>
      <c r="G32" s="34">
        <f t="shared" si="6"/>
        <v>0</v>
      </c>
      <c r="H32" s="34" t="e">
        <f t="shared" si="7"/>
        <v>#N/A</v>
      </c>
      <c r="I32" s="34" t="e">
        <f t="shared" si="8"/>
        <v>#N/A</v>
      </c>
      <c r="J32" s="45"/>
      <c r="K32" s="46"/>
      <c r="L32" s="49"/>
      <c r="M32" s="39"/>
      <c r="N32" s="39"/>
      <c r="O32" s="37">
        <f t="shared" si="9"/>
        <v>0</v>
      </c>
      <c r="P32" s="44"/>
      <c r="Q32" s="44"/>
    </row>
    <row r="33" spans="1:17" x14ac:dyDescent="0.4">
      <c r="A33" s="70"/>
      <c r="B33" s="46"/>
      <c r="C33" s="46"/>
      <c r="D33" s="34" t="e">
        <f>INDEX('Equipment list'!$B$227:$B$256, (MATCH(C33,'Equipment list'!$D$227:$D$256,0)),1)</f>
        <v>#N/A</v>
      </c>
      <c r="E33" s="34" t="e">
        <f>INDEX('Equipment list'!$C$227:$C$256, (MATCH(C33,'Equipment list'!$D$227:$D$256,0)),1)</f>
        <v>#N/A</v>
      </c>
      <c r="F33" s="34">
        <f t="shared" si="5"/>
        <v>0</v>
      </c>
      <c r="G33" s="34">
        <f t="shared" si="6"/>
        <v>0</v>
      </c>
      <c r="H33" s="34" t="e">
        <f t="shared" si="7"/>
        <v>#N/A</v>
      </c>
      <c r="I33" s="34" t="e">
        <f t="shared" si="8"/>
        <v>#N/A</v>
      </c>
      <c r="J33" s="45"/>
      <c r="K33" s="46"/>
      <c r="L33" s="49"/>
      <c r="M33" s="39"/>
      <c r="N33" s="39"/>
      <c r="O33" s="37">
        <f t="shared" si="9"/>
        <v>0</v>
      </c>
      <c r="P33" s="44"/>
      <c r="Q33" s="44"/>
    </row>
    <row r="34" spans="1:17" x14ac:dyDescent="0.4">
      <c r="A34" s="70"/>
      <c r="B34" s="46"/>
      <c r="C34" s="46"/>
      <c r="D34" s="34" t="e">
        <f>INDEX('Equipment list'!$B$227:$B$256, (MATCH(C34,'Equipment list'!$D$227:$D$256,0)),1)</f>
        <v>#N/A</v>
      </c>
      <c r="E34" s="34" t="e">
        <f>INDEX('Equipment list'!$C$227:$C$256, (MATCH(C34,'Equipment list'!$D$227:$D$256,0)),1)</f>
        <v>#N/A</v>
      </c>
      <c r="F34" s="34">
        <f t="shared" si="5"/>
        <v>0</v>
      </c>
      <c r="G34" s="34">
        <f t="shared" si="6"/>
        <v>0</v>
      </c>
      <c r="H34" s="34" t="e">
        <f t="shared" si="7"/>
        <v>#N/A</v>
      </c>
      <c r="I34" s="34" t="e">
        <f t="shared" si="8"/>
        <v>#N/A</v>
      </c>
      <c r="J34" s="45"/>
      <c r="K34" s="46"/>
      <c r="L34" s="49"/>
      <c r="M34" s="39"/>
      <c r="N34" s="39"/>
      <c r="O34" s="37">
        <f t="shared" si="9"/>
        <v>0</v>
      </c>
      <c r="P34" s="44"/>
      <c r="Q34" s="44"/>
    </row>
    <row r="35" spans="1:17" x14ac:dyDescent="0.4">
      <c r="A35" s="70"/>
      <c r="B35" s="46"/>
      <c r="C35" s="46"/>
      <c r="D35" s="34" t="e">
        <f>INDEX('Equipment list'!$B$227:$B$256, (MATCH(C35,'Equipment list'!$D$227:$D$256,0)),1)</f>
        <v>#N/A</v>
      </c>
      <c r="E35" s="34" t="e">
        <f>INDEX('Equipment list'!$C$227:$C$256, (MATCH(C35,'Equipment list'!$D$227:$D$256,0)),1)</f>
        <v>#N/A</v>
      </c>
      <c r="F35" s="34">
        <f t="shared" si="5"/>
        <v>0</v>
      </c>
      <c r="G35" s="34">
        <f t="shared" si="6"/>
        <v>0</v>
      </c>
      <c r="H35" s="34" t="e">
        <f t="shared" si="7"/>
        <v>#N/A</v>
      </c>
      <c r="I35" s="34" t="e">
        <f t="shared" si="8"/>
        <v>#N/A</v>
      </c>
      <c r="J35" s="45"/>
      <c r="K35" s="46"/>
      <c r="L35" s="49"/>
      <c r="M35" s="39"/>
      <c r="N35" s="39"/>
      <c r="O35" s="37">
        <f t="shared" si="9"/>
        <v>0</v>
      </c>
      <c r="P35" s="44"/>
      <c r="Q35" s="44"/>
    </row>
    <row r="36" spans="1:17" x14ac:dyDescent="0.4">
      <c r="A36" s="70"/>
      <c r="B36" s="46"/>
      <c r="C36" s="46"/>
      <c r="D36" s="34" t="e">
        <f>INDEX('Equipment list'!$B$227:$B$256, (MATCH(C36,'Equipment list'!$D$227:$D$256,0)),1)</f>
        <v>#N/A</v>
      </c>
      <c r="E36" s="34" t="e">
        <f>INDEX('Equipment list'!$C$227:$C$256, (MATCH(C36,'Equipment list'!$D$227:$D$256,0)),1)</f>
        <v>#N/A</v>
      </c>
      <c r="F36" s="34">
        <f t="shared" si="5"/>
        <v>0</v>
      </c>
      <c r="G36" s="34">
        <f t="shared" si="6"/>
        <v>0</v>
      </c>
      <c r="H36" s="34" t="e">
        <f t="shared" si="7"/>
        <v>#N/A</v>
      </c>
      <c r="I36" s="34" t="e">
        <f t="shared" si="8"/>
        <v>#N/A</v>
      </c>
      <c r="J36" s="45"/>
      <c r="K36" s="46"/>
      <c r="L36" s="49"/>
      <c r="M36" s="39"/>
      <c r="N36" s="39"/>
      <c r="O36" s="37">
        <f t="shared" si="9"/>
        <v>0</v>
      </c>
      <c r="P36" s="44"/>
      <c r="Q36" s="44"/>
    </row>
    <row r="37" spans="1:17" x14ac:dyDescent="0.4">
      <c r="A37" s="70"/>
      <c r="B37" s="46"/>
      <c r="C37" s="46"/>
      <c r="D37" s="34" t="e">
        <f>INDEX('Equipment list'!$B$227:$B$256, (MATCH(C37,'Equipment list'!$D$227:$D$256,0)),1)</f>
        <v>#N/A</v>
      </c>
      <c r="E37" s="34" t="e">
        <f>INDEX('Equipment list'!$C$227:$C$256, (MATCH(C37,'Equipment list'!$D$227:$D$256,0)),1)</f>
        <v>#N/A</v>
      </c>
      <c r="F37" s="34">
        <f t="shared" si="5"/>
        <v>0</v>
      </c>
      <c r="G37" s="34">
        <f t="shared" si="6"/>
        <v>0</v>
      </c>
      <c r="H37" s="34" t="e">
        <f t="shared" si="7"/>
        <v>#N/A</v>
      </c>
      <c r="I37" s="34" t="e">
        <f t="shared" si="8"/>
        <v>#N/A</v>
      </c>
      <c r="J37" s="45"/>
      <c r="K37" s="46"/>
      <c r="L37" s="49"/>
      <c r="M37" s="39"/>
      <c r="N37" s="39"/>
      <c r="O37" s="37">
        <f t="shared" si="9"/>
        <v>0</v>
      </c>
      <c r="P37" s="44"/>
      <c r="Q37" s="44"/>
    </row>
    <row r="38" spans="1:17" x14ac:dyDescent="0.4">
      <c r="A38" s="70"/>
      <c r="B38" s="46"/>
      <c r="C38" s="46"/>
      <c r="D38" s="34" t="e">
        <f>INDEX('Equipment list'!$B$227:$B$256, (MATCH(C38,'Equipment list'!$D$227:$D$256,0)),1)</f>
        <v>#N/A</v>
      </c>
      <c r="E38" s="34" t="e">
        <f>INDEX('Equipment list'!$C$227:$C$256, (MATCH(C38,'Equipment list'!$D$227:$D$256,0)),1)</f>
        <v>#N/A</v>
      </c>
      <c r="F38" s="34">
        <f t="shared" si="5"/>
        <v>0</v>
      </c>
      <c r="G38" s="34">
        <f t="shared" si="6"/>
        <v>0</v>
      </c>
      <c r="H38" s="34" t="e">
        <f t="shared" si="7"/>
        <v>#N/A</v>
      </c>
      <c r="I38" s="34" t="e">
        <f t="shared" si="8"/>
        <v>#N/A</v>
      </c>
      <c r="J38" s="45"/>
      <c r="K38" s="46"/>
      <c r="L38" s="49"/>
      <c r="M38" s="39"/>
      <c r="N38" s="39"/>
      <c r="O38" s="37">
        <f t="shared" si="9"/>
        <v>0</v>
      </c>
      <c r="P38" s="44"/>
      <c r="Q38" s="44"/>
    </row>
    <row r="39" spans="1:17" x14ac:dyDescent="0.4">
      <c r="A39" s="70"/>
      <c r="B39" s="46"/>
      <c r="C39" s="46"/>
      <c r="D39" s="34" t="e">
        <f>INDEX('Equipment list'!$B$227:$B$256, (MATCH(C39,'Equipment list'!$D$227:$D$256,0)),1)</f>
        <v>#N/A</v>
      </c>
      <c r="E39" s="34" t="e">
        <f>INDEX('Equipment list'!$C$227:$C$256, (MATCH(C39,'Equipment list'!$D$227:$D$256,0)),1)</f>
        <v>#N/A</v>
      </c>
      <c r="F39" s="34">
        <f t="shared" si="5"/>
        <v>0</v>
      </c>
      <c r="G39" s="34">
        <f t="shared" si="6"/>
        <v>0</v>
      </c>
      <c r="H39" s="34" t="e">
        <f t="shared" si="7"/>
        <v>#N/A</v>
      </c>
      <c r="I39" s="34" t="e">
        <f t="shared" si="8"/>
        <v>#N/A</v>
      </c>
      <c r="J39" s="45"/>
      <c r="K39" s="46"/>
      <c r="L39" s="49"/>
      <c r="M39" s="39"/>
      <c r="N39" s="39"/>
      <c r="O39" s="37">
        <f t="shared" si="9"/>
        <v>0</v>
      </c>
      <c r="P39" s="44"/>
      <c r="Q39" s="44"/>
    </row>
    <row r="40" spans="1:17" x14ac:dyDescent="0.4">
      <c r="A40" s="70"/>
      <c r="B40" s="46"/>
      <c r="C40" s="46"/>
      <c r="D40" s="34" t="e">
        <f>INDEX('Equipment list'!$B$227:$B$256, (MATCH(C40,'Equipment list'!$D$227:$D$256,0)),1)</f>
        <v>#N/A</v>
      </c>
      <c r="E40" s="34" t="e">
        <f>INDEX('Equipment list'!$C$227:$C$256, (MATCH(C40,'Equipment list'!$D$227:$D$256,0)),1)</f>
        <v>#N/A</v>
      </c>
      <c r="F40" s="34">
        <f t="shared" si="5"/>
        <v>0</v>
      </c>
      <c r="G40" s="34">
        <f t="shared" si="6"/>
        <v>0</v>
      </c>
      <c r="H40" s="34" t="e">
        <f t="shared" si="7"/>
        <v>#N/A</v>
      </c>
      <c r="I40" s="34" t="e">
        <f t="shared" si="8"/>
        <v>#N/A</v>
      </c>
      <c r="J40" s="45"/>
      <c r="K40" s="46"/>
      <c r="L40" s="49"/>
      <c r="M40" s="39"/>
      <c r="N40" s="39"/>
      <c r="O40" s="37">
        <f t="shared" si="9"/>
        <v>0</v>
      </c>
      <c r="P40" s="44"/>
      <c r="Q40" s="44"/>
    </row>
    <row r="41" spans="1:17" x14ac:dyDescent="0.4">
      <c r="A41" s="70"/>
      <c r="B41" s="46"/>
      <c r="C41" s="46"/>
      <c r="D41" s="34" t="e">
        <f>INDEX('Equipment list'!$B$227:$B$256, (MATCH(C41,'Equipment list'!$D$227:$D$256,0)),1)</f>
        <v>#N/A</v>
      </c>
      <c r="E41" s="34" t="e">
        <f>INDEX('Equipment list'!$C$227:$C$256, (MATCH(C41,'Equipment list'!$D$227:$D$256,0)),1)</f>
        <v>#N/A</v>
      </c>
      <c r="F41" s="34">
        <f t="shared" si="5"/>
        <v>0</v>
      </c>
      <c r="G41" s="34">
        <f t="shared" si="6"/>
        <v>0</v>
      </c>
      <c r="H41" s="34" t="e">
        <f t="shared" si="7"/>
        <v>#N/A</v>
      </c>
      <c r="I41" s="34" t="e">
        <f t="shared" si="8"/>
        <v>#N/A</v>
      </c>
      <c r="J41" s="45"/>
      <c r="K41" s="46"/>
      <c r="L41" s="49"/>
      <c r="M41" s="39"/>
      <c r="N41" s="39"/>
      <c r="O41" s="37">
        <f t="shared" si="9"/>
        <v>0</v>
      </c>
      <c r="P41" s="44"/>
      <c r="Q41" s="44"/>
    </row>
    <row r="42" spans="1:17" x14ac:dyDescent="0.4">
      <c r="A42" s="70"/>
      <c r="B42" s="46"/>
      <c r="C42" s="46"/>
      <c r="D42" s="34" t="e">
        <f>INDEX('Equipment list'!$B$227:$B$256, (MATCH(C42,'Equipment list'!$D$227:$D$256,0)),1)</f>
        <v>#N/A</v>
      </c>
      <c r="E42" s="34" t="e">
        <f>INDEX('Equipment list'!$C$227:$C$256, (MATCH(C42,'Equipment list'!$D$227:$D$256,0)),1)</f>
        <v>#N/A</v>
      </c>
      <c r="F42" s="34">
        <f t="shared" si="5"/>
        <v>0</v>
      </c>
      <c r="G42" s="34">
        <f t="shared" si="6"/>
        <v>0</v>
      </c>
      <c r="H42" s="34" t="e">
        <f t="shared" si="7"/>
        <v>#N/A</v>
      </c>
      <c r="I42" s="34" t="e">
        <f t="shared" si="8"/>
        <v>#N/A</v>
      </c>
      <c r="J42" s="45"/>
      <c r="K42" s="46"/>
      <c r="L42" s="49"/>
      <c r="M42" s="39"/>
      <c r="N42" s="39"/>
      <c r="O42" s="37">
        <f t="shared" si="9"/>
        <v>0</v>
      </c>
      <c r="P42" s="44"/>
      <c r="Q42" s="44"/>
    </row>
    <row r="43" spans="1:17" x14ac:dyDescent="0.4">
      <c r="A43" s="70"/>
      <c r="B43" s="46"/>
      <c r="C43" s="46"/>
      <c r="D43" s="34" t="e">
        <f>INDEX('Equipment list'!$B$227:$B$256, (MATCH(C43,'Equipment list'!$D$227:$D$256,0)),1)</f>
        <v>#N/A</v>
      </c>
      <c r="E43" s="34" t="e">
        <f>INDEX('Equipment list'!$C$227:$C$256, (MATCH(C43,'Equipment list'!$D$227:$D$256,0)),1)</f>
        <v>#N/A</v>
      </c>
      <c r="F43" s="34">
        <f t="shared" si="5"/>
        <v>0</v>
      </c>
      <c r="G43" s="34">
        <f t="shared" si="6"/>
        <v>0</v>
      </c>
      <c r="H43" s="34" t="e">
        <f t="shared" si="7"/>
        <v>#N/A</v>
      </c>
      <c r="I43" s="34" t="e">
        <f t="shared" si="8"/>
        <v>#N/A</v>
      </c>
      <c r="J43" s="45"/>
      <c r="K43" s="46"/>
      <c r="L43" s="49"/>
      <c r="M43" s="39"/>
      <c r="N43" s="39"/>
      <c r="O43" s="37">
        <f t="shared" si="9"/>
        <v>0</v>
      </c>
      <c r="P43" s="44"/>
      <c r="Q43" s="44"/>
    </row>
    <row r="44" spans="1:17" x14ac:dyDescent="0.4">
      <c r="A44" s="70"/>
      <c r="B44" s="46"/>
      <c r="C44" s="46"/>
      <c r="D44" s="34" t="e">
        <f>INDEX('Equipment list'!$B$227:$B$256, (MATCH(C44,'Equipment list'!$D$227:$D$256,0)),1)</f>
        <v>#N/A</v>
      </c>
      <c r="E44" s="34" t="e">
        <f>INDEX('Equipment list'!$C$227:$C$256, (MATCH(C44,'Equipment list'!$D$227:$D$256,0)),1)</f>
        <v>#N/A</v>
      </c>
      <c r="F44" s="34">
        <f t="shared" si="5"/>
        <v>0</v>
      </c>
      <c r="G44" s="34">
        <f t="shared" si="6"/>
        <v>0</v>
      </c>
      <c r="H44" s="34" t="e">
        <f t="shared" si="7"/>
        <v>#N/A</v>
      </c>
      <c r="I44" s="34" t="e">
        <f t="shared" si="8"/>
        <v>#N/A</v>
      </c>
      <c r="J44" s="45"/>
      <c r="K44" s="46"/>
      <c r="L44" s="49"/>
      <c r="M44" s="39"/>
      <c r="N44" s="39"/>
      <c r="O44" s="37">
        <f t="shared" si="9"/>
        <v>0</v>
      </c>
      <c r="P44" s="44"/>
      <c r="Q44" s="44"/>
    </row>
    <row r="45" spans="1:17" x14ac:dyDescent="0.4">
      <c r="A45" s="70"/>
      <c r="B45" s="46"/>
      <c r="C45" s="46"/>
      <c r="D45" s="34" t="e">
        <f>INDEX('Equipment list'!$B$227:$B$256, (MATCH(C45,'Equipment list'!$D$227:$D$256,0)),1)</f>
        <v>#N/A</v>
      </c>
      <c r="E45" s="34" t="e">
        <f>INDEX('Equipment list'!$C$227:$C$256, (MATCH(C45,'Equipment list'!$D$227:$D$256,0)),1)</f>
        <v>#N/A</v>
      </c>
      <c r="F45" s="34">
        <f t="shared" si="5"/>
        <v>0</v>
      </c>
      <c r="G45" s="34">
        <f t="shared" si="6"/>
        <v>0</v>
      </c>
      <c r="H45" s="34" t="e">
        <f t="shared" si="7"/>
        <v>#N/A</v>
      </c>
      <c r="I45" s="34" t="e">
        <f t="shared" si="8"/>
        <v>#N/A</v>
      </c>
      <c r="J45" s="45"/>
      <c r="K45" s="46"/>
      <c r="L45" s="49"/>
      <c r="M45" s="39"/>
      <c r="N45" s="39"/>
      <c r="O45" s="37">
        <f t="shared" si="9"/>
        <v>0</v>
      </c>
      <c r="P45" s="44"/>
      <c r="Q45" s="44"/>
    </row>
    <row r="46" spans="1:17" x14ac:dyDescent="0.4">
      <c r="A46" s="70"/>
      <c r="B46" s="46"/>
      <c r="C46" s="46"/>
      <c r="D46" s="34" t="e">
        <f>INDEX('Equipment list'!$B$227:$B$256, (MATCH(C46,'Equipment list'!$D$227:$D$256,0)),1)</f>
        <v>#N/A</v>
      </c>
      <c r="E46" s="34" t="e">
        <f>INDEX('Equipment list'!$C$227:$C$256, (MATCH(C46,'Equipment list'!$D$227:$D$256,0)),1)</f>
        <v>#N/A</v>
      </c>
      <c r="F46" s="34">
        <f t="shared" si="5"/>
        <v>0</v>
      </c>
      <c r="G46" s="34">
        <f t="shared" si="6"/>
        <v>0</v>
      </c>
      <c r="H46" s="34" t="e">
        <f t="shared" si="7"/>
        <v>#N/A</v>
      </c>
      <c r="I46" s="34" t="e">
        <f t="shared" si="8"/>
        <v>#N/A</v>
      </c>
      <c r="J46" s="45"/>
      <c r="K46" s="46"/>
      <c r="L46" s="49"/>
      <c r="M46" s="39"/>
      <c r="N46" s="39"/>
      <c r="O46" s="37">
        <f t="shared" si="9"/>
        <v>0</v>
      </c>
      <c r="P46" s="44"/>
      <c r="Q46" s="44"/>
    </row>
    <row r="47" spans="1:17" x14ac:dyDescent="0.4">
      <c r="A47" s="70"/>
      <c r="B47" s="46"/>
      <c r="C47" s="46"/>
      <c r="D47" s="34" t="e">
        <f>INDEX('Equipment list'!$B$227:$B$256, (MATCH(C47,'Equipment list'!$D$227:$D$256,0)),1)</f>
        <v>#N/A</v>
      </c>
      <c r="E47" s="34" t="e">
        <f>INDEX('Equipment list'!$C$227:$C$256, (MATCH(C47,'Equipment list'!$D$227:$D$256,0)),1)</f>
        <v>#N/A</v>
      </c>
      <c r="F47" s="34">
        <f t="shared" si="5"/>
        <v>0</v>
      </c>
      <c r="G47" s="34">
        <f t="shared" si="6"/>
        <v>0</v>
      </c>
      <c r="H47" s="34" t="e">
        <f t="shared" si="7"/>
        <v>#N/A</v>
      </c>
      <c r="I47" s="34" t="e">
        <f t="shared" si="8"/>
        <v>#N/A</v>
      </c>
      <c r="J47" s="45"/>
      <c r="K47" s="46"/>
      <c r="L47" s="49"/>
      <c r="M47" s="39"/>
      <c r="N47" s="39"/>
      <c r="O47" s="37">
        <f t="shared" si="9"/>
        <v>0</v>
      </c>
      <c r="P47" s="44"/>
      <c r="Q47" s="44"/>
    </row>
    <row r="48" spans="1:17" x14ac:dyDescent="0.4">
      <c r="A48" s="70"/>
      <c r="B48" s="46"/>
      <c r="C48" s="46"/>
      <c r="D48" s="34" t="e">
        <f>INDEX('Equipment list'!$B$227:$B$256, (MATCH(C48,'Equipment list'!$D$227:$D$256,0)),1)</f>
        <v>#N/A</v>
      </c>
      <c r="E48" s="34" t="e">
        <f>INDEX('Equipment list'!$C$227:$C$256, (MATCH(C48,'Equipment list'!$D$227:$D$256,0)),1)</f>
        <v>#N/A</v>
      </c>
      <c r="F48" s="34">
        <f t="shared" si="5"/>
        <v>0</v>
      </c>
      <c r="G48" s="34">
        <f t="shared" si="6"/>
        <v>0</v>
      </c>
      <c r="H48" s="34" t="e">
        <f t="shared" si="7"/>
        <v>#N/A</v>
      </c>
      <c r="I48" s="34" t="e">
        <f t="shared" si="8"/>
        <v>#N/A</v>
      </c>
      <c r="J48" s="45"/>
      <c r="K48" s="46"/>
      <c r="L48" s="49"/>
      <c r="M48" s="39"/>
      <c r="N48" s="39"/>
      <c r="O48" s="37">
        <f t="shared" si="9"/>
        <v>0</v>
      </c>
      <c r="P48" s="44"/>
      <c r="Q48" s="44"/>
    </row>
    <row r="49" spans="1:17" x14ac:dyDescent="0.4">
      <c r="A49" s="70"/>
      <c r="B49" s="46"/>
      <c r="C49" s="46"/>
      <c r="D49" s="34" t="e">
        <f>INDEX('Equipment list'!$B$227:$B$256, (MATCH(C49,'Equipment list'!$D$227:$D$256,0)),1)</f>
        <v>#N/A</v>
      </c>
      <c r="E49" s="34" t="e">
        <f>INDEX('Equipment list'!$C$227:$C$256, (MATCH(C49,'Equipment list'!$D$227:$D$256,0)),1)</f>
        <v>#N/A</v>
      </c>
      <c r="F49" s="34">
        <f t="shared" si="5"/>
        <v>0</v>
      </c>
      <c r="G49" s="34">
        <f t="shared" si="6"/>
        <v>0</v>
      </c>
      <c r="H49" s="34" t="e">
        <f t="shared" si="7"/>
        <v>#N/A</v>
      </c>
      <c r="I49" s="34" t="e">
        <f t="shared" si="8"/>
        <v>#N/A</v>
      </c>
      <c r="J49" s="45"/>
      <c r="K49" s="46"/>
      <c r="L49" s="49"/>
      <c r="M49" s="39"/>
      <c r="N49" s="39"/>
      <c r="O49" s="37">
        <f t="shared" si="9"/>
        <v>0</v>
      </c>
      <c r="P49" s="44"/>
      <c r="Q49" s="44"/>
    </row>
    <row r="50" spans="1:17" x14ac:dyDescent="0.4">
      <c r="A50" s="70"/>
      <c r="B50" s="46"/>
      <c r="C50" s="46"/>
      <c r="D50" s="34" t="e">
        <f>INDEX('Equipment list'!$B$227:$B$256, (MATCH(C50,'Equipment list'!$D$227:$D$256,0)),1)</f>
        <v>#N/A</v>
      </c>
      <c r="E50" s="34" t="e">
        <f>INDEX('Equipment list'!$C$227:$C$256, (MATCH(C50,'Equipment list'!$D$227:$D$256,0)),1)</f>
        <v>#N/A</v>
      </c>
      <c r="F50" s="34">
        <f t="shared" si="5"/>
        <v>0</v>
      </c>
      <c r="G50" s="34">
        <f t="shared" si="6"/>
        <v>0</v>
      </c>
      <c r="H50" s="34" t="e">
        <f t="shared" si="7"/>
        <v>#N/A</v>
      </c>
      <c r="I50" s="34" t="e">
        <f t="shared" si="8"/>
        <v>#N/A</v>
      </c>
      <c r="J50" s="45"/>
      <c r="K50" s="46"/>
      <c r="L50" s="49"/>
      <c r="M50" s="39"/>
      <c r="N50" s="39"/>
      <c r="O50" s="37">
        <f t="shared" si="9"/>
        <v>0</v>
      </c>
      <c r="P50" s="44"/>
      <c r="Q50" s="44"/>
    </row>
    <row r="51" spans="1:17" x14ac:dyDescent="0.4">
      <c r="A51" s="70"/>
      <c r="B51" s="46"/>
      <c r="C51" s="46"/>
      <c r="D51" s="34" t="e">
        <f>INDEX('Equipment list'!$B$227:$B$256, (MATCH(C51,'Equipment list'!$D$227:$D$256,0)),1)</f>
        <v>#N/A</v>
      </c>
      <c r="E51" s="34" t="e">
        <f>INDEX('Equipment list'!$C$227:$C$256, (MATCH(C51,'Equipment list'!$D$227:$D$256,0)),1)</f>
        <v>#N/A</v>
      </c>
      <c r="F51" s="34">
        <f t="shared" si="5"/>
        <v>0</v>
      </c>
      <c r="G51" s="34">
        <f t="shared" si="6"/>
        <v>0</v>
      </c>
      <c r="H51" s="34" t="e">
        <f t="shared" si="7"/>
        <v>#N/A</v>
      </c>
      <c r="I51" s="34" t="e">
        <f t="shared" si="8"/>
        <v>#N/A</v>
      </c>
      <c r="J51" s="45"/>
      <c r="K51" s="46"/>
      <c r="L51" s="49"/>
      <c r="M51" s="39"/>
      <c r="N51" s="39"/>
      <c r="O51" s="37">
        <f t="shared" si="9"/>
        <v>0</v>
      </c>
      <c r="P51" s="44"/>
      <c r="Q51" s="44"/>
    </row>
    <row r="52" spans="1:17" x14ac:dyDescent="0.4">
      <c r="A52" s="70"/>
      <c r="B52" s="46"/>
      <c r="C52" s="46"/>
      <c r="D52" s="34" t="e">
        <f>INDEX('Equipment list'!$B$227:$B$256, (MATCH(C52,'Equipment list'!$D$227:$D$256,0)),1)</f>
        <v>#N/A</v>
      </c>
      <c r="E52" s="34" t="e">
        <f>INDEX('Equipment list'!$C$227:$C$256, (MATCH(C52,'Equipment list'!$D$227:$D$256,0)),1)</f>
        <v>#N/A</v>
      </c>
      <c r="F52" s="34">
        <f t="shared" si="5"/>
        <v>0</v>
      </c>
      <c r="G52" s="34">
        <f t="shared" si="6"/>
        <v>0</v>
      </c>
      <c r="H52" s="34" t="e">
        <f t="shared" si="7"/>
        <v>#N/A</v>
      </c>
      <c r="I52" s="34" t="e">
        <f t="shared" si="8"/>
        <v>#N/A</v>
      </c>
      <c r="J52" s="45"/>
      <c r="K52" s="46"/>
      <c r="L52" s="49"/>
      <c r="M52" s="39"/>
      <c r="N52" s="39"/>
      <c r="O52" s="37">
        <f t="shared" si="9"/>
        <v>0</v>
      </c>
      <c r="P52" s="44"/>
      <c r="Q52" s="44"/>
    </row>
    <row r="53" spans="1:17" x14ac:dyDescent="0.4">
      <c r="A53" s="70"/>
      <c r="B53" s="46"/>
      <c r="C53" s="46"/>
      <c r="D53" s="34" t="e">
        <f>INDEX('Equipment list'!$B$227:$B$256, (MATCH(C53,'Equipment list'!$D$227:$D$256,0)),1)</f>
        <v>#N/A</v>
      </c>
      <c r="E53" s="34" t="e">
        <f>INDEX('Equipment list'!$C$227:$C$256, (MATCH(C53,'Equipment list'!$D$227:$D$256,0)),1)</f>
        <v>#N/A</v>
      </c>
      <c r="F53" s="34">
        <f t="shared" si="5"/>
        <v>0</v>
      </c>
      <c r="G53" s="34">
        <f t="shared" si="6"/>
        <v>0</v>
      </c>
      <c r="H53" s="34" t="e">
        <f t="shared" si="7"/>
        <v>#N/A</v>
      </c>
      <c r="I53" s="34" t="e">
        <f t="shared" si="8"/>
        <v>#N/A</v>
      </c>
      <c r="J53" s="45"/>
      <c r="K53" s="46"/>
      <c r="L53" s="49"/>
      <c r="M53" s="39"/>
      <c r="N53" s="39"/>
      <c r="O53" s="37">
        <f t="shared" si="9"/>
        <v>0</v>
      </c>
      <c r="P53" s="44"/>
      <c r="Q53" s="44"/>
    </row>
    <row r="54" spans="1:17" x14ac:dyDescent="0.4">
      <c r="A54" s="70"/>
      <c r="B54" s="46"/>
      <c r="C54" s="46"/>
      <c r="D54" s="34" t="e">
        <f>INDEX('Equipment list'!$B$227:$B$256, (MATCH(C54,'Equipment list'!$D$227:$D$256,0)),1)</f>
        <v>#N/A</v>
      </c>
      <c r="E54" s="34" t="e">
        <f>INDEX('Equipment list'!$C$227:$C$256, (MATCH(C54,'Equipment list'!$D$227:$D$256,0)),1)</f>
        <v>#N/A</v>
      </c>
      <c r="F54" s="34">
        <f t="shared" si="5"/>
        <v>0</v>
      </c>
      <c r="G54" s="34">
        <f t="shared" si="6"/>
        <v>0</v>
      </c>
      <c r="H54" s="34" t="e">
        <f t="shared" si="7"/>
        <v>#N/A</v>
      </c>
      <c r="I54" s="34" t="e">
        <f t="shared" si="8"/>
        <v>#N/A</v>
      </c>
      <c r="J54" s="45"/>
      <c r="K54" s="46"/>
      <c r="L54" s="49"/>
      <c r="M54" s="39"/>
      <c r="N54" s="39"/>
      <c r="O54" s="37">
        <f t="shared" si="9"/>
        <v>0</v>
      </c>
      <c r="P54" s="44"/>
      <c r="Q54" s="44"/>
    </row>
    <row r="55" spans="1:17" x14ac:dyDescent="0.4">
      <c r="A55" s="70"/>
      <c r="B55" s="46"/>
      <c r="C55" s="46"/>
      <c r="D55" s="34" t="e">
        <f>INDEX('Equipment list'!$B$227:$B$256, (MATCH(C55,'Equipment list'!$D$227:$D$256,0)),1)</f>
        <v>#N/A</v>
      </c>
      <c r="E55" s="34" t="e">
        <f>INDEX('Equipment list'!$C$227:$C$256, (MATCH(C55,'Equipment list'!$D$227:$D$256,0)),1)</f>
        <v>#N/A</v>
      </c>
      <c r="F55" s="34">
        <f t="shared" si="5"/>
        <v>0</v>
      </c>
      <c r="G55" s="34">
        <f t="shared" si="6"/>
        <v>0</v>
      </c>
      <c r="H55" s="34" t="e">
        <f t="shared" si="7"/>
        <v>#N/A</v>
      </c>
      <c r="I55" s="34" t="e">
        <f t="shared" si="8"/>
        <v>#N/A</v>
      </c>
      <c r="J55" s="45"/>
      <c r="K55" s="46"/>
      <c r="L55" s="49"/>
      <c r="M55" s="39"/>
      <c r="N55" s="39"/>
      <c r="O55" s="37">
        <f t="shared" si="9"/>
        <v>0</v>
      </c>
      <c r="P55" s="44"/>
      <c r="Q55" s="44"/>
    </row>
    <row r="56" spans="1:17" x14ac:dyDescent="0.4">
      <c r="A56" s="70"/>
      <c r="B56" s="46"/>
      <c r="C56" s="46"/>
      <c r="D56" s="34" t="e">
        <f>INDEX('Equipment list'!$B$227:$B$256, (MATCH(C56,'Equipment list'!$D$227:$D$256,0)),1)</f>
        <v>#N/A</v>
      </c>
      <c r="E56" s="34" t="e">
        <f>INDEX('Equipment list'!$C$227:$C$256, (MATCH(C56,'Equipment list'!$D$227:$D$256,0)),1)</f>
        <v>#N/A</v>
      </c>
      <c r="F56" s="34">
        <f t="shared" si="5"/>
        <v>0</v>
      </c>
      <c r="G56" s="34">
        <f t="shared" si="6"/>
        <v>0</v>
      </c>
      <c r="H56" s="34" t="e">
        <f t="shared" si="7"/>
        <v>#N/A</v>
      </c>
      <c r="I56" s="34" t="e">
        <f t="shared" si="8"/>
        <v>#N/A</v>
      </c>
      <c r="J56" s="45"/>
      <c r="K56" s="46"/>
      <c r="L56" s="49"/>
      <c r="M56" s="39"/>
      <c r="N56" s="39"/>
      <c r="O56" s="37">
        <f t="shared" si="9"/>
        <v>0</v>
      </c>
      <c r="P56" s="44"/>
      <c r="Q56" s="44"/>
    </row>
    <row r="57" spans="1:17" x14ac:dyDescent="0.4">
      <c r="A57" s="70"/>
      <c r="B57" s="46"/>
      <c r="C57" s="46"/>
      <c r="D57" s="34" t="e">
        <f>INDEX('Equipment list'!$B$227:$B$256, (MATCH(C57,'Equipment list'!$D$227:$D$256,0)),1)</f>
        <v>#N/A</v>
      </c>
      <c r="E57" s="34" t="e">
        <f>INDEX('Equipment list'!$C$227:$C$256, (MATCH(C57,'Equipment list'!$D$227:$D$256,0)),1)</f>
        <v>#N/A</v>
      </c>
      <c r="F57" s="34">
        <f t="shared" si="5"/>
        <v>0</v>
      </c>
      <c r="G57" s="34">
        <f t="shared" si="6"/>
        <v>0</v>
      </c>
      <c r="H57" s="34" t="e">
        <f t="shared" si="7"/>
        <v>#N/A</v>
      </c>
      <c r="I57" s="34" t="e">
        <f t="shared" si="8"/>
        <v>#N/A</v>
      </c>
      <c r="J57" s="45"/>
      <c r="K57" s="46"/>
      <c r="L57" s="49"/>
      <c r="M57" s="39"/>
      <c r="N57" s="39"/>
      <c r="O57" s="37">
        <f t="shared" si="9"/>
        <v>0</v>
      </c>
      <c r="P57" s="44"/>
      <c r="Q57" s="44"/>
    </row>
    <row r="58" spans="1:17" x14ac:dyDescent="0.4">
      <c r="A58" s="70"/>
      <c r="B58" s="46"/>
      <c r="C58" s="46"/>
      <c r="D58" s="34" t="e">
        <f>INDEX('Equipment list'!$B$227:$B$256, (MATCH(C58,'Equipment list'!$D$227:$D$256,0)),1)</f>
        <v>#N/A</v>
      </c>
      <c r="E58" s="34" t="e">
        <f>INDEX('Equipment list'!$C$227:$C$256, (MATCH(C58,'Equipment list'!$D$227:$D$256,0)),1)</f>
        <v>#N/A</v>
      </c>
      <c r="F58" s="34">
        <f t="shared" si="5"/>
        <v>0</v>
      </c>
      <c r="G58" s="34">
        <f t="shared" si="6"/>
        <v>0</v>
      </c>
      <c r="H58" s="34" t="e">
        <f t="shared" si="7"/>
        <v>#N/A</v>
      </c>
      <c r="I58" s="34" t="e">
        <f t="shared" si="8"/>
        <v>#N/A</v>
      </c>
      <c r="J58" s="45"/>
      <c r="K58" s="46"/>
      <c r="L58" s="49"/>
      <c r="M58" s="39"/>
      <c r="N58" s="39"/>
      <c r="O58" s="37">
        <f t="shared" si="9"/>
        <v>0</v>
      </c>
      <c r="P58" s="44"/>
      <c r="Q58" s="44"/>
    </row>
    <row r="59" spans="1:17" x14ac:dyDescent="0.4">
      <c r="A59" s="70"/>
      <c r="B59" s="46"/>
      <c r="C59" s="46"/>
      <c r="D59" s="34" t="e">
        <f>INDEX('Equipment list'!$B$227:$B$256, (MATCH(C59,'Equipment list'!$D$227:$D$256,0)),1)</f>
        <v>#N/A</v>
      </c>
      <c r="E59" s="34" t="e">
        <f>INDEX('Equipment list'!$C$227:$C$256, (MATCH(C59,'Equipment list'!$D$227:$D$256,0)),1)</f>
        <v>#N/A</v>
      </c>
      <c r="F59" s="34">
        <f t="shared" si="5"/>
        <v>0</v>
      </c>
      <c r="G59" s="34">
        <f t="shared" si="6"/>
        <v>0</v>
      </c>
      <c r="H59" s="34" t="e">
        <f t="shared" si="7"/>
        <v>#N/A</v>
      </c>
      <c r="I59" s="34" t="e">
        <f t="shared" si="8"/>
        <v>#N/A</v>
      </c>
      <c r="J59" s="45"/>
      <c r="K59" s="46"/>
      <c r="L59" s="49"/>
      <c r="M59" s="39"/>
      <c r="N59" s="39"/>
      <c r="O59" s="37">
        <f t="shared" si="9"/>
        <v>0</v>
      </c>
      <c r="P59" s="44"/>
      <c r="Q59" s="44"/>
    </row>
    <row r="60" spans="1:17" x14ac:dyDescent="0.4">
      <c r="A60" s="70"/>
      <c r="B60" s="46"/>
      <c r="C60" s="46"/>
      <c r="D60" s="34" t="e">
        <f>INDEX('Equipment list'!$B$227:$B$256, (MATCH(C60,'Equipment list'!$D$227:$D$256,0)),1)</f>
        <v>#N/A</v>
      </c>
      <c r="E60" s="34" t="e">
        <f>INDEX('Equipment list'!$C$227:$C$256, (MATCH(C60,'Equipment list'!$D$227:$D$256,0)),1)</f>
        <v>#N/A</v>
      </c>
      <c r="F60" s="34">
        <f t="shared" si="5"/>
        <v>0</v>
      </c>
      <c r="G60" s="34">
        <f t="shared" si="6"/>
        <v>0</v>
      </c>
      <c r="H60" s="34" t="e">
        <f t="shared" si="7"/>
        <v>#N/A</v>
      </c>
      <c r="I60" s="34" t="e">
        <f t="shared" si="8"/>
        <v>#N/A</v>
      </c>
      <c r="J60" s="45"/>
      <c r="K60" s="46"/>
      <c r="L60" s="49"/>
      <c r="M60" s="39"/>
      <c r="N60" s="39"/>
      <c r="O60" s="37">
        <f t="shared" si="9"/>
        <v>0</v>
      </c>
      <c r="P60" s="44"/>
      <c r="Q60" s="44"/>
    </row>
    <row r="61" spans="1:17" x14ac:dyDescent="0.4">
      <c r="A61" s="70"/>
      <c r="B61" s="46"/>
      <c r="C61" s="46"/>
      <c r="D61" s="34" t="e">
        <f>INDEX('Equipment list'!$B$227:$B$256, (MATCH(C61,'Equipment list'!$D$227:$D$256,0)),1)</f>
        <v>#N/A</v>
      </c>
      <c r="E61" s="34" t="e">
        <f>INDEX('Equipment list'!$C$227:$C$256, (MATCH(C61,'Equipment list'!$D$227:$D$256,0)),1)</f>
        <v>#N/A</v>
      </c>
      <c r="F61" s="34">
        <f t="shared" si="5"/>
        <v>0</v>
      </c>
      <c r="G61" s="34">
        <f t="shared" si="6"/>
        <v>0</v>
      </c>
      <c r="H61" s="34" t="e">
        <f t="shared" si="7"/>
        <v>#N/A</v>
      </c>
      <c r="I61" s="34" t="e">
        <f t="shared" si="8"/>
        <v>#N/A</v>
      </c>
      <c r="J61" s="45"/>
      <c r="K61" s="46"/>
      <c r="L61" s="49"/>
      <c r="M61" s="39"/>
      <c r="N61" s="39"/>
      <c r="O61" s="37">
        <f t="shared" si="9"/>
        <v>0</v>
      </c>
      <c r="P61" s="44"/>
      <c r="Q61" s="44"/>
    </row>
    <row r="62" spans="1:17" x14ac:dyDescent="0.4">
      <c r="A62" s="70"/>
      <c r="B62" s="46"/>
      <c r="C62" s="46"/>
      <c r="D62" s="34" t="e">
        <f>INDEX('Equipment list'!$B$227:$B$256, (MATCH(C62,'Equipment list'!$D$227:$D$256,0)),1)</f>
        <v>#N/A</v>
      </c>
      <c r="E62" s="34" t="e">
        <f>INDEX('Equipment list'!$C$227:$C$256, (MATCH(C62,'Equipment list'!$D$227:$D$256,0)),1)</f>
        <v>#N/A</v>
      </c>
      <c r="F62" s="34">
        <f t="shared" si="5"/>
        <v>0</v>
      </c>
      <c r="G62" s="34">
        <f t="shared" si="6"/>
        <v>0</v>
      </c>
      <c r="H62" s="34" t="e">
        <f t="shared" si="7"/>
        <v>#N/A</v>
      </c>
      <c r="I62" s="34" t="e">
        <f t="shared" si="8"/>
        <v>#N/A</v>
      </c>
      <c r="J62" s="45"/>
      <c r="K62" s="46"/>
      <c r="L62" s="49"/>
      <c r="M62" s="39"/>
      <c r="N62" s="39"/>
      <c r="O62" s="37">
        <f t="shared" si="9"/>
        <v>0</v>
      </c>
      <c r="P62" s="44"/>
      <c r="Q62" s="44"/>
    </row>
    <row r="63" spans="1:17" x14ac:dyDescent="0.4">
      <c r="A63" s="70"/>
      <c r="B63" s="46"/>
      <c r="C63" s="46"/>
      <c r="D63" s="34" t="e">
        <f>INDEX('Equipment list'!$B$227:$B$256, (MATCH(C63,'Equipment list'!$D$227:$D$256,0)),1)</f>
        <v>#N/A</v>
      </c>
      <c r="E63" s="34" t="e">
        <f>INDEX('Equipment list'!$C$227:$C$256, (MATCH(C63,'Equipment list'!$D$227:$D$256,0)),1)</f>
        <v>#N/A</v>
      </c>
      <c r="F63" s="34">
        <f t="shared" si="5"/>
        <v>0</v>
      </c>
      <c r="G63" s="34">
        <f t="shared" si="6"/>
        <v>0</v>
      </c>
      <c r="H63" s="34" t="e">
        <f t="shared" si="7"/>
        <v>#N/A</v>
      </c>
      <c r="I63" s="34" t="e">
        <f t="shared" si="8"/>
        <v>#N/A</v>
      </c>
      <c r="J63" s="45"/>
      <c r="K63" s="46"/>
      <c r="L63" s="49"/>
      <c r="M63" s="39"/>
      <c r="N63" s="39"/>
      <c r="O63" s="37">
        <f t="shared" si="9"/>
        <v>0</v>
      </c>
      <c r="P63" s="44"/>
      <c r="Q63" s="44"/>
    </row>
    <row r="64" spans="1:17" x14ac:dyDescent="0.4">
      <c r="A64" s="70"/>
      <c r="B64" s="46"/>
      <c r="C64" s="46"/>
      <c r="D64" s="34" t="e">
        <f>INDEX('Equipment list'!$B$227:$B$256, (MATCH(C64,'Equipment list'!$D$227:$D$256,0)),1)</f>
        <v>#N/A</v>
      </c>
      <c r="E64" s="34" t="e">
        <f>INDEX('Equipment list'!$C$227:$C$256, (MATCH(C64,'Equipment list'!$D$227:$D$256,0)),1)</f>
        <v>#N/A</v>
      </c>
      <c r="F64" s="34">
        <f t="shared" si="5"/>
        <v>0</v>
      </c>
      <c r="G64" s="34">
        <f t="shared" si="6"/>
        <v>0</v>
      </c>
      <c r="H64" s="34" t="e">
        <f t="shared" si="7"/>
        <v>#N/A</v>
      </c>
      <c r="I64" s="34" t="e">
        <f t="shared" si="8"/>
        <v>#N/A</v>
      </c>
      <c r="J64" s="45"/>
      <c r="K64" s="46"/>
      <c r="L64" s="49"/>
      <c r="M64" s="39"/>
      <c r="N64" s="39"/>
      <c r="O64" s="37">
        <f t="shared" si="9"/>
        <v>0</v>
      </c>
      <c r="P64" s="44"/>
      <c r="Q64" s="44"/>
    </row>
    <row r="65" spans="1:17" x14ac:dyDescent="0.4">
      <c r="A65" s="70"/>
      <c r="B65" s="46"/>
      <c r="C65" s="46"/>
      <c r="D65" s="34" t="e">
        <f>INDEX('Equipment list'!$B$227:$B$256, (MATCH(C65,'Equipment list'!$D$227:$D$256,0)),1)</f>
        <v>#N/A</v>
      </c>
      <c r="E65" s="34" t="e">
        <f>INDEX('Equipment list'!$C$227:$C$256, (MATCH(C65,'Equipment list'!$D$227:$D$256,0)),1)</f>
        <v>#N/A</v>
      </c>
      <c r="F65" s="34">
        <f t="shared" si="5"/>
        <v>0</v>
      </c>
      <c r="G65" s="34">
        <f t="shared" si="6"/>
        <v>0</v>
      </c>
      <c r="H65" s="34" t="e">
        <f t="shared" si="7"/>
        <v>#N/A</v>
      </c>
      <c r="I65" s="34" t="e">
        <f t="shared" si="8"/>
        <v>#N/A</v>
      </c>
      <c r="J65" s="45"/>
      <c r="K65" s="46"/>
      <c r="L65" s="49"/>
      <c r="M65" s="39"/>
      <c r="N65" s="39"/>
      <c r="O65" s="37">
        <f t="shared" si="9"/>
        <v>0</v>
      </c>
      <c r="P65" s="44"/>
      <c r="Q65" s="44"/>
    </row>
    <row r="66" spans="1:17" x14ac:dyDescent="0.4">
      <c r="A66" s="70"/>
      <c r="B66" s="46"/>
      <c r="C66" s="46"/>
      <c r="D66" s="34" t="e">
        <f>INDEX('Equipment list'!$B$227:$B$256, (MATCH(C66,'Equipment list'!$D$227:$D$256,0)),1)</f>
        <v>#N/A</v>
      </c>
      <c r="E66" s="34" t="e">
        <f>INDEX('Equipment list'!$C$227:$C$256, (MATCH(C66,'Equipment list'!$D$227:$D$256,0)),1)</f>
        <v>#N/A</v>
      </c>
      <c r="F66" s="34">
        <f t="shared" si="5"/>
        <v>0</v>
      </c>
      <c r="G66" s="34">
        <f t="shared" si="6"/>
        <v>0</v>
      </c>
      <c r="H66" s="34" t="e">
        <f t="shared" si="7"/>
        <v>#N/A</v>
      </c>
      <c r="I66" s="34" t="e">
        <f t="shared" si="8"/>
        <v>#N/A</v>
      </c>
      <c r="J66" s="45"/>
      <c r="K66" s="46"/>
      <c r="L66" s="49"/>
      <c r="M66" s="39"/>
      <c r="N66" s="39"/>
      <c r="O66" s="37">
        <f t="shared" si="9"/>
        <v>0</v>
      </c>
      <c r="P66" s="44"/>
      <c r="Q66" s="44"/>
    </row>
    <row r="67" spans="1:17" x14ac:dyDescent="0.4">
      <c r="A67" s="70"/>
      <c r="B67" s="46"/>
      <c r="C67" s="46"/>
      <c r="D67" s="34" t="e">
        <f>INDEX('Equipment list'!$B$227:$B$256, (MATCH(C67,'Equipment list'!$D$227:$D$256,0)),1)</f>
        <v>#N/A</v>
      </c>
      <c r="E67" s="34" t="e">
        <f>INDEX('Equipment list'!$C$227:$C$256, (MATCH(C67,'Equipment list'!$D$227:$D$256,0)),1)</f>
        <v>#N/A</v>
      </c>
      <c r="F67" s="34">
        <f t="shared" si="5"/>
        <v>0</v>
      </c>
      <c r="G67" s="34">
        <f t="shared" si="6"/>
        <v>0</v>
      </c>
      <c r="H67" s="34" t="e">
        <f t="shared" si="7"/>
        <v>#N/A</v>
      </c>
      <c r="I67" s="34" t="e">
        <f t="shared" si="8"/>
        <v>#N/A</v>
      </c>
      <c r="J67" s="45"/>
      <c r="K67" s="46"/>
      <c r="L67" s="49"/>
      <c r="M67" s="39"/>
      <c r="N67" s="39"/>
      <c r="O67" s="37">
        <f t="shared" si="9"/>
        <v>0</v>
      </c>
      <c r="P67" s="44"/>
      <c r="Q67" s="44"/>
    </row>
    <row r="68" spans="1:17" x14ac:dyDescent="0.4">
      <c r="A68" s="70"/>
      <c r="B68" s="46"/>
      <c r="C68" s="46"/>
      <c r="D68" s="34" t="e">
        <f>INDEX('Equipment list'!$B$227:$B$256, (MATCH(C68,'Equipment list'!$D$227:$D$256,0)),1)</f>
        <v>#N/A</v>
      </c>
      <c r="E68" s="34" t="e">
        <f>INDEX('Equipment list'!$C$227:$C$256, (MATCH(C68,'Equipment list'!$D$227:$D$256,0)),1)</f>
        <v>#N/A</v>
      </c>
      <c r="F68" s="34">
        <f t="shared" si="5"/>
        <v>0</v>
      </c>
      <c r="G68" s="34">
        <f t="shared" si="6"/>
        <v>0</v>
      </c>
      <c r="H68" s="34" t="e">
        <f t="shared" si="7"/>
        <v>#N/A</v>
      </c>
      <c r="I68" s="34" t="e">
        <f t="shared" si="8"/>
        <v>#N/A</v>
      </c>
      <c r="J68" s="45"/>
      <c r="K68" s="46"/>
      <c r="L68" s="49"/>
      <c r="M68" s="39"/>
      <c r="N68" s="39"/>
      <c r="O68" s="37">
        <f t="shared" si="9"/>
        <v>0</v>
      </c>
      <c r="P68" s="44"/>
      <c r="Q68" s="44"/>
    </row>
    <row r="69" spans="1:17" x14ac:dyDescent="0.4">
      <c r="A69" s="70"/>
      <c r="B69" s="46"/>
      <c r="C69" s="46"/>
      <c r="D69" s="34" t="e">
        <f>INDEX('Equipment list'!$B$227:$B$256, (MATCH(C69,'Equipment list'!$D$227:$D$256,0)),1)</f>
        <v>#N/A</v>
      </c>
      <c r="E69" s="34" t="e">
        <f>INDEX('Equipment list'!$C$227:$C$256, (MATCH(C69,'Equipment list'!$D$227:$D$256,0)),1)</f>
        <v>#N/A</v>
      </c>
      <c r="F69" s="34">
        <f t="shared" si="5"/>
        <v>0</v>
      </c>
      <c r="G69" s="34">
        <f t="shared" si="6"/>
        <v>0</v>
      </c>
      <c r="H69" s="34" t="e">
        <f t="shared" si="7"/>
        <v>#N/A</v>
      </c>
      <c r="I69" s="34" t="e">
        <f t="shared" si="8"/>
        <v>#N/A</v>
      </c>
      <c r="J69" s="45"/>
      <c r="K69" s="46"/>
      <c r="L69" s="49"/>
      <c r="M69" s="39"/>
      <c r="N69" s="39"/>
      <c r="O69" s="37">
        <f t="shared" si="9"/>
        <v>0</v>
      </c>
      <c r="P69" s="44"/>
      <c r="Q69" s="44"/>
    </row>
    <row r="70" spans="1:17" x14ac:dyDescent="0.4">
      <c r="A70" s="70"/>
      <c r="B70" s="46"/>
      <c r="C70" s="46"/>
      <c r="D70" s="34" t="e">
        <f>INDEX('Equipment list'!$B$227:$B$256, (MATCH(C70,'Equipment list'!$D$227:$D$256,0)),1)</f>
        <v>#N/A</v>
      </c>
      <c r="E70" s="34" t="e">
        <f>INDEX('Equipment list'!$C$227:$C$256, (MATCH(C70,'Equipment list'!$D$227:$D$256,0)),1)</f>
        <v>#N/A</v>
      </c>
      <c r="F70" s="34">
        <f t="shared" ref="F70:F133" si="10">P70*4</f>
        <v>0</v>
      </c>
      <c r="G70" s="34">
        <f t="shared" ref="G70:G133" si="11">Q70*4</f>
        <v>0</v>
      </c>
      <c r="H70" s="34" t="e">
        <f t="shared" ref="H70:H133" si="12">(F70-D70)/D70*100</f>
        <v>#N/A</v>
      </c>
      <c r="I70" s="34" t="e">
        <f t="shared" ref="I70:I133" si="13">(G70-E70)/E70*100</f>
        <v>#N/A</v>
      </c>
      <c r="J70" s="45"/>
      <c r="K70" s="46"/>
      <c r="L70" s="49"/>
      <c r="M70" s="39"/>
      <c r="N70" s="39"/>
      <c r="O70" s="37">
        <f t="shared" ref="O70:O133" si="14">C70</f>
        <v>0</v>
      </c>
      <c r="P70" s="44"/>
      <c r="Q70" s="44"/>
    </row>
    <row r="71" spans="1:17" x14ac:dyDescent="0.4">
      <c r="A71" s="70"/>
      <c r="B71" s="46"/>
      <c r="C71" s="46"/>
      <c r="D71" s="34" t="e">
        <f>INDEX('Equipment list'!$B$227:$B$256, (MATCH(C71,'Equipment list'!$D$227:$D$256,0)),1)</f>
        <v>#N/A</v>
      </c>
      <c r="E71" s="34" t="e">
        <f>INDEX('Equipment list'!$C$227:$C$256, (MATCH(C71,'Equipment list'!$D$227:$D$256,0)),1)</f>
        <v>#N/A</v>
      </c>
      <c r="F71" s="34">
        <f t="shared" si="10"/>
        <v>0</v>
      </c>
      <c r="G71" s="34">
        <f t="shared" si="11"/>
        <v>0</v>
      </c>
      <c r="H71" s="34" t="e">
        <f t="shared" si="12"/>
        <v>#N/A</v>
      </c>
      <c r="I71" s="34" t="e">
        <f t="shared" si="13"/>
        <v>#N/A</v>
      </c>
      <c r="J71" s="45"/>
      <c r="K71" s="46"/>
      <c r="L71" s="49"/>
      <c r="M71" s="39"/>
      <c r="N71" s="39"/>
      <c r="O71" s="37">
        <f t="shared" si="14"/>
        <v>0</v>
      </c>
      <c r="P71" s="44"/>
      <c r="Q71" s="44"/>
    </row>
    <row r="72" spans="1:17" x14ac:dyDescent="0.4">
      <c r="A72" s="70"/>
      <c r="B72" s="46"/>
      <c r="C72" s="46"/>
      <c r="D72" s="34" t="e">
        <f>INDEX('Equipment list'!$B$227:$B$256, (MATCH(C72,'Equipment list'!$D$227:$D$256,0)),1)</f>
        <v>#N/A</v>
      </c>
      <c r="E72" s="34" t="e">
        <f>INDEX('Equipment list'!$C$227:$C$256, (MATCH(C72,'Equipment list'!$D$227:$D$256,0)),1)</f>
        <v>#N/A</v>
      </c>
      <c r="F72" s="34">
        <f t="shared" si="10"/>
        <v>0</v>
      </c>
      <c r="G72" s="34">
        <f t="shared" si="11"/>
        <v>0</v>
      </c>
      <c r="H72" s="34" t="e">
        <f t="shared" si="12"/>
        <v>#N/A</v>
      </c>
      <c r="I72" s="34" t="e">
        <f t="shared" si="13"/>
        <v>#N/A</v>
      </c>
      <c r="J72" s="45"/>
      <c r="K72" s="46"/>
      <c r="L72" s="49"/>
      <c r="M72" s="39"/>
      <c r="N72" s="39"/>
      <c r="O72" s="37">
        <f t="shared" si="14"/>
        <v>0</v>
      </c>
      <c r="P72" s="44"/>
      <c r="Q72" s="44"/>
    </row>
    <row r="73" spans="1:17" x14ac:dyDescent="0.4">
      <c r="A73" s="70"/>
      <c r="B73" s="46"/>
      <c r="C73" s="46"/>
      <c r="D73" s="34" t="e">
        <f>INDEX('Equipment list'!$B$227:$B$256, (MATCH(C73,'Equipment list'!$D$227:$D$256,0)),1)</f>
        <v>#N/A</v>
      </c>
      <c r="E73" s="34" t="e">
        <f>INDEX('Equipment list'!$C$227:$C$256, (MATCH(C73,'Equipment list'!$D$227:$D$256,0)),1)</f>
        <v>#N/A</v>
      </c>
      <c r="F73" s="34">
        <f t="shared" si="10"/>
        <v>0</v>
      </c>
      <c r="G73" s="34">
        <f t="shared" si="11"/>
        <v>0</v>
      </c>
      <c r="H73" s="34" t="e">
        <f t="shared" si="12"/>
        <v>#N/A</v>
      </c>
      <c r="I73" s="34" t="e">
        <f t="shared" si="13"/>
        <v>#N/A</v>
      </c>
      <c r="J73" s="45"/>
      <c r="K73" s="46"/>
      <c r="L73" s="49"/>
      <c r="M73" s="39"/>
      <c r="N73" s="39"/>
      <c r="O73" s="37">
        <f t="shared" si="14"/>
        <v>0</v>
      </c>
      <c r="P73" s="44"/>
      <c r="Q73" s="44"/>
    </row>
    <row r="74" spans="1:17" x14ac:dyDescent="0.4">
      <c r="A74" s="70"/>
      <c r="B74" s="46"/>
      <c r="C74" s="46"/>
      <c r="D74" s="34" t="e">
        <f>INDEX('Equipment list'!$B$227:$B$256, (MATCH(C74,'Equipment list'!$D$227:$D$256,0)),1)</f>
        <v>#N/A</v>
      </c>
      <c r="E74" s="34" t="e">
        <f>INDEX('Equipment list'!$C$227:$C$256, (MATCH(C74,'Equipment list'!$D$227:$D$256,0)),1)</f>
        <v>#N/A</v>
      </c>
      <c r="F74" s="34">
        <f t="shared" si="10"/>
        <v>0</v>
      </c>
      <c r="G74" s="34">
        <f t="shared" si="11"/>
        <v>0</v>
      </c>
      <c r="H74" s="34" t="e">
        <f t="shared" si="12"/>
        <v>#N/A</v>
      </c>
      <c r="I74" s="34" t="e">
        <f t="shared" si="13"/>
        <v>#N/A</v>
      </c>
      <c r="J74" s="45"/>
      <c r="K74" s="46"/>
      <c r="L74" s="49"/>
      <c r="M74" s="39"/>
      <c r="N74" s="39"/>
      <c r="O74" s="37">
        <f t="shared" si="14"/>
        <v>0</v>
      </c>
      <c r="P74" s="44"/>
      <c r="Q74" s="44"/>
    </row>
    <row r="75" spans="1:17" x14ac:dyDescent="0.4">
      <c r="A75" s="70"/>
      <c r="B75" s="46"/>
      <c r="C75" s="46"/>
      <c r="D75" s="34" t="e">
        <f>INDEX('Equipment list'!$B$227:$B$256, (MATCH(C75,'Equipment list'!$D$227:$D$256,0)),1)</f>
        <v>#N/A</v>
      </c>
      <c r="E75" s="34" t="e">
        <f>INDEX('Equipment list'!$C$227:$C$256, (MATCH(C75,'Equipment list'!$D$227:$D$256,0)),1)</f>
        <v>#N/A</v>
      </c>
      <c r="F75" s="34">
        <f t="shared" si="10"/>
        <v>0</v>
      </c>
      <c r="G75" s="34">
        <f t="shared" si="11"/>
        <v>0</v>
      </c>
      <c r="H75" s="34" t="e">
        <f t="shared" si="12"/>
        <v>#N/A</v>
      </c>
      <c r="I75" s="34" t="e">
        <f t="shared" si="13"/>
        <v>#N/A</v>
      </c>
      <c r="J75" s="45"/>
      <c r="K75" s="46"/>
      <c r="L75" s="49"/>
      <c r="M75" s="39"/>
      <c r="N75" s="39"/>
      <c r="O75" s="37">
        <f t="shared" si="14"/>
        <v>0</v>
      </c>
      <c r="P75" s="44"/>
      <c r="Q75" s="44"/>
    </row>
    <row r="76" spans="1:17" x14ac:dyDescent="0.4">
      <c r="A76" s="70"/>
      <c r="B76" s="46"/>
      <c r="C76" s="46"/>
      <c r="D76" s="34" t="e">
        <f>INDEX('Equipment list'!$B$227:$B$256, (MATCH(C76,'Equipment list'!$D$227:$D$256,0)),1)</f>
        <v>#N/A</v>
      </c>
      <c r="E76" s="34" t="e">
        <f>INDEX('Equipment list'!$C$227:$C$256, (MATCH(C76,'Equipment list'!$D$227:$D$256,0)),1)</f>
        <v>#N/A</v>
      </c>
      <c r="F76" s="34">
        <f t="shared" si="10"/>
        <v>0</v>
      </c>
      <c r="G76" s="34">
        <f t="shared" si="11"/>
        <v>0</v>
      </c>
      <c r="H76" s="34" t="e">
        <f t="shared" si="12"/>
        <v>#N/A</v>
      </c>
      <c r="I76" s="34" t="e">
        <f t="shared" si="13"/>
        <v>#N/A</v>
      </c>
      <c r="J76" s="45"/>
      <c r="K76" s="46"/>
      <c r="L76" s="49"/>
      <c r="M76" s="39"/>
      <c r="N76" s="39"/>
      <c r="O76" s="37">
        <f t="shared" si="14"/>
        <v>0</v>
      </c>
      <c r="P76" s="44"/>
      <c r="Q76" s="44"/>
    </row>
    <row r="77" spans="1:17" x14ac:dyDescent="0.4">
      <c r="A77" s="70"/>
      <c r="B77" s="46"/>
      <c r="C77" s="46"/>
      <c r="D77" s="34" t="e">
        <f>INDEX('Equipment list'!$B$227:$B$256, (MATCH(C77,'Equipment list'!$D$227:$D$256,0)),1)</f>
        <v>#N/A</v>
      </c>
      <c r="E77" s="34" t="e">
        <f>INDEX('Equipment list'!$C$227:$C$256, (MATCH(C77,'Equipment list'!$D$227:$D$256,0)),1)</f>
        <v>#N/A</v>
      </c>
      <c r="F77" s="34">
        <f t="shared" si="10"/>
        <v>0</v>
      </c>
      <c r="G77" s="34">
        <f t="shared" si="11"/>
        <v>0</v>
      </c>
      <c r="H77" s="34" t="e">
        <f t="shared" si="12"/>
        <v>#N/A</v>
      </c>
      <c r="I77" s="34" t="e">
        <f t="shared" si="13"/>
        <v>#N/A</v>
      </c>
      <c r="J77" s="45"/>
      <c r="K77" s="46"/>
      <c r="L77" s="49"/>
      <c r="M77" s="39"/>
      <c r="N77" s="39"/>
      <c r="O77" s="37">
        <f t="shared" si="14"/>
        <v>0</v>
      </c>
      <c r="P77" s="44"/>
      <c r="Q77" s="44"/>
    </row>
    <row r="78" spans="1:17" x14ac:dyDescent="0.4">
      <c r="A78" s="70"/>
      <c r="B78" s="46"/>
      <c r="C78" s="46"/>
      <c r="D78" s="34" t="e">
        <f>INDEX('Equipment list'!$B$227:$B$256, (MATCH(C78,'Equipment list'!$D$227:$D$256,0)),1)</f>
        <v>#N/A</v>
      </c>
      <c r="E78" s="34" t="e">
        <f>INDEX('Equipment list'!$C$227:$C$256, (MATCH(C78,'Equipment list'!$D$227:$D$256,0)),1)</f>
        <v>#N/A</v>
      </c>
      <c r="F78" s="34">
        <f t="shared" si="10"/>
        <v>0</v>
      </c>
      <c r="G78" s="34">
        <f t="shared" si="11"/>
        <v>0</v>
      </c>
      <c r="H78" s="34" t="e">
        <f t="shared" si="12"/>
        <v>#N/A</v>
      </c>
      <c r="I78" s="34" t="e">
        <f t="shared" si="13"/>
        <v>#N/A</v>
      </c>
      <c r="J78" s="45"/>
      <c r="K78" s="46"/>
      <c r="L78" s="49"/>
      <c r="M78" s="39"/>
      <c r="N78" s="39"/>
      <c r="O78" s="37">
        <f t="shared" si="14"/>
        <v>0</v>
      </c>
      <c r="P78" s="44"/>
      <c r="Q78" s="44"/>
    </row>
    <row r="79" spans="1:17" x14ac:dyDescent="0.4">
      <c r="A79" s="70"/>
      <c r="B79" s="46"/>
      <c r="C79" s="46"/>
      <c r="D79" s="34" t="e">
        <f>INDEX('Equipment list'!$B$227:$B$256, (MATCH(C79,'Equipment list'!$D$227:$D$256,0)),1)</f>
        <v>#N/A</v>
      </c>
      <c r="E79" s="34" t="e">
        <f>INDEX('Equipment list'!$C$227:$C$256, (MATCH(C79,'Equipment list'!$D$227:$D$256,0)),1)</f>
        <v>#N/A</v>
      </c>
      <c r="F79" s="34">
        <f t="shared" si="10"/>
        <v>0</v>
      </c>
      <c r="G79" s="34">
        <f t="shared" si="11"/>
        <v>0</v>
      </c>
      <c r="H79" s="34" t="e">
        <f t="shared" si="12"/>
        <v>#N/A</v>
      </c>
      <c r="I79" s="34" t="e">
        <f t="shared" si="13"/>
        <v>#N/A</v>
      </c>
      <c r="J79" s="45"/>
      <c r="K79" s="46"/>
      <c r="L79" s="49"/>
      <c r="M79" s="39"/>
      <c r="N79" s="39"/>
      <c r="O79" s="37">
        <f t="shared" si="14"/>
        <v>0</v>
      </c>
      <c r="P79" s="44"/>
      <c r="Q79" s="44"/>
    </row>
    <row r="80" spans="1:17" x14ac:dyDescent="0.4">
      <c r="A80" s="70"/>
      <c r="B80" s="46"/>
      <c r="C80" s="46"/>
      <c r="D80" s="34" t="e">
        <f>INDEX('Equipment list'!$B$227:$B$256, (MATCH(C80,'Equipment list'!$D$227:$D$256,0)),1)</f>
        <v>#N/A</v>
      </c>
      <c r="E80" s="34" t="e">
        <f>INDEX('Equipment list'!$C$227:$C$256, (MATCH(C80,'Equipment list'!$D$227:$D$256,0)),1)</f>
        <v>#N/A</v>
      </c>
      <c r="F80" s="34">
        <f t="shared" si="10"/>
        <v>0</v>
      </c>
      <c r="G80" s="34">
        <f t="shared" si="11"/>
        <v>0</v>
      </c>
      <c r="H80" s="34" t="e">
        <f t="shared" si="12"/>
        <v>#N/A</v>
      </c>
      <c r="I80" s="34" t="e">
        <f t="shared" si="13"/>
        <v>#N/A</v>
      </c>
      <c r="J80" s="45"/>
      <c r="K80" s="46"/>
      <c r="L80" s="49"/>
      <c r="M80" s="39"/>
      <c r="N80" s="39"/>
      <c r="O80" s="37">
        <f t="shared" si="14"/>
        <v>0</v>
      </c>
      <c r="P80" s="44"/>
      <c r="Q80" s="44"/>
    </row>
    <row r="81" spans="1:17" x14ac:dyDescent="0.4">
      <c r="A81" s="70"/>
      <c r="B81" s="46"/>
      <c r="C81" s="46"/>
      <c r="D81" s="34" t="e">
        <f>INDEX('Equipment list'!$B$227:$B$256, (MATCH(C81,'Equipment list'!$D$227:$D$256,0)),1)</f>
        <v>#N/A</v>
      </c>
      <c r="E81" s="34" t="e">
        <f>INDEX('Equipment list'!$C$227:$C$256, (MATCH(C81,'Equipment list'!$D$227:$D$256,0)),1)</f>
        <v>#N/A</v>
      </c>
      <c r="F81" s="34">
        <f t="shared" si="10"/>
        <v>0</v>
      </c>
      <c r="G81" s="34">
        <f t="shared" si="11"/>
        <v>0</v>
      </c>
      <c r="H81" s="34" t="e">
        <f t="shared" si="12"/>
        <v>#N/A</v>
      </c>
      <c r="I81" s="34" t="e">
        <f t="shared" si="13"/>
        <v>#N/A</v>
      </c>
      <c r="J81" s="45"/>
      <c r="K81" s="46"/>
      <c r="L81" s="49"/>
      <c r="M81" s="39"/>
      <c r="N81" s="39"/>
      <c r="O81" s="37">
        <f t="shared" si="14"/>
        <v>0</v>
      </c>
      <c r="P81" s="44"/>
      <c r="Q81" s="44"/>
    </row>
    <row r="82" spans="1:17" x14ac:dyDescent="0.4">
      <c r="A82" s="70"/>
      <c r="B82" s="46"/>
      <c r="C82" s="46"/>
      <c r="D82" s="34" t="e">
        <f>INDEX('Equipment list'!$B$227:$B$256, (MATCH(C82,'Equipment list'!$D$227:$D$256,0)),1)</f>
        <v>#N/A</v>
      </c>
      <c r="E82" s="34" t="e">
        <f>INDEX('Equipment list'!$C$227:$C$256, (MATCH(C82,'Equipment list'!$D$227:$D$256,0)),1)</f>
        <v>#N/A</v>
      </c>
      <c r="F82" s="34">
        <f t="shared" si="10"/>
        <v>0</v>
      </c>
      <c r="G82" s="34">
        <f t="shared" si="11"/>
        <v>0</v>
      </c>
      <c r="H82" s="34" t="e">
        <f t="shared" si="12"/>
        <v>#N/A</v>
      </c>
      <c r="I82" s="34" t="e">
        <f t="shared" si="13"/>
        <v>#N/A</v>
      </c>
      <c r="J82" s="45"/>
      <c r="K82" s="46"/>
      <c r="L82" s="49"/>
      <c r="M82" s="39"/>
      <c r="N82" s="39"/>
      <c r="O82" s="37">
        <f t="shared" si="14"/>
        <v>0</v>
      </c>
      <c r="P82" s="44"/>
      <c r="Q82" s="44"/>
    </row>
    <row r="83" spans="1:17" x14ac:dyDescent="0.4">
      <c r="A83" s="70"/>
      <c r="B83" s="46"/>
      <c r="C83" s="46"/>
      <c r="D83" s="34" t="e">
        <f>INDEX('Equipment list'!$B$227:$B$256, (MATCH(C83,'Equipment list'!$D$227:$D$256,0)),1)</f>
        <v>#N/A</v>
      </c>
      <c r="E83" s="34" t="e">
        <f>INDEX('Equipment list'!$C$227:$C$256, (MATCH(C83,'Equipment list'!$D$227:$D$256,0)),1)</f>
        <v>#N/A</v>
      </c>
      <c r="F83" s="34">
        <f t="shared" si="10"/>
        <v>0</v>
      </c>
      <c r="G83" s="34">
        <f t="shared" si="11"/>
        <v>0</v>
      </c>
      <c r="H83" s="34" t="e">
        <f t="shared" si="12"/>
        <v>#N/A</v>
      </c>
      <c r="I83" s="34" t="e">
        <f t="shared" si="13"/>
        <v>#N/A</v>
      </c>
      <c r="J83" s="45"/>
      <c r="K83" s="46"/>
      <c r="L83" s="49"/>
      <c r="M83" s="39"/>
      <c r="N83" s="39"/>
      <c r="O83" s="37">
        <f t="shared" si="14"/>
        <v>0</v>
      </c>
      <c r="P83" s="44"/>
      <c r="Q83" s="44"/>
    </row>
    <row r="84" spans="1:17" x14ac:dyDescent="0.4">
      <c r="A84" s="70"/>
      <c r="B84" s="46"/>
      <c r="C84" s="46"/>
      <c r="D84" s="34" t="e">
        <f>INDEX('Equipment list'!$B$227:$B$256, (MATCH(C84,'Equipment list'!$D$227:$D$256,0)),1)</f>
        <v>#N/A</v>
      </c>
      <c r="E84" s="34" t="e">
        <f>INDEX('Equipment list'!$C$227:$C$256, (MATCH(C84,'Equipment list'!$D$227:$D$256,0)),1)</f>
        <v>#N/A</v>
      </c>
      <c r="F84" s="34">
        <f t="shared" si="10"/>
        <v>0</v>
      </c>
      <c r="G84" s="34">
        <f t="shared" si="11"/>
        <v>0</v>
      </c>
      <c r="H84" s="34" t="e">
        <f t="shared" si="12"/>
        <v>#N/A</v>
      </c>
      <c r="I84" s="34" t="e">
        <f t="shared" si="13"/>
        <v>#N/A</v>
      </c>
      <c r="J84" s="45"/>
      <c r="K84" s="46"/>
      <c r="L84" s="49"/>
      <c r="M84" s="39"/>
      <c r="N84" s="39"/>
      <c r="O84" s="37">
        <f t="shared" si="14"/>
        <v>0</v>
      </c>
      <c r="P84" s="44"/>
      <c r="Q84" s="44"/>
    </row>
    <row r="85" spans="1:17" x14ac:dyDescent="0.4">
      <c r="A85" s="70"/>
      <c r="B85" s="46"/>
      <c r="C85" s="46"/>
      <c r="D85" s="34" t="e">
        <f>INDEX('Equipment list'!$B$227:$B$256, (MATCH(C85,'Equipment list'!$D$227:$D$256,0)),1)</f>
        <v>#N/A</v>
      </c>
      <c r="E85" s="34" t="e">
        <f>INDEX('Equipment list'!$C$227:$C$256, (MATCH(C85,'Equipment list'!$D$227:$D$256,0)),1)</f>
        <v>#N/A</v>
      </c>
      <c r="F85" s="34">
        <f t="shared" si="10"/>
        <v>0</v>
      </c>
      <c r="G85" s="34">
        <f t="shared" si="11"/>
        <v>0</v>
      </c>
      <c r="H85" s="34" t="e">
        <f t="shared" si="12"/>
        <v>#N/A</v>
      </c>
      <c r="I85" s="34" t="e">
        <f t="shared" si="13"/>
        <v>#N/A</v>
      </c>
      <c r="J85" s="45"/>
      <c r="K85" s="46"/>
      <c r="L85" s="49"/>
      <c r="M85" s="39"/>
      <c r="N85" s="39"/>
      <c r="O85" s="37">
        <f t="shared" si="14"/>
        <v>0</v>
      </c>
      <c r="P85" s="44"/>
      <c r="Q85" s="44"/>
    </row>
    <row r="86" spans="1:17" x14ac:dyDescent="0.4">
      <c r="A86" s="70"/>
      <c r="B86" s="46"/>
      <c r="C86" s="46"/>
      <c r="D86" s="34" t="e">
        <f>INDEX('Equipment list'!$B$227:$B$256, (MATCH(C86,'Equipment list'!$D$227:$D$256,0)),1)</f>
        <v>#N/A</v>
      </c>
      <c r="E86" s="34" t="e">
        <f>INDEX('Equipment list'!$C$227:$C$256, (MATCH(C86,'Equipment list'!$D$227:$D$256,0)),1)</f>
        <v>#N/A</v>
      </c>
      <c r="F86" s="34">
        <f t="shared" si="10"/>
        <v>0</v>
      </c>
      <c r="G86" s="34">
        <f t="shared" si="11"/>
        <v>0</v>
      </c>
      <c r="H86" s="34" t="e">
        <f t="shared" si="12"/>
        <v>#N/A</v>
      </c>
      <c r="I86" s="34" t="e">
        <f t="shared" si="13"/>
        <v>#N/A</v>
      </c>
      <c r="J86" s="45"/>
      <c r="K86" s="46"/>
      <c r="L86" s="49"/>
      <c r="M86" s="39"/>
      <c r="N86" s="39"/>
      <c r="O86" s="37">
        <f t="shared" si="14"/>
        <v>0</v>
      </c>
      <c r="P86" s="44"/>
      <c r="Q86" s="44"/>
    </row>
    <row r="87" spans="1:17" x14ac:dyDescent="0.4">
      <c r="A87" s="70"/>
      <c r="B87" s="46"/>
      <c r="C87" s="46"/>
      <c r="D87" s="34" t="e">
        <f>INDEX('Equipment list'!$B$227:$B$256, (MATCH(C87,'Equipment list'!$D$227:$D$256,0)),1)</f>
        <v>#N/A</v>
      </c>
      <c r="E87" s="34" t="e">
        <f>INDEX('Equipment list'!$C$227:$C$256, (MATCH(C87,'Equipment list'!$D$227:$D$256,0)),1)</f>
        <v>#N/A</v>
      </c>
      <c r="F87" s="34">
        <f t="shared" si="10"/>
        <v>0</v>
      </c>
      <c r="G87" s="34">
        <f t="shared" si="11"/>
        <v>0</v>
      </c>
      <c r="H87" s="34" t="e">
        <f t="shared" si="12"/>
        <v>#N/A</v>
      </c>
      <c r="I87" s="34" t="e">
        <f t="shared" si="13"/>
        <v>#N/A</v>
      </c>
      <c r="J87" s="45"/>
      <c r="K87" s="46"/>
      <c r="L87" s="49"/>
      <c r="M87" s="39"/>
      <c r="N87" s="39"/>
      <c r="O87" s="37">
        <f t="shared" si="14"/>
        <v>0</v>
      </c>
      <c r="P87" s="44"/>
      <c r="Q87" s="44"/>
    </row>
    <row r="88" spans="1:17" x14ac:dyDescent="0.4">
      <c r="A88" s="70"/>
      <c r="B88" s="46"/>
      <c r="C88" s="46"/>
      <c r="D88" s="34" t="e">
        <f>INDEX('Equipment list'!$B$227:$B$256, (MATCH(C88,'Equipment list'!$D$227:$D$256,0)),1)</f>
        <v>#N/A</v>
      </c>
      <c r="E88" s="34" t="e">
        <f>INDEX('Equipment list'!$C$227:$C$256, (MATCH(C88,'Equipment list'!$D$227:$D$256,0)),1)</f>
        <v>#N/A</v>
      </c>
      <c r="F88" s="34">
        <f t="shared" si="10"/>
        <v>0</v>
      </c>
      <c r="G88" s="34">
        <f t="shared" si="11"/>
        <v>0</v>
      </c>
      <c r="H88" s="34" t="e">
        <f t="shared" si="12"/>
        <v>#N/A</v>
      </c>
      <c r="I88" s="34" t="e">
        <f t="shared" si="13"/>
        <v>#N/A</v>
      </c>
      <c r="J88" s="45"/>
      <c r="K88" s="46"/>
      <c r="L88" s="49"/>
      <c r="M88" s="39"/>
      <c r="N88" s="39"/>
      <c r="O88" s="37">
        <f t="shared" si="14"/>
        <v>0</v>
      </c>
      <c r="P88" s="44"/>
      <c r="Q88" s="44"/>
    </row>
    <row r="89" spans="1:17" x14ac:dyDescent="0.4">
      <c r="A89" s="70"/>
      <c r="B89" s="46"/>
      <c r="C89" s="46"/>
      <c r="D89" s="34" t="e">
        <f>INDEX('Equipment list'!$B$227:$B$256, (MATCH(C89,'Equipment list'!$D$227:$D$256,0)),1)</f>
        <v>#N/A</v>
      </c>
      <c r="E89" s="34" t="e">
        <f>INDEX('Equipment list'!$C$227:$C$256, (MATCH(C89,'Equipment list'!$D$227:$D$256,0)),1)</f>
        <v>#N/A</v>
      </c>
      <c r="F89" s="34">
        <f t="shared" si="10"/>
        <v>0</v>
      </c>
      <c r="G89" s="34">
        <f t="shared" si="11"/>
        <v>0</v>
      </c>
      <c r="H89" s="34" t="e">
        <f t="shared" si="12"/>
        <v>#N/A</v>
      </c>
      <c r="I89" s="34" t="e">
        <f t="shared" si="13"/>
        <v>#N/A</v>
      </c>
      <c r="J89" s="45"/>
      <c r="K89" s="46"/>
      <c r="L89" s="49"/>
      <c r="M89" s="39"/>
      <c r="N89" s="39"/>
      <c r="O89" s="37">
        <f t="shared" si="14"/>
        <v>0</v>
      </c>
      <c r="P89" s="44"/>
      <c r="Q89" s="44"/>
    </row>
    <row r="90" spans="1:17" x14ac:dyDescent="0.4">
      <c r="A90" s="70"/>
      <c r="B90" s="46"/>
      <c r="C90" s="46"/>
      <c r="D90" s="34" t="e">
        <f>INDEX('Equipment list'!$B$227:$B$256, (MATCH(C90,'Equipment list'!$D$227:$D$256,0)),1)</f>
        <v>#N/A</v>
      </c>
      <c r="E90" s="34" t="e">
        <f>INDEX('Equipment list'!$C$227:$C$256, (MATCH(C90,'Equipment list'!$D$227:$D$256,0)),1)</f>
        <v>#N/A</v>
      </c>
      <c r="F90" s="34">
        <f t="shared" si="10"/>
        <v>0</v>
      </c>
      <c r="G90" s="34">
        <f t="shared" si="11"/>
        <v>0</v>
      </c>
      <c r="H90" s="34" t="e">
        <f t="shared" si="12"/>
        <v>#N/A</v>
      </c>
      <c r="I90" s="34" t="e">
        <f t="shared" si="13"/>
        <v>#N/A</v>
      </c>
      <c r="J90" s="45"/>
      <c r="K90" s="46"/>
      <c r="L90" s="49"/>
      <c r="M90" s="39"/>
      <c r="N90" s="39"/>
      <c r="O90" s="37">
        <f t="shared" si="14"/>
        <v>0</v>
      </c>
      <c r="P90" s="44"/>
      <c r="Q90" s="44"/>
    </row>
    <row r="91" spans="1:17" x14ac:dyDescent="0.4">
      <c r="A91" s="70"/>
      <c r="B91" s="46"/>
      <c r="C91" s="46"/>
      <c r="D91" s="34" t="e">
        <f>INDEX('Equipment list'!$B$227:$B$256, (MATCH(C91,'Equipment list'!$D$227:$D$256,0)),1)</f>
        <v>#N/A</v>
      </c>
      <c r="E91" s="34" t="e">
        <f>INDEX('Equipment list'!$C$227:$C$256, (MATCH(C91,'Equipment list'!$D$227:$D$256,0)),1)</f>
        <v>#N/A</v>
      </c>
      <c r="F91" s="34">
        <f t="shared" si="10"/>
        <v>0</v>
      </c>
      <c r="G91" s="34">
        <f t="shared" si="11"/>
        <v>0</v>
      </c>
      <c r="H91" s="34" t="e">
        <f t="shared" si="12"/>
        <v>#N/A</v>
      </c>
      <c r="I91" s="34" t="e">
        <f t="shared" si="13"/>
        <v>#N/A</v>
      </c>
      <c r="J91" s="45"/>
      <c r="K91" s="46"/>
      <c r="L91" s="49"/>
      <c r="M91" s="39"/>
      <c r="N91" s="39"/>
      <c r="O91" s="37">
        <f t="shared" si="14"/>
        <v>0</v>
      </c>
      <c r="P91" s="44"/>
      <c r="Q91" s="44"/>
    </row>
    <row r="92" spans="1:17" x14ac:dyDescent="0.4">
      <c r="A92" s="70"/>
      <c r="B92" s="46"/>
      <c r="C92" s="46"/>
      <c r="D92" s="34" t="e">
        <f>INDEX('Equipment list'!$B$227:$B$256, (MATCH(C92,'Equipment list'!$D$227:$D$256,0)),1)</f>
        <v>#N/A</v>
      </c>
      <c r="E92" s="34" t="e">
        <f>INDEX('Equipment list'!$C$227:$C$256, (MATCH(C92,'Equipment list'!$D$227:$D$256,0)),1)</f>
        <v>#N/A</v>
      </c>
      <c r="F92" s="34">
        <f t="shared" si="10"/>
        <v>0</v>
      </c>
      <c r="G92" s="34">
        <f t="shared" si="11"/>
        <v>0</v>
      </c>
      <c r="H92" s="34" t="e">
        <f t="shared" si="12"/>
        <v>#N/A</v>
      </c>
      <c r="I92" s="34" t="e">
        <f t="shared" si="13"/>
        <v>#N/A</v>
      </c>
      <c r="J92" s="45"/>
      <c r="K92" s="46"/>
      <c r="L92" s="49"/>
      <c r="M92" s="39"/>
      <c r="N92" s="39"/>
      <c r="O92" s="37">
        <f t="shared" si="14"/>
        <v>0</v>
      </c>
      <c r="P92" s="44"/>
      <c r="Q92" s="44"/>
    </row>
    <row r="93" spans="1:17" x14ac:dyDescent="0.4">
      <c r="A93" s="70"/>
      <c r="B93" s="46"/>
      <c r="C93" s="46"/>
      <c r="D93" s="34" t="e">
        <f>INDEX('Equipment list'!$B$227:$B$256, (MATCH(C93,'Equipment list'!$D$227:$D$256,0)),1)</f>
        <v>#N/A</v>
      </c>
      <c r="E93" s="34" t="e">
        <f>INDEX('Equipment list'!$C$227:$C$256, (MATCH(C93,'Equipment list'!$D$227:$D$256,0)),1)</f>
        <v>#N/A</v>
      </c>
      <c r="F93" s="34">
        <f t="shared" si="10"/>
        <v>0</v>
      </c>
      <c r="G93" s="34">
        <f t="shared" si="11"/>
        <v>0</v>
      </c>
      <c r="H93" s="34" t="e">
        <f t="shared" si="12"/>
        <v>#N/A</v>
      </c>
      <c r="I93" s="34" t="e">
        <f t="shared" si="13"/>
        <v>#N/A</v>
      </c>
      <c r="J93" s="45"/>
      <c r="K93" s="46"/>
      <c r="L93" s="49"/>
      <c r="M93" s="39"/>
      <c r="N93" s="39"/>
      <c r="O93" s="37">
        <f t="shared" si="14"/>
        <v>0</v>
      </c>
      <c r="P93" s="44"/>
      <c r="Q93" s="44"/>
    </row>
    <row r="94" spans="1:17" x14ac:dyDescent="0.4">
      <c r="A94" s="70"/>
      <c r="B94" s="46"/>
      <c r="C94" s="46"/>
      <c r="D94" s="34" t="e">
        <f>INDEX('Equipment list'!$B$227:$B$256, (MATCH(C94,'Equipment list'!$D$227:$D$256,0)),1)</f>
        <v>#N/A</v>
      </c>
      <c r="E94" s="34" t="e">
        <f>INDEX('Equipment list'!$C$227:$C$256, (MATCH(C94,'Equipment list'!$D$227:$D$256,0)),1)</f>
        <v>#N/A</v>
      </c>
      <c r="F94" s="34">
        <f t="shared" si="10"/>
        <v>0</v>
      </c>
      <c r="G94" s="34">
        <f t="shared" si="11"/>
        <v>0</v>
      </c>
      <c r="H94" s="34" t="e">
        <f t="shared" si="12"/>
        <v>#N/A</v>
      </c>
      <c r="I94" s="34" t="e">
        <f t="shared" si="13"/>
        <v>#N/A</v>
      </c>
      <c r="J94" s="45"/>
      <c r="K94" s="46"/>
      <c r="L94" s="49"/>
      <c r="M94" s="39"/>
      <c r="N94" s="39"/>
      <c r="O94" s="37">
        <f t="shared" si="14"/>
        <v>0</v>
      </c>
      <c r="P94" s="44"/>
      <c r="Q94" s="44"/>
    </row>
    <row r="95" spans="1:17" x14ac:dyDescent="0.4">
      <c r="A95" s="70"/>
      <c r="B95" s="46"/>
      <c r="C95" s="46"/>
      <c r="D95" s="34" t="e">
        <f>INDEX('Equipment list'!$B$227:$B$256, (MATCH(C95,'Equipment list'!$D$227:$D$256,0)),1)</f>
        <v>#N/A</v>
      </c>
      <c r="E95" s="34" t="e">
        <f>INDEX('Equipment list'!$C$227:$C$256, (MATCH(C95,'Equipment list'!$D$227:$D$256,0)),1)</f>
        <v>#N/A</v>
      </c>
      <c r="F95" s="34">
        <f t="shared" si="10"/>
        <v>0</v>
      </c>
      <c r="G95" s="34">
        <f t="shared" si="11"/>
        <v>0</v>
      </c>
      <c r="H95" s="34" t="e">
        <f t="shared" si="12"/>
        <v>#N/A</v>
      </c>
      <c r="I95" s="34" t="e">
        <f t="shared" si="13"/>
        <v>#N/A</v>
      </c>
      <c r="J95" s="45"/>
      <c r="K95" s="46"/>
      <c r="L95" s="49"/>
      <c r="M95" s="39"/>
      <c r="N95" s="39"/>
      <c r="O95" s="37">
        <f t="shared" si="14"/>
        <v>0</v>
      </c>
      <c r="P95" s="44"/>
      <c r="Q95" s="44"/>
    </row>
    <row r="96" spans="1:17" x14ac:dyDescent="0.4">
      <c r="A96" s="70"/>
      <c r="B96" s="46"/>
      <c r="C96" s="46"/>
      <c r="D96" s="34" t="e">
        <f>INDEX('Equipment list'!$B$227:$B$256, (MATCH(C96,'Equipment list'!$D$227:$D$256,0)),1)</f>
        <v>#N/A</v>
      </c>
      <c r="E96" s="34" t="e">
        <f>INDEX('Equipment list'!$C$227:$C$256, (MATCH(C96,'Equipment list'!$D$227:$D$256,0)),1)</f>
        <v>#N/A</v>
      </c>
      <c r="F96" s="34">
        <f t="shared" si="10"/>
        <v>0</v>
      </c>
      <c r="G96" s="34">
        <f t="shared" si="11"/>
        <v>0</v>
      </c>
      <c r="H96" s="34" t="e">
        <f t="shared" si="12"/>
        <v>#N/A</v>
      </c>
      <c r="I96" s="34" t="e">
        <f t="shared" si="13"/>
        <v>#N/A</v>
      </c>
      <c r="J96" s="45"/>
      <c r="K96" s="46"/>
      <c r="L96" s="49"/>
      <c r="M96" s="39"/>
      <c r="N96" s="39"/>
      <c r="O96" s="37">
        <f t="shared" si="14"/>
        <v>0</v>
      </c>
      <c r="P96" s="44"/>
      <c r="Q96" s="44"/>
    </row>
    <row r="97" spans="1:17" x14ac:dyDescent="0.4">
      <c r="A97" s="70"/>
      <c r="B97" s="46"/>
      <c r="C97" s="46"/>
      <c r="D97" s="34" t="e">
        <f>INDEX('Equipment list'!$B$227:$B$256, (MATCH(C97,'Equipment list'!$D$227:$D$256,0)),1)</f>
        <v>#N/A</v>
      </c>
      <c r="E97" s="34" t="e">
        <f>INDEX('Equipment list'!$C$227:$C$256, (MATCH(C97,'Equipment list'!$D$227:$D$256,0)),1)</f>
        <v>#N/A</v>
      </c>
      <c r="F97" s="34">
        <f t="shared" si="10"/>
        <v>0</v>
      </c>
      <c r="G97" s="34">
        <f t="shared" si="11"/>
        <v>0</v>
      </c>
      <c r="H97" s="34" t="e">
        <f t="shared" si="12"/>
        <v>#N/A</v>
      </c>
      <c r="I97" s="34" t="e">
        <f t="shared" si="13"/>
        <v>#N/A</v>
      </c>
      <c r="J97" s="45"/>
      <c r="K97" s="46"/>
      <c r="L97" s="49"/>
      <c r="M97" s="39"/>
      <c r="N97" s="39"/>
      <c r="O97" s="37">
        <f t="shared" si="14"/>
        <v>0</v>
      </c>
      <c r="P97" s="44"/>
      <c r="Q97" s="44"/>
    </row>
    <row r="98" spans="1:17" x14ac:dyDescent="0.4">
      <c r="A98" s="70"/>
      <c r="B98" s="46"/>
      <c r="C98" s="46"/>
      <c r="D98" s="34" t="e">
        <f>INDEX('Equipment list'!$B$227:$B$256, (MATCH(C98,'Equipment list'!$D$227:$D$256,0)),1)</f>
        <v>#N/A</v>
      </c>
      <c r="E98" s="34" t="e">
        <f>INDEX('Equipment list'!$C$227:$C$256, (MATCH(C98,'Equipment list'!$D$227:$D$256,0)),1)</f>
        <v>#N/A</v>
      </c>
      <c r="F98" s="34">
        <f t="shared" si="10"/>
        <v>0</v>
      </c>
      <c r="G98" s="34">
        <f t="shared" si="11"/>
        <v>0</v>
      </c>
      <c r="H98" s="34" t="e">
        <f t="shared" si="12"/>
        <v>#N/A</v>
      </c>
      <c r="I98" s="34" t="e">
        <f t="shared" si="13"/>
        <v>#N/A</v>
      </c>
      <c r="J98" s="45"/>
      <c r="K98" s="46"/>
      <c r="L98" s="49"/>
      <c r="M98" s="39"/>
      <c r="N98" s="39"/>
      <c r="O98" s="37">
        <f t="shared" si="14"/>
        <v>0</v>
      </c>
      <c r="P98" s="44"/>
      <c r="Q98" s="44"/>
    </row>
    <row r="99" spans="1:17" x14ac:dyDescent="0.4">
      <c r="A99" s="70"/>
      <c r="B99" s="46"/>
      <c r="C99" s="46"/>
      <c r="D99" s="34" t="e">
        <f>INDEX('Equipment list'!$B$227:$B$256, (MATCH(C99,'Equipment list'!$D$227:$D$256,0)),1)</f>
        <v>#N/A</v>
      </c>
      <c r="E99" s="34" t="e">
        <f>INDEX('Equipment list'!$C$227:$C$256, (MATCH(C99,'Equipment list'!$D$227:$D$256,0)),1)</f>
        <v>#N/A</v>
      </c>
      <c r="F99" s="34">
        <f t="shared" si="10"/>
        <v>0</v>
      </c>
      <c r="G99" s="34">
        <f t="shared" si="11"/>
        <v>0</v>
      </c>
      <c r="H99" s="34" t="e">
        <f t="shared" si="12"/>
        <v>#N/A</v>
      </c>
      <c r="I99" s="34" t="e">
        <f t="shared" si="13"/>
        <v>#N/A</v>
      </c>
      <c r="J99" s="45"/>
      <c r="K99" s="46"/>
      <c r="L99" s="49"/>
      <c r="M99" s="39"/>
      <c r="N99" s="39"/>
      <c r="O99" s="37">
        <f t="shared" si="14"/>
        <v>0</v>
      </c>
      <c r="P99" s="44"/>
      <c r="Q99" s="44"/>
    </row>
    <row r="100" spans="1:17" x14ac:dyDescent="0.4">
      <c r="A100" s="70"/>
      <c r="B100" s="46"/>
      <c r="C100" s="46"/>
      <c r="D100" s="34" t="e">
        <f>INDEX('Equipment list'!$B$227:$B$256, (MATCH(C100,'Equipment list'!$D$227:$D$256,0)),1)</f>
        <v>#N/A</v>
      </c>
      <c r="E100" s="34" t="e">
        <f>INDEX('Equipment list'!$C$227:$C$256, (MATCH(C100,'Equipment list'!$D$227:$D$256,0)),1)</f>
        <v>#N/A</v>
      </c>
      <c r="F100" s="34">
        <f t="shared" si="10"/>
        <v>0</v>
      </c>
      <c r="G100" s="34">
        <f t="shared" si="11"/>
        <v>0</v>
      </c>
      <c r="H100" s="34" t="e">
        <f t="shared" si="12"/>
        <v>#N/A</v>
      </c>
      <c r="I100" s="34" t="e">
        <f t="shared" si="13"/>
        <v>#N/A</v>
      </c>
      <c r="J100" s="45"/>
      <c r="K100" s="46"/>
      <c r="L100" s="49"/>
      <c r="M100" s="39"/>
      <c r="N100" s="39"/>
      <c r="O100" s="37">
        <f t="shared" si="14"/>
        <v>0</v>
      </c>
      <c r="P100" s="44"/>
      <c r="Q100" s="44"/>
    </row>
    <row r="101" spans="1:17" x14ac:dyDescent="0.4">
      <c r="A101" s="70"/>
      <c r="B101" s="46"/>
      <c r="C101" s="46"/>
      <c r="D101" s="34" t="e">
        <f>INDEX('Equipment list'!$B$227:$B$256, (MATCH(C101,'Equipment list'!$D$227:$D$256,0)),1)</f>
        <v>#N/A</v>
      </c>
      <c r="E101" s="34" t="e">
        <f>INDEX('Equipment list'!$C$227:$C$256, (MATCH(C101,'Equipment list'!$D$227:$D$256,0)),1)</f>
        <v>#N/A</v>
      </c>
      <c r="F101" s="34">
        <f t="shared" si="10"/>
        <v>0</v>
      </c>
      <c r="G101" s="34">
        <f t="shared" si="11"/>
        <v>0</v>
      </c>
      <c r="H101" s="34" t="e">
        <f t="shared" si="12"/>
        <v>#N/A</v>
      </c>
      <c r="I101" s="34" t="e">
        <f t="shared" si="13"/>
        <v>#N/A</v>
      </c>
      <c r="J101" s="45"/>
      <c r="K101" s="46"/>
      <c r="L101" s="49"/>
      <c r="M101" s="39"/>
      <c r="N101" s="39"/>
      <c r="O101" s="37">
        <f t="shared" si="14"/>
        <v>0</v>
      </c>
      <c r="P101" s="44"/>
      <c r="Q101" s="44"/>
    </row>
    <row r="102" spans="1:17" x14ac:dyDescent="0.4">
      <c r="A102" s="70"/>
      <c r="B102" s="46"/>
      <c r="C102" s="46"/>
      <c r="D102" s="34" t="e">
        <f>INDEX('Equipment list'!$B$227:$B$256, (MATCH(C102,'Equipment list'!$D$227:$D$256,0)),1)</f>
        <v>#N/A</v>
      </c>
      <c r="E102" s="34" t="e">
        <f>INDEX('Equipment list'!$C$227:$C$256, (MATCH(C102,'Equipment list'!$D$227:$D$256,0)),1)</f>
        <v>#N/A</v>
      </c>
      <c r="F102" s="34">
        <f t="shared" si="10"/>
        <v>0</v>
      </c>
      <c r="G102" s="34">
        <f t="shared" si="11"/>
        <v>0</v>
      </c>
      <c r="H102" s="34" t="e">
        <f t="shared" si="12"/>
        <v>#N/A</v>
      </c>
      <c r="I102" s="34" t="e">
        <f t="shared" si="13"/>
        <v>#N/A</v>
      </c>
      <c r="J102" s="45"/>
      <c r="K102" s="46"/>
      <c r="L102" s="49"/>
      <c r="M102" s="39"/>
      <c r="N102" s="39"/>
      <c r="O102" s="37">
        <f t="shared" si="14"/>
        <v>0</v>
      </c>
      <c r="P102" s="44"/>
      <c r="Q102" s="44"/>
    </row>
    <row r="103" spans="1:17" x14ac:dyDescent="0.4">
      <c r="A103" s="70"/>
      <c r="B103" s="46"/>
      <c r="C103" s="46"/>
      <c r="D103" s="34" t="e">
        <f>INDEX('Equipment list'!$B$227:$B$256, (MATCH(C103,'Equipment list'!$D$227:$D$256,0)),1)</f>
        <v>#N/A</v>
      </c>
      <c r="E103" s="34" t="e">
        <f>INDEX('Equipment list'!$C$227:$C$256, (MATCH(C103,'Equipment list'!$D$227:$D$256,0)),1)</f>
        <v>#N/A</v>
      </c>
      <c r="F103" s="34">
        <f t="shared" si="10"/>
        <v>0</v>
      </c>
      <c r="G103" s="34">
        <f t="shared" si="11"/>
        <v>0</v>
      </c>
      <c r="H103" s="34" t="e">
        <f t="shared" si="12"/>
        <v>#N/A</v>
      </c>
      <c r="I103" s="34" t="e">
        <f t="shared" si="13"/>
        <v>#N/A</v>
      </c>
      <c r="J103" s="45"/>
      <c r="K103" s="46"/>
      <c r="L103" s="49"/>
      <c r="M103" s="39"/>
      <c r="N103" s="39"/>
      <c r="O103" s="37">
        <f t="shared" si="14"/>
        <v>0</v>
      </c>
      <c r="P103" s="44"/>
      <c r="Q103" s="44"/>
    </row>
    <row r="104" spans="1:17" x14ac:dyDescent="0.4">
      <c r="A104" s="70"/>
      <c r="B104" s="46"/>
      <c r="C104" s="46"/>
      <c r="D104" s="34" t="e">
        <f>INDEX('Equipment list'!$B$227:$B$256, (MATCH(C104,'Equipment list'!$D$227:$D$256,0)),1)</f>
        <v>#N/A</v>
      </c>
      <c r="E104" s="34" t="e">
        <f>INDEX('Equipment list'!$C$227:$C$256, (MATCH(C104,'Equipment list'!$D$227:$D$256,0)),1)</f>
        <v>#N/A</v>
      </c>
      <c r="F104" s="34">
        <f t="shared" si="10"/>
        <v>0</v>
      </c>
      <c r="G104" s="34">
        <f t="shared" si="11"/>
        <v>0</v>
      </c>
      <c r="H104" s="34" t="e">
        <f t="shared" si="12"/>
        <v>#N/A</v>
      </c>
      <c r="I104" s="34" t="e">
        <f t="shared" si="13"/>
        <v>#N/A</v>
      </c>
      <c r="J104" s="45"/>
      <c r="K104" s="46"/>
      <c r="L104" s="49"/>
      <c r="M104" s="39"/>
      <c r="N104" s="39"/>
      <c r="O104" s="37">
        <f t="shared" si="14"/>
        <v>0</v>
      </c>
      <c r="P104" s="44"/>
      <c r="Q104" s="44"/>
    </row>
    <row r="105" spans="1:17" x14ac:dyDescent="0.4">
      <c r="A105" s="70"/>
      <c r="B105" s="46"/>
      <c r="C105" s="46"/>
      <c r="D105" s="34" t="e">
        <f>INDEX('Equipment list'!$B$227:$B$256, (MATCH(C105,'Equipment list'!$D$227:$D$256,0)),1)</f>
        <v>#N/A</v>
      </c>
      <c r="E105" s="34" t="e">
        <f>INDEX('Equipment list'!$C$227:$C$256, (MATCH(C105,'Equipment list'!$D$227:$D$256,0)),1)</f>
        <v>#N/A</v>
      </c>
      <c r="F105" s="34">
        <f t="shared" si="10"/>
        <v>0</v>
      </c>
      <c r="G105" s="34">
        <f t="shared" si="11"/>
        <v>0</v>
      </c>
      <c r="H105" s="34" t="e">
        <f t="shared" si="12"/>
        <v>#N/A</v>
      </c>
      <c r="I105" s="34" t="e">
        <f t="shared" si="13"/>
        <v>#N/A</v>
      </c>
      <c r="J105" s="45"/>
      <c r="K105" s="46"/>
      <c r="L105" s="49"/>
      <c r="M105" s="39"/>
      <c r="N105" s="39"/>
      <c r="O105" s="37">
        <f t="shared" si="14"/>
        <v>0</v>
      </c>
      <c r="P105" s="44"/>
      <c r="Q105" s="44"/>
    </row>
    <row r="106" spans="1:17" x14ac:dyDescent="0.4">
      <c r="A106" s="70"/>
      <c r="B106" s="46"/>
      <c r="C106" s="46"/>
      <c r="D106" s="34" t="e">
        <f>INDEX('Equipment list'!$B$227:$B$256, (MATCH(C106,'Equipment list'!$D$227:$D$256,0)),1)</f>
        <v>#N/A</v>
      </c>
      <c r="E106" s="34" t="e">
        <f>INDEX('Equipment list'!$C$227:$C$256, (MATCH(C106,'Equipment list'!$D$227:$D$256,0)),1)</f>
        <v>#N/A</v>
      </c>
      <c r="F106" s="34">
        <f t="shared" si="10"/>
        <v>0</v>
      </c>
      <c r="G106" s="34">
        <f t="shared" si="11"/>
        <v>0</v>
      </c>
      <c r="H106" s="34" t="e">
        <f t="shared" si="12"/>
        <v>#N/A</v>
      </c>
      <c r="I106" s="34" t="e">
        <f t="shared" si="13"/>
        <v>#N/A</v>
      </c>
      <c r="J106" s="45"/>
      <c r="K106" s="46"/>
      <c r="L106" s="49"/>
      <c r="M106" s="39"/>
      <c r="N106" s="39"/>
      <c r="O106" s="37">
        <f t="shared" si="14"/>
        <v>0</v>
      </c>
      <c r="P106" s="44"/>
      <c r="Q106" s="44"/>
    </row>
    <row r="107" spans="1:17" x14ac:dyDescent="0.4">
      <c r="A107" s="70"/>
      <c r="B107" s="46"/>
      <c r="C107" s="46"/>
      <c r="D107" s="34" t="e">
        <f>INDEX('Equipment list'!$B$227:$B$256, (MATCH(C107,'Equipment list'!$D$227:$D$256,0)),1)</f>
        <v>#N/A</v>
      </c>
      <c r="E107" s="34" t="e">
        <f>INDEX('Equipment list'!$C$227:$C$256, (MATCH(C107,'Equipment list'!$D$227:$D$256,0)),1)</f>
        <v>#N/A</v>
      </c>
      <c r="F107" s="34">
        <f t="shared" si="10"/>
        <v>0</v>
      </c>
      <c r="G107" s="34">
        <f t="shared" si="11"/>
        <v>0</v>
      </c>
      <c r="H107" s="34" t="e">
        <f t="shared" si="12"/>
        <v>#N/A</v>
      </c>
      <c r="I107" s="34" t="e">
        <f t="shared" si="13"/>
        <v>#N/A</v>
      </c>
      <c r="J107" s="45"/>
      <c r="K107" s="46"/>
      <c r="L107" s="49"/>
      <c r="M107" s="39"/>
      <c r="N107" s="39"/>
      <c r="O107" s="37">
        <f t="shared" si="14"/>
        <v>0</v>
      </c>
      <c r="P107" s="44"/>
      <c r="Q107" s="44"/>
    </row>
    <row r="108" spans="1:17" x14ac:dyDescent="0.4">
      <c r="A108" s="70"/>
      <c r="B108" s="46"/>
      <c r="C108" s="46"/>
      <c r="D108" s="34" t="e">
        <f>INDEX('Equipment list'!$B$227:$B$256, (MATCH(C108,'Equipment list'!$D$227:$D$256,0)),1)</f>
        <v>#N/A</v>
      </c>
      <c r="E108" s="34" t="e">
        <f>INDEX('Equipment list'!$C$227:$C$256, (MATCH(C108,'Equipment list'!$D$227:$D$256,0)),1)</f>
        <v>#N/A</v>
      </c>
      <c r="F108" s="34">
        <f t="shared" si="10"/>
        <v>0</v>
      </c>
      <c r="G108" s="34">
        <f t="shared" si="11"/>
        <v>0</v>
      </c>
      <c r="H108" s="34" t="e">
        <f t="shared" si="12"/>
        <v>#N/A</v>
      </c>
      <c r="I108" s="34" t="e">
        <f t="shared" si="13"/>
        <v>#N/A</v>
      </c>
      <c r="J108" s="45"/>
      <c r="K108" s="46"/>
      <c r="L108" s="49"/>
      <c r="M108" s="39"/>
      <c r="N108" s="39"/>
      <c r="O108" s="37">
        <f t="shared" si="14"/>
        <v>0</v>
      </c>
      <c r="P108" s="44"/>
      <c r="Q108" s="44"/>
    </row>
    <row r="109" spans="1:17" x14ac:dyDescent="0.4">
      <c r="A109" s="70"/>
      <c r="B109" s="46"/>
      <c r="C109" s="46"/>
      <c r="D109" s="34" t="e">
        <f>INDEX('Equipment list'!$B$227:$B$256, (MATCH(C109,'Equipment list'!$D$227:$D$256,0)),1)</f>
        <v>#N/A</v>
      </c>
      <c r="E109" s="34" t="e">
        <f>INDEX('Equipment list'!$C$227:$C$256, (MATCH(C109,'Equipment list'!$D$227:$D$256,0)),1)</f>
        <v>#N/A</v>
      </c>
      <c r="F109" s="34">
        <f t="shared" si="10"/>
        <v>0</v>
      </c>
      <c r="G109" s="34">
        <f t="shared" si="11"/>
        <v>0</v>
      </c>
      <c r="H109" s="34" t="e">
        <f t="shared" si="12"/>
        <v>#N/A</v>
      </c>
      <c r="I109" s="34" t="e">
        <f t="shared" si="13"/>
        <v>#N/A</v>
      </c>
      <c r="J109" s="45"/>
      <c r="K109" s="46"/>
      <c r="L109" s="49"/>
      <c r="M109" s="39"/>
      <c r="N109" s="39"/>
      <c r="O109" s="37">
        <f t="shared" si="14"/>
        <v>0</v>
      </c>
      <c r="P109" s="44"/>
      <c r="Q109" s="44"/>
    </row>
    <row r="110" spans="1:17" x14ac:dyDescent="0.4">
      <c r="A110" s="70"/>
      <c r="B110" s="46"/>
      <c r="C110" s="46"/>
      <c r="D110" s="34" t="e">
        <f>INDEX('Equipment list'!$B$227:$B$256, (MATCH(C110,'Equipment list'!$D$227:$D$256,0)),1)</f>
        <v>#N/A</v>
      </c>
      <c r="E110" s="34" t="e">
        <f>INDEX('Equipment list'!$C$227:$C$256, (MATCH(C110,'Equipment list'!$D$227:$D$256,0)),1)</f>
        <v>#N/A</v>
      </c>
      <c r="F110" s="34">
        <f t="shared" si="10"/>
        <v>0</v>
      </c>
      <c r="G110" s="34">
        <f t="shared" si="11"/>
        <v>0</v>
      </c>
      <c r="H110" s="34" t="e">
        <f t="shared" si="12"/>
        <v>#N/A</v>
      </c>
      <c r="I110" s="34" t="e">
        <f t="shared" si="13"/>
        <v>#N/A</v>
      </c>
      <c r="J110" s="45"/>
      <c r="K110" s="46"/>
      <c r="L110" s="49"/>
      <c r="M110" s="39"/>
      <c r="N110" s="39"/>
      <c r="O110" s="37">
        <f t="shared" si="14"/>
        <v>0</v>
      </c>
      <c r="P110" s="44"/>
      <c r="Q110" s="44"/>
    </row>
    <row r="111" spans="1:17" x14ac:dyDescent="0.4">
      <c r="A111" s="70"/>
      <c r="B111" s="46"/>
      <c r="C111" s="46"/>
      <c r="D111" s="34" t="e">
        <f>INDEX('Equipment list'!$B$227:$B$256, (MATCH(C111,'Equipment list'!$D$227:$D$256,0)),1)</f>
        <v>#N/A</v>
      </c>
      <c r="E111" s="34" t="e">
        <f>INDEX('Equipment list'!$C$227:$C$256, (MATCH(C111,'Equipment list'!$D$227:$D$256,0)),1)</f>
        <v>#N/A</v>
      </c>
      <c r="F111" s="34">
        <f t="shared" si="10"/>
        <v>0</v>
      </c>
      <c r="G111" s="34">
        <f t="shared" si="11"/>
        <v>0</v>
      </c>
      <c r="H111" s="34" t="e">
        <f t="shared" si="12"/>
        <v>#N/A</v>
      </c>
      <c r="I111" s="34" t="e">
        <f t="shared" si="13"/>
        <v>#N/A</v>
      </c>
      <c r="J111" s="45"/>
      <c r="K111" s="46"/>
      <c r="L111" s="49"/>
      <c r="M111" s="39"/>
      <c r="N111" s="39"/>
      <c r="O111" s="37">
        <f t="shared" si="14"/>
        <v>0</v>
      </c>
      <c r="P111" s="44"/>
      <c r="Q111" s="44"/>
    </row>
    <row r="112" spans="1:17" x14ac:dyDescent="0.4">
      <c r="A112" s="70"/>
      <c r="B112" s="46"/>
      <c r="C112" s="46"/>
      <c r="D112" s="34" t="e">
        <f>INDEX('Equipment list'!$B$227:$B$256, (MATCH(C112,'Equipment list'!$D$227:$D$256,0)),1)</f>
        <v>#N/A</v>
      </c>
      <c r="E112" s="34" t="e">
        <f>INDEX('Equipment list'!$C$227:$C$256, (MATCH(C112,'Equipment list'!$D$227:$D$256,0)),1)</f>
        <v>#N/A</v>
      </c>
      <c r="F112" s="34">
        <f t="shared" si="10"/>
        <v>0</v>
      </c>
      <c r="G112" s="34">
        <f t="shared" si="11"/>
        <v>0</v>
      </c>
      <c r="H112" s="34" t="e">
        <f t="shared" si="12"/>
        <v>#N/A</v>
      </c>
      <c r="I112" s="34" t="e">
        <f t="shared" si="13"/>
        <v>#N/A</v>
      </c>
      <c r="J112" s="45"/>
      <c r="K112" s="46"/>
      <c r="L112" s="49"/>
      <c r="M112" s="39"/>
      <c r="N112" s="39"/>
      <c r="O112" s="37">
        <f t="shared" si="14"/>
        <v>0</v>
      </c>
      <c r="P112" s="44"/>
      <c r="Q112" s="44"/>
    </row>
    <row r="113" spans="1:17" x14ac:dyDescent="0.4">
      <c r="A113" s="70"/>
      <c r="B113" s="46"/>
      <c r="C113" s="46"/>
      <c r="D113" s="34" t="e">
        <f>INDEX('Equipment list'!$B$227:$B$256, (MATCH(C113,'Equipment list'!$D$227:$D$256,0)),1)</f>
        <v>#N/A</v>
      </c>
      <c r="E113" s="34" t="e">
        <f>INDEX('Equipment list'!$C$227:$C$256, (MATCH(C113,'Equipment list'!$D$227:$D$256,0)),1)</f>
        <v>#N/A</v>
      </c>
      <c r="F113" s="34">
        <f t="shared" si="10"/>
        <v>0</v>
      </c>
      <c r="G113" s="34">
        <f t="shared" si="11"/>
        <v>0</v>
      </c>
      <c r="H113" s="34" t="e">
        <f t="shared" si="12"/>
        <v>#N/A</v>
      </c>
      <c r="I113" s="34" t="e">
        <f t="shared" si="13"/>
        <v>#N/A</v>
      </c>
      <c r="J113" s="45"/>
      <c r="K113" s="46"/>
      <c r="L113" s="49"/>
      <c r="M113" s="39"/>
      <c r="N113" s="39"/>
      <c r="O113" s="37">
        <f t="shared" si="14"/>
        <v>0</v>
      </c>
      <c r="P113" s="44"/>
      <c r="Q113" s="44"/>
    </row>
    <row r="114" spans="1:17" x14ac:dyDescent="0.4">
      <c r="A114" s="70"/>
      <c r="B114" s="46"/>
      <c r="C114" s="46"/>
      <c r="D114" s="34" t="e">
        <f>INDEX('Equipment list'!$B$227:$B$256, (MATCH(C114,'Equipment list'!$D$227:$D$256,0)),1)</f>
        <v>#N/A</v>
      </c>
      <c r="E114" s="34" t="e">
        <f>INDEX('Equipment list'!$C$227:$C$256, (MATCH(C114,'Equipment list'!$D$227:$D$256,0)),1)</f>
        <v>#N/A</v>
      </c>
      <c r="F114" s="34">
        <f t="shared" si="10"/>
        <v>0</v>
      </c>
      <c r="G114" s="34">
        <f t="shared" si="11"/>
        <v>0</v>
      </c>
      <c r="H114" s="34" t="e">
        <f t="shared" si="12"/>
        <v>#N/A</v>
      </c>
      <c r="I114" s="34" t="e">
        <f t="shared" si="13"/>
        <v>#N/A</v>
      </c>
      <c r="J114" s="45"/>
      <c r="K114" s="46"/>
      <c r="L114" s="49"/>
      <c r="M114" s="39"/>
      <c r="N114" s="39"/>
      <c r="O114" s="37">
        <f t="shared" si="14"/>
        <v>0</v>
      </c>
      <c r="P114" s="44"/>
      <c r="Q114" s="44"/>
    </row>
    <row r="115" spans="1:17" x14ac:dyDescent="0.4">
      <c r="A115" s="70"/>
      <c r="B115" s="46"/>
      <c r="C115" s="46"/>
      <c r="D115" s="34" t="e">
        <f>INDEX('Equipment list'!$B$227:$B$256, (MATCH(C115,'Equipment list'!$D$227:$D$256,0)),1)</f>
        <v>#N/A</v>
      </c>
      <c r="E115" s="34" t="e">
        <f>INDEX('Equipment list'!$C$227:$C$256, (MATCH(C115,'Equipment list'!$D$227:$D$256,0)),1)</f>
        <v>#N/A</v>
      </c>
      <c r="F115" s="34">
        <f t="shared" si="10"/>
        <v>0</v>
      </c>
      <c r="G115" s="34">
        <f t="shared" si="11"/>
        <v>0</v>
      </c>
      <c r="H115" s="34" t="e">
        <f t="shared" si="12"/>
        <v>#N/A</v>
      </c>
      <c r="I115" s="34" t="e">
        <f t="shared" si="13"/>
        <v>#N/A</v>
      </c>
      <c r="J115" s="45"/>
      <c r="K115" s="46"/>
      <c r="L115" s="49"/>
      <c r="M115" s="39"/>
      <c r="N115" s="39"/>
      <c r="O115" s="37">
        <f t="shared" si="14"/>
        <v>0</v>
      </c>
      <c r="P115" s="44"/>
      <c r="Q115" s="44"/>
    </row>
    <row r="116" spans="1:17" x14ac:dyDescent="0.4">
      <c r="A116" s="70"/>
      <c r="B116" s="46"/>
      <c r="C116" s="46"/>
      <c r="D116" s="34" t="e">
        <f>INDEX('Equipment list'!$B$227:$B$256, (MATCH(C116,'Equipment list'!$D$227:$D$256,0)),1)</f>
        <v>#N/A</v>
      </c>
      <c r="E116" s="34" t="e">
        <f>INDEX('Equipment list'!$C$227:$C$256, (MATCH(C116,'Equipment list'!$D$227:$D$256,0)),1)</f>
        <v>#N/A</v>
      </c>
      <c r="F116" s="34">
        <f t="shared" si="10"/>
        <v>0</v>
      </c>
      <c r="G116" s="34">
        <f t="shared" si="11"/>
        <v>0</v>
      </c>
      <c r="H116" s="34" t="e">
        <f t="shared" si="12"/>
        <v>#N/A</v>
      </c>
      <c r="I116" s="34" t="e">
        <f t="shared" si="13"/>
        <v>#N/A</v>
      </c>
      <c r="J116" s="45"/>
      <c r="K116" s="46"/>
      <c r="L116" s="49"/>
      <c r="M116" s="39"/>
      <c r="N116" s="39"/>
      <c r="O116" s="37">
        <f t="shared" si="14"/>
        <v>0</v>
      </c>
      <c r="P116" s="44"/>
      <c r="Q116" s="44"/>
    </row>
    <row r="117" spans="1:17" x14ac:dyDescent="0.4">
      <c r="A117" s="70"/>
      <c r="B117" s="46"/>
      <c r="C117" s="46"/>
      <c r="D117" s="34" t="e">
        <f>INDEX('Equipment list'!$B$227:$B$256, (MATCH(C117,'Equipment list'!$D$227:$D$256,0)),1)</f>
        <v>#N/A</v>
      </c>
      <c r="E117" s="34" t="e">
        <f>INDEX('Equipment list'!$C$227:$C$256, (MATCH(C117,'Equipment list'!$D$227:$D$256,0)),1)</f>
        <v>#N/A</v>
      </c>
      <c r="F117" s="34">
        <f t="shared" si="10"/>
        <v>0</v>
      </c>
      <c r="G117" s="34">
        <f t="shared" si="11"/>
        <v>0</v>
      </c>
      <c r="H117" s="34" t="e">
        <f t="shared" si="12"/>
        <v>#N/A</v>
      </c>
      <c r="I117" s="34" t="e">
        <f t="shared" si="13"/>
        <v>#N/A</v>
      </c>
      <c r="J117" s="45"/>
      <c r="K117" s="46"/>
      <c r="L117" s="49"/>
      <c r="M117" s="39"/>
      <c r="N117" s="39"/>
      <c r="O117" s="37">
        <f t="shared" si="14"/>
        <v>0</v>
      </c>
      <c r="P117" s="44"/>
      <c r="Q117" s="44"/>
    </row>
    <row r="118" spans="1:17" x14ac:dyDescent="0.4">
      <c r="A118" s="70"/>
      <c r="B118" s="46"/>
      <c r="C118" s="46"/>
      <c r="D118" s="34" t="e">
        <f>INDEX('Equipment list'!$B$227:$B$256, (MATCH(C118,'Equipment list'!$D$227:$D$256,0)),1)</f>
        <v>#N/A</v>
      </c>
      <c r="E118" s="34" t="e">
        <f>INDEX('Equipment list'!$C$227:$C$256, (MATCH(C118,'Equipment list'!$D$227:$D$256,0)),1)</f>
        <v>#N/A</v>
      </c>
      <c r="F118" s="34">
        <f t="shared" si="10"/>
        <v>0</v>
      </c>
      <c r="G118" s="34">
        <f t="shared" si="11"/>
        <v>0</v>
      </c>
      <c r="H118" s="34" t="e">
        <f t="shared" si="12"/>
        <v>#N/A</v>
      </c>
      <c r="I118" s="34" t="e">
        <f t="shared" si="13"/>
        <v>#N/A</v>
      </c>
      <c r="J118" s="45"/>
      <c r="K118" s="46"/>
      <c r="L118" s="49"/>
      <c r="M118" s="39"/>
      <c r="N118" s="39"/>
      <c r="O118" s="37">
        <f t="shared" si="14"/>
        <v>0</v>
      </c>
      <c r="P118" s="44"/>
      <c r="Q118" s="44"/>
    </row>
    <row r="119" spans="1:17" x14ac:dyDescent="0.4">
      <c r="A119" s="70"/>
      <c r="B119" s="46"/>
      <c r="C119" s="46"/>
      <c r="D119" s="34" t="e">
        <f>INDEX('Equipment list'!$B$227:$B$256, (MATCH(C119,'Equipment list'!$D$227:$D$256,0)),1)</f>
        <v>#N/A</v>
      </c>
      <c r="E119" s="34" t="e">
        <f>INDEX('Equipment list'!$C$227:$C$256, (MATCH(C119,'Equipment list'!$D$227:$D$256,0)),1)</f>
        <v>#N/A</v>
      </c>
      <c r="F119" s="34">
        <f t="shared" si="10"/>
        <v>0</v>
      </c>
      <c r="G119" s="34">
        <f t="shared" si="11"/>
        <v>0</v>
      </c>
      <c r="H119" s="34" t="e">
        <f t="shared" si="12"/>
        <v>#N/A</v>
      </c>
      <c r="I119" s="34" t="e">
        <f t="shared" si="13"/>
        <v>#N/A</v>
      </c>
      <c r="J119" s="45"/>
      <c r="K119" s="46"/>
      <c r="L119" s="49"/>
      <c r="M119" s="39"/>
      <c r="N119" s="39"/>
      <c r="O119" s="37">
        <f t="shared" si="14"/>
        <v>0</v>
      </c>
      <c r="P119" s="44"/>
      <c r="Q119" s="44"/>
    </row>
    <row r="120" spans="1:17" x14ac:dyDescent="0.4">
      <c r="A120" s="70"/>
      <c r="B120" s="46"/>
      <c r="C120" s="46"/>
      <c r="D120" s="34" t="e">
        <f>INDEX('Equipment list'!$B$227:$B$256, (MATCH(C120,'Equipment list'!$D$227:$D$256,0)),1)</f>
        <v>#N/A</v>
      </c>
      <c r="E120" s="34" t="e">
        <f>INDEX('Equipment list'!$C$227:$C$256, (MATCH(C120,'Equipment list'!$D$227:$D$256,0)),1)</f>
        <v>#N/A</v>
      </c>
      <c r="F120" s="34">
        <f t="shared" si="10"/>
        <v>0</v>
      </c>
      <c r="G120" s="34">
        <f t="shared" si="11"/>
        <v>0</v>
      </c>
      <c r="H120" s="34" t="e">
        <f t="shared" si="12"/>
        <v>#N/A</v>
      </c>
      <c r="I120" s="34" t="e">
        <f t="shared" si="13"/>
        <v>#N/A</v>
      </c>
      <c r="J120" s="45"/>
      <c r="K120" s="46"/>
      <c r="L120" s="49"/>
      <c r="M120" s="39"/>
      <c r="N120" s="39"/>
      <c r="O120" s="37">
        <f t="shared" si="14"/>
        <v>0</v>
      </c>
      <c r="P120" s="44"/>
      <c r="Q120" s="44"/>
    </row>
    <row r="121" spans="1:17" x14ac:dyDescent="0.4">
      <c r="A121" s="70"/>
      <c r="B121" s="46"/>
      <c r="C121" s="46"/>
      <c r="D121" s="34" t="e">
        <f>INDEX('Equipment list'!$B$227:$B$256, (MATCH(C121,'Equipment list'!$D$227:$D$256,0)),1)</f>
        <v>#N/A</v>
      </c>
      <c r="E121" s="34" t="e">
        <f>INDEX('Equipment list'!$C$227:$C$256, (MATCH(C121,'Equipment list'!$D$227:$D$256,0)),1)</f>
        <v>#N/A</v>
      </c>
      <c r="F121" s="34">
        <f t="shared" si="10"/>
        <v>0</v>
      </c>
      <c r="G121" s="34">
        <f t="shared" si="11"/>
        <v>0</v>
      </c>
      <c r="H121" s="34" t="e">
        <f t="shared" si="12"/>
        <v>#N/A</v>
      </c>
      <c r="I121" s="34" t="e">
        <f t="shared" si="13"/>
        <v>#N/A</v>
      </c>
      <c r="J121" s="45"/>
      <c r="K121" s="46"/>
      <c r="L121" s="49"/>
      <c r="M121" s="39"/>
      <c r="N121" s="39"/>
      <c r="O121" s="37">
        <f t="shared" si="14"/>
        <v>0</v>
      </c>
      <c r="P121" s="44"/>
      <c r="Q121" s="44"/>
    </row>
    <row r="122" spans="1:17" x14ac:dyDescent="0.4">
      <c r="A122" s="70"/>
      <c r="B122" s="46"/>
      <c r="C122" s="46"/>
      <c r="D122" s="34" t="e">
        <f>INDEX('Equipment list'!$B$227:$B$256, (MATCH(C122,'Equipment list'!$D$227:$D$256,0)),1)</f>
        <v>#N/A</v>
      </c>
      <c r="E122" s="34" t="e">
        <f>INDEX('Equipment list'!$C$227:$C$256, (MATCH(C122,'Equipment list'!$D$227:$D$256,0)),1)</f>
        <v>#N/A</v>
      </c>
      <c r="F122" s="34">
        <f t="shared" si="10"/>
        <v>0</v>
      </c>
      <c r="G122" s="34">
        <f t="shared" si="11"/>
        <v>0</v>
      </c>
      <c r="H122" s="34" t="e">
        <f t="shared" si="12"/>
        <v>#N/A</v>
      </c>
      <c r="I122" s="34" t="e">
        <f t="shared" si="13"/>
        <v>#N/A</v>
      </c>
      <c r="J122" s="45"/>
      <c r="K122" s="46"/>
      <c r="L122" s="49"/>
      <c r="M122" s="39"/>
      <c r="N122" s="39"/>
      <c r="O122" s="37">
        <f t="shared" si="14"/>
        <v>0</v>
      </c>
      <c r="P122" s="44"/>
      <c r="Q122" s="44"/>
    </row>
    <row r="123" spans="1:17" x14ac:dyDescent="0.4">
      <c r="A123" s="70"/>
      <c r="B123" s="46"/>
      <c r="C123" s="46"/>
      <c r="D123" s="34" t="e">
        <f>INDEX('Equipment list'!$B$227:$B$256, (MATCH(C123,'Equipment list'!$D$227:$D$256,0)),1)</f>
        <v>#N/A</v>
      </c>
      <c r="E123" s="34" t="e">
        <f>INDEX('Equipment list'!$C$227:$C$256, (MATCH(C123,'Equipment list'!$D$227:$D$256,0)),1)</f>
        <v>#N/A</v>
      </c>
      <c r="F123" s="34">
        <f t="shared" si="10"/>
        <v>0</v>
      </c>
      <c r="G123" s="34">
        <f t="shared" si="11"/>
        <v>0</v>
      </c>
      <c r="H123" s="34" t="e">
        <f t="shared" si="12"/>
        <v>#N/A</v>
      </c>
      <c r="I123" s="34" t="e">
        <f t="shared" si="13"/>
        <v>#N/A</v>
      </c>
      <c r="J123" s="45"/>
      <c r="K123" s="46"/>
      <c r="L123" s="49"/>
      <c r="M123" s="39"/>
      <c r="N123" s="39"/>
      <c r="O123" s="37">
        <f t="shared" si="14"/>
        <v>0</v>
      </c>
      <c r="P123" s="44"/>
      <c r="Q123" s="44"/>
    </row>
    <row r="124" spans="1:17" x14ac:dyDescent="0.4">
      <c r="A124" s="70"/>
      <c r="B124" s="46"/>
      <c r="C124" s="46"/>
      <c r="D124" s="34" t="e">
        <f>INDEX('Equipment list'!$B$227:$B$256, (MATCH(C124,'Equipment list'!$D$227:$D$256,0)),1)</f>
        <v>#N/A</v>
      </c>
      <c r="E124" s="34" t="e">
        <f>INDEX('Equipment list'!$C$227:$C$256, (MATCH(C124,'Equipment list'!$D$227:$D$256,0)),1)</f>
        <v>#N/A</v>
      </c>
      <c r="F124" s="34">
        <f t="shared" si="10"/>
        <v>0</v>
      </c>
      <c r="G124" s="34">
        <f t="shared" si="11"/>
        <v>0</v>
      </c>
      <c r="H124" s="34" t="e">
        <f t="shared" si="12"/>
        <v>#N/A</v>
      </c>
      <c r="I124" s="34" t="e">
        <f t="shared" si="13"/>
        <v>#N/A</v>
      </c>
      <c r="J124" s="45"/>
      <c r="K124" s="46"/>
      <c r="L124" s="49"/>
      <c r="M124" s="39"/>
      <c r="N124" s="39"/>
      <c r="O124" s="37">
        <f t="shared" si="14"/>
        <v>0</v>
      </c>
      <c r="P124" s="44"/>
      <c r="Q124" s="44"/>
    </row>
    <row r="125" spans="1:17" x14ac:dyDescent="0.4">
      <c r="A125" s="70"/>
      <c r="B125" s="46"/>
      <c r="C125" s="46"/>
      <c r="D125" s="34" t="e">
        <f>INDEX('Equipment list'!$B$227:$B$256, (MATCH(C125,'Equipment list'!$D$227:$D$256,0)),1)</f>
        <v>#N/A</v>
      </c>
      <c r="E125" s="34" t="e">
        <f>INDEX('Equipment list'!$C$227:$C$256, (MATCH(C125,'Equipment list'!$D$227:$D$256,0)),1)</f>
        <v>#N/A</v>
      </c>
      <c r="F125" s="34">
        <f t="shared" si="10"/>
        <v>0</v>
      </c>
      <c r="G125" s="34">
        <f t="shared" si="11"/>
        <v>0</v>
      </c>
      <c r="H125" s="34" t="e">
        <f t="shared" si="12"/>
        <v>#N/A</v>
      </c>
      <c r="I125" s="34" t="e">
        <f t="shared" si="13"/>
        <v>#N/A</v>
      </c>
      <c r="J125" s="45"/>
      <c r="K125" s="46"/>
      <c r="L125" s="49"/>
      <c r="M125" s="39"/>
      <c r="N125" s="39"/>
      <c r="O125" s="37">
        <f t="shared" si="14"/>
        <v>0</v>
      </c>
      <c r="P125" s="44"/>
      <c r="Q125" s="44"/>
    </row>
    <row r="126" spans="1:17" x14ac:dyDescent="0.4">
      <c r="A126" s="70"/>
      <c r="B126" s="46"/>
      <c r="C126" s="46"/>
      <c r="D126" s="34" t="e">
        <f>INDEX('Equipment list'!$B$227:$B$256, (MATCH(C126,'Equipment list'!$D$227:$D$256,0)),1)</f>
        <v>#N/A</v>
      </c>
      <c r="E126" s="34" t="e">
        <f>INDEX('Equipment list'!$C$227:$C$256, (MATCH(C126,'Equipment list'!$D$227:$D$256,0)),1)</f>
        <v>#N/A</v>
      </c>
      <c r="F126" s="34">
        <f t="shared" si="10"/>
        <v>0</v>
      </c>
      <c r="G126" s="34">
        <f t="shared" si="11"/>
        <v>0</v>
      </c>
      <c r="H126" s="34" t="e">
        <f t="shared" si="12"/>
        <v>#N/A</v>
      </c>
      <c r="I126" s="34" t="e">
        <f t="shared" si="13"/>
        <v>#N/A</v>
      </c>
      <c r="J126" s="45"/>
      <c r="K126" s="46"/>
      <c r="L126" s="49"/>
      <c r="M126" s="39"/>
      <c r="N126" s="39"/>
      <c r="O126" s="37">
        <f t="shared" si="14"/>
        <v>0</v>
      </c>
      <c r="P126" s="44"/>
      <c r="Q126" s="44"/>
    </row>
    <row r="127" spans="1:17" x14ac:dyDescent="0.4">
      <c r="A127" s="70"/>
      <c r="B127" s="46"/>
      <c r="C127" s="46"/>
      <c r="D127" s="34" t="e">
        <f>INDEX('Equipment list'!$B$227:$B$256, (MATCH(C127,'Equipment list'!$D$227:$D$256,0)),1)</f>
        <v>#N/A</v>
      </c>
      <c r="E127" s="34" t="e">
        <f>INDEX('Equipment list'!$C$227:$C$256, (MATCH(C127,'Equipment list'!$D$227:$D$256,0)),1)</f>
        <v>#N/A</v>
      </c>
      <c r="F127" s="34">
        <f t="shared" si="10"/>
        <v>0</v>
      </c>
      <c r="G127" s="34">
        <f t="shared" si="11"/>
        <v>0</v>
      </c>
      <c r="H127" s="34" t="e">
        <f t="shared" si="12"/>
        <v>#N/A</v>
      </c>
      <c r="I127" s="34" t="e">
        <f t="shared" si="13"/>
        <v>#N/A</v>
      </c>
      <c r="J127" s="45"/>
      <c r="K127" s="46"/>
      <c r="L127" s="49"/>
      <c r="M127" s="39"/>
      <c r="N127" s="39"/>
      <c r="O127" s="37">
        <f t="shared" si="14"/>
        <v>0</v>
      </c>
      <c r="P127" s="44"/>
      <c r="Q127" s="44"/>
    </row>
    <row r="128" spans="1:17" x14ac:dyDescent="0.4">
      <c r="A128" s="70"/>
      <c r="B128" s="46"/>
      <c r="C128" s="46"/>
      <c r="D128" s="34" t="e">
        <f>INDEX('Equipment list'!$B$227:$B$256, (MATCH(C128,'Equipment list'!$D$227:$D$256,0)),1)</f>
        <v>#N/A</v>
      </c>
      <c r="E128" s="34" t="e">
        <f>INDEX('Equipment list'!$C$227:$C$256, (MATCH(C128,'Equipment list'!$D$227:$D$256,0)),1)</f>
        <v>#N/A</v>
      </c>
      <c r="F128" s="34">
        <f t="shared" si="10"/>
        <v>0</v>
      </c>
      <c r="G128" s="34">
        <f t="shared" si="11"/>
        <v>0</v>
      </c>
      <c r="H128" s="34" t="e">
        <f t="shared" si="12"/>
        <v>#N/A</v>
      </c>
      <c r="I128" s="34" t="e">
        <f t="shared" si="13"/>
        <v>#N/A</v>
      </c>
      <c r="J128" s="45"/>
      <c r="K128" s="46"/>
      <c r="L128" s="49"/>
      <c r="M128" s="39"/>
      <c r="N128" s="39"/>
      <c r="O128" s="37">
        <f t="shared" si="14"/>
        <v>0</v>
      </c>
      <c r="P128" s="44"/>
      <c r="Q128" s="44"/>
    </row>
    <row r="129" spans="1:17" x14ac:dyDescent="0.4">
      <c r="A129" s="70"/>
      <c r="B129" s="46"/>
      <c r="C129" s="46"/>
      <c r="D129" s="34" t="e">
        <f>INDEX('Equipment list'!$B$227:$B$256, (MATCH(C129,'Equipment list'!$D$227:$D$256,0)),1)</f>
        <v>#N/A</v>
      </c>
      <c r="E129" s="34" t="e">
        <f>INDEX('Equipment list'!$C$227:$C$256, (MATCH(C129,'Equipment list'!$D$227:$D$256,0)),1)</f>
        <v>#N/A</v>
      </c>
      <c r="F129" s="34">
        <f t="shared" si="10"/>
        <v>0</v>
      </c>
      <c r="G129" s="34">
        <f t="shared" si="11"/>
        <v>0</v>
      </c>
      <c r="H129" s="34" t="e">
        <f t="shared" si="12"/>
        <v>#N/A</v>
      </c>
      <c r="I129" s="34" t="e">
        <f t="shared" si="13"/>
        <v>#N/A</v>
      </c>
      <c r="J129" s="45"/>
      <c r="K129" s="46"/>
      <c r="L129" s="49"/>
      <c r="M129" s="39"/>
      <c r="N129" s="39"/>
      <c r="O129" s="37">
        <f t="shared" si="14"/>
        <v>0</v>
      </c>
      <c r="P129" s="44"/>
      <c r="Q129" s="44"/>
    </row>
    <row r="130" spans="1:17" x14ac:dyDescent="0.4">
      <c r="A130" s="70"/>
      <c r="B130" s="46"/>
      <c r="C130" s="46"/>
      <c r="D130" s="34" t="e">
        <f>INDEX('Equipment list'!$B$227:$B$256, (MATCH(C130,'Equipment list'!$D$227:$D$256,0)),1)</f>
        <v>#N/A</v>
      </c>
      <c r="E130" s="34" t="e">
        <f>INDEX('Equipment list'!$C$227:$C$256, (MATCH(C130,'Equipment list'!$D$227:$D$256,0)),1)</f>
        <v>#N/A</v>
      </c>
      <c r="F130" s="34">
        <f t="shared" si="10"/>
        <v>0</v>
      </c>
      <c r="G130" s="34">
        <f t="shared" si="11"/>
        <v>0</v>
      </c>
      <c r="H130" s="34" t="e">
        <f t="shared" si="12"/>
        <v>#N/A</v>
      </c>
      <c r="I130" s="34" t="e">
        <f t="shared" si="13"/>
        <v>#N/A</v>
      </c>
      <c r="J130" s="45"/>
      <c r="K130" s="46"/>
      <c r="L130" s="49"/>
      <c r="M130" s="39"/>
      <c r="N130" s="39"/>
      <c r="O130" s="37">
        <f t="shared" si="14"/>
        <v>0</v>
      </c>
      <c r="P130" s="44"/>
      <c r="Q130" s="44"/>
    </row>
    <row r="131" spans="1:17" x14ac:dyDescent="0.4">
      <c r="A131" s="70"/>
      <c r="B131" s="46"/>
      <c r="C131" s="46"/>
      <c r="D131" s="34" t="e">
        <f>INDEX('Equipment list'!$B$227:$B$256, (MATCH(C131,'Equipment list'!$D$227:$D$256,0)),1)</f>
        <v>#N/A</v>
      </c>
      <c r="E131" s="34" t="e">
        <f>INDEX('Equipment list'!$C$227:$C$256, (MATCH(C131,'Equipment list'!$D$227:$D$256,0)),1)</f>
        <v>#N/A</v>
      </c>
      <c r="F131" s="34">
        <f t="shared" si="10"/>
        <v>0</v>
      </c>
      <c r="G131" s="34">
        <f t="shared" si="11"/>
        <v>0</v>
      </c>
      <c r="H131" s="34" t="e">
        <f t="shared" si="12"/>
        <v>#N/A</v>
      </c>
      <c r="I131" s="34" t="e">
        <f t="shared" si="13"/>
        <v>#N/A</v>
      </c>
      <c r="J131" s="45"/>
      <c r="K131" s="46"/>
      <c r="L131" s="49"/>
      <c r="M131" s="39"/>
      <c r="N131" s="39"/>
      <c r="O131" s="37">
        <f t="shared" si="14"/>
        <v>0</v>
      </c>
      <c r="P131" s="44"/>
      <c r="Q131" s="44"/>
    </row>
    <row r="132" spans="1:17" x14ac:dyDescent="0.4">
      <c r="A132" s="70"/>
      <c r="B132" s="46"/>
      <c r="C132" s="46"/>
      <c r="D132" s="34" t="e">
        <f>INDEX('Equipment list'!$B$227:$B$256, (MATCH(C132,'Equipment list'!$D$227:$D$256,0)),1)</f>
        <v>#N/A</v>
      </c>
      <c r="E132" s="34" t="e">
        <f>INDEX('Equipment list'!$C$227:$C$256, (MATCH(C132,'Equipment list'!$D$227:$D$256,0)),1)</f>
        <v>#N/A</v>
      </c>
      <c r="F132" s="34">
        <f t="shared" si="10"/>
        <v>0</v>
      </c>
      <c r="G132" s="34">
        <f t="shared" si="11"/>
        <v>0</v>
      </c>
      <c r="H132" s="34" t="e">
        <f t="shared" si="12"/>
        <v>#N/A</v>
      </c>
      <c r="I132" s="34" t="e">
        <f t="shared" si="13"/>
        <v>#N/A</v>
      </c>
      <c r="J132" s="45"/>
      <c r="K132" s="46"/>
      <c r="L132" s="49"/>
      <c r="M132" s="39"/>
      <c r="N132" s="39"/>
      <c r="O132" s="37">
        <f t="shared" si="14"/>
        <v>0</v>
      </c>
      <c r="P132" s="44"/>
      <c r="Q132" s="44"/>
    </row>
    <row r="133" spans="1:17" x14ac:dyDescent="0.4">
      <c r="A133" s="70"/>
      <c r="B133" s="46"/>
      <c r="C133" s="46"/>
      <c r="D133" s="34" t="e">
        <f>INDEX('Equipment list'!$B$227:$B$256, (MATCH(C133,'Equipment list'!$D$227:$D$256,0)),1)</f>
        <v>#N/A</v>
      </c>
      <c r="E133" s="34" t="e">
        <f>INDEX('Equipment list'!$C$227:$C$256, (MATCH(C133,'Equipment list'!$D$227:$D$256,0)),1)</f>
        <v>#N/A</v>
      </c>
      <c r="F133" s="34">
        <f t="shared" si="10"/>
        <v>0</v>
      </c>
      <c r="G133" s="34">
        <f t="shared" si="11"/>
        <v>0</v>
      </c>
      <c r="H133" s="34" t="e">
        <f t="shared" si="12"/>
        <v>#N/A</v>
      </c>
      <c r="I133" s="34" t="e">
        <f t="shared" si="13"/>
        <v>#N/A</v>
      </c>
      <c r="J133" s="45"/>
      <c r="K133" s="46"/>
      <c r="L133" s="49"/>
      <c r="M133" s="39"/>
      <c r="N133" s="39"/>
      <c r="O133" s="37">
        <f t="shared" si="14"/>
        <v>0</v>
      </c>
      <c r="P133" s="44"/>
      <c r="Q133" s="44"/>
    </row>
    <row r="134" spans="1:17" x14ac:dyDescent="0.4">
      <c r="A134" s="70"/>
      <c r="B134" s="46"/>
      <c r="C134" s="46"/>
      <c r="D134" s="34" t="e">
        <f>INDEX('Equipment list'!$B$227:$B$256, (MATCH(C134,'Equipment list'!$D$227:$D$256,0)),1)</f>
        <v>#N/A</v>
      </c>
      <c r="E134" s="34" t="e">
        <f>INDEX('Equipment list'!$C$227:$C$256, (MATCH(C134,'Equipment list'!$D$227:$D$256,0)),1)</f>
        <v>#N/A</v>
      </c>
      <c r="F134" s="34">
        <f t="shared" ref="F134:F197" si="15">P134*4</f>
        <v>0</v>
      </c>
      <c r="G134" s="34">
        <f t="shared" ref="G134:G197" si="16">Q134*4</f>
        <v>0</v>
      </c>
      <c r="H134" s="34" t="e">
        <f t="shared" ref="H134:H197" si="17">(F134-D134)/D134*100</f>
        <v>#N/A</v>
      </c>
      <c r="I134" s="34" t="e">
        <f t="shared" ref="I134:I197" si="18">(G134-E134)/E134*100</f>
        <v>#N/A</v>
      </c>
      <c r="J134" s="45"/>
      <c r="K134" s="46"/>
      <c r="L134" s="49"/>
      <c r="M134" s="39"/>
      <c r="N134" s="39"/>
      <c r="O134" s="37">
        <f t="shared" ref="O134:O197" si="19">C134</f>
        <v>0</v>
      </c>
      <c r="P134" s="44"/>
      <c r="Q134" s="44"/>
    </row>
    <row r="135" spans="1:17" x14ac:dyDescent="0.4">
      <c r="A135" s="70"/>
      <c r="B135" s="46"/>
      <c r="C135" s="46"/>
      <c r="D135" s="34" t="e">
        <f>INDEX('Equipment list'!$B$227:$B$256, (MATCH(C135,'Equipment list'!$D$227:$D$256,0)),1)</f>
        <v>#N/A</v>
      </c>
      <c r="E135" s="34" t="e">
        <f>INDEX('Equipment list'!$C$227:$C$256, (MATCH(C135,'Equipment list'!$D$227:$D$256,0)),1)</f>
        <v>#N/A</v>
      </c>
      <c r="F135" s="34">
        <f t="shared" si="15"/>
        <v>0</v>
      </c>
      <c r="G135" s="34">
        <f t="shared" si="16"/>
        <v>0</v>
      </c>
      <c r="H135" s="34" t="e">
        <f t="shared" si="17"/>
        <v>#N/A</v>
      </c>
      <c r="I135" s="34" t="e">
        <f t="shared" si="18"/>
        <v>#N/A</v>
      </c>
      <c r="J135" s="45"/>
      <c r="K135" s="46"/>
      <c r="L135" s="49"/>
      <c r="M135" s="39"/>
      <c r="N135" s="39"/>
      <c r="O135" s="37">
        <f t="shared" si="19"/>
        <v>0</v>
      </c>
      <c r="P135" s="44"/>
      <c r="Q135" s="44"/>
    </row>
    <row r="136" spans="1:17" x14ac:dyDescent="0.4">
      <c r="A136" s="70"/>
      <c r="B136" s="46"/>
      <c r="C136" s="46"/>
      <c r="D136" s="34" t="e">
        <f>INDEX('Equipment list'!$B$227:$B$256, (MATCH(C136,'Equipment list'!$D$227:$D$256,0)),1)</f>
        <v>#N/A</v>
      </c>
      <c r="E136" s="34" t="e">
        <f>INDEX('Equipment list'!$C$227:$C$256, (MATCH(C136,'Equipment list'!$D$227:$D$256,0)),1)</f>
        <v>#N/A</v>
      </c>
      <c r="F136" s="34">
        <f t="shared" si="15"/>
        <v>0</v>
      </c>
      <c r="G136" s="34">
        <f t="shared" si="16"/>
        <v>0</v>
      </c>
      <c r="H136" s="34" t="e">
        <f t="shared" si="17"/>
        <v>#N/A</v>
      </c>
      <c r="I136" s="34" t="e">
        <f t="shared" si="18"/>
        <v>#N/A</v>
      </c>
      <c r="J136" s="45"/>
      <c r="K136" s="46"/>
      <c r="L136" s="49"/>
      <c r="M136" s="39"/>
      <c r="N136" s="39"/>
      <c r="O136" s="37">
        <f t="shared" si="19"/>
        <v>0</v>
      </c>
      <c r="P136" s="44"/>
      <c r="Q136" s="44"/>
    </row>
    <row r="137" spans="1:17" x14ac:dyDescent="0.4">
      <c r="A137" s="70"/>
      <c r="B137" s="46"/>
      <c r="C137" s="46"/>
      <c r="D137" s="34" t="e">
        <f>INDEX('Equipment list'!$B$227:$B$256, (MATCH(C137,'Equipment list'!$D$227:$D$256,0)),1)</f>
        <v>#N/A</v>
      </c>
      <c r="E137" s="34" t="e">
        <f>INDEX('Equipment list'!$C$227:$C$256, (MATCH(C137,'Equipment list'!$D$227:$D$256,0)),1)</f>
        <v>#N/A</v>
      </c>
      <c r="F137" s="34">
        <f t="shared" si="15"/>
        <v>0</v>
      </c>
      <c r="G137" s="34">
        <f t="shared" si="16"/>
        <v>0</v>
      </c>
      <c r="H137" s="34" t="e">
        <f t="shared" si="17"/>
        <v>#N/A</v>
      </c>
      <c r="I137" s="34" t="e">
        <f t="shared" si="18"/>
        <v>#N/A</v>
      </c>
      <c r="J137" s="45"/>
      <c r="K137" s="46"/>
      <c r="L137" s="49"/>
      <c r="M137" s="39"/>
      <c r="N137" s="39"/>
      <c r="O137" s="37">
        <f t="shared" si="19"/>
        <v>0</v>
      </c>
      <c r="P137" s="44"/>
      <c r="Q137" s="44"/>
    </row>
    <row r="138" spans="1:17" x14ac:dyDescent="0.4">
      <c r="A138" s="70"/>
      <c r="B138" s="46"/>
      <c r="C138" s="46"/>
      <c r="D138" s="34" t="e">
        <f>INDEX('Equipment list'!$B$227:$B$256, (MATCH(C138,'Equipment list'!$D$227:$D$256,0)),1)</f>
        <v>#N/A</v>
      </c>
      <c r="E138" s="34" t="e">
        <f>INDEX('Equipment list'!$C$227:$C$256, (MATCH(C138,'Equipment list'!$D$227:$D$256,0)),1)</f>
        <v>#N/A</v>
      </c>
      <c r="F138" s="34">
        <f t="shared" si="15"/>
        <v>0</v>
      </c>
      <c r="G138" s="34">
        <f t="shared" si="16"/>
        <v>0</v>
      </c>
      <c r="H138" s="34" t="e">
        <f t="shared" si="17"/>
        <v>#N/A</v>
      </c>
      <c r="I138" s="34" t="e">
        <f t="shared" si="18"/>
        <v>#N/A</v>
      </c>
      <c r="J138" s="45"/>
      <c r="K138" s="46"/>
      <c r="L138" s="49"/>
      <c r="M138" s="39"/>
      <c r="N138" s="39"/>
      <c r="O138" s="37">
        <f t="shared" si="19"/>
        <v>0</v>
      </c>
      <c r="P138" s="44"/>
      <c r="Q138" s="44"/>
    </row>
    <row r="139" spans="1:17" x14ac:dyDescent="0.4">
      <c r="A139" s="70"/>
      <c r="B139" s="46"/>
      <c r="C139" s="46"/>
      <c r="D139" s="34" t="e">
        <f>INDEX('Equipment list'!$B$227:$B$256, (MATCH(C139,'Equipment list'!$D$227:$D$256,0)),1)</f>
        <v>#N/A</v>
      </c>
      <c r="E139" s="34" t="e">
        <f>INDEX('Equipment list'!$C$227:$C$256, (MATCH(C139,'Equipment list'!$D$227:$D$256,0)),1)</f>
        <v>#N/A</v>
      </c>
      <c r="F139" s="34">
        <f t="shared" si="15"/>
        <v>0</v>
      </c>
      <c r="G139" s="34">
        <f t="shared" si="16"/>
        <v>0</v>
      </c>
      <c r="H139" s="34" t="e">
        <f t="shared" si="17"/>
        <v>#N/A</v>
      </c>
      <c r="I139" s="34" t="e">
        <f t="shared" si="18"/>
        <v>#N/A</v>
      </c>
      <c r="J139" s="45"/>
      <c r="K139" s="46"/>
      <c r="L139" s="49"/>
      <c r="M139" s="39"/>
      <c r="N139" s="39"/>
      <c r="O139" s="37">
        <f t="shared" si="19"/>
        <v>0</v>
      </c>
      <c r="P139" s="44"/>
      <c r="Q139" s="44"/>
    </row>
    <row r="140" spans="1:17" x14ac:dyDescent="0.4">
      <c r="A140" s="70"/>
      <c r="B140" s="46"/>
      <c r="C140" s="46"/>
      <c r="D140" s="34" t="e">
        <f>INDEX('Equipment list'!$B$227:$B$256, (MATCH(C140,'Equipment list'!$D$227:$D$256,0)),1)</f>
        <v>#N/A</v>
      </c>
      <c r="E140" s="34" t="e">
        <f>INDEX('Equipment list'!$C$227:$C$256, (MATCH(C140,'Equipment list'!$D$227:$D$256,0)),1)</f>
        <v>#N/A</v>
      </c>
      <c r="F140" s="34">
        <f t="shared" si="15"/>
        <v>0</v>
      </c>
      <c r="G140" s="34">
        <f t="shared" si="16"/>
        <v>0</v>
      </c>
      <c r="H140" s="34" t="e">
        <f t="shared" si="17"/>
        <v>#N/A</v>
      </c>
      <c r="I140" s="34" t="e">
        <f t="shared" si="18"/>
        <v>#N/A</v>
      </c>
      <c r="J140" s="45"/>
      <c r="K140" s="46"/>
      <c r="L140" s="49"/>
      <c r="M140" s="39"/>
      <c r="N140" s="39"/>
      <c r="O140" s="37">
        <f t="shared" si="19"/>
        <v>0</v>
      </c>
      <c r="P140" s="44"/>
      <c r="Q140" s="44"/>
    </row>
    <row r="141" spans="1:17" x14ac:dyDescent="0.4">
      <c r="A141" s="70"/>
      <c r="B141" s="46"/>
      <c r="C141" s="46"/>
      <c r="D141" s="34" t="e">
        <f>INDEX('Equipment list'!$B$227:$B$256, (MATCH(C141,'Equipment list'!$D$227:$D$256,0)),1)</f>
        <v>#N/A</v>
      </c>
      <c r="E141" s="34" t="e">
        <f>INDEX('Equipment list'!$C$227:$C$256, (MATCH(C141,'Equipment list'!$D$227:$D$256,0)),1)</f>
        <v>#N/A</v>
      </c>
      <c r="F141" s="34">
        <f t="shared" si="15"/>
        <v>0</v>
      </c>
      <c r="G141" s="34">
        <f t="shared" si="16"/>
        <v>0</v>
      </c>
      <c r="H141" s="34" t="e">
        <f t="shared" si="17"/>
        <v>#N/A</v>
      </c>
      <c r="I141" s="34" t="e">
        <f t="shared" si="18"/>
        <v>#N/A</v>
      </c>
      <c r="J141" s="45"/>
      <c r="K141" s="46"/>
      <c r="L141" s="49"/>
      <c r="M141" s="39"/>
      <c r="N141" s="39"/>
      <c r="O141" s="37">
        <f t="shared" si="19"/>
        <v>0</v>
      </c>
      <c r="P141" s="44"/>
      <c r="Q141" s="44"/>
    </row>
    <row r="142" spans="1:17" x14ac:dyDescent="0.4">
      <c r="A142" s="70"/>
      <c r="B142" s="46"/>
      <c r="C142" s="46"/>
      <c r="D142" s="34" t="e">
        <f>INDEX('Equipment list'!$B$227:$B$256, (MATCH(C142,'Equipment list'!$D$227:$D$256,0)),1)</f>
        <v>#N/A</v>
      </c>
      <c r="E142" s="34" t="e">
        <f>INDEX('Equipment list'!$C$227:$C$256, (MATCH(C142,'Equipment list'!$D$227:$D$256,0)),1)</f>
        <v>#N/A</v>
      </c>
      <c r="F142" s="34">
        <f t="shared" si="15"/>
        <v>0</v>
      </c>
      <c r="G142" s="34">
        <f t="shared" si="16"/>
        <v>0</v>
      </c>
      <c r="H142" s="34" t="e">
        <f t="shared" si="17"/>
        <v>#N/A</v>
      </c>
      <c r="I142" s="34" t="e">
        <f t="shared" si="18"/>
        <v>#N/A</v>
      </c>
      <c r="J142" s="45"/>
      <c r="K142" s="46"/>
      <c r="L142" s="49"/>
      <c r="M142" s="39"/>
      <c r="N142" s="39"/>
      <c r="O142" s="37">
        <f t="shared" si="19"/>
        <v>0</v>
      </c>
      <c r="P142" s="44"/>
      <c r="Q142" s="44"/>
    </row>
    <row r="143" spans="1:17" x14ac:dyDescent="0.4">
      <c r="A143" s="70"/>
      <c r="B143" s="46"/>
      <c r="C143" s="46"/>
      <c r="D143" s="34" t="e">
        <f>INDEX('Equipment list'!$B$227:$B$256, (MATCH(C143,'Equipment list'!$D$227:$D$256,0)),1)</f>
        <v>#N/A</v>
      </c>
      <c r="E143" s="34" t="e">
        <f>INDEX('Equipment list'!$C$227:$C$256, (MATCH(C143,'Equipment list'!$D$227:$D$256,0)),1)</f>
        <v>#N/A</v>
      </c>
      <c r="F143" s="34">
        <f t="shared" si="15"/>
        <v>0</v>
      </c>
      <c r="G143" s="34">
        <f t="shared" si="16"/>
        <v>0</v>
      </c>
      <c r="H143" s="34" t="e">
        <f t="shared" si="17"/>
        <v>#N/A</v>
      </c>
      <c r="I143" s="34" t="e">
        <f t="shared" si="18"/>
        <v>#N/A</v>
      </c>
      <c r="J143" s="45"/>
      <c r="K143" s="46"/>
      <c r="L143" s="49"/>
      <c r="M143" s="39"/>
      <c r="N143" s="39"/>
      <c r="O143" s="37">
        <f t="shared" si="19"/>
        <v>0</v>
      </c>
      <c r="P143" s="44"/>
      <c r="Q143" s="44"/>
    </row>
    <row r="144" spans="1:17" x14ac:dyDescent="0.4">
      <c r="A144" s="70"/>
      <c r="B144" s="46"/>
      <c r="C144" s="46"/>
      <c r="D144" s="34" t="e">
        <f>INDEX('Equipment list'!$B$227:$B$256, (MATCH(C144,'Equipment list'!$D$227:$D$256,0)),1)</f>
        <v>#N/A</v>
      </c>
      <c r="E144" s="34" t="e">
        <f>INDEX('Equipment list'!$C$227:$C$256, (MATCH(C144,'Equipment list'!$D$227:$D$256,0)),1)</f>
        <v>#N/A</v>
      </c>
      <c r="F144" s="34">
        <f t="shared" si="15"/>
        <v>0</v>
      </c>
      <c r="G144" s="34">
        <f t="shared" si="16"/>
        <v>0</v>
      </c>
      <c r="H144" s="34" t="e">
        <f t="shared" si="17"/>
        <v>#N/A</v>
      </c>
      <c r="I144" s="34" t="e">
        <f t="shared" si="18"/>
        <v>#N/A</v>
      </c>
      <c r="J144" s="45"/>
      <c r="K144" s="46"/>
      <c r="L144" s="49"/>
      <c r="M144" s="39"/>
      <c r="N144" s="39"/>
      <c r="O144" s="37">
        <f t="shared" si="19"/>
        <v>0</v>
      </c>
      <c r="P144" s="44"/>
      <c r="Q144" s="44"/>
    </row>
    <row r="145" spans="1:17" x14ac:dyDescent="0.4">
      <c r="A145" s="70"/>
      <c r="B145" s="46"/>
      <c r="C145" s="46"/>
      <c r="D145" s="34" t="e">
        <f>INDEX('Equipment list'!$B$227:$B$256, (MATCH(C145,'Equipment list'!$D$227:$D$256,0)),1)</f>
        <v>#N/A</v>
      </c>
      <c r="E145" s="34" t="e">
        <f>INDEX('Equipment list'!$C$227:$C$256, (MATCH(C145,'Equipment list'!$D$227:$D$256,0)),1)</f>
        <v>#N/A</v>
      </c>
      <c r="F145" s="34">
        <f t="shared" si="15"/>
        <v>0</v>
      </c>
      <c r="G145" s="34">
        <f t="shared" si="16"/>
        <v>0</v>
      </c>
      <c r="H145" s="34" t="e">
        <f t="shared" si="17"/>
        <v>#N/A</v>
      </c>
      <c r="I145" s="34" t="e">
        <f t="shared" si="18"/>
        <v>#N/A</v>
      </c>
      <c r="J145" s="45"/>
      <c r="K145" s="46"/>
      <c r="L145" s="49"/>
      <c r="M145" s="39"/>
      <c r="N145" s="39"/>
      <c r="O145" s="37">
        <f t="shared" si="19"/>
        <v>0</v>
      </c>
      <c r="P145" s="44"/>
      <c r="Q145" s="44"/>
    </row>
    <row r="146" spans="1:17" x14ac:dyDescent="0.4">
      <c r="A146" s="70"/>
      <c r="B146" s="46"/>
      <c r="C146" s="46"/>
      <c r="D146" s="34" t="e">
        <f>INDEX('Equipment list'!$B$227:$B$256, (MATCH(C146,'Equipment list'!$D$227:$D$256,0)),1)</f>
        <v>#N/A</v>
      </c>
      <c r="E146" s="34" t="e">
        <f>INDEX('Equipment list'!$C$227:$C$256, (MATCH(C146,'Equipment list'!$D$227:$D$256,0)),1)</f>
        <v>#N/A</v>
      </c>
      <c r="F146" s="34">
        <f t="shared" si="15"/>
        <v>0</v>
      </c>
      <c r="G146" s="34">
        <f t="shared" si="16"/>
        <v>0</v>
      </c>
      <c r="H146" s="34" t="e">
        <f t="shared" si="17"/>
        <v>#N/A</v>
      </c>
      <c r="I146" s="34" t="e">
        <f t="shared" si="18"/>
        <v>#N/A</v>
      </c>
      <c r="J146" s="45"/>
      <c r="K146" s="46"/>
      <c r="L146" s="49"/>
      <c r="M146" s="39"/>
      <c r="N146" s="39"/>
      <c r="O146" s="37">
        <f t="shared" si="19"/>
        <v>0</v>
      </c>
      <c r="P146" s="44"/>
      <c r="Q146" s="44"/>
    </row>
    <row r="147" spans="1:17" x14ac:dyDescent="0.4">
      <c r="A147" s="70"/>
      <c r="B147" s="46"/>
      <c r="C147" s="46"/>
      <c r="D147" s="34" t="e">
        <f>INDEX('Equipment list'!$B$227:$B$256, (MATCH(C147,'Equipment list'!$D$227:$D$256,0)),1)</f>
        <v>#N/A</v>
      </c>
      <c r="E147" s="34" t="e">
        <f>INDEX('Equipment list'!$C$227:$C$256, (MATCH(C147,'Equipment list'!$D$227:$D$256,0)),1)</f>
        <v>#N/A</v>
      </c>
      <c r="F147" s="34">
        <f t="shared" si="15"/>
        <v>0</v>
      </c>
      <c r="G147" s="34">
        <f t="shared" si="16"/>
        <v>0</v>
      </c>
      <c r="H147" s="34" t="e">
        <f t="shared" si="17"/>
        <v>#N/A</v>
      </c>
      <c r="I147" s="34" t="e">
        <f t="shared" si="18"/>
        <v>#N/A</v>
      </c>
      <c r="J147" s="45"/>
      <c r="K147" s="46"/>
      <c r="L147" s="49"/>
      <c r="M147" s="39"/>
      <c r="N147" s="39"/>
      <c r="O147" s="37">
        <f t="shared" si="19"/>
        <v>0</v>
      </c>
      <c r="P147" s="44"/>
      <c r="Q147" s="44"/>
    </row>
    <row r="148" spans="1:17" x14ac:dyDescent="0.4">
      <c r="A148" s="70"/>
      <c r="B148" s="46"/>
      <c r="C148" s="46"/>
      <c r="D148" s="34" t="e">
        <f>INDEX('Equipment list'!$B$227:$B$256, (MATCH(C148,'Equipment list'!$D$227:$D$256,0)),1)</f>
        <v>#N/A</v>
      </c>
      <c r="E148" s="34" t="e">
        <f>INDEX('Equipment list'!$C$227:$C$256, (MATCH(C148,'Equipment list'!$D$227:$D$256,0)),1)</f>
        <v>#N/A</v>
      </c>
      <c r="F148" s="34">
        <f t="shared" si="15"/>
        <v>0</v>
      </c>
      <c r="G148" s="34">
        <f t="shared" si="16"/>
        <v>0</v>
      </c>
      <c r="H148" s="34" t="e">
        <f t="shared" si="17"/>
        <v>#N/A</v>
      </c>
      <c r="I148" s="34" t="e">
        <f t="shared" si="18"/>
        <v>#N/A</v>
      </c>
      <c r="J148" s="45"/>
      <c r="K148" s="46"/>
      <c r="L148" s="49"/>
      <c r="M148" s="39"/>
      <c r="N148" s="39"/>
      <c r="O148" s="37">
        <f t="shared" si="19"/>
        <v>0</v>
      </c>
      <c r="P148" s="44"/>
      <c r="Q148" s="44"/>
    </row>
    <row r="149" spans="1:17" x14ac:dyDescent="0.4">
      <c r="A149" s="70"/>
      <c r="B149" s="46"/>
      <c r="C149" s="46"/>
      <c r="D149" s="34" t="e">
        <f>INDEX('Equipment list'!$B$227:$B$256, (MATCH(C149,'Equipment list'!$D$227:$D$256,0)),1)</f>
        <v>#N/A</v>
      </c>
      <c r="E149" s="34" t="e">
        <f>INDEX('Equipment list'!$C$227:$C$256, (MATCH(C149,'Equipment list'!$D$227:$D$256,0)),1)</f>
        <v>#N/A</v>
      </c>
      <c r="F149" s="34">
        <f t="shared" si="15"/>
        <v>0</v>
      </c>
      <c r="G149" s="34">
        <f t="shared" si="16"/>
        <v>0</v>
      </c>
      <c r="H149" s="34" t="e">
        <f t="shared" si="17"/>
        <v>#N/A</v>
      </c>
      <c r="I149" s="34" t="e">
        <f t="shared" si="18"/>
        <v>#N/A</v>
      </c>
      <c r="J149" s="45"/>
      <c r="K149" s="46"/>
      <c r="L149" s="49"/>
      <c r="M149" s="39"/>
      <c r="N149" s="39"/>
      <c r="O149" s="37">
        <f t="shared" si="19"/>
        <v>0</v>
      </c>
      <c r="P149" s="44"/>
      <c r="Q149" s="44"/>
    </row>
    <row r="150" spans="1:17" x14ac:dyDescent="0.4">
      <c r="A150" s="70"/>
      <c r="B150" s="46"/>
      <c r="C150" s="46"/>
      <c r="D150" s="34" t="e">
        <f>INDEX('Equipment list'!$B$227:$B$256, (MATCH(C150,'Equipment list'!$D$227:$D$256,0)),1)</f>
        <v>#N/A</v>
      </c>
      <c r="E150" s="34" t="e">
        <f>INDEX('Equipment list'!$C$227:$C$256, (MATCH(C150,'Equipment list'!$D$227:$D$256,0)),1)</f>
        <v>#N/A</v>
      </c>
      <c r="F150" s="34">
        <f t="shared" si="15"/>
        <v>0</v>
      </c>
      <c r="G150" s="34">
        <f t="shared" si="16"/>
        <v>0</v>
      </c>
      <c r="H150" s="34" t="e">
        <f t="shared" si="17"/>
        <v>#N/A</v>
      </c>
      <c r="I150" s="34" t="e">
        <f t="shared" si="18"/>
        <v>#N/A</v>
      </c>
      <c r="J150" s="45"/>
      <c r="K150" s="46"/>
      <c r="L150" s="49"/>
      <c r="M150" s="39"/>
      <c r="N150" s="39"/>
      <c r="O150" s="37">
        <f t="shared" si="19"/>
        <v>0</v>
      </c>
      <c r="P150" s="44"/>
      <c r="Q150" s="44"/>
    </row>
    <row r="151" spans="1:17" x14ac:dyDescent="0.4">
      <c r="A151" s="70"/>
      <c r="B151" s="46"/>
      <c r="C151" s="46"/>
      <c r="D151" s="34" t="e">
        <f>INDEX('Equipment list'!$B$227:$B$256, (MATCH(C151,'Equipment list'!$D$227:$D$256,0)),1)</f>
        <v>#N/A</v>
      </c>
      <c r="E151" s="34" t="e">
        <f>INDEX('Equipment list'!$C$227:$C$256, (MATCH(C151,'Equipment list'!$D$227:$D$256,0)),1)</f>
        <v>#N/A</v>
      </c>
      <c r="F151" s="34">
        <f t="shared" si="15"/>
        <v>0</v>
      </c>
      <c r="G151" s="34">
        <f t="shared" si="16"/>
        <v>0</v>
      </c>
      <c r="H151" s="34" t="e">
        <f t="shared" si="17"/>
        <v>#N/A</v>
      </c>
      <c r="I151" s="34" t="e">
        <f t="shared" si="18"/>
        <v>#N/A</v>
      </c>
      <c r="J151" s="45"/>
      <c r="K151" s="46"/>
      <c r="L151" s="49"/>
      <c r="M151" s="39"/>
      <c r="N151" s="39"/>
      <c r="O151" s="37">
        <f t="shared" si="19"/>
        <v>0</v>
      </c>
      <c r="P151" s="44"/>
      <c r="Q151" s="44"/>
    </row>
    <row r="152" spans="1:17" x14ac:dyDescent="0.4">
      <c r="A152" s="70"/>
      <c r="B152" s="46"/>
      <c r="C152" s="46"/>
      <c r="D152" s="34" t="e">
        <f>INDEX('Equipment list'!$B$227:$B$256, (MATCH(C152,'Equipment list'!$D$227:$D$256,0)),1)</f>
        <v>#N/A</v>
      </c>
      <c r="E152" s="34" t="e">
        <f>INDEX('Equipment list'!$C$227:$C$256, (MATCH(C152,'Equipment list'!$D$227:$D$256,0)),1)</f>
        <v>#N/A</v>
      </c>
      <c r="F152" s="34">
        <f t="shared" si="15"/>
        <v>0</v>
      </c>
      <c r="G152" s="34">
        <f t="shared" si="16"/>
        <v>0</v>
      </c>
      <c r="H152" s="34" t="e">
        <f t="shared" si="17"/>
        <v>#N/A</v>
      </c>
      <c r="I152" s="34" t="e">
        <f t="shared" si="18"/>
        <v>#N/A</v>
      </c>
      <c r="J152" s="45"/>
      <c r="K152" s="46"/>
      <c r="L152" s="49"/>
      <c r="M152" s="39"/>
      <c r="N152" s="39"/>
      <c r="O152" s="37">
        <f t="shared" si="19"/>
        <v>0</v>
      </c>
      <c r="P152" s="44"/>
      <c r="Q152" s="44"/>
    </row>
    <row r="153" spans="1:17" x14ac:dyDescent="0.4">
      <c r="A153" s="70"/>
      <c r="B153" s="46"/>
      <c r="C153" s="46"/>
      <c r="D153" s="34" t="e">
        <f>INDEX('Equipment list'!$B$227:$B$256, (MATCH(C153,'Equipment list'!$D$227:$D$256,0)),1)</f>
        <v>#N/A</v>
      </c>
      <c r="E153" s="34" t="e">
        <f>INDEX('Equipment list'!$C$227:$C$256, (MATCH(C153,'Equipment list'!$D$227:$D$256,0)),1)</f>
        <v>#N/A</v>
      </c>
      <c r="F153" s="34">
        <f t="shared" si="15"/>
        <v>0</v>
      </c>
      <c r="G153" s="34">
        <f t="shared" si="16"/>
        <v>0</v>
      </c>
      <c r="H153" s="34" t="e">
        <f t="shared" si="17"/>
        <v>#N/A</v>
      </c>
      <c r="I153" s="34" t="e">
        <f t="shared" si="18"/>
        <v>#N/A</v>
      </c>
      <c r="J153" s="45"/>
      <c r="K153" s="46"/>
      <c r="L153" s="49"/>
      <c r="M153" s="39"/>
      <c r="N153" s="39"/>
      <c r="O153" s="37">
        <f t="shared" si="19"/>
        <v>0</v>
      </c>
      <c r="P153" s="44"/>
      <c r="Q153" s="44"/>
    </row>
    <row r="154" spans="1:17" x14ac:dyDescent="0.4">
      <c r="A154" s="70"/>
      <c r="B154" s="46"/>
      <c r="C154" s="46"/>
      <c r="D154" s="34" t="e">
        <f>INDEX('Equipment list'!$B$227:$B$256, (MATCH(C154,'Equipment list'!$D$227:$D$256,0)),1)</f>
        <v>#N/A</v>
      </c>
      <c r="E154" s="34" t="e">
        <f>INDEX('Equipment list'!$C$227:$C$256, (MATCH(C154,'Equipment list'!$D$227:$D$256,0)),1)</f>
        <v>#N/A</v>
      </c>
      <c r="F154" s="34">
        <f t="shared" si="15"/>
        <v>0</v>
      </c>
      <c r="G154" s="34">
        <f t="shared" si="16"/>
        <v>0</v>
      </c>
      <c r="H154" s="34" t="e">
        <f t="shared" si="17"/>
        <v>#N/A</v>
      </c>
      <c r="I154" s="34" t="e">
        <f t="shared" si="18"/>
        <v>#N/A</v>
      </c>
      <c r="J154" s="45"/>
      <c r="K154" s="46"/>
      <c r="L154" s="49"/>
      <c r="M154" s="39"/>
      <c r="N154" s="39"/>
      <c r="O154" s="37">
        <f t="shared" si="19"/>
        <v>0</v>
      </c>
      <c r="P154" s="44"/>
      <c r="Q154" s="44"/>
    </row>
    <row r="155" spans="1:17" x14ac:dyDescent="0.4">
      <c r="A155" s="70"/>
      <c r="B155" s="46"/>
      <c r="C155" s="46"/>
      <c r="D155" s="34" t="e">
        <f>INDEX('Equipment list'!$B$227:$B$256, (MATCH(C155,'Equipment list'!$D$227:$D$256,0)),1)</f>
        <v>#N/A</v>
      </c>
      <c r="E155" s="34" t="e">
        <f>INDEX('Equipment list'!$C$227:$C$256, (MATCH(C155,'Equipment list'!$D$227:$D$256,0)),1)</f>
        <v>#N/A</v>
      </c>
      <c r="F155" s="34">
        <f t="shared" si="15"/>
        <v>0</v>
      </c>
      <c r="G155" s="34">
        <f t="shared" si="16"/>
        <v>0</v>
      </c>
      <c r="H155" s="34" t="e">
        <f t="shared" si="17"/>
        <v>#N/A</v>
      </c>
      <c r="I155" s="34" t="e">
        <f t="shared" si="18"/>
        <v>#N/A</v>
      </c>
      <c r="J155" s="45"/>
      <c r="K155" s="46"/>
      <c r="L155" s="49"/>
      <c r="M155" s="39"/>
      <c r="N155" s="39"/>
      <c r="O155" s="37">
        <f t="shared" si="19"/>
        <v>0</v>
      </c>
      <c r="P155" s="44"/>
      <c r="Q155" s="44"/>
    </row>
    <row r="156" spans="1:17" x14ac:dyDescent="0.4">
      <c r="A156" s="70"/>
      <c r="B156" s="46"/>
      <c r="C156" s="46"/>
      <c r="D156" s="34" t="e">
        <f>INDEX('Equipment list'!$B$227:$B$256, (MATCH(C156,'Equipment list'!$D$227:$D$256,0)),1)</f>
        <v>#N/A</v>
      </c>
      <c r="E156" s="34" t="e">
        <f>INDEX('Equipment list'!$C$227:$C$256, (MATCH(C156,'Equipment list'!$D$227:$D$256,0)),1)</f>
        <v>#N/A</v>
      </c>
      <c r="F156" s="34">
        <f t="shared" si="15"/>
        <v>0</v>
      </c>
      <c r="G156" s="34">
        <f t="shared" si="16"/>
        <v>0</v>
      </c>
      <c r="H156" s="34" t="e">
        <f t="shared" si="17"/>
        <v>#N/A</v>
      </c>
      <c r="I156" s="34" t="e">
        <f t="shared" si="18"/>
        <v>#N/A</v>
      </c>
      <c r="J156" s="45"/>
      <c r="K156" s="46"/>
      <c r="L156" s="49"/>
      <c r="M156" s="39"/>
      <c r="N156" s="39"/>
      <c r="O156" s="37">
        <f t="shared" si="19"/>
        <v>0</v>
      </c>
      <c r="P156" s="44"/>
      <c r="Q156" s="44"/>
    </row>
    <row r="157" spans="1:17" x14ac:dyDescent="0.4">
      <c r="A157" s="70"/>
      <c r="B157" s="46"/>
      <c r="C157" s="46"/>
      <c r="D157" s="34" t="e">
        <f>INDEX('Equipment list'!$B$227:$B$256, (MATCH(C157,'Equipment list'!$D$227:$D$256,0)),1)</f>
        <v>#N/A</v>
      </c>
      <c r="E157" s="34" t="e">
        <f>INDEX('Equipment list'!$C$227:$C$256, (MATCH(C157,'Equipment list'!$D$227:$D$256,0)),1)</f>
        <v>#N/A</v>
      </c>
      <c r="F157" s="34">
        <f t="shared" si="15"/>
        <v>0</v>
      </c>
      <c r="G157" s="34">
        <f t="shared" si="16"/>
        <v>0</v>
      </c>
      <c r="H157" s="34" t="e">
        <f t="shared" si="17"/>
        <v>#N/A</v>
      </c>
      <c r="I157" s="34" t="e">
        <f t="shared" si="18"/>
        <v>#N/A</v>
      </c>
      <c r="J157" s="45"/>
      <c r="K157" s="46"/>
      <c r="L157" s="49"/>
      <c r="M157" s="39"/>
      <c r="N157" s="39"/>
      <c r="O157" s="37">
        <f t="shared" si="19"/>
        <v>0</v>
      </c>
      <c r="P157" s="44"/>
      <c r="Q157" s="44"/>
    </row>
    <row r="158" spans="1:17" x14ac:dyDescent="0.4">
      <c r="A158" s="70"/>
      <c r="B158" s="46"/>
      <c r="C158" s="46"/>
      <c r="D158" s="34" t="e">
        <f>INDEX('Equipment list'!$B$227:$B$256, (MATCH(C158,'Equipment list'!$D$227:$D$256,0)),1)</f>
        <v>#N/A</v>
      </c>
      <c r="E158" s="34" t="e">
        <f>INDEX('Equipment list'!$C$227:$C$256, (MATCH(C158,'Equipment list'!$D$227:$D$256,0)),1)</f>
        <v>#N/A</v>
      </c>
      <c r="F158" s="34">
        <f t="shared" si="15"/>
        <v>0</v>
      </c>
      <c r="G158" s="34">
        <f t="shared" si="16"/>
        <v>0</v>
      </c>
      <c r="H158" s="34" t="e">
        <f t="shared" si="17"/>
        <v>#N/A</v>
      </c>
      <c r="I158" s="34" t="e">
        <f t="shared" si="18"/>
        <v>#N/A</v>
      </c>
      <c r="J158" s="45"/>
      <c r="K158" s="46"/>
      <c r="L158" s="49"/>
      <c r="M158" s="39"/>
      <c r="N158" s="39"/>
      <c r="O158" s="37">
        <f t="shared" si="19"/>
        <v>0</v>
      </c>
      <c r="P158" s="44"/>
      <c r="Q158" s="44"/>
    </row>
    <row r="159" spans="1:17" x14ac:dyDescent="0.4">
      <c r="A159" s="70"/>
      <c r="B159" s="46"/>
      <c r="C159" s="46"/>
      <c r="D159" s="34" t="e">
        <f>INDEX('Equipment list'!$B$227:$B$256, (MATCH(C159,'Equipment list'!$D$227:$D$256,0)),1)</f>
        <v>#N/A</v>
      </c>
      <c r="E159" s="34" t="e">
        <f>INDEX('Equipment list'!$C$227:$C$256, (MATCH(C159,'Equipment list'!$D$227:$D$256,0)),1)</f>
        <v>#N/A</v>
      </c>
      <c r="F159" s="34">
        <f t="shared" si="15"/>
        <v>0</v>
      </c>
      <c r="G159" s="34">
        <f t="shared" si="16"/>
        <v>0</v>
      </c>
      <c r="H159" s="34" t="e">
        <f t="shared" si="17"/>
        <v>#N/A</v>
      </c>
      <c r="I159" s="34" t="e">
        <f t="shared" si="18"/>
        <v>#N/A</v>
      </c>
      <c r="J159" s="45"/>
      <c r="K159" s="46"/>
      <c r="L159" s="49"/>
      <c r="M159" s="39"/>
      <c r="N159" s="39"/>
      <c r="O159" s="37">
        <f t="shared" si="19"/>
        <v>0</v>
      </c>
      <c r="P159" s="44"/>
      <c r="Q159" s="44"/>
    </row>
    <row r="160" spans="1:17" x14ac:dyDescent="0.4">
      <c r="A160" s="70"/>
      <c r="B160" s="46"/>
      <c r="C160" s="46"/>
      <c r="D160" s="34" t="e">
        <f>INDEX('Equipment list'!$B$227:$B$256, (MATCH(C160,'Equipment list'!$D$227:$D$256,0)),1)</f>
        <v>#N/A</v>
      </c>
      <c r="E160" s="34" t="e">
        <f>INDEX('Equipment list'!$C$227:$C$256, (MATCH(C160,'Equipment list'!$D$227:$D$256,0)),1)</f>
        <v>#N/A</v>
      </c>
      <c r="F160" s="34">
        <f t="shared" si="15"/>
        <v>0</v>
      </c>
      <c r="G160" s="34">
        <f t="shared" si="16"/>
        <v>0</v>
      </c>
      <c r="H160" s="34" t="e">
        <f t="shared" si="17"/>
        <v>#N/A</v>
      </c>
      <c r="I160" s="34" t="e">
        <f t="shared" si="18"/>
        <v>#N/A</v>
      </c>
      <c r="J160" s="45"/>
      <c r="K160" s="46"/>
      <c r="L160" s="49"/>
      <c r="M160" s="39"/>
      <c r="N160" s="39"/>
      <c r="O160" s="37">
        <f t="shared" si="19"/>
        <v>0</v>
      </c>
      <c r="P160" s="44"/>
      <c r="Q160" s="44"/>
    </row>
    <row r="161" spans="1:17" x14ac:dyDescent="0.4">
      <c r="A161" s="70"/>
      <c r="B161" s="46"/>
      <c r="C161" s="46"/>
      <c r="D161" s="34" t="e">
        <f>INDEX('Equipment list'!$B$227:$B$256, (MATCH(C161,'Equipment list'!$D$227:$D$256,0)),1)</f>
        <v>#N/A</v>
      </c>
      <c r="E161" s="34" t="e">
        <f>INDEX('Equipment list'!$C$227:$C$256, (MATCH(C161,'Equipment list'!$D$227:$D$256,0)),1)</f>
        <v>#N/A</v>
      </c>
      <c r="F161" s="34">
        <f t="shared" si="15"/>
        <v>0</v>
      </c>
      <c r="G161" s="34">
        <f t="shared" si="16"/>
        <v>0</v>
      </c>
      <c r="H161" s="34" t="e">
        <f t="shared" si="17"/>
        <v>#N/A</v>
      </c>
      <c r="I161" s="34" t="e">
        <f t="shared" si="18"/>
        <v>#N/A</v>
      </c>
      <c r="J161" s="45"/>
      <c r="K161" s="46"/>
      <c r="L161" s="49"/>
      <c r="M161" s="39"/>
      <c r="N161" s="39"/>
      <c r="O161" s="37">
        <f t="shared" si="19"/>
        <v>0</v>
      </c>
      <c r="P161" s="44"/>
      <c r="Q161" s="44"/>
    </row>
    <row r="162" spans="1:17" x14ac:dyDescent="0.4">
      <c r="A162" s="70"/>
      <c r="B162" s="46"/>
      <c r="C162" s="46"/>
      <c r="D162" s="34" t="e">
        <f>INDEX('Equipment list'!$B$227:$B$256, (MATCH(C162,'Equipment list'!$D$227:$D$256,0)),1)</f>
        <v>#N/A</v>
      </c>
      <c r="E162" s="34" t="e">
        <f>INDEX('Equipment list'!$C$227:$C$256, (MATCH(C162,'Equipment list'!$D$227:$D$256,0)),1)</f>
        <v>#N/A</v>
      </c>
      <c r="F162" s="34">
        <f t="shared" si="15"/>
        <v>0</v>
      </c>
      <c r="G162" s="34">
        <f t="shared" si="16"/>
        <v>0</v>
      </c>
      <c r="H162" s="34" t="e">
        <f t="shared" si="17"/>
        <v>#N/A</v>
      </c>
      <c r="I162" s="34" t="e">
        <f t="shared" si="18"/>
        <v>#N/A</v>
      </c>
      <c r="J162" s="45"/>
      <c r="K162" s="46"/>
      <c r="L162" s="49"/>
      <c r="M162" s="39"/>
      <c r="N162" s="39"/>
      <c r="O162" s="37">
        <f t="shared" si="19"/>
        <v>0</v>
      </c>
      <c r="P162" s="44"/>
      <c r="Q162" s="44"/>
    </row>
    <row r="163" spans="1:17" x14ac:dyDescent="0.4">
      <c r="A163" s="70"/>
      <c r="B163" s="46"/>
      <c r="C163" s="46"/>
      <c r="D163" s="34" t="e">
        <f>INDEX('Equipment list'!$B$227:$B$256, (MATCH(C163,'Equipment list'!$D$227:$D$256,0)),1)</f>
        <v>#N/A</v>
      </c>
      <c r="E163" s="34" t="e">
        <f>INDEX('Equipment list'!$C$227:$C$256, (MATCH(C163,'Equipment list'!$D$227:$D$256,0)),1)</f>
        <v>#N/A</v>
      </c>
      <c r="F163" s="34">
        <f t="shared" si="15"/>
        <v>0</v>
      </c>
      <c r="G163" s="34">
        <f t="shared" si="16"/>
        <v>0</v>
      </c>
      <c r="H163" s="34" t="e">
        <f t="shared" si="17"/>
        <v>#N/A</v>
      </c>
      <c r="I163" s="34" t="e">
        <f t="shared" si="18"/>
        <v>#N/A</v>
      </c>
      <c r="J163" s="45"/>
      <c r="K163" s="46"/>
      <c r="L163" s="49"/>
      <c r="M163" s="39"/>
      <c r="N163" s="39"/>
      <c r="O163" s="37">
        <f t="shared" si="19"/>
        <v>0</v>
      </c>
      <c r="P163" s="44"/>
      <c r="Q163" s="44"/>
    </row>
    <row r="164" spans="1:17" x14ac:dyDescent="0.4">
      <c r="A164" s="70"/>
      <c r="B164" s="46"/>
      <c r="C164" s="46"/>
      <c r="D164" s="34" t="e">
        <f>INDEX('Equipment list'!$B$227:$B$256, (MATCH(C164,'Equipment list'!$D$227:$D$256,0)),1)</f>
        <v>#N/A</v>
      </c>
      <c r="E164" s="34" t="e">
        <f>INDEX('Equipment list'!$C$227:$C$256, (MATCH(C164,'Equipment list'!$D$227:$D$256,0)),1)</f>
        <v>#N/A</v>
      </c>
      <c r="F164" s="34">
        <f t="shared" si="15"/>
        <v>0</v>
      </c>
      <c r="G164" s="34">
        <f t="shared" si="16"/>
        <v>0</v>
      </c>
      <c r="H164" s="34" t="e">
        <f t="shared" si="17"/>
        <v>#N/A</v>
      </c>
      <c r="I164" s="34" t="e">
        <f t="shared" si="18"/>
        <v>#N/A</v>
      </c>
      <c r="J164" s="45"/>
      <c r="K164" s="46"/>
      <c r="L164" s="49"/>
      <c r="M164" s="39"/>
      <c r="N164" s="39"/>
      <c r="O164" s="37">
        <f t="shared" si="19"/>
        <v>0</v>
      </c>
      <c r="P164" s="44"/>
      <c r="Q164" s="44"/>
    </row>
    <row r="165" spans="1:17" x14ac:dyDescent="0.4">
      <c r="A165" s="70"/>
      <c r="B165" s="46"/>
      <c r="C165" s="46"/>
      <c r="D165" s="34" t="e">
        <f>INDEX('Equipment list'!$B$227:$B$256, (MATCH(C165,'Equipment list'!$D$227:$D$256,0)),1)</f>
        <v>#N/A</v>
      </c>
      <c r="E165" s="34" t="e">
        <f>INDEX('Equipment list'!$C$227:$C$256, (MATCH(C165,'Equipment list'!$D$227:$D$256,0)),1)</f>
        <v>#N/A</v>
      </c>
      <c r="F165" s="34">
        <f t="shared" si="15"/>
        <v>0</v>
      </c>
      <c r="G165" s="34">
        <f t="shared" si="16"/>
        <v>0</v>
      </c>
      <c r="H165" s="34" t="e">
        <f t="shared" si="17"/>
        <v>#N/A</v>
      </c>
      <c r="I165" s="34" t="e">
        <f t="shared" si="18"/>
        <v>#N/A</v>
      </c>
      <c r="J165" s="45"/>
      <c r="K165" s="46"/>
      <c r="L165" s="49"/>
      <c r="M165" s="39"/>
      <c r="N165" s="39"/>
      <c r="O165" s="37">
        <f t="shared" si="19"/>
        <v>0</v>
      </c>
      <c r="P165" s="44"/>
      <c r="Q165" s="44"/>
    </row>
    <row r="166" spans="1:17" x14ac:dyDescent="0.4">
      <c r="A166" s="70"/>
      <c r="B166" s="46"/>
      <c r="C166" s="46"/>
      <c r="D166" s="34" t="e">
        <f>INDEX('Equipment list'!$B$227:$B$256, (MATCH(C166,'Equipment list'!$D$227:$D$256,0)),1)</f>
        <v>#N/A</v>
      </c>
      <c r="E166" s="34" t="e">
        <f>INDEX('Equipment list'!$C$227:$C$256, (MATCH(C166,'Equipment list'!$D$227:$D$256,0)),1)</f>
        <v>#N/A</v>
      </c>
      <c r="F166" s="34">
        <f t="shared" si="15"/>
        <v>0</v>
      </c>
      <c r="G166" s="34">
        <f t="shared" si="16"/>
        <v>0</v>
      </c>
      <c r="H166" s="34" t="e">
        <f t="shared" si="17"/>
        <v>#N/A</v>
      </c>
      <c r="I166" s="34" t="e">
        <f t="shared" si="18"/>
        <v>#N/A</v>
      </c>
      <c r="J166" s="45"/>
      <c r="K166" s="46"/>
      <c r="L166" s="49"/>
      <c r="M166" s="39"/>
      <c r="N166" s="39"/>
      <c r="O166" s="37">
        <f t="shared" si="19"/>
        <v>0</v>
      </c>
      <c r="P166" s="44"/>
      <c r="Q166" s="44"/>
    </row>
    <row r="167" spans="1:17" x14ac:dyDescent="0.4">
      <c r="A167" s="70"/>
      <c r="B167" s="46"/>
      <c r="C167" s="46"/>
      <c r="D167" s="34" t="e">
        <f>INDEX('Equipment list'!$B$227:$B$256, (MATCH(C167,'Equipment list'!$D$227:$D$256,0)),1)</f>
        <v>#N/A</v>
      </c>
      <c r="E167" s="34" t="e">
        <f>INDEX('Equipment list'!$C$227:$C$256, (MATCH(C167,'Equipment list'!$D$227:$D$256,0)),1)</f>
        <v>#N/A</v>
      </c>
      <c r="F167" s="34">
        <f t="shared" si="15"/>
        <v>0</v>
      </c>
      <c r="G167" s="34">
        <f t="shared" si="16"/>
        <v>0</v>
      </c>
      <c r="H167" s="34" t="e">
        <f t="shared" si="17"/>
        <v>#N/A</v>
      </c>
      <c r="I167" s="34" t="e">
        <f t="shared" si="18"/>
        <v>#N/A</v>
      </c>
      <c r="J167" s="45"/>
      <c r="K167" s="46"/>
      <c r="L167" s="49"/>
      <c r="M167" s="39"/>
      <c r="N167" s="39"/>
      <c r="O167" s="37">
        <f t="shared" si="19"/>
        <v>0</v>
      </c>
      <c r="P167" s="44"/>
      <c r="Q167" s="44"/>
    </row>
    <row r="168" spans="1:17" x14ac:dyDescent="0.4">
      <c r="A168" s="70"/>
      <c r="B168" s="46"/>
      <c r="C168" s="46"/>
      <c r="D168" s="34" t="e">
        <f>INDEX('Equipment list'!$B$227:$B$256, (MATCH(C168,'Equipment list'!$D$227:$D$256,0)),1)</f>
        <v>#N/A</v>
      </c>
      <c r="E168" s="34" t="e">
        <f>INDEX('Equipment list'!$C$227:$C$256, (MATCH(C168,'Equipment list'!$D$227:$D$256,0)),1)</f>
        <v>#N/A</v>
      </c>
      <c r="F168" s="34">
        <f t="shared" si="15"/>
        <v>0</v>
      </c>
      <c r="G168" s="34">
        <f t="shared" si="16"/>
        <v>0</v>
      </c>
      <c r="H168" s="34" t="e">
        <f t="shared" si="17"/>
        <v>#N/A</v>
      </c>
      <c r="I168" s="34" t="e">
        <f t="shared" si="18"/>
        <v>#N/A</v>
      </c>
      <c r="J168" s="45"/>
      <c r="K168" s="46"/>
      <c r="L168" s="49"/>
      <c r="M168" s="39"/>
      <c r="N168" s="39"/>
      <c r="O168" s="37">
        <f t="shared" si="19"/>
        <v>0</v>
      </c>
      <c r="P168" s="44"/>
      <c r="Q168" s="44"/>
    </row>
    <row r="169" spans="1:17" x14ac:dyDescent="0.4">
      <c r="A169" s="70"/>
      <c r="B169" s="46"/>
      <c r="C169" s="46"/>
      <c r="D169" s="34" t="e">
        <f>INDEX('Equipment list'!$B$227:$B$256, (MATCH(C169,'Equipment list'!$D$227:$D$256,0)),1)</f>
        <v>#N/A</v>
      </c>
      <c r="E169" s="34" t="e">
        <f>INDEX('Equipment list'!$C$227:$C$256, (MATCH(C169,'Equipment list'!$D$227:$D$256,0)),1)</f>
        <v>#N/A</v>
      </c>
      <c r="F169" s="34">
        <f t="shared" si="15"/>
        <v>0</v>
      </c>
      <c r="G169" s="34">
        <f t="shared" si="16"/>
        <v>0</v>
      </c>
      <c r="H169" s="34" t="e">
        <f t="shared" si="17"/>
        <v>#N/A</v>
      </c>
      <c r="I169" s="34" t="e">
        <f t="shared" si="18"/>
        <v>#N/A</v>
      </c>
      <c r="J169" s="45"/>
      <c r="K169" s="46"/>
      <c r="L169" s="49"/>
      <c r="M169" s="39"/>
      <c r="N169" s="39"/>
      <c r="O169" s="37">
        <f t="shared" si="19"/>
        <v>0</v>
      </c>
      <c r="P169" s="44"/>
      <c r="Q169" s="44"/>
    </row>
    <row r="170" spans="1:17" x14ac:dyDescent="0.4">
      <c r="A170" s="70"/>
      <c r="B170" s="46"/>
      <c r="C170" s="46"/>
      <c r="D170" s="34" t="e">
        <f>INDEX('Equipment list'!$B$227:$B$256, (MATCH(C170,'Equipment list'!$D$227:$D$256,0)),1)</f>
        <v>#N/A</v>
      </c>
      <c r="E170" s="34" t="e">
        <f>INDEX('Equipment list'!$C$227:$C$256, (MATCH(C170,'Equipment list'!$D$227:$D$256,0)),1)</f>
        <v>#N/A</v>
      </c>
      <c r="F170" s="34">
        <f t="shared" si="15"/>
        <v>0</v>
      </c>
      <c r="G170" s="34">
        <f t="shared" si="16"/>
        <v>0</v>
      </c>
      <c r="H170" s="34" t="e">
        <f t="shared" si="17"/>
        <v>#N/A</v>
      </c>
      <c r="I170" s="34" t="e">
        <f t="shared" si="18"/>
        <v>#N/A</v>
      </c>
      <c r="J170" s="45"/>
      <c r="K170" s="46"/>
      <c r="L170" s="49"/>
      <c r="M170" s="39"/>
      <c r="N170" s="39"/>
      <c r="O170" s="37">
        <f t="shared" si="19"/>
        <v>0</v>
      </c>
      <c r="P170" s="44"/>
      <c r="Q170" s="44"/>
    </row>
    <row r="171" spans="1:17" x14ac:dyDescent="0.4">
      <c r="A171" s="70"/>
      <c r="B171" s="46"/>
      <c r="C171" s="46"/>
      <c r="D171" s="34" t="e">
        <f>INDEX('Equipment list'!$B$227:$B$256, (MATCH(C171,'Equipment list'!$D$227:$D$256,0)),1)</f>
        <v>#N/A</v>
      </c>
      <c r="E171" s="34" t="e">
        <f>INDEX('Equipment list'!$C$227:$C$256, (MATCH(C171,'Equipment list'!$D$227:$D$256,0)),1)</f>
        <v>#N/A</v>
      </c>
      <c r="F171" s="34">
        <f t="shared" si="15"/>
        <v>0</v>
      </c>
      <c r="G171" s="34">
        <f t="shared" si="16"/>
        <v>0</v>
      </c>
      <c r="H171" s="34" t="e">
        <f t="shared" si="17"/>
        <v>#N/A</v>
      </c>
      <c r="I171" s="34" t="e">
        <f t="shared" si="18"/>
        <v>#N/A</v>
      </c>
      <c r="J171" s="45"/>
      <c r="K171" s="46"/>
      <c r="L171" s="49"/>
      <c r="M171" s="39"/>
      <c r="N171" s="39"/>
      <c r="O171" s="37">
        <f t="shared" si="19"/>
        <v>0</v>
      </c>
      <c r="P171" s="44"/>
      <c r="Q171" s="44"/>
    </row>
    <row r="172" spans="1:17" x14ac:dyDescent="0.4">
      <c r="A172" s="70"/>
      <c r="B172" s="46"/>
      <c r="C172" s="46"/>
      <c r="D172" s="34" t="e">
        <f>INDEX('Equipment list'!$B$227:$B$256, (MATCH(C172,'Equipment list'!$D$227:$D$256,0)),1)</f>
        <v>#N/A</v>
      </c>
      <c r="E172" s="34" t="e">
        <f>INDEX('Equipment list'!$C$227:$C$256, (MATCH(C172,'Equipment list'!$D$227:$D$256,0)),1)</f>
        <v>#N/A</v>
      </c>
      <c r="F172" s="34">
        <f t="shared" si="15"/>
        <v>0</v>
      </c>
      <c r="G172" s="34">
        <f t="shared" si="16"/>
        <v>0</v>
      </c>
      <c r="H172" s="34" t="e">
        <f t="shared" si="17"/>
        <v>#N/A</v>
      </c>
      <c r="I172" s="34" t="e">
        <f t="shared" si="18"/>
        <v>#N/A</v>
      </c>
      <c r="J172" s="45"/>
      <c r="K172" s="46"/>
      <c r="L172" s="49"/>
      <c r="M172" s="39"/>
      <c r="N172" s="39"/>
      <c r="O172" s="37">
        <f t="shared" si="19"/>
        <v>0</v>
      </c>
      <c r="P172" s="44"/>
      <c r="Q172" s="44"/>
    </row>
    <row r="173" spans="1:17" x14ac:dyDescent="0.4">
      <c r="A173" s="70"/>
      <c r="B173" s="46"/>
      <c r="C173" s="46"/>
      <c r="D173" s="34" t="e">
        <f>INDEX('Equipment list'!$B$227:$B$256, (MATCH(C173,'Equipment list'!$D$227:$D$256,0)),1)</f>
        <v>#N/A</v>
      </c>
      <c r="E173" s="34" t="e">
        <f>INDEX('Equipment list'!$C$227:$C$256, (MATCH(C173,'Equipment list'!$D$227:$D$256,0)),1)</f>
        <v>#N/A</v>
      </c>
      <c r="F173" s="34">
        <f t="shared" si="15"/>
        <v>0</v>
      </c>
      <c r="G173" s="34">
        <f t="shared" si="16"/>
        <v>0</v>
      </c>
      <c r="H173" s="34" t="e">
        <f t="shared" si="17"/>
        <v>#N/A</v>
      </c>
      <c r="I173" s="34" t="e">
        <f t="shared" si="18"/>
        <v>#N/A</v>
      </c>
      <c r="J173" s="45"/>
      <c r="K173" s="46"/>
      <c r="L173" s="49"/>
      <c r="M173" s="39"/>
      <c r="N173" s="39"/>
      <c r="O173" s="37">
        <f t="shared" si="19"/>
        <v>0</v>
      </c>
      <c r="P173" s="44"/>
      <c r="Q173" s="44"/>
    </row>
    <row r="174" spans="1:17" x14ac:dyDescent="0.4">
      <c r="A174" s="70"/>
      <c r="B174" s="46"/>
      <c r="C174" s="46"/>
      <c r="D174" s="34" t="e">
        <f>INDEX('Equipment list'!$B$227:$B$256, (MATCH(C174,'Equipment list'!$D$227:$D$256,0)),1)</f>
        <v>#N/A</v>
      </c>
      <c r="E174" s="34" t="e">
        <f>INDEX('Equipment list'!$C$227:$C$256, (MATCH(C174,'Equipment list'!$D$227:$D$256,0)),1)</f>
        <v>#N/A</v>
      </c>
      <c r="F174" s="34">
        <f t="shared" si="15"/>
        <v>0</v>
      </c>
      <c r="G174" s="34">
        <f t="shared" si="16"/>
        <v>0</v>
      </c>
      <c r="H174" s="34" t="e">
        <f t="shared" si="17"/>
        <v>#N/A</v>
      </c>
      <c r="I174" s="34" t="e">
        <f t="shared" si="18"/>
        <v>#N/A</v>
      </c>
      <c r="J174" s="45"/>
      <c r="K174" s="46"/>
      <c r="L174" s="49"/>
      <c r="M174" s="39"/>
      <c r="N174" s="39"/>
      <c r="O174" s="37">
        <f t="shared" si="19"/>
        <v>0</v>
      </c>
      <c r="P174" s="44"/>
      <c r="Q174" s="44"/>
    </row>
    <row r="175" spans="1:17" x14ac:dyDescent="0.4">
      <c r="A175" s="70"/>
      <c r="B175" s="46"/>
      <c r="C175" s="46"/>
      <c r="D175" s="34" t="e">
        <f>INDEX('Equipment list'!$B$227:$B$256, (MATCH(C175,'Equipment list'!$D$227:$D$256,0)),1)</f>
        <v>#N/A</v>
      </c>
      <c r="E175" s="34" t="e">
        <f>INDEX('Equipment list'!$C$227:$C$256, (MATCH(C175,'Equipment list'!$D$227:$D$256,0)),1)</f>
        <v>#N/A</v>
      </c>
      <c r="F175" s="34">
        <f t="shared" si="15"/>
        <v>0</v>
      </c>
      <c r="G175" s="34">
        <f t="shared" si="16"/>
        <v>0</v>
      </c>
      <c r="H175" s="34" t="e">
        <f t="shared" si="17"/>
        <v>#N/A</v>
      </c>
      <c r="I175" s="34" t="e">
        <f t="shared" si="18"/>
        <v>#N/A</v>
      </c>
      <c r="J175" s="45"/>
      <c r="K175" s="46"/>
      <c r="L175" s="49"/>
      <c r="M175" s="39"/>
      <c r="N175" s="39"/>
      <c r="O175" s="37">
        <f t="shared" si="19"/>
        <v>0</v>
      </c>
      <c r="P175" s="44"/>
      <c r="Q175" s="44"/>
    </row>
    <row r="176" spans="1:17" x14ac:dyDescent="0.4">
      <c r="A176" s="70"/>
      <c r="B176" s="46"/>
      <c r="C176" s="46"/>
      <c r="D176" s="34" t="e">
        <f>INDEX('Equipment list'!$B$227:$B$256, (MATCH(C176,'Equipment list'!$D$227:$D$256,0)),1)</f>
        <v>#N/A</v>
      </c>
      <c r="E176" s="34" t="e">
        <f>INDEX('Equipment list'!$C$227:$C$256, (MATCH(C176,'Equipment list'!$D$227:$D$256,0)),1)</f>
        <v>#N/A</v>
      </c>
      <c r="F176" s="34">
        <f t="shared" si="15"/>
        <v>0</v>
      </c>
      <c r="G176" s="34">
        <f t="shared" si="16"/>
        <v>0</v>
      </c>
      <c r="H176" s="34" t="e">
        <f t="shared" si="17"/>
        <v>#N/A</v>
      </c>
      <c r="I176" s="34" t="e">
        <f t="shared" si="18"/>
        <v>#N/A</v>
      </c>
      <c r="J176" s="45"/>
      <c r="K176" s="46"/>
      <c r="L176" s="49"/>
      <c r="M176" s="39"/>
      <c r="N176" s="39"/>
      <c r="O176" s="37">
        <f t="shared" si="19"/>
        <v>0</v>
      </c>
      <c r="P176" s="44"/>
      <c r="Q176" s="44"/>
    </row>
    <row r="177" spans="1:17" x14ac:dyDescent="0.4">
      <c r="A177" s="70"/>
      <c r="B177" s="46"/>
      <c r="C177" s="46"/>
      <c r="D177" s="34" t="e">
        <f>INDEX('Equipment list'!$B$227:$B$256, (MATCH(C177,'Equipment list'!$D$227:$D$256,0)),1)</f>
        <v>#N/A</v>
      </c>
      <c r="E177" s="34" t="e">
        <f>INDEX('Equipment list'!$C$227:$C$256, (MATCH(C177,'Equipment list'!$D$227:$D$256,0)),1)</f>
        <v>#N/A</v>
      </c>
      <c r="F177" s="34">
        <f t="shared" si="15"/>
        <v>0</v>
      </c>
      <c r="G177" s="34">
        <f t="shared" si="16"/>
        <v>0</v>
      </c>
      <c r="H177" s="34" t="e">
        <f t="shared" si="17"/>
        <v>#N/A</v>
      </c>
      <c r="I177" s="34" t="e">
        <f t="shared" si="18"/>
        <v>#N/A</v>
      </c>
      <c r="J177" s="45"/>
      <c r="K177" s="46"/>
      <c r="L177" s="49"/>
      <c r="M177" s="39"/>
      <c r="N177" s="39"/>
      <c r="O177" s="37">
        <f t="shared" si="19"/>
        <v>0</v>
      </c>
      <c r="P177" s="44"/>
      <c r="Q177" s="44"/>
    </row>
    <row r="178" spans="1:17" x14ac:dyDescent="0.4">
      <c r="A178" s="70"/>
      <c r="B178" s="46"/>
      <c r="C178" s="46"/>
      <c r="D178" s="34" t="e">
        <f>INDEX('Equipment list'!$B$227:$B$256, (MATCH(C178,'Equipment list'!$D$227:$D$256,0)),1)</f>
        <v>#N/A</v>
      </c>
      <c r="E178" s="34" t="e">
        <f>INDEX('Equipment list'!$C$227:$C$256, (MATCH(C178,'Equipment list'!$D$227:$D$256,0)),1)</f>
        <v>#N/A</v>
      </c>
      <c r="F178" s="34">
        <f t="shared" si="15"/>
        <v>0</v>
      </c>
      <c r="G178" s="34">
        <f t="shared" si="16"/>
        <v>0</v>
      </c>
      <c r="H178" s="34" t="e">
        <f t="shared" si="17"/>
        <v>#N/A</v>
      </c>
      <c r="I178" s="34" t="e">
        <f t="shared" si="18"/>
        <v>#N/A</v>
      </c>
      <c r="J178" s="45"/>
      <c r="K178" s="46"/>
      <c r="L178" s="49"/>
      <c r="M178" s="39"/>
      <c r="N178" s="39"/>
      <c r="O178" s="37">
        <f t="shared" si="19"/>
        <v>0</v>
      </c>
      <c r="P178" s="44"/>
      <c r="Q178" s="44"/>
    </row>
    <row r="179" spans="1:17" x14ac:dyDescent="0.4">
      <c r="A179" s="70"/>
      <c r="B179" s="46"/>
      <c r="C179" s="46"/>
      <c r="D179" s="34" t="e">
        <f>INDEX('Equipment list'!$B$227:$B$256, (MATCH(C179,'Equipment list'!$D$227:$D$256,0)),1)</f>
        <v>#N/A</v>
      </c>
      <c r="E179" s="34" t="e">
        <f>INDEX('Equipment list'!$C$227:$C$256, (MATCH(C179,'Equipment list'!$D$227:$D$256,0)),1)</f>
        <v>#N/A</v>
      </c>
      <c r="F179" s="34">
        <f t="shared" si="15"/>
        <v>0</v>
      </c>
      <c r="G179" s="34">
        <f t="shared" si="16"/>
        <v>0</v>
      </c>
      <c r="H179" s="34" t="e">
        <f t="shared" si="17"/>
        <v>#N/A</v>
      </c>
      <c r="I179" s="34" t="e">
        <f t="shared" si="18"/>
        <v>#N/A</v>
      </c>
      <c r="J179" s="45"/>
      <c r="K179" s="46"/>
      <c r="L179" s="49"/>
      <c r="M179" s="39"/>
      <c r="N179" s="39"/>
      <c r="O179" s="37">
        <f t="shared" si="19"/>
        <v>0</v>
      </c>
      <c r="P179" s="44"/>
      <c r="Q179" s="44"/>
    </row>
    <row r="180" spans="1:17" x14ac:dyDescent="0.4">
      <c r="A180" s="70"/>
      <c r="B180" s="46"/>
      <c r="C180" s="46"/>
      <c r="D180" s="34" t="e">
        <f>INDEX('Equipment list'!$B$227:$B$256, (MATCH(C180,'Equipment list'!$D$227:$D$256,0)),1)</f>
        <v>#N/A</v>
      </c>
      <c r="E180" s="34" t="e">
        <f>INDEX('Equipment list'!$C$227:$C$256, (MATCH(C180,'Equipment list'!$D$227:$D$256,0)),1)</f>
        <v>#N/A</v>
      </c>
      <c r="F180" s="34">
        <f t="shared" si="15"/>
        <v>0</v>
      </c>
      <c r="G180" s="34">
        <f t="shared" si="16"/>
        <v>0</v>
      </c>
      <c r="H180" s="34" t="e">
        <f t="shared" si="17"/>
        <v>#N/A</v>
      </c>
      <c r="I180" s="34" t="e">
        <f t="shared" si="18"/>
        <v>#N/A</v>
      </c>
      <c r="J180" s="45"/>
      <c r="K180" s="46"/>
      <c r="L180" s="49"/>
      <c r="M180" s="39"/>
      <c r="N180" s="39"/>
      <c r="O180" s="37">
        <f t="shared" si="19"/>
        <v>0</v>
      </c>
      <c r="P180" s="44"/>
      <c r="Q180" s="44"/>
    </row>
    <row r="181" spans="1:17" x14ac:dyDescent="0.4">
      <c r="A181" s="70"/>
      <c r="B181" s="46"/>
      <c r="C181" s="46"/>
      <c r="D181" s="34" t="e">
        <f>INDEX('Equipment list'!$B$227:$B$256, (MATCH(C181,'Equipment list'!$D$227:$D$256,0)),1)</f>
        <v>#N/A</v>
      </c>
      <c r="E181" s="34" t="e">
        <f>INDEX('Equipment list'!$C$227:$C$256, (MATCH(C181,'Equipment list'!$D$227:$D$256,0)),1)</f>
        <v>#N/A</v>
      </c>
      <c r="F181" s="34">
        <f t="shared" si="15"/>
        <v>0</v>
      </c>
      <c r="G181" s="34">
        <f t="shared" si="16"/>
        <v>0</v>
      </c>
      <c r="H181" s="34" t="e">
        <f t="shared" si="17"/>
        <v>#N/A</v>
      </c>
      <c r="I181" s="34" t="e">
        <f t="shared" si="18"/>
        <v>#N/A</v>
      </c>
      <c r="J181" s="45"/>
      <c r="K181" s="46"/>
      <c r="L181" s="49"/>
      <c r="M181" s="39"/>
      <c r="N181" s="39"/>
      <c r="O181" s="37">
        <f t="shared" si="19"/>
        <v>0</v>
      </c>
      <c r="P181" s="44"/>
      <c r="Q181" s="44"/>
    </row>
    <row r="182" spans="1:17" x14ac:dyDescent="0.4">
      <c r="A182" s="70"/>
      <c r="B182" s="46"/>
      <c r="C182" s="46"/>
      <c r="D182" s="34" t="e">
        <f>INDEX('Equipment list'!$B$227:$B$256, (MATCH(C182,'Equipment list'!$D$227:$D$256,0)),1)</f>
        <v>#N/A</v>
      </c>
      <c r="E182" s="34" t="e">
        <f>INDEX('Equipment list'!$C$227:$C$256, (MATCH(C182,'Equipment list'!$D$227:$D$256,0)),1)</f>
        <v>#N/A</v>
      </c>
      <c r="F182" s="34">
        <f t="shared" si="15"/>
        <v>0</v>
      </c>
      <c r="G182" s="34">
        <f t="shared" si="16"/>
        <v>0</v>
      </c>
      <c r="H182" s="34" t="e">
        <f t="shared" si="17"/>
        <v>#N/A</v>
      </c>
      <c r="I182" s="34" t="e">
        <f t="shared" si="18"/>
        <v>#N/A</v>
      </c>
      <c r="J182" s="45"/>
      <c r="K182" s="46"/>
      <c r="L182" s="49"/>
      <c r="M182" s="39"/>
      <c r="N182" s="39"/>
      <c r="O182" s="37">
        <f t="shared" si="19"/>
        <v>0</v>
      </c>
      <c r="P182" s="44"/>
      <c r="Q182" s="44"/>
    </row>
    <row r="183" spans="1:17" x14ac:dyDescent="0.4">
      <c r="A183" s="70"/>
      <c r="B183" s="46"/>
      <c r="C183" s="46"/>
      <c r="D183" s="34" t="e">
        <f>INDEX('Equipment list'!$B$227:$B$256, (MATCH(C183,'Equipment list'!$D$227:$D$256,0)),1)</f>
        <v>#N/A</v>
      </c>
      <c r="E183" s="34" t="e">
        <f>INDEX('Equipment list'!$C$227:$C$256, (MATCH(C183,'Equipment list'!$D$227:$D$256,0)),1)</f>
        <v>#N/A</v>
      </c>
      <c r="F183" s="34">
        <f t="shared" si="15"/>
        <v>0</v>
      </c>
      <c r="G183" s="34">
        <f t="shared" si="16"/>
        <v>0</v>
      </c>
      <c r="H183" s="34" t="e">
        <f t="shared" si="17"/>
        <v>#N/A</v>
      </c>
      <c r="I183" s="34" t="e">
        <f t="shared" si="18"/>
        <v>#N/A</v>
      </c>
      <c r="J183" s="45"/>
      <c r="K183" s="46"/>
      <c r="L183" s="49"/>
      <c r="M183" s="39"/>
      <c r="N183" s="39"/>
      <c r="O183" s="37">
        <f t="shared" si="19"/>
        <v>0</v>
      </c>
      <c r="P183" s="44"/>
      <c r="Q183" s="44"/>
    </row>
    <row r="184" spans="1:17" x14ac:dyDescent="0.4">
      <c r="A184" s="70"/>
      <c r="B184" s="46"/>
      <c r="C184" s="46"/>
      <c r="D184" s="34" t="e">
        <f>INDEX('Equipment list'!$B$227:$B$256, (MATCH(C184,'Equipment list'!$D$227:$D$256,0)),1)</f>
        <v>#N/A</v>
      </c>
      <c r="E184" s="34" t="e">
        <f>INDEX('Equipment list'!$C$227:$C$256, (MATCH(C184,'Equipment list'!$D$227:$D$256,0)),1)</f>
        <v>#N/A</v>
      </c>
      <c r="F184" s="34">
        <f t="shared" si="15"/>
        <v>0</v>
      </c>
      <c r="G184" s="34">
        <f t="shared" si="16"/>
        <v>0</v>
      </c>
      <c r="H184" s="34" t="e">
        <f t="shared" si="17"/>
        <v>#N/A</v>
      </c>
      <c r="I184" s="34" t="e">
        <f t="shared" si="18"/>
        <v>#N/A</v>
      </c>
      <c r="J184" s="45"/>
      <c r="K184" s="46"/>
      <c r="L184" s="49"/>
      <c r="M184" s="39"/>
      <c r="N184" s="39"/>
      <c r="O184" s="37">
        <f t="shared" si="19"/>
        <v>0</v>
      </c>
      <c r="P184" s="44"/>
      <c r="Q184" s="44"/>
    </row>
    <row r="185" spans="1:17" x14ac:dyDescent="0.4">
      <c r="A185" s="70"/>
      <c r="B185" s="46"/>
      <c r="C185" s="46"/>
      <c r="D185" s="34" t="e">
        <f>INDEX('Equipment list'!$B$227:$B$256, (MATCH(C185,'Equipment list'!$D$227:$D$256,0)),1)</f>
        <v>#N/A</v>
      </c>
      <c r="E185" s="34" t="e">
        <f>INDEX('Equipment list'!$C$227:$C$256, (MATCH(C185,'Equipment list'!$D$227:$D$256,0)),1)</f>
        <v>#N/A</v>
      </c>
      <c r="F185" s="34">
        <f t="shared" si="15"/>
        <v>0</v>
      </c>
      <c r="G185" s="34">
        <f t="shared" si="16"/>
        <v>0</v>
      </c>
      <c r="H185" s="34" t="e">
        <f t="shared" si="17"/>
        <v>#N/A</v>
      </c>
      <c r="I185" s="34" t="e">
        <f t="shared" si="18"/>
        <v>#N/A</v>
      </c>
      <c r="J185" s="45"/>
      <c r="K185" s="46"/>
      <c r="L185" s="49"/>
      <c r="M185" s="39"/>
      <c r="N185" s="39"/>
      <c r="O185" s="37">
        <f t="shared" si="19"/>
        <v>0</v>
      </c>
      <c r="P185" s="44"/>
      <c r="Q185" s="44"/>
    </row>
    <row r="186" spans="1:17" x14ac:dyDescent="0.4">
      <c r="A186" s="70"/>
      <c r="B186" s="46"/>
      <c r="C186" s="46"/>
      <c r="D186" s="34" t="e">
        <f>INDEX('Equipment list'!$B$227:$B$256, (MATCH(C186,'Equipment list'!$D$227:$D$256,0)),1)</f>
        <v>#N/A</v>
      </c>
      <c r="E186" s="34" t="e">
        <f>INDEX('Equipment list'!$C$227:$C$256, (MATCH(C186,'Equipment list'!$D$227:$D$256,0)),1)</f>
        <v>#N/A</v>
      </c>
      <c r="F186" s="34">
        <f t="shared" si="15"/>
        <v>0</v>
      </c>
      <c r="G186" s="34">
        <f t="shared" si="16"/>
        <v>0</v>
      </c>
      <c r="H186" s="34" t="e">
        <f t="shared" si="17"/>
        <v>#N/A</v>
      </c>
      <c r="I186" s="34" t="e">
        <f t="shared" si="18"/>
        <v>#N/A</v>
      </c>
      <c r="J186" s="45"/>
      <c r="K186" s="46"/>
      <c r="L186" s="49"/>
      <c r="M186" s="39"/>
      <c r="N186" s="39"/>
      <c r="O186" s="37">
        <f t="shared" si="19"/>
        <v>0</v>
      </c>
      <c r="P186" s="44"/>
      <c r="Q186" s="44"/>
    </row>
    <row r="187" spans="1:17" x14ac:dyDescent="0.4">
      <c r="A187" s="70"/>
      <c r="B187" s="46"/>
      <c r="C187" s="46"/>
      <c r="D187" s="34" t="e">
        <f>INDEX('Equipment list'!$B$227:$B$256, (MATCH(C187,'Equipment list'!$D$227:$D$256,0)),1)</f>
        <v>#N/A</v>
      </c>
      <c r="E187" s="34" t="e">
        <f>INDEX('Equipment list'!$C$227:$C$256, (MATCH(C187,'Equipment list'!$D$227:$D$256,0)),1)</f>
        <v>#N/A</v>
      </c>
      <c r="F187" s="34">
        <f t="shared" si="15"/>
        <v>0</v>
      </c>
      <c r="G187" s="34">
        <f t="shared" si="16"/>
        <v>0</v>
      </c>
      <c r="H187" s="34" t="e">
        <f t="shared" si="17"/>
        <v>#N/A</v>
      </c>
      <c r="I187" s="34" t="e">
        <f t="shared" si="18"/>
        <v>#N/A</v>
      </c>
      <c r="J187" s="45"/>
      <c r="K187" s="46"/>
      <c r="L187" s="49"/>
      <c r="M187" s="39"/>
      <c r="N187" s="39"/>
      <c r="O187" s="37">
        <f t="shared" si="19"/>
        <v>0</v>
      </c>
      <c r="P187" s="44"/>
      <c r="Q187" s="44"/>
    </row>
    <row r="188" spans="1:17" x14ac:dyDescent="0.4">
      <c r="A188" s="70"/>
      <c r="B188" s="46"/>
      <c r="C188" s="46"/>
      <c r="D188" s="34" t="e">
        <f>INDEX('Equipment list'!$B$227:$B$256, (MATCH(C188,'Equipment list'!$D$227:$D$256,0)),1)</f>
        <v>#N/A</v>
      </c>
      <c r="E188" s="34" t="e">
        <f>INDEX('Equipment list'!$C$227:$C$256, (MATCH(C188,'Equipment list'!$D$227:$D$256,0)),1)</f>
        <v>#N/A</v>
      </c>
      <c r="F188" s="34">
        <f t="shared" si="15"/>
        <v>0</v>
      </c>
      <c r="G188" s="34">
        <f t="shared" si="16"/>
        <v>0</v>
      </c>
      <c r="H188" s="34" t="e">
        <f t="shared" si="17"/>
        <v>#N/A</v>
      </c>
      <c r="I188" s="34" t="e">
        <f t="shared" si="18"/>
        <v>#N/A</v>
      </c>
      <c r="J188" s="45"/>
      <c r="K188" s="46"/>
      <c r="L188" s="49"/>
      <c r="M188" s="39"/>
      <c r="N188" s="39"/>
      <c r="O188" s="37">
        <f t="shared" si="19"/>
        <v>0</v>
      </c>
      <c r="P188" s="44"/>
      <c r="Q188" s="44"/>
    </row>
    <row r="189" spans="1:17" x14ac:dyDescent="0.4">
      <c r="A189" s="70"/>
      <c r="B189" s="46"/>
      <c r="C189" s="46"/>
      <c r="D189" s="34" t="e">
        <f>INDEX('Equipment list'!$B$227:$B$256, (MATCH(C189,'Equipment list'!$D$227:$D$256,0)),1)</f>
        <v>#N/A</v>
      </c>
      <c r="E189" s="34" t="e">
        <f>INDEX('Equipment list'!$C$227:$C$256, (MATCH(C189,'Equipment list'!$D$227:$D$256,0)),1)</f>
        <v>#N/A</v>
      </c>
      <c r="F189" s="34">
        <f t="shared" si="15"/>
        <v>0</v>
      </c>
      <c r="G189" s="34">
        <f t="shared" si="16"/>
        <v>0</v>
      </c>
      <c r="H189" s="34" t="e">
        <f t="shared" si="17"/>
        <v>#N/A</v>
      </c>
      <c r="I189" s="34" t="e">
        <f t="shared" si="18"/>
        <v>#N/A</v>
      </c>
      <c r="J189" s="45"/>
      <c r="K189" s="46"/>
      <c r="L189" s="49"/>
      <c r="M189" s="39"/>
      <c r="N189" s="39"/>
      <c r="O189" s="37">
        <f t="shared" si="19"/>
        <v>0</v>
      </c>
      <c r="P189" s="44"/>
      <c r="Q189" s="44"/>
    </row>
    <row r="190" spans="1:17" x14ac:dyDescent="0.4">
      <c r="A190" s="70"/>
      <c r="B190" s="46"/>
      <c r="C190" s="46"/>
      <c r="D190" s="34" t="e">
        <f>INDEX('Equipment list'!$B$227:$B$256, (MATCH(C190,'Equipment list'!$D$227:$D$256,0)),1)</f>
        <v>#N/A</v>
      </c>
      <c r="E190" s="34" t="e">
        <f>INDEX('Equipment list'!$C$227:$C$256, (MATCH(C190,'Equipment list'!$D$227:$D$256,0)),1)</f>
        <v>#N/A</v>
      </c>
      <c r="F190" s="34">
        <f t="shared" si="15"/>
        <v>0</v>
      </c>
      <c r="G190" s="34">
        <f t="shared" si="16"/>
        <v>0</v>
      </c>
      <c r="H190" s="34" t="e">
        <f t="shared" si="17"/>
        <v>#N/A</v>
      </c>
      <c r="I190" s="34" t="e">
        <f t="shared" si="18"/>
        <v>#N/A</v>
      </c>
      <c r="J190" s="45"/>
      <c r="K190" s="46"/>
      <c r="L190" s="49"/>
      <c r="M190" s="39"/>
      <c r="N190" s="39"/>
      <c r="O190" s="37">
        <f t="shared" si="19"/>
        <v>0</v>
      </c>
      <c r="P190" s="44"/>
      <c r="Q190" s="44"/>
    </row>
    <row r="191" spans="1:17" x14ac:dyDescent="0.4">
      <c r="A191" s="70"/>
      <c r="B191" s="46"/>
      <c r="C191" s="46"/>
      <c r="D191" s="34" t="e">
        <f>INDEX('Equipment list'!$B$227:$B$256, (MATCH(C191,'Equipment list'!$D$227:$D$256,0)),1)</f>
        <v>#N/A</v>
      </c>
      <c r="E191" s="34" t="e">
        <f>INDEX('Equipment list'!$C$227:$C$256, (MATCH(C191,'Equipment list'!$D$227:$D$256,0)),1)</f>
        <v>#N/A</v>
      </c>
      <c r="F191" s="34">
        <f t="shared" si="15"/>
        <v>0</v>
      </c>
      <c r="G191" s="34">
        <f t="shared" si="16"/>
        <v>0</v>
      </c>
      <c r="H191" s="34" t="e">
        <f t="shared" si="17"/>
        <v>#N/A</v>
      </c>
      <c r="I191" s="34" t="e">
        <f t="shared" si="18"/>
        <v>#N/A</v>
      </c>
      <c r="J191" s="45"/>
      <c r="K191" s="46"/>
      <c r="L191" s="49"/>
      <c r="M191" s="39"/>
      <c r="N191" s="39"/>
      <c r="O191" s="37">
        <f t="shared" si="19"/>
        <v>0</v>
      </c>
      <c r="P191" s="44"/>
      <c r="Q191" s="44"/>
    </row>
    <row r="192" spans="1:17" x14ac:dyDescent="0.4">
      <c r="A192" s="70"/>
      <c r="B192" s="46"/>
      <c r="C192" s="46"/>
      <c r="D192" s="34" t="e">
        <f>INDEX('Equipment list'!$B$227:$B$256, (MATCH(C192,'Equipment list'!$D$227:$D$256,0)),1)</f>
        <v>#N/A</v>
      </c>
      <c r="E192" s="34" t="e">
        <f>INDEX('Equipment list'!$C$227:$C$256, (MATCH(C192,'Equipment list'!$D$227:$D$256,0)),1)</f>
        <v>#N/A</v>
      </c>
      <c r="F192" s="34">
        <f t="shared" si="15"/>
        <v>0</v>
      </c>
      <c r="G192" s="34">
        <f t="shared" si="16"/>
        <v>0</v>
      </c>
      <c r="H192" s="34" t="e">
        <f t="shared" si="17"/>
        <v>#N/A</v>
      </c>
      <c r="I192" s="34" t="e">
        <f t="shared" si="18"/>
        <v>#N/A</v>
      </c>
      <c r="J192" s="45"/>
      <c r="K192" s="46"/>
      <c r="L192" s="49"/>
      <c r="M192" s="39"/>
      <c r="N192" s="39"/>
      <c r="O192" s="37">
        <f t="shared" si="19"/>
        <v>0</v>
      </c>
      <c r="P192" s="44"/>
      <c r="Q192" s="44"/>
    </row>
    <row r="193" spans="1:17" x14ac:dyDescent="0.4">
      <c r="A193" s="70"/>
      <c r="B193" s="46"/>
      <c r="C193" s="46"/>
      <c r="D193" s="34" t="e">
        <f>INDEX('Equipment list'!$B$227:$B$256, (MATCH(C193,'Equipment list'!$D$227:$D$256,0)),1)</f>
        <v>#N/A</v>
      </c>
      <c r="E193" s="34" t="e">
        <f>INDEX('Equipment list'!$C$227:$C$256, (MATCH(C193,'Equipment list'!$D$227:$D$256,0)),1)</f>
        <v>#N/A</v>
      </c>
      <c r="F193" s="34">
        <f t="shared" si="15"/>
        <v>0</v>
      </c>
      <c r="G193" s="34">
        <f t="shared" si="16"/>
        <v>0</v>
      </c>
      <c r="H193" s="34" t="e">
        <f t="shared" si="17"/>
        <v>#N/A</v>
      </c>
      <c r="I193" s="34" t="e">
        <f t="shared" si="18"/>
        <v>#N/A</v>
      </c>
      <c r="J193" s="45"/>
      <c r="K193" s="46"/>
      <c r="L193" s="49"/>
      <c r="M193" s="39"/>
      <c r="N193" s="39"/>
      <c r="O193" s="37">
        <f t="shared" si="19"/>
        <v>0</v>
      </c>
      <c r="P193" s="44"/>
      <c r="Q193" s="44"/>
    </row>
    <row r="194" spans="1:17" x14ac:dyDescent="0.4">
      <c r="A194" s="70"/>
      <c r="B194" s="46"/>
      <c r="C194" s="46"/>
      <c r="D194" s="34" t="e">
        <f>INDEX('Equipment list'!$B$227:$B$256, (MATCH(C194,'Equipment list'!$D$227:$D$256,0)),1)</f>
        <v>#N/A</v>
      </c>
      <c r="E194" s="34" t="e">
        <f>INDEX('Equipment list'!$C$227:$C$256, (MATCH(C194,'Equipment list'!$D$227:$D$256,0)),1)</f>
        <v>#N/A</v>
      </c>
      <c r="F194" s="34">
        <f t="shared" si="15"/>
        <v>0</v>
      </c>
      <c r="G194" s="34">
        <f t="shared" si="16"/>
        <v>0</v>
      </c>
      <c r="H194" s="34" t="e">
        <f t="shared" si="17"/>
        <v>#N/A</v>
      </c>
      <c r="I194" s="34" t="e">
        <f t="shared" si="18"/>
        <v>#N/A</v>
      </c>
      <c r="J194" s="45"/>
      <c r="K194" s="46"/>
      <c r="L194" s="49"/>
      <c r="M194" s="39"/>
      <c r="N194" s="39"/>
      <c r="O194" s="37">
        <f t="shared" si="19"/>
        <v>0</v>
      </c>
      <c r="P194" s="44"/>
      <c r="Q194" s="44"/>
    </row>
    <row r="195" spans="1:17" x14ac:dyDescent="0.4">
      <c r="A195" s="70"/>
      <c r="B195" s="46"/>
      <c r="C195" s="46"/>
      <c r="D195" s="34" t="e">
        <f>INDEX('Equipment list'!$B$227:$B$256, (MATCH(C195,'Equipment list'!$D$227:$D$256,0)),1)</f>
        <v>#N/A</v>
      </c>
      <c r="E195" s="34" t="e">
        <f>INDEX('Equipment list'!$C$227:$C$256, (MATCH(C195,'Equipment list'!$D$227:$D$256,0)),1)</f>
        <v>#N/A</v>
      </c>
      <c r="F195" s="34">
        <f t="shared" si="15"/>
        <v>0</v>
      </c>
      <c r="G195" s="34">
        <f t="shared" si="16"/>
        <v>0</v>
      </c>
      <c r="H195" s="34" t="e">
        <f t="shared" si="17"/>
        <v>#N/A</v>
      </c>
      <c r="I195" s="34" t="e">
        <f t="shared" si="18"/>
        <v>#N/A</v>
      </c>
      <c r="J195" s="45"/>
      <c r="K195" s="46"/>
      <c r="L195" s="49"/>
      <c r="M195" s="39"/>
      <c r="N195" s="39"/>
      <c r="O195" s="37">
        <f t="shared" si="19"/>
        <v>0</v>
      </c>
      <c r="P195" s="44"/>
      <c r="Q195" s="44"/>
    </row>
    <row r="196" spans="1:17" x14ac:dyDescent="0.4">
      <c r="A196" s="70"/>
      <c r="B196" s="46"/>
      <c r="C196" s="46"/>
      <c r="D196" s="34" t="e">
        <f>INDEX('Equipment list'!$B$227:$B$256, (MATCH(C196,'Equipment list'!$D$227:$D$256,0)),1)</f>
        <v>#N/A</v>
      </c>
      <c r="E196" s="34" t="e">
        <f>INDEX('Equipment list'!$C$227:$C$256, (MATCH(C196,'Equipment list'!$D$227:$D$256,0)),1)</f>
        <v>#N/A</v>
      </c>
      <c r="F196" s="34">
        <f t="shared" si="15"/>
        <v>0</v>
      </c>
      <c r="G196" s="34">
        <f t="shared" si="16"/>
        <v>0</v>
      </c>
      <c r="H196" s="34" t="e">
        <f t="shared" si="17"/>
        <v>#N/A</v>
      </c>
      <c r="I196" s="34" t="e">
        <f t="shared" si="18"/>
        <v>#N/A</v>
      </c>
      <c r="J196" s="45"/>
      <c r="K196" s="46"/>
      <c r="L196" s="49"/>
      <c r="M196" s="39"/>
      <c r="N196" s="39"/>
      <c r="O196" s="37">
        <f t="shared" si="19"/>
        <v>0</v>
      </c>
      <c r="P196" s="44"/>
      <c r="Q196" s="44"/>
    </row>
    <row r="197" spans="1:17" x14ac:dyDescent="0.4">
      <c r="A197" s="70"/>
      <c r="B197" s="46"/>
      <c r="C197" s="46"/>
      <c r="D197" s="34" t="e">
        <f>INDEX('Equipment list'!$B$227:$B$256, (MATCH(C197,'Equipment list'!$D$227:$D$256,0)),1)</f>
        <v>#N/A</v>
      </c>
      <c r="E197" s="34" t="e">
        <f>INDEX('Equipment list'!$C$227:$C$256, (MATCH(C197,'Equipment list'!$D$227:$D$256,0)),1)</f>
        <v>#N/A</v>
      </c>
      <c r="F197" s="34">
        <f t="shared" si="15"/>
        <v>0</v>
      </c>
      <c r="G197" s="34">
        <f t="shared" si="16"/>
        <v>0</v>
      </c>
      <c r="H197" s="34" t="e">
        <f t="shared" si="17"/>
        <v>#N/A</v>
      </c>
      <c r="I197" s="34" t="e">
        <f t="shared" si="18"/>
        <v>#N/A</v>
      </c>
      <c r="J197" s="45"/>
      <c r="K197" s="46"/>
      <c r="L197" s="49"/>
      <c r="M197" s="39"/>
      <c r="N197" s="39"/>
      <c r="O197" s="37">
        <f t="shared" si="19"/>
        <v>0</v>
      </c>
      <c r="P197" s="44"/>
      <c r="Q197" s="44"/>
    </row>
    <row r="198" spans="1:17" x14ac:dyDescent="0.4">
      <c r="A198" s="70"/>
      <c r="B198" s="46"/>
      <c r="C198" s="46"/>
      <c r="D198" s="34" t="e">
        <f>INDEX('Equipment list'!$B$227:$B$256, (MATCH(C198,'Equipment list'!$D$227:$D$256,0)),1)</f>
        <v>#N/A</v>
      </c>
      <c r="E198" s="34" t="e">
        <f>INDEX('Equipment list'!$C$227:$C$256, (MATCH(C198,'Equipment list'!$D$227:$D$256,0)),1)</f>
        <v>#N/A</v>
      </c>
      <c r="F198" s="34">
        <f t="shared" ref="F198:F261" si="20">P198*4</f>
        <v>0</v>
      </c>
      <c r="G198" s="34">
        <f t="shared" ref="G198:G261" si="21">Q198*4</f>
        <v>0</v>
      </c>
      <c r="H198" s="34" t="e">
        <f t="shared" ref="H198:H261" si="22">(F198-D198)/D198*100</f>
        <v>#N/A</v>
      </c>
      <c r="I198" s="34" t="e">
        <f t="shared" ref="I198:I261" si="23">(G198-E198)/E198*100</f>
        <v>#N/A</v>
      </c>
      <c r="J198" s="45"/>
      <c r="K198" s="46"/>
      <c r="L198" s="49"/>
      <c r="M198" s="39"/>
      <c r="N198" s="39"/>
      <c r="O198" s="37">
        <f t="shared" ref="O198:O261" si="24">C198</f>
        <v>0</v>
      </c>
      <c r="P198" s="44"/>
      <c r="Q198" s="44"/>
    </row>
    <row r="199" spans="1:17" x14ac:dyDescent="0.4">
      <c r="A199" s="70"/>
      <c r="B199" s="46"/>
      <c r="C199" s="46"/>
      <c r="D199" s="34" t="e">
        <f>INDEX('Equipment list'!$B$227:$B$256, (MATCH(C199,'Equipment list'!$D$227:$D$256,0)),1)</f>
        <v>#N/A</v>
      </c>
      <c r="E199" s="34" t="e">
        <f>INDEX('Equipment list'!$C$227:$C$256, (MATCH(C199,'Equipment list'!$D$227:$D$256,0)),1)</f>
        <v>#N/A</v>
      </c>
      <c r="F199" s="34">
        <f t="shared" si="20"/>
        <v>0</v>
      </c>
      <c r="G199" s="34">
        <f t="shared" si="21"/>
        <v>0</v>
      </c>
      <c r="H199" s="34" t="e">
        <f t="shared" si="22"/>
        <v>#N/A</v>
      </c>
      <c r="I199" s="34" t="e">
        <f t="shared" si="23"/>
        <v>#N/A</v>
      </c>
      <c r="J199" s="45"/>
      <c r="K199" s="46"/>
      <c r="L199" s="49"/>
      <c r="M199" s="39"/>
      <c r="N199" s="39"/>
      <c r="O199" s="37">
        <f t="shared" si="24"/>
        <v>0</v>
      </c>
      <c r="P199" s="44"/>
      <c r="Q199" s="44"/>
    </row>
    <row r="200" spans="1:17" x14ac:dyDescent="0.4">
      <c r="A200" s="70"/>
      <c r="B200" s="46"/>
      <c r="C200" s="46"/>
      <c r="D200" s="34" t="e">
        <f>INDEX('Equipment list'!$B$227:$B$256, (MATCH(C200,'Equipment list'!$D$227:$D$256,0)),1)</f>
        <v>#N/A</v>
      </c>
      <c r="E200" s="34" t="e">
        <f>INDEX('Equipment list'!$C$227:$C$256, (MATCH(C200,'Equipment list'!$D$227:$D$256,0)),1)</f>
        <v>#N/A</v>
      </c>
      <c r="F200" s="34">
        <f t="shared" si="20"/>
        <v>0</v>
      </c>
      <c r="G200" s="34">
        <f t="shared" si="21"/>
        <v>0</v>
      </c>
      <c r="H200" s="34" t="e">
        <f t="shared" si="22"/>
        <v>#N/A</v>
      </c>
      <c r="I200" s="34" t="e">
        <f t="shared" si="23"/>
        <v>#N/A</v>
      </c>
      <c r="J200" s="45"/>
      <c r="K200" s="46"/>
      <c r="L200" s="49"/>
      <c r="M200" s="39"/>
      <c r="N200" s="39"/>
      <c r="O200" s="37">
        <f t="shared" si="24"/>
        <v>0</v>
      </c>
      <c r="P200" s="44"/>
      <c r="Q200" s="44"/>
    </row>
    <row r="201" spans="1:17" x14ac:dyDescent="0.4">
      <c r="A201" s="70"/>
      <c r="B201" s="46"/>
      <c r="C201" s="46"/>
      <c r="D201" s="34" t="e">
        <f>INDEX('Equipment list'!$B$227:$B$256, (MATCH(C201,'Equipment list'!$D$227:$D$256,0)),1)</f>
        <v>#N/A</v>
      </c>
      <c r="E201" s="34" t="e">
        <f>INDEX('Equipment list'!$C$227:$C$256, (MATCH(C201,'Equipment list'!$D$227:$D$256,0)),1)</f>
        <v>#N/A</v>
      </c>
      <c r="F201" s="34">
        <f t="shared" si="20"/>
        <v>0</v>
      </c>
      <c r="G201" s="34">
        <f t="shared" si="21"/>
        <v>0</v>
      </c>
      <c r="H201" s="34" t="e">
        <f t="shared" si="22"/>
        <v>#N/A</v>
      </c>
      <c r="I201" s="34" t="e">
        <f t="shared" si="23"/>
        <v>#N/A</v>
      </c>
      <c r="J201" s="45"/>
      <c r="K201" s="46"/>
      <c r="L201" s="49"/>
      <c r="M201" s="39"/>
      <c r="N201" s="39"/>
      <c r="O201" s="37">
        <f t="shared" si="24"/>
        <v>0</v>
      </c>
      <c r="P201" s="44"/>
      <c r="Q201" s="44"/>
    </row>
    <row r="202" spans="1:17" x14ac:dyDescent="0.4">
      <c r="A202" s="70"/>
      <c r="B202" s="46"/>
      <c r="C202" s="46"/>
      <c r="D202" s="34" t="e">
        <f>INDEX('Equipment list'!$B$227:$B$256, (MATCH(C202,'Equipment list'!$D$227:$D$256,0)),1)</f>
        <v>#N/A</v>
      </c>
      <c r="E202" s="34" t="e">
        <f>INDEX('Equipment list'!$C$227:$C$256, (MATCH(C202,'Equipment list'!$D$227:$D$256,0)),1)</f>
        <v>#N/A</v>
      </c>
      <c r="F202" s="34">
        <f t="shared" si="20"/>
        <v>0</v>
      </c>
      <c r="G202" s="34">
        <f t="shared" si="21"/>
        <v>0</v>
      </c>
      <c r="H202" s="34" t="e">
        <f t="shared" si="22"/>
        <v>#N/A</v>
      </c>
      <c r="I202" s="34" t="e">
        <f t="shared" si="23"/>
        <v>#N/A</v>
      </c>
      <c r="J202" s="45"/>
      <c r="K202" s="46"/>
      <c r="L202" s="49"/>
      <c r="M202" s="39"/>
      <c r="N202" s="39"/>
      <c r="O202" s="37">
        <f t="shared" si="24"/>
        <v>0</v>
      </c>
      <c r="P202" s="44"/>
      <c r="Q202" s="44"/>
    </row>
    <row r="203" spans="1:17" x14ac:dyDescent="0.4">
      <c r="A203" s="70"/>
      <c r="B203" s="46"/>
      <c r="C203" s="46"/>
      <c r="D203" s="34" t="e">
        <f>INDEX('Equipment list'!$B$227:$B$256, (MATCH(C203,'Equipment list'!$D$227:$D$256,0)),1)</f>
        <v>#N/A</v>
      </c>
      <c r="E203" s="34" t="e">
        <f>INDEX('Equipment list'!$C$227:$C$256, (MATCH(C203,'Equipment list'!$D$227:$D$256,0)),1)</f>
        <v>#N/A</v>
      </c>
      <c r="F203" s="34">
        <f t="shared" si="20"/>
        <v>0</v>
      </c>
      <c r="G203" s="34">
        <f t="shared" si="21"/>
        <v>0</v>
      </c>
      <c r="H203" s="34" t="e">
        <f t="shared" si="22"/>
        <v>#N/A</v>
      </c>
      <c r="I203" s="34" t="e">
        <f t="shared" si="23"/>
        <v>#N/A</v>
      </c>
      <c r="J203" s="45"/>
      <c r="K203" s="46"/>
      <c r="L203" s="49"/>
      <c r="M203" s="39"/>
      <c r="N203" s="39"/>
      <c r="O203" s="37">
        <f t="shared" si="24"/>
        <v>0</v>
      </c>
      <c r="P203" s="44"/>
      <c r="Q203" s="44"/>
    </row>
    <row r="204" spans="1:17" x14ac:dyDescent="0.4">
      <c r="A204" s="70"/>
      <c r="B204" s="46"/>
      <c r="C204" s="46"/>
      <c r="D204" s="34" t="e">
        <f>INDEX('Equipment list'!$B$227:$B$256, (MATCH(C204,'Equipment list'!$D$227:$D$256,0)),1)</f>
        <v>#N/A</v>
      </c>
      <c r="E204" s="34" t="e">
        <f>INDEX('Equipment list'!$C$227:$C$256, (MATCH(C204,'Equipment list'!$D$227:$D$256,0)),1)</f>
        <v>#N/A</v>
      </c>
      <c r="F204" s="34">
        <f t="shared" si="20"/>
        <v>0</v>
      </c>
      <c r="G204" s="34">
        <f t="shared" si="21"/>
        <v>0</v>
      </c>
      <c r="H204" s="34" t="e">
        <f t="shared" si="22"/>
        <v>#N/A</v>
      </c>
      <c r="I204" s="34" t="e">
        <f t="shared" si="23"/>
        <v>#N/A</v>
      </c>
      <c r="J204" s="45"/>
      <c r="K204" s="46"/>
      <c r="L204" s="49"/>
      <c r="M204" s="39"/>
      <c r="N204" s="39"/>
      <c r="O204" s="37">
        <f t="shared" si="24"/>
        <v>0</v>
      </c>
      <c r="P204" s="44"/>
      <c r="Q204" s="44"/>
    </row>
    <row r="205" spans="1:17" x14ac:dyDescent="0.4">
      <c r="A205" s="70"/>
      <c r="B205" s="46"/>
      <c r="C205" s="46"/>
      <c r="D205" s="34" t="e">
        <f>INDEX('Equipment list'!$B$227:$B$256, (MATCH(C205,'Equipment list'!$D$227:$D$256,0)),1)</f>
        <v>#N/A</v>
      </c>
      <c r="E205" s="34" t="e">
        <f>INDEX('Equipment list'!$C$227:$C$256, (MATCH(C205,'Equipment list'!$D$227:$D$256,0)),1)</f>
        <v>#N/A</v>
      </c>
      <c r="F205" s="34">
        <f t="shared" si="20"/>
        <v>0</v>
      </c>
      <c r="G205" s="34">
        <f t="shared" si="21"/>
        <v>0</v>
      </c>
      <c r="H205" s="34" t="e">
        <f t="shared" si="22"/>
        <v>#N/A</v>
      </c>
      <c r="I205" s="34" t="e">
        <f t="shared" si="23"/>
        <v>#N/A</v>
      </c>
      <c r="J205" s="45"/>
      <c r="K205" s="46"/>
      <c r="L205" s="49"/>
      <c r="M205" s="39"/>
      <c r="N205" s="39"/>
      <c r="O205" s="37">
        <f t="shared" si="24"/>
        <v>0</v>
      </c>
      <c r="P205" s="44"/>
      <c r="Q205" s="44"/>
    </row>
    <row r="206" spans="1:17" x14ac:dyDescent="0.4">
      <c r="A206" s="70"/>
      <c r="B206" s="46"/>
      <c r="C206" s="46"/>
      <c r="D206" s="34" t="e">
        <f>INDEX('Equipment list'!$B$227:$B$256, (MATCH(C206,'Equipment list'!$D$227:$D$256,0)),1)</f>
        <v>#N/A</v>
      </c>
      <c r="E206" s="34" t="e">
        <f>INDEX('Equipment list'!$C$227:$C$256, (MATCH(C206,'Equipment list'!$D$227:$D$256,0)),1)</f>
        <v>#N/A</v>
      </c>
      <c r="F206" s="34">
        <f t="shared" si="20"/>
        <v>0</v>
      </c>
      <c r="G206" s="34">
        <f t="shared" si="21"/>
        <v>0</v>
      </c>
      <c r="H206" s="34" t="e">
        <f t="shared" si="22"/>
        <v>#N/A</v>
      </c>
      <c r="I206" s="34" t="e">
        <f t="shared" si="23"/>
        <v>#N/A</v>
      </c>
      <c r="J206" s="45"/>
      <c r="K206" s="46"/>
      <c r="L206" s="49"/>
      <c r="M206" s="39"/>
      <c r="N206" s="39"/>
      <c r="O206" s="37">
        <f t="shared" si="24"/>
        <v>0</v>
      </c>
      <c r="P206" s="44"/>
      <c r="Q206" s="44"/>
    </row>
    <row r="207" spans="1:17" x14ac:dyDescent="0.4">
      <c r="A207" s="70"/>
      <c r="B207" s="46"/>
      <c r="C207" s="46"/>
      <c r="D207" s="34" t="e">
        <f>INDEX('Equipment list'!$B$227:$B$256, (MATCH(C207,'Equipment list'!$D$227:$D$256,0)),1)</f>
        <v>#N/A</v>
      </c>
      <c r="E207" s="34" t="e">
        <f>INDEX('Equipment list'!$C$227:$C$256, (MATCH(C207,'Equipment list'!$D$227:$D$256,0)),1)</f>
        <v>#N/A</v>
      </c>
      <c r="F207" s="34">
        <f t="shared" si="20"/>
        <v>0</v>
      </c>
      <c r="G207" s="34">
        <f t="shared" si="21"/>
        <v>0</v>
      </c>
      <c r="H207" s="34" t="e">
        <f t="shared" si="22"/>
        <v>#N/A</v>
      </c>
      <c r="I207" s="34" t="e">
        <f t="shared" si="23"/>
        <v>#N/A</v>
      </c>
      <c r="J207" s="45"/>
      <c r="K207" s="46"/>
      <c r="L207" s="49"/>
      <c r="M207" s="39"/>
      <c r="N207" s="39"/>
      <c r="O207" s="37">
        <f t="shared" si="24"/>
        <v>0</v>
      </c>
      <c r="P207" s="44"/>
      <c r="Q207" s="44"/>
    </row>
    <row r="208" spans="1:17" x14ac:dyDescent="0.4">
      <c r="A208" s="70"/>
      <c r="B208" s="46"/>
      <c r="C208" s="46"/>
      <c r="D208" s="34" t="e">
        <f>INDEX('Equipment list'!$B$227:$B$256, (MATCH(C208,'Equipment list'!$D$227:$D$256,0)),1)</f>
        <v>#N/A</v>
      </c>
      <c r="E208" s="34" t="e">
        <f>INDEX('Equipment list'!$C$227:$C$256, (MATCH(C208,'Equipment list'!$D$227:$D$256,0)),1)</f>
        <v>#N/A</v>
      </c>
      <c r="F208" s="34">
        <f t="shared" si="20"/>
        <v>0</v>
      </c>
      <c r="G208" s="34">
        <f t="shared" si="21"/>
        <v>0</v>
      </c>
      <c r="H208" s="34" t="e">
        <f t="shared" si="22"/>
        <v>#N/A</v>
      </c>
      <c r="I208" s="34" t="e">
        <f t="shared" si="23"/>
        <v>#N/A</v>
      </c>
      <c r="J208" s="45"/>
      <c r="K208" s="46"/>
      <c r="L208" s="49"/>
      <c r="M208" s="39"/>
      <c r="N208" s="39"/>
      <c r="O208" s="37">
        <f t="shared" si="24"/>
        <v>0</v>
      </c>
      <c r="P208" s="44"/>
      <c r="Q208" s="44"/>
    </row>
    <row r="209" spans="1:17" x14ac:dyDescent="0.4">
      <c r="A209" s="70"/>
      <c r="B209" s="46"/>
      <c r="C209" s="46"/>
      <c r="D209" s="34" t="e">
        <f>INDEX('Equipment list'!$B$227:$B$256, (MATCH(C209,'Equipment list'!$D$227:$D$256,0)),1)</f>
        <v>#N/A</v>
      </c>
      <c r="E209" s="34" t="e">
        <f>INDEX('Equipment list'!$C$227:$C$256, (MATCH(C209,'Equipment list'!$D$227:$D$256,0)),1)</f>
        <v>#N/A</v>
      </c>
      <c r="F209" s="34">
        <f t="shared" si="20"/>
        <v>0</v>
      </c>
      <c r="G209" s="34">
        <f t="shared" si="21"/>
        <v>0</v>
      </c>
      <c r="H209" s="34" t="e">
        <f t="shared" si="22"/>
        <v>#N/A</v>
      </c>
      <c r="I209" s="34" t="e">
        <f t="shared" si="23"/>
        <v>#N/A</v>
      </c>
      <c r="J209" s="45"/>
      <c r="K209" s="46"/>
      <c r="L209" s="49"/>
      <c r="M209" s="39"/>
      <c r="N209" s="39"/>
      <c r="O209" s="37">
        <f t="shared" si="24"/>
        <v>0</v>
      </c>
      <c r="P209" s="44"/>
      <c r="Q209" s="44"/>
    </row>
    <row r="210" spans="1:17" x14ac:dyDescent="0.4">
      <c r="A210" s="70"/>
      <c r="B210" s="46"/>
      <c r="C210" s="46"/>
      <c r="D210" s="34" t="e">
        <f>INDEX('Equipment list'!$B$227:$B$256, (MATCH(C210,'Equipment list'!$D$227:$D$256,0)),1)</f>
        <v>#N/A</v>
      </c>
      <c r="E210" s="34" t="e">
        <f>INDEX('Equipment list'!$C$227:$C$256, (MATCH(C210,'Equipment list'!$D$227:$D$256,0)),1)</f>
        <v>#N/A</v>
      </c>
      <c r="F210" s="34">
        <f t="shared" si="20"/>
        <v>0</v>
      </c>
      <c r="G210" s="34">
        <f t="shared" si="21"/>
        <v>0</v>
      </c>
      <c r="H210" s="34" t="e">
        <f t="shared" si="22"/>
        <v>#N/A</v>
      </c>
      <c r="I210" s="34" t="e">
        <f t="shared" si="23"/>
        <v>#N/A</v>
      </c>
      <c r="J210" s="45"/>
      <c r="K210" s="46"/>
      <c r="L210" s="49"/>
      <c r="M210" s="39"/>
      <c r="N210" s="39"/>
      <c r="O210" s="37">
        <f t="shared" si="24"/>
        <v>0</v>
      </c>
      <c r="P210" s="44"/>
      <c r="Q210" s="44"/>
    </row>
    <row r="211" spans="1:17" x14ac:dyDescent="0.4">
      <c r="A211" s="70"/>
      <c r="B211" s="46"/>
      <c r="C211" s="46"/>
      <c r="D211" s="34" t="e">
        <f>INDEX('Equipment list'!$B$227:$B$256, (MATCH(C211,'Equipment list'!$D$227:$D$256,0)),1)</f>
        <v>#N/A</v>
      </c>
      <c r="E211" s="34" t="e">
        <f>INDEX('Equipment list'!$C$227:$C$256, (MATCH(C211,'Equipment list'!$D$227:$D$256,0)),1)</f>
        <v>#N/A</v>
      </c>
      <c r="F211" s="34">
        <f t="shared" si="20"/>
        <v>0</v>
      </c>
      <c r="G211" s="34">
        <f t="shared" si="21"/>
        <v>0</v>
      </c>
      <c r="H211" s="34" t="e">
        <f t="shared" si="22"/>
        <v>#N/A</v>
      </c>
      <c r="I211" s="34" t="e">
        <f t="shared" si="23"/>
        <v>#N/A</v>
      </c>
      <c r="J211" s="45"/>
      <c r="K211" s="46"/>
      <c r="L211" s="49"/>
      <c r="M211" s="39"/>
      <c r="N211" s="39"/>
      <c r="O211" s="37">
        <f t="shared" si="24"/>
        <v>0</v>
      </c>
      <c r="P211" s="44"/>
      <c r="Q211" s="44"/>
    </row>
    <row r="212" spans="1:17" x14ac:dyDescent="0.4">
      <c r="A212" s="70"/>
      <c r="B212" s="46"/>
      <c r="C212" s="46"/>
      <c r="D212" s="34" t="e">
        <f>INDEX('Equipment list'!$B$227:$B$256, (MATCH(C212,'Equipment list'!$D$227:$D$256,0)),1)</f>
        <v>#N/A</v>
      </c>
      <c r="E212" s="34" t="e">
        <f>INDEX('Equipment list'!$C$227:$C$256, (MATCH(C212,'Equipment list'!$D$227:$D$256,0)),1)</f>
        <v>#N/A</v>
      </c>
      <c r="F212" s="34">
        <f t="shared" si="20"/>
        <v>0</v>
      </c>
      <c r="G212" s="34">
        <f t="shared" si="21"/>
        <v>0</v>
      </c>
      <c r="H212" s="34" t="e">
        <f t="shared" si="22"/>
        <v>#N/A</v>
      </c>
      <c r="I212" s="34" t="e">
        <f t="shared" si="23"/>
        <v>#N/A</v>
      </c>
      <c r="J212" s="45"/>
      <c r="K212" s="46"/>
      <c r="L212" s="49"/>
      <c r="M212" s="39"/>
      <c r="N212" s="39"/>
      <c r="O212" s="37">
        <f t="shared" si="24"/>
        <v>0</v>
      </c>
      <c r="P212" s="44"/>
      <c r="Q212" s="44"/>
    </row>
    <row r="213" spans="1:17" x14ac:dyDescent="0.4">
      <c r="A213" s="70"/>
      <c r="B213" s="46"/>
      <c r="C213" s="46"/>
      <c r="D213" s="34" t="e">
        <f>INDEX('Equipment list'!$B$227:$B$256, (MATCH(C213,'Equipment list'!$D$227:$D$256,0)),1)</f>
        <v>#N/A</v>
      </c>
      <c r="E213" s="34" t="e">
        <f>INDEX('Equipment list'!$C$227:$C$256, (MATCH(C213,'Equipment list'!$D$227:$D$256,0)),1)</f>
        <v>#N/A</v>
      </c>
      <c r="F213" s="34">
        <f t="shared" si="20"/>
        <v>0</v>
      </c>
      <c r="G213" s="34">
        <f t="shared" si="21"/>
        <v>0</v>
      </c>
      <c r="H213" s="34" t="e">
        <f t="shared" si="22"/>
        <v>#N/A</v>
      </c>
      <c r="I213" s="34" t="e">
        <f t="shared" si="23"/>
        <v>#N/A</v>
      </c>
      <c r="J213" s="45"/>
      <c r="K213" s="46"/>
      <c r="L213" s="49"/>
      <c r="M213" s="39"/>
      <c r="N213" s="39"/>
      <c r="O213" s="37">
        <f t="shared" si="24"/>
        <v>0</v>
      </c>
      <c r="P213" s="44"/>
      <c r="Q213" s="44"/>
    </row>
    <row r="214" spans="1:17" x14ac:dyDescent="0.4">
      <c r="A214" s="70"/>
      <c r="B214" s="46"/>
      <c r="C214" s="46"/>
      <c r="D214" s="34" t="e">
        <f>INDEX('Equipment list'!$B$227:$B$256, (MATCH(C214,'Equipment list'!$D$227:$D$256,0)),1)</f>
        <v>#N/A</v>
      </c>
      <c r="E214" s="34" t="e">
        <f>INDEX('Equipment list'!$C$227:$C$256, (MATCH(C214,'Equipment list'!$D$227:$D$256,0)),1)</f>
        <v>#N/A</v>
      </c>
      <c r="F214" s="34">
        <f t="shared" si="20"/>
        <v>0</v>
      </c>
      <c r="G214" s="34">
        <f t="shared" si="21"/>
        <v>0</v>
      </c>
      <c r="H214" s="34" t="e">
        <f t="shared" si="22"/>
        <v>#N/A</v>
      </c>
      <c r="I214" s="34" t="e">
        <f t="shared" si="23"/>
        <v>#N/A</v>
      </c>
      <c r="J214" s="45"/>
      <c r="K214" s="46"/>
      <c r="L214" s="49"/>
      <c r="M214" s="39"/>
      <c r="N214" s="39"/>
      <c r="O214" s="37">
        <f t="shared" si="24"/>
        <v>0</v>
      </c>
      <c r="P214" s="44"/>
      <c r="Q214" s="44"/>
    </row>
    <row r="215" spans="1:17" x14ac:dyDescent="0.4">
      <c r="A215" s="70"/>
      <c r="B215" s="46"/>
      <c r="C215" s="46"/>
      <c r="D215" s="34" t="e">
        <f>INDEX('Equipment list'!$B$227:$B$256, (MATCH(C215,'Equipment list'!$D$227:$D$256,0)),1)</f>
        <v>#N/A</v>
      </c>
      <c r="E215" s="34" t="e">
        <f>INDEX('Equipment list'!$C$227:$C$256, (MATCH(C215,'Equipment list'!$D$227:$D$256,0)),1)</f>
        <v>#N/A</v>
      </c>
      <c r="F215" s="34">
        <f t="shared" si="20"/>
        <v>0</v>
      </c>
      <c r="G215" s="34">
        <f t="shared" si="21"/>
        <v>0</v>
      </c>
      <c r="H215" s="34" t="e">
        <f t="shared" si="22"/>
        <v>#N/A</v>
      </c>
      <c r="I215" s="34" t="e">
        <f t="shared" si="23"/>
        <v>#N/A</v>
      </c>
      <c r="J215" s="45"/>
      <c r="K215" s="46"/>
      <c r="L215" s="49"/>
      <c r="M215" s="39"/>
      <c r="N215" s="39"/>
      <c r="O215" s="37">
        <f t="shared" si="24"/>
        <v>0</v>
      </c>
      <c r="P215" s="44"/>
      <c r="Q215" s="44"/>
    </row>
    <row r="216" spans="1:17" x14ac:dyDescent="0.4">
      <c r="A216" s="70"/>
      <c r="B216" s="46"/>
      <c r="C216" s="46"/>
      <c r="D216" s="34" t="e">
        <f>INDEX('Equipment list'!$B$227:$B$256, (MATCH(C216,'Equipment list'!$D$227:$D$256,0)),1)</f>
        <v>#N/A</v>
      </c>
      <c r="E216" s="34" t="e">
        <f>INDEX('Equipment list'!$C$227:$C$256, (MATCH(C216,'Equipment list'!$D$227:$D$256,0)),1)</f>
        <v>#N/A</v>
      </c>
      <c r="F216" s="34">
        <f t="shared" si="20"/>
        <v>0</v>
      </c>
      <c r="G216" s="34">
        <f t="shared" si="21"/>
        <v>0</v>
      </c>
      <c r="H216" s="34" t="e">
        <f t="shared" si="22"/>
        <v>#N/A</v>
      </c>
      <c r="I216" s="34" t="e">
        <f t="shared" si="23"/>
        <v>#N/A</v>
      </c>
      <c r="J216" s="45"/>
      <c r="K216" s="46"/>
      <c r="L216" s="49"/>
      <c r="M216" s="39"/>
      <c r="N216" s="39"/>
      <c r="O216" s="37">
        <f t="shared" si="24"/>
        <v>0</v>
      </c>
      <c r="P216" s="44"/>
      <c r="Q216" s="44"/>
    </row>
    <row r="217" spans="1:17" x14ac:dyDescent="0.4">
      <c r="A217" s="70"/>
      <c r="B217" s="46"/>
      <c r="C217" s="46"/>
      <c r="D217" s="34" t="e">
        <f>INDEX('Equipment list'!$B$227:$B$256, (MATCH(C217,'Equipment list'!$D$227:$D$256,0)),1)</f>
        <v>#N/A</v>
      </c>
      <c r="E217" s="34" t="e">
        <f>INDEX('Equipment list'!$C$227:$C$256, (MATCH(C217,'Equipment list'!$D$227:$D$256,0)),1)</f>
        <v>#N/A</v>
      </c>
      <c r="F217" s="34">
        <f t="shared" si="20"/>
        <v>0</v>
      </c>
      <c r="G217" s="34">
        <f t="shared" si="21"/>
        <v>0</v>
      </c>
      <c r="H217" s="34" t="e">
        <f t="shared" si="22"/>
        <v>#N/A</v>
      </c>
      <c r="I217" s="34" t="e">
        <f t="shared" si="23"/>
        <v>#N/A</v>
      </c>
      <c r="J217" s="45"/>
      <c r="K217" s="46"/>
      <c r="L217" s="49"/>
      <c r="M217" s="39"/>
      <c r="N217" s="39"/>
      <c r="O217" s="37">
        <f t="shared" si="24"/>
        <v>0</v>
      </c>
      <c r="P217" s="44"/>
      <c r="Q217" s="44"/>
    </row>
    <row r="218" spans="1:17" x14ac:dyDescent="0.4">
      <c r="A218" s="70"/>
      <c r="B218" s="46"/>
      <c r="C218" s="46"/>
      <c r="D218" s="34" t="e">
        <f>INDEX('Equipment list'!$B$227:$B$256, (MATCH(C218,'Equipment list'!$D$227:$D$256,0)),1)</f>
        <v>#N/A</v>
      </c>
      <c r="E218" s="34" t="e">
        <f>INDEX('Equipment list'!$C$227:$C$256, (MATCH(C218,'Equipment list'!$D$227:$D$256,0)),1)</f>
        <v>#N/A</v>
      </c>
      <c r="F218" s="34">
        <f t="shared" si="20"/>
        <v>0</v>
      </c>
      <c r="G218" s="34">
        <f t="shared" si="21"/>
        <v>0</v>
      </c>
      <c r="H218" s="34" t="e">
        <f t="shared" si="22"/>
        <v>#N/A</v>
      </c>
      <c r="I218" s="34" t="e">
        <f t="shared" si="23"/>
        <v>#N/A</v>
      </c>
      <c r="J218" s="45"/>
      <c r="K218" s="46"/>
      <c r="L218" s="49"/>
      <c r="M218" s="39"/>
      <c r="N218" s="39"/>
      <c r="O218" s="37">
        <f t="shared" si="24"/>
        <v>0</v>
      </c>
      <c r="P218" s="44"/>
      <c r="Q218" s="44"/>
    </row>
    <row r="219" spans="1:17" x14ac:dyDescent="0.4">
      <c r="A219" s="70"/>
      <c r="B219" s="46"/>
      <c r="C219" s="46"/>
      <c r="D219" s="34" t="e">
        <f>INDEX('Equipment list'!$B$227:$B$256, (MATCH(C219,'Equipment list'!$D$227:$D$256,0)),1)</f>
        <v>#N/A</v>
      </c>
      <c r="E219" s="34" t="e">
        <f>INDEX('Equipment list'!$C$227:$C$256, (MATCH(C219,'Equipment list'!$D$227:$D$256,0)),1)</f>
        <v>#N/A</v>
      </c>
      <c r="F219" s="34">
        <f t="shared" si="20"/>
        <v>0</v>
      </c>
      <c r="G219" s="34">
        <f t="shared" si="21"/>
        <v>0</v>
      </c>
      <c r="H219" s="34" t="e">
        <f t="shared" si="22"/>
        <v>#N/A</v>
      </c>
      <c r="I219" s="34" t="e">
        <f t="shared" si="23"/>
        <v>#N/A</v>
      </c>
      <c r="J219" s="45"/>
      <c r="K219" s="46"/>
      <c r="L219" s="49"/>
      <c r="M219" s="39"/>
      <c r="N219" s="39"/>
      <c r="O219" s="37">
        <f t="shared" si="24"/>
        <v>0</v>
      </c>
      <c r="P219" s="44"/>
      <c r="Q219" s="44"/>
    </row>
    <row r="220" spans="1:17" x14ac:dyDescent="0.4">
      <c r="A220" s="70"/>
      <c r="B220" s="46"/>
      <c r="C220" s="46"/>
      <c r="D220" s="34" t="e">
        <f>INDEX('Equipment list'!$B$227:$B$256, (MATCH(C220,'Equipment list'!$D$227:$D$256,0)),1)</f>
        <v>#N/A</v>
      </c>
      <c r="E220" s="34" t="e">
        <f>INDEX('Equipment list'!$C$227:$C$256, (MATCH(C220,'Equipment list'!$D$227:$D$256,0)),1)</f>
        <v>#N/A</v>
      </c>
      <c r="F220" s="34">
        <f t="shared" si="20"/>
        <v>0</v>
      </c>
      <c r="G220" s="34">
        <f t="shared" si="21"/>
        <v>0</v>
      </c>
      <c r="H220" s="34" t="e">
        <f t="shared" si="22"/>
        <v>#N/A</v>
      </c>
      <c r="I220" s="34" t="e">
        <f t="shared" si="23"/>
        <v>#N/A</v>
      </c>
      <c r="J220" s="45"/>
      <c r="K220" s="46"/>
      <c r="L220" s="49"/>
      <c r="M220" s="39"/>
      <c r="N220" s="39"/>
      <c r="O220" s="37">
        <f t="shared" si="24"/>
        <v>0</v>
      </c>
      <c r="P220" s="44"/>
      <c r="Q220" s="44"/>
    </row>
    <row r="221" spans="1:17" x14ac:dyDescent="0.4">
      <c r="A221" s="70"/>
      <c r="B221" s="46"/>
      <c r="C221" s="46"/>
      <c r="D221" s="34" t="e">
        <f>INDEX('Equipment list'!$B$227:$B$256, (MATCH(C221,'Equipment list'!$D$227:$D$256,0)),1)</f>
        <v>#N/A</v>
      </c>
      <c r="E221" s="34" t="e">
        <f>INDEX('Equipment list'!$C$227:$C$256, (MATCH(C221,'Equipment list'!$D$227:$D$256,0)),1)</f>
        <v>#N/A</v>
      </c>
      <c r="F221" s="34">
        <f t="shared" si="20"/>
        <v>0</v>
      </c>
      <c r="G221" s="34">
        <f t="shared" si="21"/>
        <v>0</v>
      </c>
      <c r="H221" s="34" t="e">
        <f t="shared" si="22"/>
        <v>#N/A</v>
      </c>
      <c r="I221" s="34" t="e">
        <f t="shared" si="23"/>
        <v>#N/A</v>
      </c>
      <c r="J221" s="45"/>
      <c r="K221" s="46"/>
      <c r="L221" s="49"/>
      <c r="M221" s="39"/>
      <c r="N221" s="39"/>
      <c r="O221" s="37">
        <f t="shared" si="24"/>
        <v>0</v>
      </c>
      <c r="P221" s="44"/>
      <c r="Q221" s="44"/>
    </row>
    <row r="222" spans="1:17" x14ac:dyDescent="0.4">
      <c r="A222" s="70"/>
      <c r="B222" s="46"/>
      <c r="C222" s="46"/>
      <c r="D222" s="34" t="e">
        <f>INDEX('Equipment list'!$B$227:$B$256, (MATCH(C222,'Equipment list'!$D$227:$D$256,0)),1)</f>
        <v>#N/A</v>
      </c>
      <c r="E222" s="34" t="e">
        <f>INDEX('Equipment list'!$C$227:$C$256, (MATCH(C222,'Equipment list'!$D$227:$D$256,0)),1)</f>
        <v>#N/A</v>
      </c>
      <c r="F222" s="34">
        <f t="shared" si="20"/>
        <v>0</v>
      </c>
      <c r="G222" s="34">
        <f t="shared" si="21"/>
        <v>0</v>
      </c>
      <c r="H222" s="34" t="e">
        <f t="shared" si="22"/>
        <v>#N/A</v>
      </c>
      <c r="I222" s="34" t="e">
        <f t="shared" si="23"/>
        <v>#N/A</v>
      </c>
      <c r="J222" s="45"/>
      <c r="K222" s="46"/>
      <c r="L222" s="49"/>
      <c r="M222" s="39"/>
      <c r="N222" s="39"/>
      <c r="O222" s="37">
        <f t="shared" si="24"/>
        <v>0</v>
      </c>
      <c r="P222" s="44"/>
      <c r="Q222" s="44"/>
    </row>
    <row r="223" spans="1:17" x14ac:dyDescent="0.4">
      <c r="A223" s="70"/>
      <c r="B223" s="46"/>
      <c r="C223" s="46"/>
      <c r="D223" s="34" t="e">
        <f>INDEX('Equipment list'!$B$227:$B$256, (MATCH(C223,'Equipment list'!$D$227:$D$256,0)),1)</f>
        <v>#N/A</v>
      </c>
      <c r="E223" s="34" t="e">
        <f>INDEX('Equipment list'!$C$227:$C$256, (MATCH(C223,'Equipment list'!$D$227:$D$256,0)),1)</f>
        <v>#N/A</v>
      </c>
      <c r="F223" s="34">
        <f t="shared" si="20"/>
        <v>0</v>
      </c>
      <c r="G223" s="34">
        <f t="shared" si="21"/>
        <v>0</v>
      </c>
      <c r="H223" s="34" t="e">
        <f t="shared" si="22"/>
        <v>#N/A</v>
      </c>
      <c r="I223" s="34" t="e">
        <f t="shared" si="23"/>
        <v>#N/A</v>
      </c>
      <c r="J223" s="45"/>
      <c r="K223" s="46"/>
      <c r="L223" s="49"/>
      <c r="M223" s="39"/>
      <c r="N223" s="39"/>
      <c r="O223" s="37">
        <f t="shared" si="24"/>
        <v>0</v>
      </c>
      <c r="P223" s="44"/>
      <c r="Q223" s="44"/>
    </row>
    <row r="224" spans="1:17" x14ac:dyDescent="0.4">
      <c r="A224" s="70"/>
      <c r="B224" s="46"/>
      <c r="C224" s="46"/>
      <c r="D224" s="34" t="e">
        <f>INDEX('Equipment list'!$B$227:$B$256, (MATCH(C224,'Equipment list'!$D$227:$D$256,0)),1)</f>
        <v>#N/A</v>
      </c>
      <c r="E224" s="34" t="e">
        <f>INDEX('Equipment list'!$C$227:$C$256, (MATCH(C224,'Equipment list'!$D$227:$D$256,0)),1)</f>
        <v>#N/A</v>
      </c>
      <c r="F224" s="34">
        <f t="shared" si="20"/>
        <v>0</v>
      </c>
      <c r="G224" s="34">
        <f t="shared" si="21"/>
        <v>0</v>
      </c>
      <c r="H224" s="34" t="e">
        <f t="shared" si="22"/>
        <v>#N/A</v>
      </c>
      <c r="I224" s="34" t="e">
        <f t="shared" si="23"/>
        <v>#N/A</v>
      </c>
      <c r="J224" s="45"/>
      <c r="K224" s="46"/>
      <c r="L224" s="49"/>
      <c r="M224" s="39"/>
      <c r="N224" s="39"/>
      <c r="O224" s="37">
        <f t="shared" si="24"/>
        <v>0</v>
      </c>
      <c r="P224" s="44"/>
      <c r="Q224" s="44"/>
    </row>
    <row r="225" spans="1:17" x14ac:dyDescent="0.4">
      <c r="A225" s="70"/>
      <c r="B225" s="46"/>
      <c r="C225" s="46"/>
      <c r="D225" s="34" t="e">
        <f>INDEX('Equipment list'!$B$227:$B$256, (MATCH(C225,'Equipment list'!$D$227:$D$256,0)),1)</f>
        <v>#N/A</v>
      </c>
      <c r="E225" s="34" t="e">
        <f>INDEX('Equipment list'!$C$227:$C$256, (MATCH(C225,'Equipment list'!$D$227:$D$256,0)),1)</f>
        <v>#N/A</v>
      </c>
      <c r="F225" s="34">
        <f t="shared" si="20"/>
        <v>0</v>
      </c>
      <c r="G225" s="34">
        <f t="shared" si="21"/>
        <v>0</v>
      </c>
      <c r="H225" s="34" t="e">
        <f t="shared" si="22"/>
        <v>#N/A</v>
      </c>
      <c r="I225" s="34" t="e">
        <f t="shared" si="23"/>
        <v>#N/A</v>
      </c>
      <c r="J225" s="45"/>
      <c r="K225" s="46"/>
      <c r="L225" s="49"/>
      <c r="M225" s="39"/>
      <c r="N225" s="39"/>
      <c r="O225" s="37">
        <f t="shared" si="24"/>
        <v>0</v>
      </c>
      <c r="P225" s="44"/>
      <c r="Q225" s="44"/>
    </row>
    <row r="226" spans="1:17" x14ac:dyDescent="0.4">
      <c r="A226" s="70"/>
      <c r="B226" s="46"/>
      <c r="C226" s="46"/>
      <c r="D226" s="34" t="e">
        <f>INDEX('Equipment list'!$B$227:$B$256, (MATCH(C226,'Equipment list'!$D$227:$D$256,0)),1)</f>
        <v>#N/A</v>
      </c>
      <c r="E226" s="34" t="e">
        <f>INDEX('Equipment list'!$C$227:$C$256, (MATCH(C226,'Equipment list'!$D$227:$D$256,0)),1)</f>
        <v>#N/A</v>
      </c>
      <c r="F226" s="34">
        <f t="shared" si="20"/>
        <v>0</v>
      </c>
      <c r="G226" s="34">
        <f t="shared" si="21"/>
        <v>0</v>
      </c>
      <c r="H226" s="34" t="e">
        <f t="shared" si="22"/>
        <v>#N/A</v>
      </c>
      <c r="I226" s="34" t="e">
        <f t="shared" si="23"/>
        <v>#N/A</v>
      </c>
      <c r="J226" s="45"/>
      <c r="K226" s="46"/>
      <c r="L226" s="49"/>
      <c r="M226" s="39"/>
      <c r="N226" s="39"/>
      <c r="O226" s="37">
        <f t="shared" si="24"/>
        <v>0</v>
      </c>
      <c r="P226" s="44"/>
      <c r="Q226" s="44"/>
    </row>
    <row r="227" spans="1:17" x14ac:dyDescent="0.4">
      <c r="A227" s="70"/>
      <c r="B227" s="46"/>
      <c r="C227" s="46"/>
      <c r="D227" s="34" t="e">
        <f>INDEX('Equipment list'!$B$227:$B$256, (MATCH(C227,'Equipment list'!$D$227:$D$256,0)),1)</f>
        <v>#N/A</v>
      </c>
      <c r="E227" s="34" t="e">
        <f>INDEX('Equipment list'!$C$227:$C$256, (MATCH(C227,'Equipment list'!$D$227:$D$256,0)),1)</f>
        <v>#N/A</v>
      </c>
      <c r="F227" s="34">
        <f t="shared" si="20"/>
        <v>0</v>
      </c>
      <c r="G227" s="34">
        <f t="shared" si="21"/>
        <v>0</v>
      </c>
      <c r="H227" s="34" t="e">
        <f t="shared" si="22"/>
        <v>#N/A</v>
      </c>
      <c r="I227" s="34" t="e">
        <f t="shared" si="23"/>
        <v>#N/A</v>
      </c>
      <c r="J227" s="45"/>
      <c r="K227" s="46"/>
      <c r="L227" s="49"/>
      <c r="M227" s="39"/>
      <c r="N227" s="39"/>
      <c r="O227" s="37">
        <f t="shared" si="24"/>
        <v>0</v>
      </c>
      <c r="P227" s="44"/>
      <c r="Q227" s="44"/>
    </row>
    <row r="228" spans="1:17" x14ac:dyDescent="0.4">
      <c r="A228" s="70"/>
      <c r="B228" s="46"/>
      <c r="C228" s="46"/>
      <c r="D228" s="34" t="e">
        <f>INDEX('Equipment list'!$B$227:$B$256, (MATCH(C228,'Equipment list'!$D$227:$D$256,0)),1)</f>
        <v>#N/A</v>
      </c>
      <c r="E228" s="34" t="e">
        <f>INDEX('Equipment list'!$C$227:$C$256, (MATCH(C228,'Equipment list'!$D$227:$D$256,0)),1)</f>
        <v>#N/A</v>
      </c>
      <c r="F228" s="34">
        <f t="shared" si="20"/>
        <v>0</v>
      </c>
      <c r="G228" s="34">
        <f t="shared" si="21"/>
        <v>0</v>
      </c>
      <c r="H228" s="34" t="e">
        <f t="shared" si="22"/>
        <v>#N/A</v>
      </c>
      <c r="I228" s="34" t="e">
        <f t="shared" si="23"/>
        <v>#N/A</v>
      </c>
      <c r="J228" s="45"/>
      <c r="K228" s="46"/>
      <c r="L228" s="49"/>
      <c r="M228" s="39"/>
      <c r="N228" s="39"/>
      <c r="O228" s="37">
        <f t="shared" si="24"/>
        <v>0</v>
      </c>
      <c r="P228" s="44"/>
      <c r="Q228" s="44"/>
    </row>
    <row r="229" spans="1:17" x14ac:dyDescent="0.4">
      <c r="A229" s="70"/>
      <c r="B229" s="46"/>
      <c r="C229" s="46"/>
      <c r="D229" s="34" t="e">
        <f>INDEX('Equipment list'!$B$227:$B$256, (MATCH(C229,'Equipment list'!$D$227:$D$256,0)),1)</f>
        <v>#N/A</v>
      </c>
      <c r="E229" s="34" t="e">
        <f>INDEX('Equipment list'!$C$227:$C$256, (MATCH(C229,'Equipment list'!$D$227:$D$256,0)),1)</f>
        <v>#N/A</v>
      </c>
      <c r="F229" s="34">
        <f t="shared" si="20"/>
        <v>0</v>
      </c>
      <c r="G229" s="34">
        <f t="shared" si="21"/>
        <v>0</v>
      </c>
      <c r="H229" s="34" t="e">
        <f t="shared" si="22"/>
        <v>#N/A</v>
      </c>
      <c r="I229" s="34" t="e">
        <f t="shared" si="23"/>
        <v>#N/A</v>
      </c>
      <c r="J229" s="45"/>
      <c r="K229" s="46"/>
      <c r="L229" s="49"/>
      <c r="M229" s="39"/>
      <c r="N229" s="39"/>
      <c r="O229" s="37">
        <f t="shared" si="24"/>
        <v>0</v>
      </c>
      <c r="P229" s="44"/>
      <c r="Q229" s="44"/>
    </row>
    <row r="230" spans="1:17" x14ac:dyDescent="0.4">
      <c r="A230" s="70"/>
      <c r="B230" s="46"/>
      <c r="C230" s="46"/>
      <c r="D230" s="34" t="e">
        <f>INDEX('Equipment list'!$B$227:$B$256, (MATCH(C230,'Equipment list'!$D$227:$D$256,0)),1)</f>
        <v>#N/A</v>
      </c>
      <c r="E230" s="34" t="e">
        <f>INDEX('Equipment list'!$C$227:$C$256, (MATCH(C230,'Equipment list'!$D$227:$D$256,0)),1)</f>
        <v>#N/A</v>
      </c>
      <c r="F230" s="34">
        <f t="shared" si="20"/>
        <v>0</v>
      </c>
      <c r="G230" s="34">
        <f t="shared" si="21"/>
        <v>0</v>
      </c>
      <c r="H230" s="34" t="e">
        <f t="shared" si="22"/>
        <v>#N/A</v>
      </c>
      <c r="I230" s="34" t="e">
        <f t="shared" si="23"/>
        <v>#N/A</v>
      </c>
      <c r="J230" s="45"/>
      <c r="K230" s="46"/>
      <c r="L230" s="49"/>
      <c r="M230" s="39"/>
      <c r="N230" s="39"/>
      <c r="O230" s="37">
        <f t="shared" si="24"/>
        <v>0</v>
      </c>
      <c r="P230" s="44"/>
      <c r="Q230" s="44"/>
    </row>
    <row r="231" spans="1:17" x14ac:dyDescent="0.4">
      <c r="A231" s="70"/>
      <c r="B231" s="46"/>
      <c r="C231" s="46"/>
      <c r="D231" s="34" t="e">
        <f>INDEX('Equipment list'!$B$227:$B$256, (MATCH(C231,'Equipment list'!$D$227:$D$256,0)),1)</f>
        <v>#N/A</v>
      </c>
      <c r="E231" s="34" t="e">
        <f>INDEX('Equipment list'!$C$227:$C$256, (MATCH(C231,'Equipment list'!$D$227:$D$256,0)),1)</f>
        <v>#N/A</v>
      </c>
      <c r="F231" s="34">
        <f t="shared" si="20"/>
        <v>0</v>
      </c>
      <c r="G231" s="34">
        <f t="shared" si="21"/>
        <v>0</v>
      </c>
      <c r="H231" s="34" t="e">
        <f t="shared" si="22"/>
        <v>#N/A</v>
      </c>
      <c r="I231" s="34" t="e">
        <f t="shared" si="23"/>
        <v>#N/A</v>
      </c>
      <c r="J231" s="45"/>
      <c r="K231" s="46"/>
      <c r="L231" s="49"/>
      <c r="M231" s="39"/>
      <c r="N231" s="39"/>
      <c r="O231" s="37">
        <f t="shared" si="24"/>
        <v>0</v>
      </c>
      <c r="P231" s="44"/>
      <c r="Q231" s="44"/>
    </row>
    <row r="232" spans="1:17" x14ac:dyDescent="0.4">
      <c r="A232" s="70"/>
      <c r="B232" s="46"/>
      <c r="C232" s="46"/>
      <c r="D232" s="34" t="e">
        <f>INDEX('Equipment list'!$B$227:$B$256, (MATCH(C232,'Equipment list'!$D$227:$D$256,0)),1)</f>
        <v>#N/A</v>
      </c>
      <c r="E232" s="34" t="e">
        <f>INDEX('Equipment list'!$C$227:$C$256, (MATCH(C232,'Equipment list'!$D$227:$D$256,0)),1)</f>
        <v>#N/A</v>
      </c>
      <c r="F232" s="34">
        <f t="shared" si="20"/>
        <v>0</v>
      </c>
      <c r="G232" s="34">
        <f t="shared" si="21"/>
        <v>0</v>
      </c>
      <c r="H232" s="34" t="e">
        <f t="shared" si="22"/>
        <v>#N/A</v>
      </c>
      <c r="I232" s="34" t="e">
        <f t="shared" si="23"/>
        <v>#N/A</v>
      </c>
      <c r="J232" s="45"/>
      <c r="K232" s="46"/>
      <c r="L232" s="49"/>
      <c r="M232" s="39"/>
      <c r="N232" s="39"/>
      <c r="O232" s="37">
        <f t="shared" si="24"/>
        <v>0</v>
      </c>
      <c r="P232" s="44"/>
      <c r="Q232" s="44"/>
    </row>
    <row r="233" spans="1:17" x14ac:dyDescent="0.4">
      <c r="A233" s="70"/>
      <c r="B233" s="46"/>
      <c r="C233" s="46"/>
      <c r="D233" s="34" t="e">
        <f>INDEX('Equipment list'!$B$227:$B$256, (MATCH(C233,'Equipment list'!$D$227:$D$256,0)),1)</f>
        <v>#N/A</v>
      </c>
      <c r="E233" s="34" t="e">
        <f>INDEX('Equipment list'!$C$227:$C$256, (MATCH(C233,'Equipment list'!$D$227:$D$256,0)),1)</f>
        <v>#N/A</v>
      </c>
      <c r="F233" s="34">
        <f t="shared" si="20"/>
        <v>0</v>
      </c>
      <c r="G233" s="34">
        <f t="shared" si="21"/>
        <v>0</v>
      </c>
      <c r="H233" s="34" t="e">
        <f t="shared" si="22"/>
        <v>#N/A</v>
      </c>
      <c r="I233" s="34" t="e">
        <f t="shared" si="23"/>
        <v>#N/A</v>
      </c>
      <c r="J233" s="45"/>
      <c r="K233" s="46"/>
      <c r="L233" s="49"/>
      <c r="M233" s="39"/>
      <c r="N233" s="39"/>
      <c r="O233" s="37">
        <f t="shared" si="24"/>
        <v>0</v>
      </c>
      <c r="P233" s="44"/>
      <c r="Q233" s="44"/>
    </row>
    <row r="234" spans="1:17" x14ac:dyDescent="0.4">
      <c r="A234" s="70"/>
      <c r="B234" s="46"/>
      <c r="C234" s="46"/>
      <c r="D234" s="34" t="e">
        <f>INDEX('Equipment list'!$B$227:$B$256, (MATCH(C234,'Equipment list'!$D$227:$D$256,0)),1)</f>
        <v>#N/A</v>
      </c>
      <c r="E234" s="34" t="e">
        <f>INDEX('Equipment list'!$C$227:$C$256, (MATCH(C234,'Equipment list'!$D$227:$D$256,0)),1)</f>
        <v>#N/A</v>
      </c>
      <c r="F234" s="34">
        <f t="shared" si="20"/>
        <v>0</v>
      </c>
      <c r="G234" s="34">
        <f t="shared" si="21"/>
        <v>0</v>
      </c>
      <c r="H234" s="34" t="e">
        <f t="shared" si="22"/>
        <v>#N/A</v>
      </c>
      <c r="I234" s="34" t="e">
        <f t="shared" si="23"/>
        <v>#N/A</v>
      </c>
      <c r="J234" s="45"/>
      <c r="K234" s="46"/>
      <c r="L234" s="49"/>
      <c r="M234" s="39"/>
      <c r="N234" s="39"/>
      <c r="O234" s="37">
        <f t="shared" si="24"/>
        <v>0</v>
      </c>
      <c r="P234" s="44"/>
      <c r="Q234" s="44"/>
    </row>
    <row r="235" spans="1:17" x14ac:dyDescent="0.4">
      <c r="A235" s="70"/>
      <c r="B235" s="46"/>
      <c r="C235" s="46"/>
      <c r="D235" s="34" t="e">
        <f>INDEX('Equipment list'!$B$227:$B$256, (MATCH(C235,'Equipment list'!$D$227:$D$256,0)),1)</f>
        <v>#N/A</v>
      </c>
      <c r="E235" s="34" t="e">
        <f>INDEX('Equipment list'!$C$227:$C$256, (MATCH(C235,'Equipment list'!$D$227:$D$256,0)),1)</f>
        <v>#N/A</v>
      </c>
      <c r="F235" s="34">
        <f t="shared" si="20"/>
        <v>0</v>
      </c>
      <c r="G235" s="34">
        <f t="shared" si="21"/>
        <v>0</v>
      </c>
      <c r="H235" s="34" t="e">
        <f t="shared" si="22"/>
        <v>#N/A</v>
      </c>
      <c r="I235" s="34" t="e">
        <f t="shared" si="23"/>
        <v>#N/A</v>
      </c>
      <c r="J235" s="45"/>
      <c r="K235" s="46"/>
      <c r="L235" s="49"/>
      <c r="M235" s="39"/>
      <c r="N235" s="39"/>
      <c r="O235" s="37">
        <f t="shared" si="24"/>
        <v>0</v>
      </c>
      <c r="P235" s="44"/>
      <c r="Q235" s="44"/>
    </row>
    <row r="236" spans="1:17" x14ac:dyDescent="0.4">
      <c r="A236" s="70"/>
      <c r="B236" s="46"/>
      <c r="C236" s="46"/>
      <c r="D236" s="34" t="e">
        <f>INDEX('Equipment list'!$B$227:$B$256, (MATCH(C236,'Equipment list'!$D$227:$D$256,0)),1)</f>
        <v>#N/A</v>
      </c>
      <c r="E236" s="34" t="e">
        <f>INDEX('Equipment list'!$C$227:$C$256, (MATCH(C236,'Equipment list'!$D$227:$D$256,0)),1)</f>
        <v>#N/A</v>
      </c>
      <c r="F236" s="34">
        <f t="shared" si="20"/>
        <v>0</v>
      </c>
      <c r="G236" s="34">
        <f t="shared" si="21"/>
        <v>0</v>
      </c>
      <c r="H236" s="34" t="e">
        <f t="shared" si="22"/>
        <v>#N/A</v>
      </c>
      <c r="I236" s="34" t="e">
        <f t="shared" si="23"/>
        <v>#N/A</v>
      </c>
      <c r="J236" s="45"/>
      <c r="K236" s="46"/>
      <c r="L236" s="49"/>
      <c r="M236" s="39"/>
      <c r="N236" s="39"/>
      <c r="O236" s="37">
        <f t="shared" si="24"/>
        <v>0</v>
      </c>
      <c r="P236" s="44"/>
      <c r="Q236" s="44"/>
    </row>
    <row r="237" spans="1:17" x14ac:dyDescent="0.4">
      <c r="A237" s="70"/>
      <c r="B237" s="46"/>
      <c r="C237" s="46"/>
      <c r="D237" s="34" t="e">
        <f>INDEX('Equipment list'!$B$227:$B$256, (MATCH(C237,'Equipment list'!$D$227:$D$256,0)),1)</f>
        <v>#N/A</v>
      </c>
      <c r="E237" s="34" t="e">
        <f>INDEX('Equipment list'!$C$227:$C$256, (MATCH(C237,'Equipment list'!$D$227:$D$256,0)),1)</f>
        <v>#N/A</v>
      </c>
      <c r="F237" s="34">
        <f t="shared" si="20"/>
        <v>0</v>
      </c>
      <c r="G237" s="34">
        <f t="shared" si="21"/>
        <v>0</v>
      </c>
      <c r="H237" s="34" t="e">
        <f t="shared" si="22"/>
        <v>#N/A</v>
      </c>
      <c r="I237" s="34" t="e">
        <f t="shared" si="23"/>
        <v>#N/A</v>
      </c>
      <c r="J237" s="45"/>
      <c r="K237" s="46"/>
      <c r="L237" s="49"/>
      <c r="M237" s="39"/>
      <c r="N237" s="39"/>
      <c r="O237" s="37">
        <f t="shared" si="24"/>
        <v>0</v>
      </c>
      <c r="P237" s="44"/>
      <c r="Q237" s="44"/>
    </row>
    <row r="238" spans="1:17" x14ac:dyDescent="0.4">
      <c r="A238" s="70"/>
      <c r="B238" s="46"/>
      <c r="C238" s="46"/>
      <c r="D238" s="34" t="e">
        <f>INDEX('Equipment list'!$B$227:$B$256, (MATCH(C238,'Equipment list'!$D$227:$D$256,0)),1)</f>
        <v>#N/A</v>
      </c>
      <c r="E238" s="34" t="e">
        <f>INDEX('Equipment list'!$C$227:$C$256, (MATCH(C238,'Equipment list'!$D$227:$D$256,0)),1)</f>
        <v>#N/A</v>
      </c>
      <c r="F238" s="34">
        <f t="shared" si="20"/>
        <v>0</v>
      </c>
      <c r="G238" s="34">
        <f t="shared" si="21"/>
        <v>0</v>
      </c>
      <c r="H238" s="34" t="e">
        <f t="shared" si="22"/>
        <v>#N/A</v>
      </c>
      <c r="I238" s="34" t="e">
        <f t="shared" si="23"/>
        <v>#N/A</v>
      </c>
      <c r="J238" s="45"/>
      <c r="K238" s="46"/>
      <c r="L238" s="49"/>
      <c r="M238" s="39"/>
      <c r="N238" s="39"/>
      <c r="O238" s="37">
        <f t="shared" si="24"/>
        <v>0</v>
      </c>
      <c r="P238" s="44"/>
      <c r="Q238" s="44"/>
    </row>
    <row r="239" spans="1:17" x14ac:dyDescent="0.4">
      <c r="A239" s="70"/>
      <c r="B239" s="46"/>
      <c r="C239" s="46"/>
      <c r="D239" s="34" t="e">
        <f>INDEX('Equipment list'!$B$227:$B$256, (MATCH(C239,'Equipment list'!$D$227:$D$256,0)),1)</f>
        <v>#N/A</v>
      </c>
      <c r="E239" s="34" t="e">
        <f>INDEX('Equipment list'!$C$227:$C$256, (MATCH(C239,'Equipment list'!$D$227:$D$256,0)),1)</f>
        <v>#N/A</v>
      </c>
      <c r="F239" s="34">
        <f t="shared" si="20"/>
        <v>0</v>
      </c>
      <c r="G239" s="34">
        <f t="shared" si="21"/>
        <v>0</v>
      </c>
      <c r="H239" s="34" t="e">
        <f t="shared" si="22"/>
        <v>#N/A</v>
      </c>
      <c r="I239" s="34" t="e">
        <f t="shared" si="23"/>
        <v>#N/A</v>
      </c>
      <c r="J239" s="45"/>
      <c r="K239" s="46"/>
      <c r="L239" s="49"/>
      <c r="M239" s="39"/>
      <c r="N239" s="39"/>
      <c r="O239" s="37">
        <f t="shared" si="24"/>
        <v>0</v>
      </c>
      <c r="P239" s="44"/>
      <c r="Q239" s="44"/>
    </row>
    <row r="240" spans="1:17" x14ac:dyDescent="0.4">
      <c r="A240" s="70"/>
      <c r="B240" s="46"/>
      <c r="C240" s="46"/>
      <c r="D240" s="34" t="e">
        <f>INDEX('Equipment list'!$B$227:$B$256, (MATCH(C240,'Equipment list'!$D$227:$D$256,0)),1)</f>
        <v>#N/A</v>
      </c>
      <c r="E240" s="34" t="e">
        <f>INDEX('Equipment list'!$C$227:$C$256, (MATCH(C240,'Equipment list'!$D$227:$D$256,0)),1)</f>
        <v>#N/A</v>
      </c>
      <c r="F240" s="34">
        <f t="shared" si="20"/>
        <v>0</v>
      </c>
      <c r="G240" s="34">
        <f t="shared" si="21"/>
        <v>0</v>
      </c>
      <c r="H240" s="34" t="e">
        <f t="shared" si="22"/>
        <v>#N/A</v>
      </c>
      <c r="I240" s="34" t="e">
        <f t="shared" si="23"/>
        <v>#N/A</v>
      </c>
      <c r="J240" s="45"/>
      <c r="K240" s="46"/>
      <c r="L240" s="49"/>
      <c r="M240" s="39"/>
      <c r="N240" s="39"/>
      <c r="O240" s="37">
        <f t="shared" si="24"/>
        <v>0</v>
      </c>
      <c r="P240" s="44"/>
      <c r="Q240" s="44"/>
    </row>
    <row r="241" spans="1:17" x14ac:dyDescent="0.4">
      <c r="A241" s="70"/>
      <c r="B241" s="46"/>
      <c r="C241" s="46"/>
      <c r="D241" s="34" t="e">
        <f>INDEX('Equipment list'!$B$227:$B$256, (MATCH(C241,'Equipment list'!$D$227:$D$256,0)),1)</f>
        <v>#N/A</v>
      </c>
      <c r="E241" s="34" t="e">
        <f>INDEX('Equipment list'!$C$227:$C$256, (MATCH(C241,'Equipment list'!$D$227:$D$256,0)),1)</f>
        <v>#N/A</v>
      </c>
      <c r="F241" s="34">
        <f t="shared" si="20"/>
        <v>0</v>
      </c>
      <c r="G241" s="34">
        <f t="shared" si="21"/>
        <v>0</v>
      </c>
      <c r="H241" s="34" t="e">
        <f t="shared" si="22"/>
        <v>#N/A</v>
      </c>
      <c r="I241" s="34" t="e">
        <f t="shared" si="23"/>
        <v>#N/A</v>
      </c>
      <c r="J241" s="45"/>
      <c r="K241" s="46"/>
      <c r="L241" s="49"/>
      <c r="M241" s="39"/>
      <c r="N241" s="39"/>
      <c r="O241" s="37">
        <f t="shared" si="24"/>
        <v>0</v>
      </c>
      <c r="P241" s="44"/>
      <c r="Q241" s="44"/>
    </row>
    <row r="242" spans="1:17" x14ac:dyDescent="0.4">
      <c r="A242" s="70"/>
      <c r="B242" s="46"/>
      <c r="C242" s="46"/>
      <c r="D242" s="34" t="e">
        <f>INDEX('Equipment list'!$B$227:$B$256, (MATCH(C242,'Equipment list'!$D$227:$D$256,0)),1)</f>
        <v>#N/A</v>
      </c>
      <c r="E242" s="34" t="e">
        <f>INDEX('Equipment list'!$C$227:$C$256, (MATCH(C242,'Equipment list'!$D$227:$D$256,0)),1)</f>
        <v>#N/A</v>
      </c>
      <c r="F242" s="34">
        <f t="shared" si="20"/>
        <v>0</v>
      </c>
      <c r="G242" s="34">
        <f t="shared" si="21"/>
        <v>0</v>
      </c>
      <c r="H242" s="34" t="e">
        <f t="shared" si="22"/>
        <v>#N/A</v>
      </c>
      <c r="I242" s="34" t="e">
        <f t="shared" si="23"/>
        <v>#N/A</v>
      </c>
      <c r="J242" s="45"/>
      <c r="K242" s="46"/>
      <c r="L242" s="49"/>
      <c r="M242" s="39"/>
      <c r="N242" s="39"/>
      <c r="O242" s="37">
        <f t="shared" si="24"/>
        <v>0</v>
      </c>
      <c r="P242" s="44"/>
      <c r="Q242" s="44"/>
    </row>
    <row r="243" spans="1:17" x14ac:dyDescent="0.4">
      <c r="A243" s="70"/>
      <c r="B243" s="46"/>
      <c r="C243" s="46"/>
      <c r="D243" s="34" t="e">
        <f>INDEX('Equipment list'!$B$227:$B$256, (MATCH(C243,'Equipment list'!$D$227:$D$256,0)),1)</f>
        <v>#N/A</v>
      </c>
      <c r="E243" s="34" t="e">
        <f>INDEX('Equipment list'!$C$227:$C$256, (MATCH(C243,'Equipment list'!$D$227:$D$256,0)),1)</f>
        <v>#N/A</v>
      </c>
      <c r="F243" s="34">
        <f t="shared" si="20"/>
        <v>0</v>
      </c>
      <c r="G243" s="34">
        <f t="shared" si="21"/>
        <v>0</v>
      </c>
      <c r="H243" s="34" t="e">
        <f t="shared" si="22"/>
        <v>#N/A</v>
      </c>
      <c r="I243" s="34" t="e">
        <f t="shared" si="23"/>
        <v>#N/A</v>
      </c>
      <c r="J243" s="45"/>
      <c r="K243" s="46"/>
      <c r="L243" s="49"/>
      <c r="M243" s="39"/>
      <c r="N243" s="39"/>
      <c r="O243" s="37">
        <f t="shared" si="24"/>
        <v>0</v>
      </c>
      <c r="P243" s="44"/>
      <c r="Q243" s="44"/>
    </row>
    <row r="244" spans="1:17" x14ac:dyDescent="0.4">
      <c r="A244" s="70"/>
      <c r="B244" s="46"/>
      <c r="C244" s="46"/>
      <c r="D244" s="34" t="e">
        <f>INDEX('Equipment list'!$B$227:$B$256, (MATCH(C244,'Equipment list'!$D$227:$D$256,0)),1)</f>
        <v>#N/A</v>
      </c>
      <c r="E244" s="34" t="e">
        <f>INDEX('Equipment list'!$C$227:$C$256, (MATCH(C244,'Equipment list'!$D$227:$D$256,0)),1)</f>
        <v>#N/A</v>
      </c>
      <c r="F244" s="34">
        <f t="shared" si="20"/>
        <v>0</v>
      </c>
      <c r="G244" s="34">
        <f t="shared" si="21"/>
        <v>0</v>
      </c>
      <c r="H244" s="34" t="e">
        <f t="shared" si="22"/>
        <v>#N/A</v>
      </c>
      <c r="I244" s="34" t="e">
        <f t="shared" si="23"/>
        <v>#N/A</v>
      </c>
      <c r="J244" s="45"/>
      <c r="K244" s="46"/>
      <c r="L244" s="49"/>
      <c r="M244" s="39"/>
      <c r="N244" s="39"/>
      <c r="O244" s="37">
        <f t="shared" si="24"/>
        <v>0</v>
      </c>
      <c r="P244" s="44"/>
      <c r="Q244" s="44"/>
    </row>
    <row r="245" spans="1:17" x14ac:dyDescent="0.4">
      <c r="A245" s="70"/>
      <c r="B245" s="46"/>
      <c r="C245" s="46"/>
      <c r="D245" s="34" t="e">
        <f>INDEX('Equipment list'!$B$227:$B$256, (MATCH(C245,'Equipment list'!$D$227:$D$256,0)),1)</f>
        <v>#N/A</v>
      </c>
      <c r="E245" s="34" t="e">
        <f>INDEX('Equipment list'!$C$227:$C$256, (MATCH(C245,'Equipment list'!$D$227:$D$256,0)),1)</f>
        <v>#N/A</v>
      </c>
      <c r="F245" s="34">
        <f t="shared" si="20"/>
        <v>0</v>
      </c>
      <c r="G245" s="34">
        <f t="shared" si="21"/>
        <v>0</v>
      </c>
      <c r="H245" s="34" t="e">
        <f t="shared" si="22"/>
        <v>#N/A</v>
      </c>
      <c r="I245" s="34" t="e">
        <f t="shared" si="23"/>
        <v>#N/A</v>
      </c>
      <c r="J245" s="45"/>
      <c r="K245" s="46"/>
      <c r="L245" s="49"/>
      <c r="M245" s="39"/>
      <c r="N245" s="39"/>
      <c r="O245" s="37">
        <f t="shared" si="24"/>
        <v>0</v>
      </c>
      <c r="P245" s="44"/>
      <c r="Q245" s="44"/>
    </row>
    <row r="246" spans="1:17" x14ac:dyDescent="0.4">
      <c r="A246" s="70"/>
      <c r="B246" s="46"/>
      <c r="C246" s="46"/>
      <c r="D246" s="34" t="e">
        <f>INDEX('Equipment list'!$B$227:$B$256, (MATCH(C246,'Equipment list'!$D$227:$D$256,0)),1)</f>
        <v>#N/A</v>
      </c>
      <c r="E246" s="34" t="e">
        <f>INDEX('Equipment list'!$C$227:$C$256, (MATCH(C246,'Equipment list'!$D$227:$D$256,0)),1)</f>
        <v>#N/A</v>
      </c>
      <c r="F246" s="34">
        <f t="shared" si="20"/>
        <v>0</v>
      </c>
      <c r="G246" s="34">
        <f t="shared" si="21"/>
        <v>0</v>
      </c>
      <c r="H246" s="34" t="e">
        <f t="shared" si="22"/>
        <v>#N/A</v>
      </c>
      <c r="I246" s="34" t="e">
        <f t="shared" si="23"/>
        <v>#N/A</v>
      </c>
      <c r="J246" s="45"/>
      <c r="K246" s="46"/>
      <c r="L246" s="49"/>
      <c r="M246" s="39"/>
      <c r="N246" s="39"/>
      <c r="O246" s="37">
        <f t="shared" si="24"/>
        <v>0</v>
      </c>
      <c r="P246" s="44"/>
      <c r="Q246" s="44"/>
    </row>
    <row r="247" spans="1:17" x14ac:dyDescent="0.4">
      <c r="A247" s="70"/>
      <c r="B247" s="46"/>
      <c r="C247" s="46"/>
      <c r="D247" s="34" t="e">
        <f>INDEX('Equipment list'!$B$227:$B$256, (MATCH(C247,'Equipment list'!$D$227:$D$256,0)),1)</f>
        <v>#N/A</v>
      </c>
      <c r="E247" s="34" t="e">
        <f>INDEX('Equipment list'!$C$227:$C$256, (MATCH(C247,'Equipment list'!$D$227:$D$256,0)),1)</f>
        <v>#N/A</v>
      </c>
      <c r="F247" s="34">
        <f t="shared" si="20"/>
        <v>0</v>
      </c>
      <c r="G247" s="34">
        <f t="shared" si="21"/>
        <v>0</v>
      </c>
      <c r="H247" s="34" t="e">
        <f t="shared" si="22"/>
        <v>#N/A</v>
      </c>
      <c r="I247" s="34" t="e">
        <f t="shared" si="23"/>
        <v>#N/A</v>
      </c>
      <c r="J247" s="45"/>
      <c r="K247" s="46"/>
      <c r="L247" s="49"/>
      <c r="M247" s="39"/>
      <c r="N247" s="39"/>
      <c r="O247" s="37">
        <f t="shared" si="24"/>
        <v>0</v>
      </c>
      <c r="P247" s="44"/>
      <c r="Q247" s="44"/>
    </row>
    <row r="248" spans="1:17" x14ac:dyDescent="0.4">
      <c r="A248" s="70"/>
      <c r="B248" s="46"/>
      <c r="C248" s="46"/>
      <c r="D248" s="34" t="e">
        <f>INDEX('Equipment list'!$B$227:$B$256, (MATCH(C248,'Equipment list'!$D$227:$D$256,0)),1)</f>
        <v>#N/A</v>
      </c>
      <c r="E248" s="34" t="e">
        <f>INDEX('Equipment list'!$C$227:$C$256, (MATCH(C248,'Equipment list'!$D$227:$D$256,0)),1)</f>
        <v>#N/A</v>
      </c>
      <c r="F248" s="34">
        <f t="shared" si="20"/>
        <v>0</v>
      </c>
      <c r="G248" s="34">
        <f t="shared" si="21"/>
        <v>0</v>
      </c>
      <c r="H248" s="34" t="e">
        <f t="shared" si="22"/>
        <v>#N/A</v>
      </c>
      <c r="I248" s="34" t="e">
        <f t="shared" si="23"/>
        <v>#N/A</v>
      </c>
      <c r="J248" s="45"/>
      <c r="K248" s="46"/>
      <c r="L248" s="49"/>
      <c r="M248" s="39"/>
      <c r="N248" s="39"/>
      <c r="O248" s="37">
        <f t="shared" si="24"/>
        <v>0</v>
      </c>
      <c r="P248" s="44"/>
      <c r="Q248" s="44"/>
    </row>
    <row r="249" spans="1:17" x14ac:dyDescent="0.4">
      <c r="A249" s="70"/>
      <c r="B249" s="46"/>
      <c r="C249" s="46"/>
      <c r="D249" s="34" t="e">
        <f>INDEX('Equipment list'!$B$227:$B$256, (MATCH(C249,'Equipment list'!$D$227:$D$256,0)),1)</f>
        <v>#N/A</v>
      </c>
      <c r="E249" s="34" t="e">
        <f>INDEX('Equipment list'!$C$227:$C$256, (MATCH(C249,'Equipment list'!$D$227:$D$256,0)),1)</f>
        <v>#N/A</v>
      </c>
      <c r="F249" s="34">
        <f t="shared" si="20"/>
        <v>0</v>
      </c>
      <c r="G249" s="34">
        <f t="shared" si="21"/>
        <v>0</v>
      </c>
      <c r="H249" s="34" t="e">
        <f t="shared" si="22"/>
        <v>#N/A</v>
      </c>
      <c r="I249" s="34" t="e">
        <f t="shared" si="23"/>
        <v>#N/A</v>
      </c>
      <c r="J249" s="45"/>
      <c r="K249" s="46"/>
      <c r="L249" s="49"/>
      <c r="M249" s="39"/>
      <c r="N249" s="39"/>
      <c r="O249" s="37">
        <f t="shared" si="24"/>
        <v>0</v>
      </c>
      <c r="P249" s="44"/>
      <c r="Q249" s="44"/>
    </row>
    <row r="250" spans="1:17" x14ac:dyDescent="0.4">
      <c r="A250" s="70"/>
      <c r="B250" s="46"/>
      <c r="C250" s="46"/>
      <c r="D250" s="34" t="e">
        <f>INDEX('Equipment list'!$B$227:$B$256, (MATCH(C250,'Equipment list'!$D$227:$D$256,0)),1)</f>
        <v>#N/A</v>
      </c>
      <c r="E250" s="34" t="e">
        <f>INDEX('Equipment list'!$C$227:$C$256, (MATCH(C250,'Equipment list'!$D$227:$D$256,0)),1)</f>
        <v>#N/A</v>
      </c>
      <c r="F250" s="34">
        <f t="shared" si="20"/>
        <v>0</v>
      </c>
      <c r="G250" s="34">
        <f t="shared" si="21"/>
        <v>0</v>
      </c>
      <c r="H250" s="34" t="e">
        <f t="shared" si="22"/>
        <v>#N/A</v>
      </c>
      <c r="I250" s="34" t="e">
        <f t="shared" si="23"/>
        <v>#N/A</v>
      </c>
      <c r="J250" s="45"/>
      <c r="K250" s="46"/>
      <c r="L250" s="49"/>
      <c r="M250" s="39"/>
      <c r="N250" s="39"/>
      <c r="O250" s="37">
        <f t="shared" si="24"/>
        <v>0</v>
      </c>
      <c r="P250" s="44"/>
      <c r="Q250" s="44"/>
    </row>
    <row r="251" spans="1:17" x14ac:dyDescent="0.4">
      <c r="A251" s="70"/>
      <c r="B251" s="46"/>
      <c r="C251" s="46"/>
      <c r="D251" s="34" t="e">
        <f>INDEX('Equipment list'!$B$227:$B$256, (MATCH(C251,'Equipment list'!$D$227:$D$256,0)),1)</f>
        <v>#N/A</v>
      </c>
      <c r="E251" s="34" t="e">
        <f>INDEX('Equipment list'!$C$227:$C$256, (MATCH(C251,'Equipment list'!$D$227:$D$256,0)),1)</f>
        <v>#N/A</v>
      </c>
      <c r="F251" s="34">
        <f t="shared" si="20"/>
        <v>0</v>
      </c>
      <c r="G251" s="34">
        <f t="shared" si="21"/>
        <v>0</v>
      </c>
      <c r="H251" s="34" t="e">
        <f t="shared" si="22"/>
        <v>#N/A</v>
      </c>
      <c r="I251" s="34" t="e">
        <f t="shared" si="23"/>
        <v>#N/A</v>
      </c>
      <c r="J251" s="45"/>
      <c r="K251" s="46"/>
      <c r="L251" s="49"/>
      <c r="M251" s="39"/>
      <c r="N251" s="39"/>
      <c r="O251" s="37">
        <f t="shared" si="24"/>
        <v>0</v>
      </c>
      <c r="P251" s="44"/>
      <c r="Q251" s="44"/>
    </row>
    <row r="252" spans="1:17" x14ac:dyDescent="0.4">
      <c r="A252" s="70"/>
      <c r="B252" s="46"/>
      <c r="C252" s="46"/>
      <c r="D252" s="34" t="e">
        <f>INDEX('Equipment list'!$B$227:$B$256, (MATCH(C252,'Equipment list'!$D$227:$D$256,0)),1)</f>
        <v>#N/A</v>
      </c>
      <c r="E252" s="34" t="e">
        <f>INDEX('Equipment list'!$C$227:$C$256, (MATCH(C252,'Equipment list'!$D$227:$D$256,0)),1)</f>
        <v>#N/A</v>
      </c>
      <c r="F252" s="34">
        <f t="shared" si="20"/>
        <v>0</v>
      </c>
      <c r="G252" s="34">
        <f t="shared" si="21"/>
        <v>0</v>
      </c>
      <c r="H252" s="34" t="e">
        <f t="shared" si="22"/>
        <v>#N/A</v>
      </c>
      <c r="I252" s="34" t="e">
        <f t="shared" si="23"/>
        <v>#N/A</v>
      </c>
      <c r="J252" s="45"/>
      <c r="K252" s="46"/>
      <c r="L252" s="49"/>
      <c r="M252" s="39"/>
      <c r="N252" s="39"/>
      <c r="O252" s="37">
        <f t="shared" si="24"/>
        <v>0</v>
      </c>
      <c r="P252" s="44"/>
      <c r="Q252" s="44"/>
    </row>
    <row r="253" spans="1:17" x14ac:dyDescent="0.4">
      <c r="A253" s="70"/>
      <c r="B253" s="46"/>
      <c r="C253" s="46"/>
      <c r="D253" s="34" t="e">
        <f>INDEX('Equipment list'!$B$227:$B$256, (MATCH(C253,'Equipment list'!$D$227:$D$256,0)),1)</f>
        <v>#N/A</v>
      </c>
      <c r="E253" s="34" t="e">
        <f>INDEX('Equipment list'!$C$227:$C$256, (MATCH(C253,'Equipment list'!$D$227:$D$256,0)),1)</f>
        <v>#N/A</v>
      </c>
      <c r="F253" s="34">
        <f t="shared" si="20"/>
        <v>0</v>
      </c>
      <c r="G253" s="34">
        <f t="shared" si="21"/>
        <v>0</v>
      </c>
      <c r="H253" s="34" t="e">
        <f t="shared" si="22"/>
        <v>#N/A</v>
      </c>
      <c r="I253" s="34" t="e">
        <f t="shared" si="23"/>
        <v>#N/A</v>
      </c>
      <c r="J253" s="45"/>
      <c r="K253" s="46"/>
      <c r="L253" s="49"/>
      <c r="M253" s="39"/>
      <c r="N253" s="39"/>
      <c r="O253" s="37">
        <f t="shared" si="24"/>
        <v>0</v>
      </c>
      <c r="P253" s="44"/>
      <c r="Q253" s="44"/>
    </row>
    <row r="254" spans="1:17" x14ac:dyDescent="0.4">
      <c r="A254" s="70"/>
      <c r="B254" s="46"/>
      <c r="C254" s="46"/>
      <c r="D254" s="34" t="e">
        <f>INDEX('Equipment list'!$B$227:$B$256, (MATCH(C254,'Equipment list'!$D$227:$D$256,0)),1)</f>
        <v>#N/A</v>
      </c>
      <c r="E254" s="34" t="e">
        <f>INDEX('Equipment list'!$C$227:$C$256, (MATCH(C254,'Equipment list'!$D$227:$D$256,0)),1)</f>
        <v>#N/A</v>
      </c>
      <c r="F254" s="34">
        <f t="shared" si="20"/>
        <v>0</v>
      </c>
      <c r="G254" s="34">
        <f t="shared" si="21"/>
        <v>0</v>
      </c>
      <c r="H254" s="34" t="e">
        <f t="shared" si="22"/>
        <v>#N/A</v>
      </c>
      <c r="I254" s="34" t="e">
        <f t="shared" si="23"/>
        <v>#N/A</v>
      </c>
      <c r="J254" s="45"/>
      <c r="K254" s="46"/>
      <c r="L254" s="49"/>
      <c r="M254" s="39"/>
      <c r="N254" s="39"/>
      <c r="O254" s="37">
        <f t="shared" si="24"/>
        <v>0</v>
      </c>
      <c r="P254" s="44"/>
      <c r="Q254" s="44"/>
    </row>
    <row r="255" spans="1:17" x14ac:dyDescent="0.4">
      <c r="A255" s="70"/>
      <c r="B255" s="46"/>
      <c r="C255" s="46"/>
      <c r="D255" s="34" t="e">
        <f>INDEX('Equipment list'!$B$227:$B$256, (MATCH(C255,'Equipment list'!$D$227:$D$256,0)),1)</f>
        <v>#N/A</v>
      </c>
      <c r="E255" s="34" t="e">
        <f>INDEX('Equipment list'!$C$227:$C$256, (MATCH(C255,'Equipment list'!$D$227:$D$256,0)),1)</f>
        <v>#N/A</v>
      </c>
      <c r="F255" s="34">
        <f t="shared" si="20"/>
        <v>0</v>
      </c>
      <c r="G255" s="34">
        <f t="shared" si="21"/>
        <v>0</v>
      </c>
      <c r="H255" s="34" t="e">
        <f t="shared" si="22"/>
        <v>#N/A</v>
      </c>
      <c r="I255" s="34" t="e">
        <f t="shared" si="23"/>
        <v>#N/A</v>
      </c>
      <c r="J255" s="45"/>
      <c r="K255" s="46"/>
      <c r="L255" s="49"/>
      <c r="M255" s="39"/>
      <c r="N255" s="39"/>
      <c r="O255" s="37">
        <f t="shared" si="24"/>
        <v>0</v>
      </c>
      <c r="P255" s="44"/>
      <c r="Q255" s="44"/>
    </row>
    <row r="256" spans="1:17" x14ac:dyDescent="0.4">
      <c r="A256" s="70"/>
      <c r="B256" s="46"/>
      <c r="C256" s="46"/>
      <c r="D256" s="34" t="e">
        <f>INDEX('Equipment list'!$B$227:$B$256, (MATCH(C256,'Equipment list'!$D$227:$D$256,0)),1)</f>
        <v>#N/A</v>
      </c>
      <c r="E256" s="34" t="e">
        <f>INDEX('Equipment list'!$C$227:$C$256, (MATCH(C256,'Equipment list'!$D$227:$D$256,0)),1)</f>
        <v>#N/A</v>
      </c>
      <c r="F256" s="34">
        <f t="shared" si="20"/>
        <v>0</v>
      </c>
      <c r="G256" s="34">
        <f t="shared" si="21"/>
        <v>0</v>
      </c>
      <c r="H256" s="34" t="e">
        <f t="shared" si="22"/>
        <v>#N/A</v>
      </c>
      <c r="I256" s="34" t="e">
        <f t="shared" si="23"/>
        <v>#N/A</v>
      </c>
      <c r="J256" s="45"/>
      <c r="K256" s="46"/>
      <c r="L256" s="49"/>
      <c r="M256" s="39"/>
      <c r="N256" s="39"/>
      <c r="O256" s="37">
        <f t="shared" si="24"/>
        <v>0</v>
      </c>
      <c r="P256" s="44"/>
      <c r="Q256" s="44"/>
    </row>
    <row r="257" spans="1:17" x14ac:dyDescent="0.4">
      <c r="A257" s="70"/>
      <c r="B257" s="46"/>
      <c r="C257" s="46"/>
      <c r="D257" s="34" t="e">
        <f>INDEX('Equipment list'!$B$227:$B$256, (MATCH(C257,'Equipment list'!$D$227:$D$256,0)),1)</f>
        <v>#N/A</v>
      </c>
      <c r="E257" s="34" t="e">
        <f>INDEX('Equipment list'!$C$227:$C$256, (MATCH(C257,'Equipment list'!$D$227:$D$256,0)),1)</f>
        <v>#N/A</v>
      </c>
      <c r="F257" s="34">
        <f t="shared" si="20"/>
        <v>0</v>
      </c>
      <c r="G257" s="34">
        <f t="shared" si="21"/>
        <v>0</v>
      </c>
      <c r="H257" s="34" t="e">
        <f t="shared" si="22"/>
        <v>#N/A</v>
      </c>
      <c r="I257" s="34" t="e">
        <f t="shared" si="23"/>
        <v>#N/A</v>
      </c>
      <c r="J257" s="45"/>
      <c r="K257" s="46"/>
      <c r="L257" s="49"/>
      <c r="M257" s="39"/>
      <c r="N257" s="39"/>
      <c r="O257" s="37">
        <f t="shared" si="24"/>
        <v>0</v>
      </c>
      <c r="P257" s="44"/>
      <c r="Q257" s="44"/>
    </row>
    <row r="258" spans="1:17" x14ac:dyDescent="0.4">
      <c r="A258" s="70"/>
      <c r="B258" s="46"/>
      <c r="C258" s="46"/>
      <c r="D258" s="34" t="e">
        <f>INDEX('Equipment list'!$B$227:$B$256, (MATCH(C258,'Equipment list'!$D$227:$D$256,0)),1)</f>
        <v>#N/A</v>
      </c>
      <c r="E258" s="34" t="e">
        <f>INDEX('Equipment list'!$C$227:$C$256, (MATCH(C258,'Equipment list'!$D$227:$D$256,0)),1)</f>
        <v>#N/A</v>
      </c>
      <c r="F258" s="34">
        <f t="shared" si="20"/>
        <v>0</v>
      </c>
      <c r="G258" s="34">
        <f t="shared" si="21"/>
        <v>0</v>
      </c>
      <c r="H258" s="34" t="e">
        <f t="shared" si="22"/>
        <v>#N/A</v>
      </c>
      <c r="I258" s="34" t="e">
        <f t="shared" si="23"/>
        <v>#N/A</v>
      </c>
      <c r="J258" s="45"/>
      <c r="K258" s="46"/>
      <c r="L258" s="49"/>
      <c r="M258" s="39"/>
      <c r="N258" s="39"/>
      <c r="O258" s="37">
        <f t="shared" si="24"/>
        <v>0</v>
      </c>
      <c r="P258" s="44"/>
      <c r="Q258" s="44"/>
    </row>
    <row r="259" spans="1:17" x14ac:dyDescent="0.4">
      <c r="A259" s="70"/>
      <c r="B259" s="46"/>
      <c r="C259" s="46"/>
      <c r="D259" s="34" t="e">
        <f>INDEX('Equipment list'!$B$227:$B$256, (MATCH(C259,'Equipment list'!$D$227:$D$256,0)),1)</f>
        <v>#N/A</v>
      </c>
      <c r="E259" s="34" t="e">
        <f>INDEX('Equipment list'!$C$227:$C$256, (MATCH(C259,'Equipment list'!$D$227:$D$256,0)),1)</f>
        <v>#N/A</v>
      </c>
      <c r="F259" s="34">
        <f t="shared" si="20"/>
        <v>0</v>
      </c>
      <c r="G259" s="34">
        <f t="shared" si="21"/>
        <v>0</v>
      </c>
      <c r="H259" s="34" t="e">
        <f t="shared" si="22"/>
        <v>#N/A</v>
      </c>
      <c r="I259" s="34" t="e">
        <f t="shared" si="23"/>
        <v>#N/A</v>
      </c>
      <c r="J259" s="45"/>
      <c r="K259" s="46"/>
      <c r="L259" s="49"/>
      <c r="M259" s="39"/>
      <c r="N259" s="39"/>
      <c r="O259" s="37">
        <f t="shared" si="24"/>
        <v>0</v>
      </c>
      <c r="P259" s="44"/>
      <c r="Q259" s="44"/>
    </row>
    <row r="260" spans="1:17" x14ac:dyDescent="0.4">
      <c r="A260" s="70"/>
      <c r="B260" s="46"/>
      <c r="C260" s="46"/>
      <c r="D260" s="34" t="e">
        <f>INDEX('Equipment list'!$B$227:$B$256, (MATCH(C260,'Equipment list'!$D$227:$D$256,0)),1)</f>
        <v>#N/A</v>
      </c>
      <c r="E260" s="34" t="e">
        <f>INDEX('Equipment list'!$C$227:$C$256, (MATCH(C260,'Equipment list'!$D$227:$D$256,0)),1)</f>
        <v>#N/A</v>
      </c>
      <c r="F260" s="34">
        <f t="shared" si="20"/>
        <v>0</v>
      </c>
      <c r="G260" s="34">
        <f t="shared" si="21"/>
        <v>0</v>
      </c>
      <c r="H260" s="34" t="e">
        <f t="shared" si="22"/>
        <v>#N/A</v>
      </c>
      <c r="I260" s="34" t="e">
        <f t="shared" si="23"/>
        <v>#N/A</v>
      </c>
      <c r="J260" s="45"/>
      <c r="K260" s="46"/>
      <c r="L260" s="49"/>
      <c r="M260" s="39"/>
      <c r="N260" s="39"/>
      <c r="O260" s="37">
        <f t="shared" si="24"/>
        <v>0</v>
      </c>
      <c r="P260" s="44"/>
      <c r="Q260" s="44"/>
    </row>
    <row r="261" spans="1:17" x14ac:dyDescent="0.4">
      <c r="A261" s="70"/>
      <c r="B261" s="46"/>
      <c r="C261" s="46"/>
      <c r="D261" s="34" t="e">
        <f>INDEX('Equipment list'!$B$227:$B$256, (MATCH(C261,'Equipment list'!$D$227:$D$256,0)),1)</f>
        <v>#N/A</v>
      </c>
      <c r="E261" s="34" t="e">
        <f>INDEX('Equipment list'!$C$227:$C$256, (MATCH(C261,'Equipment list'!$D$227:$D$256,0)),1)</f>
        <v>#N/A</v>
      </c>
      <c r="F261" s="34">
        <f t="shared" si="20"/>
        <v>0</v>
      </c>
      <c r="G261" s="34">
        <f t="shared" si="21"/>
        <v>0</v>
      </c>
      <c r="H261" s="34" t="e">
        <f t="shared" si="22"/>
        <v>#N/A</v>
      </c>
      <c r="I261" s="34" t="e">
        <f t="shared" si="23"/>
        <v>#N/A</v>
      </c>
      <c r="J261" s="45"/>
      <c r="K261" s="46"/>
      <c r="L261" s="49"/>
      <c r="M261" s="39"/>
      <c r="N261" s="39"/>
      <c r="O261" s="37">
        <f t="shared" si="24"/>
        <v>0</v>
      </c>
      <c r="P261" s="44"/>
      <c r="Q261" s="44"/>
    </row>
    <row r="262" spans="1:17" x14ac:dyDescent="0.4">
      <c r="A262" s="70"/>
      <c r="B262" s="46"/>
      <c r="C262" s="46"/>
      <c r="D262" s="34" t="e">
        <f>INDEX('Equipment list'!$B$227:$B$256, (MATCH(C262,'Equipment list'!$D$227:$D$256,0)),1)</f>
        <v>#N/A</v>
      </c>
      <c r="E262" s="34" t="e">
        <f>INDEX('Equipment list'!$C$227:$C$256, (MATCH(C262,'Equipment list'!$D$227:$D$256,0)),1)</f>
        <v>#N/A</v>
      </c>
      <c r="F262" s="34">
        <f t="shared" ref="F262:F325" si="25">P262*4</f>
        <v>0</v>
      </c>
      <c r="G262" s="34">
        <f t="shared" ref="G262:G325" si="26">Q262*4</f>
        <v>0</v>
      </c>
      <c r="H262" s="34" t="e">
        <f t="shared" ref="H262:H325" si="27">(F262-D262)/D262*100</f>
        <v>#N/A</v>
      </c>
      <c r="I262" s="34" t="e">
        <f t="shared" ref="I262:I325" si="28">(G262-E262)/E262*100</f>
        <v>#N/A</v>
      </c>
      <c r="J262" s="45"/>
      <c r="K262" s="46"/>
      <c r="L262" s="49"/>
      <c r="M262" s="39"/>
      <c r="N262" s="39"/>
      <c r="O262" s="37">
        <f t="shared" ref="O262:O325" si="29">C262</f>
        <v>0</v>
      </c>
      <c r="P262" s="44"/>
      <c r="Q262" s="44"/>
    </row>
    <row r="263" spans="1:17" x14ac:dyDescent="0.4">
      <c r="A263" s="70"/>
      <c r="B263" s="46"/>
      <c r="C263" s="46"/>
      <c r="D263" s="34" t="e">
        <f>INDEX('Equipment list'!$B$227:$B$256, (MATCH(C263,'Equipment list'!$D$227:$D$256,0)),1)</f>
        <v>#N/A</v>
      </c>
      <c r="E263" s="34" t="e">
        <f>INDEX('Equipment list'!$C$227:$C$256, (MATCH(C263,'Equipment list'!$D$227:$D$256,0)),1)</f>
        <v>#N/A</v>
      </c>
      <c r="F263" s="34">
        <f t="shared" si="25"/>
        <v>0</v>
      </c>
      <c r="G263" s="34">
        <f t="shared" si="26"/>
        <v>0</v>
      </c>
      <c r="H263" s="34" t="e">
        <f t="shared" si="27"/>
        <v>#N/A</v>
      </c>
      <c r="I263" s="34" t="e">
        <f t="shared" si="28"/>
        <v>#N/A</v>
      </c>
      <c r="J263" s="45"/>
      <c r="K263" s="46"/>
      <c r="L263" s="49"/>
      <c r="M263" s="39"/>
      <c r="N263" s="39"/>
      <c r="O263" s="37">
        <f t="shared" si="29"/>
        <v>0</v>
      </c>
      <c r="P263" s="44"/>
      <c r="Q263" s="44"/>
    </row>
    <row r="264" spans="1:17" x14ac:dyDescent="0.4">
      <c r="A264" s="70"/>
      <c r="B264" s="46"/>
      <c r="C264" s="46"/>
      <c r="D264" s="34" t="e">
        <f>INDEX('Equipment list'!$B$227:$B$256, (MATCH(C264,'Equipment list'!$D$227:$D$256,0)),1)</f>
        <v>#N/A</v>
      </c>
      <c r="E264" s="34" t="e">
        <f>INDEX('Equipment list'!$C$227:$C$256, (MATCH(C264,'Equipment list'!$D$227:$D$256,0)),1)</f>
        <v>#N/A</v>
      </c>
      <c r="F264" s="34">
        <f t="shared" si="25"/>
        <v>0</v>
      </c>
      <c r="G264" s="34">
        <f t="shared" si="26"/>
        <v>0</v>
      </c>
      <c r="H264" s="34" t="e">
        <f t="shared" si="27"/>
        <v>#N/A</v>
      </c>
      <c r="I264" s="34" t="e">
        <f t="shared" si="28"/>
        <v>#N/A</v>
      </c>
      <c r="J264" s="45"/>
      <c r="K264" s="46"/>
      <c r="L264" s="49"/>
      <c r="M264" s="39"/>
      <c r="N264" s="39"/>
      <c r="O264" s="37">
        <f t="shared" si="29"/>
        <v>0</v>
      </c>
      <c r="P264" s="44"/>
      <c r="Q264" s="44"/>
    </row>
    <row r="265" spans="1:17" x14ac:dyDescent="0.4">
      <c r="A265" s="70"/>
      <c r="B265" s="46"/>
      <c r="C265" s="46"/>
      <c r="D265" s="34" t="e">
        <f>INDEX('Equipment list'!$B$227:$B$256, (MATCH(C265,'Equipment list'!$D$227:$D$256,0)),1)</f>
        <v>#N/A</v>
      </c>
      <c r="E265" s="34" t="e">
        <f>INDEX('Equipment list'!$C$227:$C$256, (MATCH(C265,'Equipment list'!$D$227:$D$256,0)),1)</f>
        <v>#N/A</v>
      </c>
      <c r="F265" s="34">
        <f t="shared" si="25"/>
        <v>0</v>
      </c>
      <c r="G265" s="34">
        <f t="shared" si="26"/>
        <v>0</v>
      </c>
      <c r="H265" s="34" t="e">
        <f t="shared" si="27"/>
        <v>#N/A</v>
      </c>
      <c r="I265" s="34" t="e">
        <f t="shared" si="28"/>
        <v>#N/A</v>
      </c>
      <c r="J265" s="45"/>
      <c r="K265" s="46"/>
      <c r="L265" s="49"/>
      <c r="M265" s="39"/>
      <c r="N265" s="39"/>
      <c r="O265" s="37">
        <f t="shared" si="29"/>
        <v>0</v>
      </c>
      <c r="P265" s="44"/>
      <c r="Q265" s="44"/>
    </row>
    <row r="266" spans="1:17" x14ac:dyDescent="0.4">
      <c r="A266" s="70"/>
      <c r="B266" s="46"/>
      <c r="C266" s="46"/>
      <c r="D266" s="34" t="e">
        <f>INDEX('Equipment list'!$B$227:$B$256, (MATCH(C266,'Equipment list'!$D$227:$D$256,0)),1)</f>
        <v>#N/A</v>
      </c>
      <c r="E266" s="34" t="e">
        <f>INDEX('Equipment list'!$C$227:$C$256, (MATCH(C266,'Equipment list'!$D$227:$D$256,0)),1)</f>
        <v>#N/A</v>
      </c>
      <c r="F266" s="34">
        <f t="shared" si="25"/>
        <v>0</v>
      </c>
      <c r="G266" s="34">
        <f t="shared" si="26"/>
        <v>0</v>
      </c>
      <c r="H266" s="34" t="e">
        <f t="shared" si="27"/>
        <v>#N/A</v>
      </c>
      <c r="I266" s="34" t="e">
        <f t="shared" si="28"/>
        <v>#N/A</v>
      </c>
      <c r="J266" s="45"/>
      <c r="K266" s="46"/>
      <c r="L266" s="49"/>
      <c r="M266" s="39"/>
      <c r="N266" s="39"/>
      <c r="O266" s="37">
        <f t="shared" si="29"/>
        <v>0</v>
      </c>
      <c r="P266" s="44"/>
      <c r="Q266" s="44"/>
    </row>
    <row r="267" spans="1:17" x14ac:dyDescent="0.4">
      <c r="A267" s="70"/>
      <c r="B267" s="46"/>
      <c r="C267" s="46"/>
      <c r="D267" s="34" t="e">
        <f>INDEX('Equipment list'!$B$227:$B$256, (MATCH(C267,'Equipment list'!$D$227:$D$256,0)),1)</f>
        <v>#N/A</v>
      </c>
      <c r="E267" s="34" t="e">
        <f>INDEX('Equipment list'!$C$227:$C$256, (MATCH(C267,'Equipment list'!$D$227:$D$256,0)),1)</f>
        <v>#N/A</v>
      </c>
      <c r="F267" s="34">
        <f t="shared" si="25"/>
        <v>0</v>
      </c>
      <c r="G267" s="34">
        <f t="shared" si="26"/>
        <v>0</v>
      </c>
      <c r="H267" s="34" t="e">
        <f t="shared" si="27"/>
        <v>#N/A</v>
      </c>
      <c r="I267" s="34" t="e">
        <f t="shared" si="28"/>
        <v>#N/A</v>
      </c>
      <c r="J267" s="45"/>
      <c r="K267" s="46"/>
      <c r="L267" s="49"/>
      <c r="M267" s="39"/>
      <c r="N267" s="39"/>
      <c r="O267" s="37">
        <f t="shared" si="29"/>
        <v>0</v>
      </c>
      <c r="P267" s="44"/>
      <c r="Q267" s="44"/>
    </row>
    <row r="268" spans="1:17" x14ac:dyDescent="0.4">
      <c r="A268" s="70"/>
      <c r="B268" s="46"/>
      <c r="C268" s="46"/>
      <c r="D268" s="34" t="e">
        <f>INDEX('Equipment list'!$B$227:$B$256, (MATCH(C268,'Equipment list'!$D$227:$D$256,0)),1)</f>
        <v>#N/A</v>
      </c>
      <c r="E268" s="34" t="e">
        <f>INDEX('Equipment list'!$C$227:$C$256, (MATCH(C268,'Equipment list'!$D$227:$D$256,0)),1)</f>
        <v>#N/A</v>
      </c>
      <c r="F268" s="34">
        <f t="shared" si="25"/>
        <v>0</v>
      </c>
      <c r="G268" s="34">
        <f t="shared" si="26"/>
        <v>0</v>
      </c>
      <c r="H268" s="34" t="e">
        <f t="shared" si="27"/>
        <v>#N/A</v>
      </c>
      <c r="I268" s="34" t="e">
        <f t="shared" si="28"/>
        <v>#N/A</v>
      </c>
      <c r="J268" s="45"/>
      <c r="K268" s="46"/>
      <c r="L268" s="49"/>
      <c r="M268" s="39"/>
      <c r="N268" s="39"/>
      <c r="O268" s="37">
        <f t="shared" si="29"/>
        <v>0</v>
      </c>
      <c r="P268" s="44"/>
      <c r="Q268" s="44"/>
    </row>
    <row r="269" spans="1:17" x14ac:dyDescent="0.4">
      <c r="A269" s="70"/>
      <c r="B269" s="46"/>
      <c r="C269" s="46"/>
      <c r="D269" s="34" t="e">
        <f>INDEX('Equipment list'!$B$227:$B$256, (MATCH(C269,'Equipment list'!$D$227:$D$256,0)),1)</f>
        <v>#N/A</v>
      </c>
      <c r="E269" s="34" t="e">
        <f>INDEX('Equipment list'!$C$227:$C$256, (MATCH(C269,'Equipment list'!$D$227:$D$256,0)),1)</f>
        <v>#N/A</v>
      </c>
      <c r="F269" s="34">
        <f t="shared" si="25"/>
        <v>0</v>
      </c>
      <c r="G269" s="34">
        <f t="shared" si="26"/>
        <v>0</v>
      </c>
      <c r="H269" s="34" t="e">
        <f t="shared" si="27"/>
        <v>#N/A</v>
      </c>
      <c r="I269" s="34" t="e">
        <f t="shared" si="28"/>
        <v>#N/A</v>
      </c>
      <c r="J269" s="45"/>
      <c r="K269" s="46"/>
      <c r="L269" s="49"/>
      <c r="M269" s="39"/>
      <c r="N269" s="39"/>
      <c r="O269" s="37">
        <f t="shared" si="29"/>
        <v>0</v>
      </c>
      <c r="P269" s="44"/>
      <c r="Q269" s="44"/>
    </row>
    <row r="270" spans="1:17" x14ac:dyDescent="0.4">
      <c r="A270" s="70"/>
      <c r="B270" s="46"/>
      <c r="C270" s="46"/>
      <c r="D270" s="34" t="e">
        <f>INDEX('Equipment list'!$B$227:$B$256, (MATCH(C270,'Equipment list'!$D$227:$D$256,0)),1)</f>
        <v>#N/A</v>
      </c>
      <c r="E270" s="34" t="e">
        <f>INDEX('Equipment list'!$C$227:$C$256, (MATCH(C270,'Equipment list'!$D$227:$D$256,0)),1)</f>
        <v>#N/A</v>
      </c>
      <c r="F270" s="34">
        <f t="shared" si="25"/>
        <v>0</v>
      </c>
      <c r="G270" s="34">
        <f t="shared" si="26"/>
        <v>0</v>
      </c>
      <c r="H270" s="34" t="e">
        <f t="shared" si="27"/>
        <v>#N/A</v>
      </c>
      <c r="I270" s="34" t="e">
        <f t="shared" si="28"/>
        <v>#N/A</v>
      </c>
      <c r="J270" s="45"/>
      <c r="K270" s="46"/>
      <c r="L270" s="49"/>
      <c r="M270" s="39"/>
      <c r="N270" s="39"/>
      <c r="O270" s="37">
        <f t="shared" si="29"/>
        <v>0</v>
      </c>
      <c r="P270" s="44"/>
      <c r="Q270" s="44"/>
    </row>
    <row r="271" spans="1:17" x14ac:dyDescent="0.4">
      <c r="A271" s="70"/>
      <c r="B271" s="46"/>
      <c r="C271" s="46"/>
      <c r="D271" s="34" t="e">
        <f>INDEX('Equipment list'!$B$227:$B$256, (MATCH(C271,'Equipment list'!$D$227:$D$256,0)),1)</f>
        <v>#N/A</v>
      </c>
      <c r="E271" s="34" t="e">
        <f>INDEX('Equipment list'!$C$227:$C$256, (MATCH(C271,'Equipment list'!$D$227:$D$256,0)),1)</f>
        <v>#N/A</v>
      </c>
      <c r="F271" s="34">
        <f t="shared" si="25"/>
        <v>0</v>
      </c>
      <c r="G271" s="34">
        <f t="shared" si="26"/>
        <v>0</v>
      </c>
      <c r="H271" s="34" t="e">
        <f t="shared" si="27"/>
        <v>#N/A</v>
      </c>
      <c r="I271" s="34" t="e">
        <f t="shared" si="28"/>
        <v>#N/A</v>
      </c>
      <c r="J271" s="45"/>
      <c r="K271" s="46"/>
      <c r="L271" s="49"/>
      <c r="M271" s="39"/>
      <c r="N271" s="39"/>
      <c r="O271" s="37">
        <f t="shared" si="29"/>
        <v>0</v>
      </c>
      <c r="P271" s="44"/>
      <c r="Q271" s="44"/>
    </row>
    <row r="272" spans="1:17" x14ac:dyDescent="0.4">
      <c r="A272" s="70"/>
      <c r="B272" s="46"/>
      <c r="C272" s="46"/>
      <c r="D272" s="34" t="e">
        <f>INDEX('Equipment list'!$B$227:$B$256, (MATCH(C272,'Equipment list'!$D$227:$D$256,0)),1)</f>
        <v>#N/A</v>
      </c>
      <c r="E272" s="34" t="e">
        <f>INDEX('Equipment list'!$C$227:$C$256, (MATCH(C272,'Equipment list'!$D$227:$D$256,0)),1)</f>
        <v>#N/A</v>
      </c>
      <c r="F272" s="34">
        <f t="shared" si="25"/>
        <v>0</v>
      </c>
      <c r="G272" s="34">
        <f t="shared" si="26"/>
        <v>0</v>
      </c>
      <c r="H272" s="34" t="e">
        <f t="shared" si="27"/>
        <v>#N/A</v>
      </c>
      <c r="I272" s="34" t="e">
        <f t="shared" si="28"/>
        <v>#N/A</v>
      </c>
      <c r="J272" s="45"/>
      <c r="K272" s="46"/>
      <c r="L272" s="49"/>
      <c r="M272" s="39"/>
      <c r="N272" s="39"/>
      <c r="O272" s="37">
        <f t="shared" si="29"/>
        <v>0</v>
      </c>
      <c r="P272" s="44"/>
      <c r="Q272" s="44"/>
    </row>
    <row r="273" spans="1:17" x14ac:dyDescent="0.4">
      <c r="A273" s="70"/>
      <c r="B273" s="46"/>
      <c r="C273" s="46"/>
      <c r="D273" s="34" t="e">
        <f>INDEX('Equipment list'!$B$227:$B$256, (MATCH(C273,'Equipment list'!$D$227:$D$256,0)),1)</f>
        <v>#N/A</v>
      </c>
      <c r="E273" s="34" t="e">
        <f>INDEX('Equipment list'!$C$227:$C$256, (MATCH(C273,'Equipment list'!$D$227:$D$256,0)),1)</f>
        <v>#N/A</v>
      </c>
      <c r="F273" s="34">
        <f t="shared" si="25"/>
        <v>0</v>
      </c>
      <c r="G273" s="34">
        <f t="shared" si="26"/>
        <v>0</v>
      </c>
      <c r="H273" s="34" t="e">
        <f t="shared" si="27"/>
        <v>#N/A</v>
      </c>
      <c r="I273" s="34" t="e">
        <f t="shared" si="28"/>
        <v>#N/A</v>
      </c>
      <c r="J273" s="45"/>
      <c r="K273" s="46"/>
      <c r="L273" s="49"/>
      <c r="M273" s="39"/>
      <c r="N273" s="39"/>
      <c r="O273" s="37">
        <f t="shared" si="29"/>
        <v>0</v>
      </c>
      <c r="P273" s="44"/>
      <c r="Q273" s="44"/>
    </row>
    <row r="274" spans="1:17" x14ac:dyDescent="0.4">
      <c r="A274" s="70"/>
      <c r="B274" s="46"/>
      <c r="C274" s="46"/>
      <c r="D274" s="34" t="e">
        <f>INDEX('Equipment list'!$B$227:$B$256, (MATCH(C274,'Equipment list'!$D$227:$D$256,0)),1)</f>
        <v>#N/A</v>
      </c>
      <c r="E274" s="34" t="e">
        <f>INDEX('Equipment list'!$C$227:$C$256, (MATCH(C274,'Equipment list'!$D$227:$D$256,0)),1)</f>
        <v>#N/A</v>
      </c>
      <c r="F274" s="34">
        <f t="shared" si="25"/>
        <v>0</v>
      </c>
      <c r="G274" s="34">
        <f t="shared" si="26"/>
        <v>0</v>
      </c>
      <c r="H274" s="34" t="e">
        <f t="shared" si="27"/>
        <v>#N/A</v>
      </c>
      <c r="I274" s="34" t="e">
        <f t="shared" si="28"/>
        <v>#N/A</v>
      </c>
      <c r="J274" s="45"/>
      <c r="K274" s="46"/>
      <c r="L274" s="49"/>
      <c r="M274" s="39"/>
      <c r="N274" s="39"/>
      <c r="O274" s="37">
        <f t="shared" si="29"/>
        <v>0</v>
      </c>
      <c r="P274" s="44"/>
      <c r="Q274" s="44"/>
    </row>
    <row r="275" spans="1:17" x14ac:dyDescent="0.4">
      <c r="A275" s="70"/>
      <c r="B275" s="46"/>
      <c r="C275" s="46"/>
      <c r="D275" s="34" t="e">
        <f>INDEX('Equipment list'!$B$227:$B$256, (MATCH(C275,'Equipment list'!$D$227:$D$256,0)),1)</f>
        <v>#N/A</v>
      </c>
      <c r="E275" s="34" t="e">
        <f>INDEX('Equipment list'!$C$227:$C$256, (MATCH(C275,'Equipment list'!$D$227:$D$256,0)),1)</f>
        <v>#N/A</v>
      </c>
      <c r="F275" s="34">
        <f t="shared" si="25"/>
        <v>0</v>
      </c>
      <c r="G275" s="34">
        <f t="shared" si="26"/>
        <v>0</v>
      </c>
      <c r="H275" s="34" t="e">
        <f t="shared" si="27"/>
        <v>#N/A</v>
      </c>
      <c r="I275" s="34" t="e">
        <f t="shared" si="28"/>
        <v>#N/A</v>
      </c>
      <c r="J275" s="45"/>
      <c r="K275" s="46"/>
      <c r="L275" s="49"/>
      <c r="M275" s="39"/>
      <c r="N275" s="39"/>
      <c r="O275" s="37">
        <f t="shared" si="29"/>
        <v>0</v>
      </c>
      <c r="P275" s="44"/>
      <c r="Q275" s="44"/>
    </row>
    <row r="276" spans="1:17" x14ac:dyDescent="0.4">
      <c r="A276" s="70"/>
      <c r="B276" s="46"/>
      <c r="C276" s="46"/>
      <c r="D276" s="34" t="e">
        <f>INDEX('Equipment list'!$B$227:$B$256, (MATCH(C276,'Equipment list'!$D$227:$D$256,0)),1)</f>
        <v>#N/A</v>
      </c>
      <c r="E276" s="34" t="e">
        <f>INDEX('Equipment list'!$C$227:$C$256, (MATCH(C276,'Equipment list'!$D$227:$D$256,0)),1)</f>
        <v>#N/A</v>
      </c>
      <c r="F276" s="34">
        <f t="shared" si="25"/>
        <v>0</v>
      </c>
      <c r="G276" s="34">
        <f t="shared" si="26"/>
        <v>0</v>
      </c>
      <c r="H276" s="34" t="e">
        <f t="shared" si="27"/>
        <v>#N/A</v>
      </c>
      <c r="I276" s="34" t="e">
        <f t="shared" si="28"/>
        <v>#N/A</v>
      </c>
      <c r="J276" s="45"/>
      <c r="K276" s="46"/>
      <c r="L276" s="49"/>
      <c r="M276" s="39"/>
      <c r="N276" s="39"/>
      <c r="O276" s="37">
        <f t="shared" si="29"/>
        <v>0</v>
      </c>
      <c r="P276" s="44"/>
      <c r="Q276" s="44"/>
    </row>
    <row r="277" spans="1:17" x14ac:dyDescent="0.4">
      <c r="A277" s="70"/>
      <c r="B277" s="46"/>
      <c r="C277" s="46"/>
      <c r="D277" s="34" t="e">
        <f>INDEX('Equipment list'!$B$227:$B$256, (MATCH(C277,'Equipment list'!$D$227:$D$256,0)),1)</f>
        <v>#N/A</v>
      </c>
      <c r="E277" s="34" t="e">
        <f>INDEX('Equipment list'!$C$227:$C$256, (MATCH(C277,'Equipment list'!$D$227:$D$256,0)),1)</f>
        <v>#N/A</v>
      </c>
      <c r="F277" s="34">
        <f t="shared" si="25"/>
        <v>0</v>
      </c>
      <c r="G277" s="34">
        <f t="shared" si="26"/>
        <v>0</v>
      </c>
      <c r="H277" s="34" t="e">
        <f t="shared" si="27"/>
        <v>#N/A</v>
      </c>
      <c r="I277" s="34" t="e">
        <f t="shared" si="28"/>
        <v>#N/A</v>
      </c>
      <c r="J277" s="45"/>
      <c r="K277" s="46"/>
      <c r="L277" s="49"/>
      <c r="M277" s="39"/>
      <c r="N277" s="39"/>
      <c r="O277" s="37">
        <f t="shared" si="29"/>
        <v>0</v>
      </c>
      <c r="P277" s="44"/>
      <c r="Q277" s="44"/>
    </row>
    <row r="278" spans="1:17" x14ac:dyDescent="0.4">
      <c r="A278" s="70"/>
      <c r="B278" s="46"/>
      <c r="C278" s="46"/>
      <c r="D278" s="34" t="e">
        <f>INDEX('Equipment list'!$B$227:$B$256, (MATCH(C278,'Equipment list'!$D$227:$D$256,0)),1)</f>
        <v>#N/A</v>
      </c>
      <c r="E278" s="34" t="e">
        <f>INDEX('Equipment list'!$C$227:$C$256, (MATCH(C278,'Equipment list'!$D$227:$D$256,0)),1)</f>
        <v>#N/A</v>
      </c>
      <c r="F278" s="34">
        <f t="shared" si="25"/>
        <v>0</v>
      </c>
      <c r="G278" s="34">
        <f t="shared" si="26"/>
        <v>0</v>
      </c>
      <c r="H278" s="34" t="e">
        <f t="shared" si="27"/>
        <v>#N/A</v>
      </c>
      <c r="I278" s="34" t="e">
        <f t="shared" si="28"/>
        <v>#N/A</v>
      </c>
      <c r="J278" s="45"/>
      <c r="K278" s="46"/>
      <c r="L278" s="49"/>
      <c r="M278" s="39"/>
      <c r="N278" s="39"/>
      <c r="O278" s="37">
        <f t="shared" si="29"/>
        <v>0</v>
      </c>
      <c r="P278" s="44"/>
      <c r="Q278" s="44"/>
    </row>
    <row r="279" spans="1:17" x14ac:dyDescent="0.4">
      <c r="A279" s="70"/>
      <c r="B279" s="46"/>
      <c r="C279" s="46"/>
      <c r="D279" s="34" t="e">
        <f>INDEX('Equipment list'!$B$227:$B$256, (MATCH(C279,'Equipment list'!$D$227:$D$256,0)),1)</f>
        <v>#N/A</v>
      </c>
      <c r="E279" s="34" t="e">
        <f>INDEX('Equipment list'!$C$227:$C$256, (MATCH(C279,'Equipment list'!$D$227:$D$256,0)),1)</f>
        <v>#N/A</v>
      </c>
      <c r="F279" s="34">
        <f t="shared" si="25"/>
        <v>0</v>
      </c>
      <c r="G279" s="34">
        <f t="shared" si="26"/>
        <v>0</v>
      </c>
      <c r="H279" s="34" t="e">
        <f t="shared" si="27"/>
        <v>#N/A</v>
      </c>
      <c r="I279" s="34" t="e">
        <f t="shared" si="28"/>
        <v>#N/A</v>
      </c>
      <c r="J279" s="45"/>
      <c r="K279" s="46"/>
      <c r="L279" s="49"/>
      <c r="M279" s="39"/>
      <c r="N279" s="39"/>
      <c r="O279" s="37">
        <f t="shared" si="29"/>
        <v>0</v>
      </c>
      <c r="P279" s="44"/>
      <c r="Q279" s="44"/>
    </row>
    <row r="280" spans="1:17" x14ac:dyDescent="0.4">
      <c r="A280" s="70"/>
      <c r="B280" s="46"/>
      <c r="C280" s="46"/>
      <c r="D280" s="34" t="e">
        <f>INDEX('Equipment list'!$B$227:$B$256, (MATCH(C280,'Equipment list'!$D$227:$D$256,0)),1)</f>
        <v>#N/A</v>
      </c>
      <c r="E280" s="34" t="e">
        <f>INDEX('Equipment list'!$C$227:$C$256, (MATCH(C280,'Equipment list'!$D$227:$D$256,0)),1)</f>
        <v>#N/A</v>
      </c>
      <c r="F280" s="34">
        <f t="shared" si="25"/>
        <v>0</v>
      </c>
      <c r="G280" s="34">
        <f t="shared" si="26"/>
        <v>0</v>
      </c>
      <c r="H280" s="34" t="e">
        <f t="shared" si="27"/>
        <v>#N/A</v>
      </c>
      <c r="I280" s="34" t="e">
        <f t="shared" si="28"/>
        <v>#N/A</v>
      </c>
      <c r="J280" s="45"/>
      <c r="K280" s="46"/>
      <c r="L280" s="49"/>
      <c r="M280" s="39"/>
      <c r="N280" s="39"/>
      <c r="O280" s="37">
        <f t="shared" si="29"/>
        <v>0</v>
      </c>
      <c r="P280" s="44"/>
      <c r="Q280" s="44"/>
    </row>
    <row r="281" spans="1:17" x14ac:dyDescent="0.4">
      <c r="A281" s="70"/>
      <c r="B281" s="46"/>
      <c r="C281" s="46"/>
      <c r="D281" s="34" t="e">
        <f>INDEX('Equipment list'!$B$227:$B$256, (MATCH(C281,'Equipment list'!$D$227:$D$256,0)),1)</f>
        <v>#N/A</v>
      </c>
      <c r="E281" s="34" t="e">
        <f>INDEX('Equipment list'!$C$227:$C$256, (MATCH(C281,'Equipment list'!$D$227:$D$256,0)),1)</f>
        <v>#N/A</v>
      </c>
      <c r="F281" s="34">
        <f t="shared" si="25"/>
        <v>0</v>
      </c>
      <c r="G281" s="34">
        <f t="shared" si="26"/>
        <v>0</v>
      </c>
      <c r="H281" s="34" t="e">
        <f t="shared" si="27"/>
        <v>#N/A</v>
      </c>
      <c r="I281" s="34" t="e">
        <f t="shared" si="28"/>
        <v>#N/A</v>
      </c>
      <c r="J281" s="45"/>
      <c r="K281" s="46"/>
      <c r="L281" s="49"/>
      <c r="M281" s="39"/>
      <c r="N281" s="39"/>
      <c r="O281" s="37">
        <f t="shared" si="29"/>
        <v>0</v>
      </c>
      <c r="P281" s="44"/>
      <c r="Q281" s="44"/>
    </row>
    <row r="282" spans="1:17" x14ac:dyDescent="0.4">
      <c r="A282" s="70"/>
      <c r="B282" s="46"/>
      <c r="C282" s="46"/>
      <c r="D282" s="34" t="e">
        <f>INDEX('Equipment list'!$B$227:$B$256, (MATCH(C282,'Equipment list'!$D$227:$D$256,0)),1)</f>
        <v>#N/A</v>
      </c>
      <c r="E282" s="34" t="e">
        <f>INDEX('Equipment list'!$C$227:$C$256, (MATCH(C282,'Equipment list'!$D$227:$D$256,0)),1)</f>
        <v>#N/A</v>
      </c>
      <c r="F282" s="34">
        <f t="shared" si="25"/>
        <v>0</v>
      </c>
      <c r="G282" s="34">
        <f t="shared" si="26"/>
        <v>0</v>
      </c>
      <c r="H282" s="34" t="e">
        <f t="shared" si="27"/>
        <v>#N/A</v>
      </c>
      <c r="I282" s="34" t="e">
        <f t="shared" si="28"/>
        <v>#N/A</v>
      </c>
      <c r="J282" s="45"/>
      <c r="K282" s="46"/>
      <c r="L282" s="49"/>
      <c r="M282" s="39"/>
      <c r="N282" s="39"/>
      <c r="O282" s="37">
        <f t="shared" si="29"/>
        <v>0</v>
      </c>
      <c r="P282" s="44"/>
      <c r="Q282" s="44"/>
    </row>
    <row r="283" spans="1:17" x14ac:dyDescent="0.4">
      <c r="A283" s="70"/>
      <c r="B283" s="46"/>
      <c r="C283" s="46"/>
      <c r="D283" s="34" t="e">
        <f>INDEX('Equipment list'!$B$227:$B$256, (MATCH(C283,'Equipment list'!$D$227:$D$256,0)),1)</f>
        <v>#N/A</v>
      </c>
      <c r="E283" s="34" t="e">
        <f>INDEX('Equipment list'!$C$227:$C$256, (MATCH(C283,'Equipment list'!$D$227:$D$256,0)),1)</f>
        <v>#N/A</v>
      </c>
      <c r="F283" s="34">
        <f t="shared" si="25"/>
        <v>0</v>
      </c>
      <c r="G283" s="34">
        <f t="shared" si="26"/>
        <v>0</v>
      </c>
      <c r="H283" s="34" t="e">
        <f t="shared" si="27"/>
        <v>#N/A</v>
      </c>
      <c r="I283" s="34" t="e">
        <f t="shared" si="28"/>
        <v>#N/A</v>
      </c>
      <c r="J283" s="45"/>
      <c r="K283" s="46"/>
      <c r="L283" s="49"/>
      <c r="M283" s="39"/>
      <c r="N283" s="39"/>
      <c r="O283" s="37">
        <f t="shared" si="29"/>
        <v>0</v>
      </c>
      <c r="P283" s="44"/>
      <c r="Q283" s="44"/>
    </row>
    <row r="284" spans="1:17" x14ac:dyDescent="0.4">
      <c r="A284" s="70"/>
      <c r="B284" s="46"/>
      <c r="C284" s="46"/>
      <c r="D284" s="34" t="e">
        <f>INDEX('Equipment list'!$B$227:$B$256, (MATCH(C284,'Equipment list'!$D$227:$D$256,0)),1)</f>
        <v>#N/A</v>
      </c>
      <c r="E284" s="34" t="e">
        <f>INDEX('Equipment list'!$C$227:$C$256, (MATCH(C284,'Equipment list'!$D$227:$D$256,0)),1)</f>
        <v>#N/A</v>
      </c>
      <c r="F284" s="34">
        <f t="shared" si="25"/>
        <v>0</v>
      </c>
      <c r="G284" s="34">
        <f t="shared" si="26"/>
        <v>0</v>
      </c>
      <c r="H284" s="34" t="e">
        <f t="shared" si="27"/>
        <v>#N/A</v>
      </c>
      <c r="I284" s="34" t="e">
        <f t="shared" si="28"/>
        <v>#N/A</v>
      </c>
      <c r="J284" s="45"/>
      <c r="K284" s="46"/>
      <c r="L284" s="49"/>
      <c r="M284" s="39"/>
      <c r="N284" s="39"/>
      <c r="O284" s="37">
        <f t="shared" si="29"/>
        <v>0</v>
      </c>
      <c r="P284" s="44"/>
      <c r="Q284" s="44"/>
    </row>
    <row r="285" spans="1:17" x14ac:dyDescent="0.4">
      <c r="A285" s="70"/>
      <c r="B285" s="46"/>
      <c r="C285" s="46"/>
      <c r="D285" s="34" t="e">
        <f>INDEX('Equipment list'!$B$227:$B$256, (MATCH(C285,'Equipment list'!$D$227:$D$256,0)),1)</f>
        <v>#N/A</v>
      </c>
      <c r="E285" s="34" t="e">
        <f>INDEX('Equipment list'!$C$227:$C$256, (MATCH(C285,'Equipment list'!$D$227:$D$256,0)),1)</f>
        <v>#N/A</v>
      </c>
      <c r="F285" s="34">
        <f t="shared" si="25"/>
        <v>0</v>
      </c>
      <c r="G285" s="34">
        <f t="shared" si="26"/>
        <v>0</v>
      </c>
      <c r="H285" s="34" t="e">
        <f t="shared" si="27"/>
        <v>#N/A</v>
      </c>
      <c r="I285" s="34" t="e">
        <f t="shared" si="28"/>
        <v>#N/A</v>
      </c>
      <c r="J285" s="45"/>
      <c r="K285" s="46"/>
      <c r="L285" s="49"/>
      <c r="M285" s="39"/>
      <c r="N285" s="39"/>
      <c r="O285" s="37">
        <f t="shared" si="29"/>
        <v>0</v>
      </c>
      <c r="P285" s="44"/>
      <c r="Q285" s="44"/>
    </row>
    <row r="286" spans="1:17" x14ac:dyDescent="0.4">
      <c r="A286" s="70"/>
      <c r="B286" s="46"/>
      <c r="C286" s="46"/>
      <c r="D286" s="34" t="e">
        <f>INDEX('Equipment list'!$B$227:$B$256, (MATCH(C286,'Equipment list'!$D$227:$D$256,0)),1)</f>
        <v>#N/A</v>
      </c>
      <c r="E286" s="34" t="e">
        <f>INDEX('Equipment list'!$C$227:$C$256, (MATCH(C286,'Equipment list'!$D$227:$D$256,0)),1)</f>
        <v>#N/A</v>
      </c>
      <c r="F286" s="34">
        <f t="shared" si="25"/>
        <v>0</v>
      </c>
      <c r="G286" s="34">
        <f t="shared" si="26"/>
        <v>0</v>
      </c>
      <c r="H286" s="34" t="e">
        <f t="shared" si="27"/>
        <v>#N/A</v>
      </c>
      <c r="I286" s="34" t="e">
        <f t="shared" si="28"/>
        <v>#N/A</v>
      </c>
      <c r="J286" s="45"/>
      <c r="K286" s="46"/>
      <c r="L286" s="49"/>
      <c r="M286" s="39"/>
      <c r="N286" s="39"/>
      <c r="O286" s="37">
        <f t="shared" si="29"/>
        <v>0</v>
      </c>
      <c r="P286" s="44"/>
      <c r="Q286" s="44"/>
    </row>
    <row r="287" spans="1:17" x14ac:dyDescent="0.4">
      <c r="A287" s="70"/>
      <c r="B287" s="46"/>
      <c r="C287" s="46"/>
      <c r="D287" s="34" t="e">
        <f>INDEX('Equipment list'!$B$227:$B$256, (MATCH(C287,'Equipment list'!$D$227:$D$256,0)),1)</f>
        <v>#N/A</v>
      </c>
      <c r="E287" s="34" t="e">
        <f>INDEX('Equipment list'!$C$227:$C$256, (MATCH(C287,'Equipment list'!$D$227:$D$256,0)),1)</f>
        <v>#N/A</v>
      </c>
      <c r="F287" s="34">
        <f t="shared" si="25"/>
        <v>0</v>
      </c>
      <c r="G287" s="34">
        <f t="shared" si="26"/>
        <v>0</v>
      </c>
      <c r="H287" s="34" t="e">
        <f t="shared" si="27"/>
        <v>#N/A</v>
      </c>
      <c r="I287" s="34" t="e">
        <f t="shared" si="28"/>
        <v>#N/A</v>
      </c>
      <c r="J287" s="45"/>
      <c r="K287" s="46"/>
      <c r="L287" s="49"/>
      <c r="M287" s="39"/>
      <c r="N287" s="39"/>
      <c r="O287" s="37">
        <f t="shared" si="29"/>
        <v>0</v>
      </c>
      <c r="P287" s="44"/>
      <c r="Q287" s="44"/>
    </row>
    <row r="288" spans="1:17" x14ac:dyDescent="0.4">
      <c r="A288" s="70"/>
      <c r="B288" s="46"/>
      <c r="C288" s="46"/>
      <c r="D288" s="34" t="e">
        <f>INDEX('Equipment list'!$B$227:$B$256, (MATCH(C288,'Equipment list'!$D$227:$D$256,0)),1)</f>
        <v>#N/A</v>
      </c>
      <c r="E288" s="34" t="e">
        <f>INDEX('Equipment list'!$C$227:$C$256, (MATCH(C288,'Equipment list'!$D$227:$D$256,0)),1)</f>
        <v>#N/A</v>
      </c>
      <c r="F288" s="34">
        <f t="shared" si="25"/>
        <v>0</v>
      </c>
      <c r="G288" s="34">
        <f t="shared" si="26"/>
        <v>0</v>
      </c>
      <c r="H288" s="34" t="e">
        <f t="shared" si="27"/>
        <v>#N/A</v>
      </c>
      <c r="I288" s="34" t="e">
        <f t="shared" si="28"/>
        <v>#N/A</v>
      </c>
      <c r="J288" s="45"/>
      <c r="K288" s="46"/>
      <c r="L288" s="49"/>
      <c r="M288" s="39"/>
      <c r="N288" s="39"/>
      <c r="O288" s="37">
        <f t="shared" si="29"/>
        <v>0</v>
      </c>
      <c r="P288" s="44"/>
      <c r="Q288" s="44"/>
    </row>
    <row r="289" spans="1:17" x14ac:dyDescent="0.4">
      <c r="A289" s="70"/>
      <c r="B289" s="46"/>
      <c r="C289" s="46"/>
      <c r="D289" s="34" t="e">
        <f>INDEX('Equipment list'!$B$227:$B$256, (MATCH(C289,'Equipment list'!$D$227:$D$256,0)),1)</f>
        <v>#N/A</v>
      </c>
      <c r="E289" s="34" t="e">
        <f>INDEX('Equipment list'!$C$227:$C$256, (MATCH(C289,'Equipment list'!$D$227:$D$256,0)),1)</f>
        <v>#N/A</v>
      </c>
      <c r="F289" s="34">
        <f t="shared" si="25"/>
        <v>0</v>
      </c>
      <c r="G289" s="34">
        <f t="shared" si="26"/>
        <v>0</v>
      </c>
      <c r="H289" s="34" t="e">
        <f t="shared" si="27"/>
        <v>#N/A</v>
      </c>
      <c r="I289" s="34" t="e">
        <f t="shared" si="28"/>
        <v>#N/A</v>
      </c>
      <c r="J289" s="45"/>
      <c r="K289" s="46"/>
      <c r="L289" s="49"/>
      <c r="M289" s="39"/>
      <c r="N289" s="39"/>
      <c r="O289" s="37">
        <f t="shared" si="29"/>
        <v>0</v>
      </c>
      <c r="P289" s="44"/>
      <c r="Q289" s="44"/>
    </row>
    <row r="290" spans="1:17" x14ac:dyDescent="0.4">
      <c r="A290" s="70"/>
      <c r="B290" s="46"/>
      <c r="C290" s="46"/>
      <c r="D290" s="34" t="e">
        <f>INDEX('Equipment list'!$B$227:$B$256, (MATCH(C290,'Equipment list'!$D$227:$D$256,0)),1)</f>
        <v>#N/A</v>
      </c>
      <c r="E290" s="34" t="e">
        <f>INDEX('Equipment list'!$C$227:$C$256, (MATCH(C290,'Equipment list'!$D$227:$D$256,0)),1)</f>
        <v>#N/A</v>
      </c>
      <c r="F290" s="34">
        <f t="shared" si="25"/>
        <v>0</v>
      </c>
      <c r="G290" s="34">
        <f t="shared" si="26"/>
        <v>0</v>
      </c>
      <c r="H290" s="34" t="e">
        <f t="shared" si="27"/>
        <v>#N/A</v>
      </c>
      <c r="I290" s="34" t="e">
        <f t="shared" si="28"/>
        <v>#N/A</v>
      </c>
      <c r="J290" s="45"/>
      <c r="K290" s="46"/>
      <c r="L290" s="49"/>
      <c r="M290" s="39"/>
      <c r="N290" s="39"/>
      <c r="O290" s="37">
        <f t="shared" si="29"/>
        <v>0</v>
      </c>
      <c r="P290" s="44"/>
      <c r="Q290" s="44"/>
    </row>
    <row r="291" spans="1:17" x14ac:dyDescent="0.4">
      <c r="A291" s="70"/>
      <c r="B291" s="46"/>
      <c r="C291" s="46"/>
      <c r="D291" s="34" t="e">
        <f>INDEX('Equipment list'!$B$227:$B$256, (MATCH(C291,'Equipment list'!$D$227:$D$256,0)),1)</f>
        <v>#N/A</v>
      </c>
      <c r="E291" s="34" t="e">
        <f>INDEX('Equipment list'!$C$227:$C$256, (MATCH(C291,'Equipment list'!$D$227:$D$256,0)),1)</f>
        <v>#N/A</v>
      </c>
      <c r="F291" s="34">
        <f t="shared" si="25"/>
        <v>0</v>
      </c>
      <c r="G291" s="34">
        <f t="shared" si="26"/>
        <v>0</v>
      </c>
      <c r="H291" s="34" t="e">
        <f t="shared" si="27"/>
        <v>#N/A</v>
      </c>
      <c r="I291" s="34" t="e">
        <f t="shared" si="28"/>
        <v>#N/A</v>
      </c>
      <c r="J291" s="45"/>
      <c r="K291" s="46"/>
      <c r="L291" s="49"/>
      <c r="M291" s="39"/>
      <c r="N291" s="39"/>
      <c r="O291" s="37">
        <f t="shared" si="29"/>
        <v>0</v>
      </c>
      <c r="P291" s="44"/>
      <c r="Q291" s="44"/>
    </row>
    <row r="292" spans="1:17" x14ac:dyDescent="0.4">
      <c r="A292" s="70"/>
      <c r="B292" s="46"/>
      <c r="C292" s="46"/>
      <c r="D292" s="34" t="e">
        <f>INDEX('Equipment list'!$B$227:$B$256, (MATCH(C292,'Equipment list'!$D$227:$D$256,0)),1)</f>
        <v>#N/A</v>
      </c>
      <c r="E292" s="34" t="e">
        <f>INDEX('Equipment list'!$C$227:$C$256, (MATCH(C292,'Equipment list'!$D$227:$D$256,0)),1)</f>
        <v>#N/A</v>
      </c>
      <c r="F292" s="34">
        <f t="shared" si="25"/>
        <v>0</v>
      </c>
      <c r="G292" s="34">
        <f t="shared" si="26"/>
        <v>0</v>
      </c>
      <c r="H292" s="34" t="e">
        <f t="shared" si="27"/>
        <v>#N/A</v>
      </c>
      <c r="I292" s="34" t="e">
        <f t="shared" si="28"/>
        <v>#N/A</v>
      </c>
      <c r="J292" s="45"/>
      <c r="K292" s="46"/>
      <c r="L292" s="49"/>
      <c r="M292" s="39"/>
      <c r="N292" s="39"/>
      <c r="O292" s="37">
        <f t="shared" si="29"/>
        <v>0</v>
      </c>
      <c r="P292" s="44"/>
      <c r="Q292" s="44"/>
    </row>
    <row r="293" spans="1:17" x14ac:dyDescent="0.4">
      <c r="A293" s="70"/>
      <c r="B293" s="46"/>
      <c r="C293" s="46"/>
      <c r="D293" s="34" t="e">
        <f>INDEX('Equipment list'!$B$227:$B$256, (MATCH(C293,'Equipment list'!$D$227:$D$256,0)),1)</f>
        <v>#N/A</v>
      </c>
      <c r="E293" s="34" t="e">
        <f>INDEX('Equipment list'!$C$227:$C$256, (MATCH(C293,'Equipment list'!$D$227:$D$256,0)),1)</f>
        <v>#N/A</v>
      </c>
      <c r="F293" s="34">
        <f t="shared" si="25"/>
        <v>0</v>
      </c>
      <c r="G293" s="34">
        <f t="shared" si="26"/>
        <v>0</v>
      </c>
      <c r="H293" s="34" t="e">
        <f t="shared" si="27"/>
        <v>#N/A</v>
      </c>
      <c r="I293" s="34" t="e">
        <f t="shared" si="28"/>
        <v>#N/A</v>
      </c>
      <c r="J293" s="45"/>
      <c r="K293" s="46"/>
      <c r="L293" s="49"/>
      <c r="M293" s="39"/>
      <c r="N293" s="39"/>
      <c r="O293" s="37">
        <f t="shared" si="29"/>
        <v>0</v>
      </c>
      <c r="P293" s="44"/>
      <c r="Q293" s="44"/>
    </row>
    <row r="294" spans="1:17" x14ac:dyDescent="0.4">
      <c r="A294" s="70"/>
      <c r="B294" s="46"/>
      <c r="C294" s="46"/>
      <c r="D294" s="34" t="e">
        <f>INDEX('Equipment list'!$B$227:$B$256, (MATCH(C294,'Equipment list'!$D$227:$D$256,0)),1)</f>
        <v>#N/A</v>
      </c>
      <c r="E294" s="34" t="e">
        <f>INDEX('Equipment list'!$C$227:$C$256, (MATCH(C294,'Equipment list'!$D$227:$D$256,0)),1)</f>
        <v>#N/A</v>
      </c>
      <c r="F294" s="34">
        <f t="shared" si="25"/>
        <v>0</v>
      </c>
      <c r="G294" s="34">
        <f t="shared" si="26"/>
        <v>0</v>
      </c>
      <c r="H294" s="34" t="e">
        <f t="shared" si="27"/>
        <v>#N/A</v>
      </c>
      <c r="I294" s="34" t="e">
        <f t="shared" si="28"/>
        <v>#N/A</v>
      </c>
      <c r="J294" s="45"/>
      <c r="K294" s="46"/>
      <c r="L294" s="49"/>
      <c r="M294" s="39"/>
      <c r="N294" s="39"/>
      <c r="O294" s="37">
        <f t="shared" si="29"/>
        <v>0</v>
      </c>
      <c r="P294" s="44"/>
      <c r="Q294" s="44"/>
    </row>
    <row r="295" spans="1:17" x14ac:dyDescent="0.4">
      <c r="A295" s="70"/>
      <c r="B295" s="46"/>
      <c r="C295" s="46"/>
      <c r="D295" s="34" t="e">
        <f>INDEX('Equipment list'!$B$227:$B$256, (MATCH(C295,'Equipment list'!$D$227:$D$256,0)),1)</f>
        <v>#N/A</v>
      </c>
      <c r="E295" s="34" t="e">
        <f>INDEX('Equipment list'!$C$227:$C$256, (MATCH(C295,'Equipment list'!$D$227:$D$256,0)),1)</f>
        <v>#N/A</v>
      </c>
      <c r="F295" s="34">
        <f t="shared" si="25"/>
        <v>0</v>
      </c>
      <c r="G295" s="34">
        <f t="shared" si="26"/>
        <v>0</v>
      </c>
      <c r="H295" s="34" t="e">
        <f t="shared" si="27"/>
        <v>#N/A</v>
      </c>
      <c r="I295" s="34" t="e">
        <f t="shared" si="28"/>
        <v>#N/A</v>
      </c>
      <c r="J295" s="45"/>
      <c r="K295" s="46"/>
      <c r="L295" s="49"/>
      <c r="M295" s="39"/>
      <c r="N295" s="39"/>
      <c r="O295" s="37">
        <f t="shared" si="29"/>
        <v>0</v>
      </c>
      <c r="P295" s="44"/>
      <c r="Q295" s="44"/>
    </row>
    <row r="296" spans="1:17" x14ac:dyDescent="0.4">
      <c r="A296" s="70"/>
      <c r="B296" s="46"/>
      <c r="C296" s="46"/>
      <c r="D296" s="34" t="e">
        <f>INDEX('Equipment list'!$B$227:$B$256, (MATCH(C296,'Equipment list'!$D$227:$D$256,0)),1)</f>
        <v>#N/A</v>
      </c>
      <c r="E296" s="34" t="e">
        <f>INDEX('Equipment list'!$C$227:$C$256, (MATCH(C296,'Equipment list'!$D$227:$D$256,0)),1)</f>
        <v>#N/A</v>
      </c>
      <c r="F296" s="34">
        <f t="shared" si="25"/>
        <v>0</v>
      </c>
      <c r="G296" s="34">
        <f t="shared" si="26"/>
        <v>0</v>
      </c>
      <c r="H296" s="34" t="e">
        <f t="shared" si="27"/>
        <v>#N/A</v>
      </c>
      <c r="I296" s="34" t="e">
        <f t="shared" si="28"/>
        <v>#N/A</v>
      </c>
      <c r="J296" s="45"/>
      <c r="K296" s="46"/>
      <c r="L296" s="49"/>
      <c r="M296" s="39"/>
      <c r="N296" s="39"/>
      <c r="O296" s="37">
        <f t="shared" si="29"/>
        <v>0</v>
      </c>
      <c r="P296" s="44"/>
      <c r="Q296" s="44"/>
    </row>
    <row r="297" spans="1:17" x14ac:dyDescent="0.4">
      <c r="A297" s="70"/>
      <c r="B297" s="46"/>
      <c r="C297" s="46"/>
      <c r="D297" s="34" t="e">
        <f>INDEX('Equipment list'!$B$227:$B$256, (MATCH(C297,'Equipment list'!$D$227:$D$256,0)),1)</f>
        <v>#N/A</v>
      </c>
      <c r="E297" s="34" t="e">
        <f>INDEX('Equipment list'!$C$227:$C$256, (MATCH(C297,'Equipment list'!$D$227:$D$256,0)),1)</f>
        <v>#N/A</v>
      </c>
      <c r="F297" s="34">
        <f t="shared" si="25"/>
        <v>0</v>
      </c>
      <c r="G297" s="34">
        <f t="shared" si="26"/>
        <v>0</v>
      </c>
      <c r="H297" s="34" t="e">
        <f t="shared" si="27"/>
        <v>#N/A</v>
      </c>
      <c r="I297" s="34" t="e">
        <f t="shared" si="28"/>
        <v>#N/A</v>
      </c>
      <c r="J297" s="45"/>
      <c r="K297" s="46"/>
      <c r="L297" s="49"/>
      <c r="M297" s="39"/>
      <c r="N297" s="39"/>
      <c r="O297" s="37">
        <f t="shared" si="29"/>
        <v>0</v>
      </c>
      <c r="P297" s="44"/>
      <c r="Q297" s="44"/>
    </row>
    <row r="298" spans="1:17" x14ac:dyDescent="0.4">
      <c r="A298" s="70"/>
      <c r="B298" s="46"/>
      <c r="C298" s="46"/>
      <c r="D298" s="34" t="e">
        <f>INDEX('Equipment list'!$B$227:$B$256, (MATCH(C298,'Equipment list'!$D$227:$D$256,0)),1)</f>
        <v>#N/A</v>
      </c>
      <c r="E298" s="34" t="e">
        <f>INDEX('Equipment list'!$C$227:$C$256, (MATCH(C298,'Equipment list'!$D$227:$D$256,0)),1)</f>
        <v>#N/A</v>
      </c>
      <c r="F298" s="34">
        <f t="shared" si="25"/>
        <v>0</v>
      </c>
      <c r="G298" s="34">
        <f t="shared" si="26"/>
        <v>0</v>
      </c>
      <c r="H298" s="34" t="e">
        <f t="shared" si="27"/>
        <v>#N/A</v>
      </c>
      <c r="I298" s="34" t="e">
        <f t="shared" si="28"/>
        <v>#N/A</v>
      </c>
      <c r="J298" s="45"/>
      <c r="K298" s="46"/>
      <c r="L298" s="49"/>
      <c r="M298" s="39"/>
      <c r="N298" s="39"/>
      <c r="O298" s="37">
        <f t="shared" si="29"/>
        <v>0</v>
      </c>
      <c r="P298" s="44"/>
      <c r="Q298" s="44"/>
    </row>
    <row r="299" spans="1:17" x14ac:dyDescent="0.4">
      <c r="A299" s="70"/>
      <c r="B299" s="46"/>
      <c r="C299" s="46"/>
      <c r="D299" s="34" t="e">
        <f>INDEX('Equipment list'!$B$227:$B$256, (MATCH(C299,'Equipment list'!$D$227:$D$256,0)),1)</f>
        <v>#N/A</v>
      </c>
      <c r="E299" s="34" t="e">
        <f>INDEX('Equipment list'!$C$227:$C$256, (MATCH(C299,'Equipment list'!$D$227:$D$256,0)),1)</f>
        <v>#N/A</v>
      </c>
      <c r="F299" s="34">
        <f t="shared" si="25"/>
        <v>0</v>
      </c>
      <c r="G299" s="34">
        <f t="shared" si="26"/>
        <v>0</v>
      </c>
      <c r="H299" s="34" t="e">
        <f t="shared" si="27"/>
        <v>#N/A</v>
      </c>
      <c r="I299" s="34" t="e">
        <f t="shared" si="28"/>
        <v>#N/A</v>
      </c>
      <c r="J299" s="45"/>
      <c r="K299" s="46"/>
      <c r="L299" s="49"/>
      <c r="M299" s="39"/>
      <c r="N299" s="39"/>
      <c r="O299" s="37">
        <f t="shared" si="29"/>
        <v>0</v>
      </c>
      <c r="P299" s="44"/>
      <c r="Q299" s="44"/>
    </row>
    <row r="300" spans="1:17" x14ac:dyDescent="0.4">
      <c r="A300" s="70"/>
      <c r="B300" s="46"/>
      <c r="C300" s="46"/>
      <c r="D300" s="34" t="e">
        <f>INDEX('Equipment list'!$B$227:$B$256, (MATCH(C300,'Equipment list'!$D$227:$D$256,0)),1)</f>
        <v>#N/A</v>
      </c>
      <c r="E300" s="34" t="e">
        <f>INDEX('Equipment list'!$C$227:$C$256, (MATCH(C300,'Equipment list'!$D$227:$D$256,0)),1)</f>
        <v>#N/A</v>
      </c>
      <c r="F300" s="34">
        <f t="shared" si="25"/>
        <v>0</v>
      </c>
      <c r="G300" s="34">
        <f t="shared" si="26"/>
        <v>0</v>
      </c>
      <c r="H300" s="34" t="e">
        <f t="shared" si="27"/>
        <v>#N/A</v>
      </c>
      <c r="I300" s="34" t="e">
        <f t="shared" si="28"/>
        <v>#N/A</v>
      </c>
      <c r="J300" s="45"/>
      <c r="K300" s="46"/>
      <c r="L300" s="49"/>
      <c r="M300" s="39"/>
      <c r="N300" s="39"/>
      <c r="O300" s="37">
        <f t="shared" si="29"/>
        <v>0</v>
      </c>
      <c r="P300" s="44"/>
      <c r="Q300" s="44"/>
    </row>
    <row r="301" spans="1:17" x14ac:dyDescent="0.4">
      <c r="A301" s="70"/>
      <c r="B301" s="46"/>
      <c r="C301" s="46"/>
      <c r="D301" s="34" t="e">
        <f>INDEX('Equipment list'!$B$227:$B$256, (MATCH(C301,'Equipment list'!$D$227:$D$256,0)),1)</f>
        <v>#N/A</v>
      </c>
      <c r="E301" s="34" t="e">
        <f>INDEX('Equipment list'!$C$227:$C$256, (MATCH(C301,'Equipment list'!$D$227:$D$256,0)),1)</f>
        <v>#N/A</v>
      </c>
      <c r="F301" s="34">
        <f t="shared" si="25"/>
        <v>0</v>
      </c>
      <c r="G301" s="34">
        <f t="shared" si="26"/>
        <v>0</v>
      </c>
      <c r="H301" s="34" t="e">
        <f t="shared" si="27"/>
        <v>#N/A</v>
      </c>
      <c r="I301" s="34" t="e">
        <f t="shared" si="28"/>
        <v>#N/A</v>
      </c>
      <c r="J301" s="45"/>
      <c r="K301" s="46"/>
      <c r="L301" s="49"/>
      <c r="M301" s="39"/>
      <c r="N301" s="39"/>
      <c r="O301" s="37">
        <f t="shared" si="29"/>
        <v>0</v>
      </c>
      <c r="P301" s="44"/>
      <c r="Q301" s="44"/>
    </row>
    <row r="302" spans="1:17" x14ac:dyDescent="0.4">
      <c r="A302" s="70"/>
      <c r="B302" s="46"/>
      <c r="C302" s="46"/>
      <c r="D302" s="34" t="e">
        <f>INDEX('Equipment list'!$B$227:$B$256, (MATCH(C302,'Equipment list'!$D$227:$D$256,0)),1)</f>
        <v>#N/A</v>
      </c>
      <c r="E302" s="34" t="e">
        <f>INDEX('Equipment list'!$C$227:$C$256, (MATCH(C302,'Equipment list'!$D$227:$D$256,0)),1)</f>
        <v>#N/A</v>
      </c>
      <c r="F302" s="34">
        <f t="shared" si="25"/>
        <v>0</v>
      </c>
      <c r="G302" s="34">
        <f t="shared" si="26"/>
        <v>0</v>
      </c>
      <c r="H302" s="34" t="e">
        <f t="shared" si="27"/>
        <v>#N/A</v>
      </c>
      <c r="I302" s="34" t="e">
        <f t="shared" si="28"/>
        <v>#N/A</v>
      </c>
      <c r="J302" s="45"/>
      <c r="K302" s="46"/>
      <c r="L302" s="49"/>
      <c r="M302" s="39"/>
      <c r="N302" s="39"/>
      <c r="O302" s="37">
        <f t="shared" si="29"/>
        <v>0</v>
      </c>
      <c r="P302" s="44"/>
      <c r="Q302" s="44"/>
    </row>
    <row r="303" spans="1:17" x14ac:dyDescent="0.4">
      <c r="A303" s="70"/>
      <c r="B303" s="46"/>
      <c r="C303" s="46"/>
      <c r="D303" s="34" t="e">
        <f>INDEX('Equipment list'!$B$227:$B$256, (MATCH(C303,'Equipment list'!$D$227:$D$256,0)),1)</f>
        <v>#N/A</v>
      </c>
      <c r="E303" s="34" t="e">
        <f>INDEX('Equipment list'!$C$227:$C$256, (MATCH(C303,'Equipment list'!$D$227:$D$256,0)),1)</f>
        <v>#N/A</v>
      </c>
      <c r="F303" s="34">
        <f t="shared" si="25"/>
        <v>0</v>
      </c>
      <c r="G303" s="34">
        <f t="shared" si="26"/>
        <v>0</v>
      </c>
      <c r="H303" s="34" t="e">
        <f t="shared" si="27"/>
        <v>#N/A</v>
      </c>
      <c r="I303" s="34" t="e">
        <f t="shared" si="28"/>
        <v>#N/A</v>
      </c>
      <c r="J303" s="45"/>
      <c r="K303" s="46"/>
      <c r="L303" s="49"/>
      <c r="M303" s="39"/>
      <c r="N303" s="39"/>
      <c r="O303" s="37">
        <f t="shared" si="29"/>
        <v>0</v>
      </c>
      <c r="P303" s="44"/>
      <c r="Q303" s="44"/>
    </row>
    <row r="304" spans="1:17" x14ac:dyDescent="0.4">
      <c r="A304" s="70"/>
      <c r="B304" s="46"/>
      <c r="C304" s="46"/>
      <c r="D304" s="34" t="e">
        <f>INDEX('Equipment list'!$B$227:$B$256, (MATCH(C304,'Equipment list'!$D$227:$D$256,0)),1)</f>
        <v>#N/A</v>
      </c>
      <c r="E304" s="34" t="e">
        <f>INDEX('Equipment list'!$C$227:$C$256, (MATCH(C304,'Equipment list'!$D$227:$D$256,0)),1)</f>
        <v>#N/A</v>
      </c>
      <c r="F304" s="34">
        <f t="shared" si="25"/>
        <v>0</v>
      </c>
      <c r="G304" s="34">
        <f t="shared" si="26"/>
        <v>0</v>
      </c>
      <c r="H304" s="34" t="e">
        <f t="shared" si="27"/>
        <v>#N/A</v>
      </c>
      <c r="I304" s="34" t="e">
        <f t="shared" si="28"/>
        <v>#N/A</v>
      </c>
      <c r="J304" s="45"/>
      <c r="K304" s="46"/>
      <c r="L304" s="49"/>
      <c r="M304" s="39"/>
      <c r="N304" s="39"/>
      <c r="O304" s="37">
        <f t="shared" si="29"/>
        <v>0</v>
      </c>
      <c r="P304" s="44"/>
      <c r="Q304" s="44"/>
    </row>
    <row r="305" spans="1:17" x14ac:dyDescent="0.4">
      <c r="A305" s="70"/>
      <c r="B305" s="46"/>
      <c r="C305" s="46"/>
      <c r="D305" s="34" t="e">
        <f>INDEX('Equipment list'!$B$227:$B$256, (MATCH(C305,'Equipment list'!$D$227:$D$256,0)),1)</f>
        <v>#N/A</v>
      </c>
      <c r="E305" s="34" t="e">
        <f>INDEX('Equipment list'!$C$227:$C$256, (MATCH(C305,'Equipment list'!$D$227:$D$256,0)),1)</f>
        <v>#N/A</v>
      </c>
      <c r="F305" s="34">
        <f t="shared" si="25"/>
        <v>0</v>
      </c>
      <c r="G305" s="34">
        <f t="shared" si="26"/>
        <v>0</v>
      </c>
      <c r="H305" s="34" t="e">
        <f t="shared" si="27"/>
        <v>#N/A</v>
      </c>
      <c r="I305" s="34" t="e">
        <f t="shared" si="28"/>
        <v>#N/A</v>
      </c>
      <c r="J305" s="45"/>
      <c r="K305" s="46"/>
      <c r="L305" s="49"/>
      <c r="M305" s="39"/>
      <c r="N305" s="39"/>
      <c r="O305" s="37">
        <f t="shared" si="29"/>
        <v>0</v>
      </c>
      <c r="P305" s="44"/>
      <c r="Q305" s="44"/>
    </row>
    <row r="306" spans="1:17" x14ac:dyDescent="0.4">
      <c r="A306" s="70"/>
      <c r="B306" s="46"/>
      <c r="C306" s="46"/>
      <c r="D306" s="34" t="e">
        <f>INDEX('Equipment list'!$B$227:$B$256, (MATCH(C306,'Equipment list'!$D$227:$D$256,0)),1)</f>
        <v>#N/A</v>
      </c>
      <c r="E306" s="34" t="e">
        <f>INDEX('Equipment list'!$C$227:$C$256, (MATCH(C306,'Equipment list'!$D$227:$D$256,0)),1)</f>
        <v>#N/A</v>
      </c>
      <c r="F306" s="34">
        <f t="shared" si="25"/>
        <v>0</v>
      </c>
      <c r="G306" s="34">
        <f t="shared" si="26"/>
        <v>0</v>
      </c>
      <c r="H306" s="34" t="e">
        <f t="shared" si="27"/>
        <v>#N/A</v>
      </c>
      <c r="I306" s="34" t="e">
        <f t="shared" si="28"/>
        <v>#N/A</v>
      </c>
      <c r="J306" s="45"/>
      <c r="K306" s="46"/>
      <c r="L306" s="49"/>
      <c r="M306" s="39"/>
      <c r="N306" s="39"/>
      <c r="O306" s="37">
        <f t="shared" si="29"/>
        <v>0</v>
      </c>
      <c r="P306" s="44"/>
      <c r="Q306" s="44"/>
    </row>
    <row r="307" spans="1:17" x14ac:dyDescent="0.4">
      <c r="A307" s="70"/>
      <c r="B307" s="46"/>
      <c r="C307" s="46"/>
      <c r="D307" s="34" t="e">
        <f>INDEX('Equipment list'!$B$227:$B$256, (MATCH(C307,'Equipment list'!$D$227:$D$256,0)),1)</f>
        <v>#N/A</v>
      </c>
      <c r="E307" s="34" t="e">
        <f>INDEX('Equipment list'!$C$227:$C$256, (MATCH(C307,'Equipment list'!$D$227:$D$256,0)),1)</f>
        <v>#N/A</v>
      </c>
      <c r="F307" s="34">
        <f t="shared" si="25"/>
        <v>0</v>
      </c>
      <c r="G307" s="34">
        <f t="shared" si="26"/>
        <v>0</v>
      </c>
      <c r="H307" s="34" t="e">
        <f t="shared" si="27"/>
        <v>#N/A</v>
      </c>
      <c r="I307" s="34" t="e">
        <f t="shared" si="28"/>
        <v>#N/A</v>
      </c>
      <c r="J307" s="45"/>
      <c r="K307" s="46"/>
      <c r="L307" s="49"/>
      <c r="M307" s="39"/>
      <c r="N307" s="39"/>
      <c r="O307" s="37">
        <f t="shared" si="29"/>
        <v>0</v>
      </c>
      <c r="P307" s="44"/>
      <c r="Q307" s="44"/>
    </row>
    <row r="308" spans="1:17" x14ac:dyDescent="0.4">
      <c r="A308" s="70"/>
      <c r="B308" s="46"/>
      <c r="C308" s="46"/>
      <c r="D308" s="34" t="e">
        <f>INDEX('Equipment list'!$B$227:$B$256, (MATCH(C308,'Equipment list'!$D$227:$D$256,0)),1)</f>
        <v>#N/A</v>
      </c>
      <c r="E308" s="34" t="e">
        <f>INDEX('Equipment list'!$C$227:$C$256, (MATCH(C308,'Equipment list'!$D$227:$D$256,0)),1)</f>
        <v>#N/A</v>
      </c>
      <c r="F308" s="34">
        <f t="shared" si="25"/>
        <v>0</v>
      </c>
      <c r="G308" s="34">
        <f t="shared" si="26"/>
        <v>0</v>
      </c>
      <c r="H308" s="34" t="e">
        <f t="shared" si="27"/>
        <v>#N/A</v>
      </c>
      <c r="I308" s="34" t="e">
        <f t="shared" si="28"/>
        <v>#N/A</v>
      </c>
      <c r="J308" s="45"/>
      <c r="K308" s="46"/>
      <c r="L308" s="49"/>
      <c r="M308" s="39"/>
      <c r="N308" s="39"/>
      <c r="O308" s="37">
        <f t="shared" si="29"/>
        <v>0</v>
      </c>
      <c r="P308" s="44"/>
      <c r="Q308" s="44"/>
    </row>
    <row r="309" spans="1:17" x14ac:dyDescent="0.4">
      <c r="A309" s="70"/>
      <c r="B309" s="46"/>
      <c r="C309" s="46"/>
      <c r="D309" s="34" t="e">
        <f>INDEX('Equipment list'!$B$227:$B$256, (MATCH(C309,'Equipment list'!$D$227:$D$256,0)),1)</f>
        <v>#N/A</v>
      </c>
      <c r="E309" s="34" t="e">
        <f>INDEX('Equipment list'!$C$227:$C$256, (MATCH(C309,'Equipment list'!$D$227:$D$256,0)),1)</f>
        <v>#N/A</v>
      </c>
      <c r="F309" s="34">
        <f t="shared" si="25"/>
        <v>0</v>
      </c>
      <c r="G309" s="34">
        <f t="shared" si="26"/>
        <v>0</v>
      </c>
      <c r="H309" s="34" t="e">
        <f t="shared" si="27"/>
        <v>#N/A</v>
      </c>
      <c r="I309" s="34" t="e">
        <f t="shared" si="28"/>
        <v>#N/A</v>
      </c>
      <c r="J309" s="45"/>
      <c r="K309" s="46"/>
      <c r="L309" s="49"/>
      <c r="M309" s="39"/>
      <c r="N309" s="39"/>
      <c r="O309" s="37">
        <f t="shared" si="29"/>
        <v>0</v>
      </c>
      <c r="P309" s="44"/>
      <c r="Q309" s="44"/>
    </row>
    <row r="310" spans="1:17" x14ac:dyDescent="0.4">
      <c r="A310" s="70"/>
      <c r="B310" s="46"/>
      <c r="C310" s="46"/>
      <c r="D310" s="34" t="e">
        <f>INDEX('Equipment list'!$B$227:$B$256, (MATCH(C310,'Equipment list'!$D$227:$D$256,0)),1)</f>
        <v>#N/A</v>
      </c>
      <c r="E310" s="34" t="e">
        <f>INDEX('Equipment list'!$C$227:$C$256, (MATCH(C310,'Equipment list'!$D$227:$D$256,0)),1)</f>
        <v>#N/A</v>
      </c>
      <c r="F310" s="34">
        <f t="shared" si="25"/>
        <v>0</v>
      </c>
      <c r="G310" s="34">
        <f t="shared" si="26"/>
        <v>0</v>
      </c>
      <c r="H310" s="34" t="e">
        <f t="shared" si="27"/>
        <v>#N/A</v>
      </c>
      <c r="I310" s="34" t="e">
        <f t="shared" si="28"/>
        <v>#N/A</v>
      </c>
      <c r="J310" s="45"/>
      <c r="K310" s="46"/>
      <c r="L310" s="49"/>
      <c r="M310" s="39"/>
      <c r="N310" s="39"/>
      <c r="O310" s="37">
        <f t="shared" si="29"/>
        <v>0</v>
      </c>
      <c r="P310" s="44"/>
      <c r="Q310" s="44"/>
    </row>
    <row r="311" spans="1:17" x14ac:dyDescent="0.4">
      <c r="A311" s="70"/>
      <c r="B311" s="46"/>
      <c r="C311" s="46"/>
      <c r="D311" s="34" t="e">
        <f>INDEX('Equipment list'!$B$227:$B$256, (MATCH(C311,'Equipment list'!$D$227:$D$256,0)),1)</f>
        <v>#N/A</v>
      </c>
      <c r="E311" s="34" t="e">
        <f>INDEX('Equipment list'!$C$227:$C$256, (MATCH(C311,'Equipment list'!$D$227:$D$256,0)),1)</f>
        <v>#N/A</v>
      </c>
      <c r="F311" s="34">
        <f t="shared" si="25"/>
        <v>0</v>
      </c>
      <c r="G311" s="34">
        <f t="shared" si="26"/>
        <v>0</v>
      </c>
      <c r="H311" s="34" t="e">
        <f t="shared" si="27"/>
        <v>#N/A</v>
      </c>
      <c r="I311" s="34" t="e">
        <f t="shared" si="28"/>
        <v>#N/A</v>
      </c>
      <c r="J311" s="45"/>
      <c r="K311" s="46"/>
      <c r="L311" s="49"/>
      <c r="M311" s="39"/>
      <c r="N311" s="39"/>
      <c r="O311" s="37">
        <f t="shared" si="29"/>
        <v>0</v>
      </c>
      <c r="P311" s="44"/>
      <c r="Q311" s="44"/>
    </row>
    <row r="312" spans="1:17" x14ac:dyDescent="0.4">
      <c r="A312" s="70"/>
      <c r="B312" s="46"/>
      <c r="C312" s="46"/>
      <c r="D312" s="34" t="e">
        <f>INDEX('Equipment list'!$B$227:$B$256, (MATCH(C312,'Equipment list'!$D$227:$D$256,0)),1)</f>
        <v>#N/A</v>
      </c>
      <c r="E312" s="34" t="e">
        <f>INDEX('Equipment list'!$C$227:$C$256, (MATCH(C312,'Equipment list'!$D$227:$D$256,0)),1)</f>
        <v>#N/A</v>
      </c>
      <c r="F312" s="34">
        <f t="shared" si="25"/>
        <v>0</v>
      </c>
      <c r="G312" s="34">
        <f t="shared" si="26"/>
        <v>0</v>
      </c>
      <c r="H312" s="34" t="e">
        <f t="shared" si="27"/>
        <v>#N/A</v>
      </c>
      <c r="I312" s="34" t="e">
        <f t="shared" si="28"/>
        <v>#N/A</v>
      </c>
      <c r="J312" s="45"/>
      <c r="K312" s="46"/>
      <c r="L312" s="49"/>
      <c r="M312" s="39"/>
      <c r="N312" s="39"/>
      <c r="O312" s="37">
        <f t="shared" si="29"/>
        <v>0</v>
      </c>
      <c r="P312" s="44"/>
      <c r="Q312" s="44"/>
    </row>
    <row r="313" spans="1:17" x14ac:dyDescent="0.4">
      <c r="A313" s="70"/>
      <c r="B313" s="46"/>
      <c r="C313" s="46"/>
      <c r="D313" s="34" t="e">
        <f>INDEX('Equipment list'!$B$227:$B$256, (MATCH(C313,'Equipment list'!$D$227:$D$256,0)),1)</f>
        <v>#N/A</v>
      </c>
      <c r="E313" s="34" t="e">
        <f>INDEX('Equipment list'!$C$227:$C$256, (MATCH(C313,'Equipment list'!$D$227:$D$256,0)),1)</f>
        <v>#N/A</v>
      </c>
      <c r="F313" s="34">
        <f t="shared" si="25"/>
        <v>0</v>
      </c>
      <c r="G313" s="34">
        <f t="shared" si="26"/>
        <v>0</v>
      </c>
      <c r="H313" s="34" t="e">
        <f t="shared" si="27"/>
        <v>#N/A</v>
      </c>
      <c r="I313" s="34" t="e">
        <f t="shared" si="28"/>
        <v>#N/A</v>
      </c>
      <c r="J313" s="45"/>
      <c r="K313" s="46"/>
      <c r="L313" s="49"/>
      <c r="M313" s="39"/>
      <c r="N313" s="39"/>
      <c r="O313" s="37">
        <f t="shared" si="29"/>
        <v>0</v>
      </c>
      <c r="P313" s="44"/>
      <c r="Q313" s="44"/>
    </row>
    <row r="314" spans="1:17" x14ac:dyDescent="0.4">
      <c r="A314" s="70"/>
      <c r="B314" s="46"/>
      <c r="C314" s="46"/>
      <c r="D314" s="34" t="e">
        <f>INDEX('Equipment list'!$B$227:$B$256, (MATCH(C314,'Equipment list'!$D$227:$D$256,0)),1)</f>
        <v>#N/A</v>
      </c>
      <c r="E314" s="34" t="e">
        <f>INDEX('Equipment list'!$C$227:$C$256, (MATCH(C314,'Equipment list'!$D$227:$D$256,0)),1)</f>
        <v>#N/A</v>
      </c>
      <c r="F314" s="34">
        <f t="shared" si="25"/>
        <v>0</v>
      </c>
      <c r="G314" s="34">
        <f t="shared" si="26"/>
        <v>0</v>
      </c>
      <c r="H314" s="34" t="e">
        <f t="shared" si="27"/>
        <v>#N/A</v>
      </c>
      <c r="I314" s="34" t="e">
        <f t="shared" si="28"/>
        <v>#N/A</v>
      </c>
      <c r="J314" s="45"/>
      <c r="K314" s="46"/>
      <c r="L314" s="49"/>
      <c r="M314" s="39"/>
      <c r="N314" s="39"/>
      <c r="O314" s="37">
        <f t="shared" si="29"/>
        <v>0</v>
      </c>
      <c r="P314" s="44"/>
      <c r="Q314" s="44"/>
    </row>
    <row r="315" spans="1:17" x14ac:dyDescent="0.4">
      <c r="A315" s="70"/>
      <c r="B315" s="46"/>
      <c r="C315" s="46"/>
      <c r="D315" s="34" t="e">
        <f>INDEX('Equipment list'!$B$227:$B$256, (MATCH(C315,'Equipment list'!$D$227:$D$256,0)),1)</f>
        <v>#N/A</v>
      </c>
      <c r="E315" s="34" t="e">
        <f>INDEX('Equipment list'!$C$227:$C$256, (MATCH(C315,'Equipment list'!$D$227:$D$256,0)),1)</f>
        <v>#N/A</v>
      </c>
      <c r="F315" s="34">
        <f t="shared" si="25"/>
        <v>0</v>
      </c>
      <c r="G315" s="34">
        <f t="shared" si="26"/>
        <v>0</v>
      </c>
      <c r="H315" s="34" t="e">
        <f t="shared" si="27"/>
        <v>#N/A</v>
      </c>
      <c r="I315" s="34" t="e">
        <f t="shared" si="28"/>
        <v>#N/A</v>
      </c>
      <c r="J315" s="45"/>
      <c r="K315" s="46"/>
      <c r="L315" s="49"/>
      <c r="M315" s="39"/>
      <c r="N315" s="39"/>
      <c r="O315" s="37">
        <f t="shared" si="29"/>
        <v>0</v>
      </c>
      <c r="P315" s="44"/>
      <c r="Q315" s="44"/>
    </row>
    <row r="316" spans="1:17" x14ac:dyDescent="0.4">
      <c r="A316" s="70"/>
      <c r="B316" s="46"/>
      <c r="C316" s="46"/>
      <c r="D316" s="34" t="e">
        <f>INDEX('Equipment list'!$B$227:$B$256, (MATCH(C316,'Equipment list'!$D$227:$D$256,0)),1)</f>
        <v>#N/A</v>
      </c>
      <c r="E316" s="34" t="e">
        <f>INDEX('Equipment list'!$C$227:$C$256, (MATCH(C316,'Equipment list'!$D$227:$D$256,0)),1)</f>
        <v>#N/A</v>
      </c>
      <c r="F316" s="34">
        <f t="shared" si="25"/>
        <v>0</v>
      </c>
      <c r="G316" s="34">
        <f t="shared" si="26"/>
        <v>0</v>
      </c>
      <c r="H316" s="34" t="e">
        <f t="shared" si="27"/>
        <v>#N/A</v>
      </c>
      <c r="I316" s="34" t="e">
        <f t="shared" si="28"/>
        <v>#N/A</v>
      </c>
      <c r="J316" s="45"/>
      <c r="K316" s="46"/>
      <c r="L316" s="49"/>
      <c r="M316" s="39"/>
      <c r="N316" s="39"/>
      <c r="O316" s="37">
        <f t="shared" si="29"/>
        <v>0</v>
      </c>
      <c r="P316" s="44"/>
      <c r="Q316" s="44"/>
    </row>
    <row r="317" spans="1:17" x14ac:dyDescent="0.4">
      <c r="A317" s="70"/>
      <c r="B317" s="46"/>
      <c r="C317" s="46"/>
      <c r="D317" s="34" t="e">
        <f>INDEX('Equipment list'!$B$227:$B$256, (MATCH(C317,'Equipment list'!$D$227:$D$256,0)),1)</f>
        <v>#N/A</v>
      </c>
      <c r="E317" s="34" t="e">
        <f>INDEX('Equipment list'!$C$227:$C$256, (MATCH(C317,'Equipment list'!$D$227:$D$256,0)),1)</f>
        <v>#N/A</v>
      </c>
      <c r="F317" s="34">
        <f t="shared" si="25"/>
        <v>0</v>
      </c>
      <c r="G317" s="34">
        <f t="shared" si="26"/>
        <v>0</v>
      </c>
      <c r="H317" s="34" t="e">
        <f t="shared" si="27"/>
        <v>#N/A</v>
      </c>
      <c r="I317" s="34" t="e">
        <f t="shared" si="28"/>
        <v>#N/A</v>
      </c>
      <c r="J317" s="45"/>
      <c r="K317" s="46"/>
      <c r="L317" s="49"/>
      <c r="M317" s="39"/>
      <c r="N317" s="39"/>
      <c r="O317" s="37">
        <f t="shared" si="29"/>
        <v>0</v>
      </c>
      <c r="P317" s="44"/>
      <c r="Q317" s="44"/>
    </row>
    <row r="318" spans="1:17" x14ac:dyDescent="0.4">
      <c r="A318" s="70"/>
      <c r="B318" s="46"/>
      <c r="C318" s="46"/>
      <c r="D318" s="34" t="e">
        <f>INDEX('Equipment list'!$B$227:$B$256, (MATCH(C318,'Equipment list'!$D$227:$D$256,0)),1)</f>
        <v>#N/A</v>
      </c>
      <c r="E318" s="34" t="e">
        <f>INDEX('Equipment list'!$C$227:$C$256, (MATCH(C318,'Equipment list'!$D$227:$D$256,0)),1)</f>
        <v>#N/A</v>
      </c>
      <c r="F318" s="34">
        <f t="shared" si="25"/>
        <v>0</v>
      </c>
      <c r="G318" s="34">
        <f t="shared" si="26"/>
        <v>0</v>
      </c>
      <c r="H318" s="34" t="e">
        <f t="shared" si="27"/>
        <v>#N/A</v>
      </c>
      <c r="I318" s="34" t="e">
        <f t="shared" si="28"/>
        <v>#N/A</v>
      </c>
      <c r="J318" s="45"/>
      <c r="K318" s="46"/>
      <c r="L318" s="49"/>
      <c r="M318" s="39"/>
      <c r="N318" s="39"/>
      <c r="O318" s="37">
        <f t="shared" si="29"/>
        <v>0</v>
      </c>
      <c r="P318" s="44"/>
      <c r="Q318" s="44"/>
    </row>
    <row r="319" spans="1:17" x14ac:dyDescent="0.4">
      <c r="A319" s="70"/>
      <c r="B319" s="46"/>
      <c r="C319" s="46"/>
      <c r="D319" s="34" t="e">
        <f>INDEX('Equipment list'!$B$227:$B$256, (MATCH(C319,'Equipment list'!$D$227:$D$256,0)),1)</f>
        <v>#N/A</v>
      </c>
      <c r="E319" s="34" t="e">
        <f>INDEX('Equipment list'!$C$227:$C$256, (MATCH(C319,'Equipment list'!$D$227:$D$256,0)),1)</f>
        <v>#N/A</v>
      </c>
      <c r="F319" s="34">
        <f t="shared" si="25"/>
        <v>0</v>
      </c>
      <c r="G319" s="34">
        <f t="shared" si="26"/>
        <v>0</v>
      </c>
      <c r="H319" s="34" t="e">
        <f t="shared" si="27"/>
        <v>#N/A</v>
      </c>
      <c r="I319" s="34" t="e">
        <f t="shared" si="28"/>
        <v>#N/A</v>
      </c>
      <c r="J319" s="45"/>
      <c r="K319" s="46"/>
      <c r="L319" s="49"/>
      <c r="M319" s="39"/>
      <c r="N319" s="39"/>
      <c r="O319" s="37">
        <f t="shared" si="29"/>
        <v>0</v>
      </c>
      <c r="P319" s="44"/>
      <c r="Q319" s="44"/>
    </row>
    <row r="320" spans="1:17" x14ac:dyDescent="0.4">
      <c r="A320" s="70"/>
      <c r="B320" s="46"/>
      <c r="C320" s="46"/>
      <c r="D320" s="34" t="e">
        <f>INDEX('Equipment list'!$B$227:$B$256, (MATCH(C320,'Equipment list'!$D$227:$D$256,0)),1)</f>
        <v>#N/A</v>
      </c>
      <c r="E320" s="34" t="e">
        <f>INDEX('Equipment list'!$C$227:$C$256, (MATCH(C320,'Equipment list'!$D$227:$D$256,0)),1)</f>
        <v>#N/A</v>
      </c>
      <c r="F320" s="34">
        <f t="shared" si="25"/>
        <v>0</v>
      </c>
      <c r="G320" s="34">
        <f t="shared" si="26"/>
        <v>0</v>
      </c>
      <c r="H320" s="34" t="e">
        <f t="shared" si="27"/>
        <v>#N/A</v>
      </c>
      <c r="I320" s="34" t="e">
        <f t="shared" si="28"/>
        <v>#N/A</v>
      </c>
      <c r="J320" s="45"/>
      <c r="K320" s="46"/>
      <c r="L320" s="49"/>
      <c r="M320" s="39"/>
      <c r="N320" s="39"/>
      <c r="O320" s="37">
        <f t="shared" si="29"/>
        <v>0</v>
      </c>
      <c r="P320" s="44"/>
      <c r="Q320" s="44"/>
    </row>
    <row r="321" spans="1:17" x14ac:dyDescent="0.4">
      <c r="A321" s="70"/>
      <c r="B321" s="46"/>
      <c r="C321" s="46"/>
      <c r="D321" s="34" t="e">
        <f>INDEX('Equipment list'!$B$227:$B$256, (MATCH(C321,'Equipment list'!$D$227:$D$256,0)),1)</f>
        <v>#N/A</v>
      </c>
      <c r="E321" s="34" t="e">
        <f>INDEX('Equipment list'!$C$227:$C$256, (MATCH(C321,'Equipment list'!$D$227:$D$256,0)),1)</f>
        <v>#N/A</v>
      </c>
      <c r="F321" s="34">
        <f t="shared" si="25"/>
        <v>0</v>
      </c>
      <c r="G321" s="34">
        <f t="shared" si="26"/>
        <v>0</v>
      </c>
      <c r="H321" s="34" t="e">
        <f t="shared" si="27"/>
        <v>#N/A</v>
      </c>
      <c r="I321" s="34" t="e">
        <f t="shared" si="28"/>
        <v>#N/A</v>
      </c>
      <c r="J321" s="45"/>
      <c r="K321" s="46"/>
      <c r="L321" s="49"/>
      <c r="M321" s="39"/>
      <c r="N321" s="39"/>
      <c r="O321" s="37">
        <f t="shared" si="29"/>
        <v>0</v>
      </c>
      <c r="P321" s="44"/>
      <c r="Q321" s="44"/>
    </row>
    <row r="322" spans="1:17" x14ac:dyDescent="0.4">
      <c r="A322" s="70"/>
      <c r="B322" s="46"/>
      <c r="C322" s="46"/>
      <c r="D322" s="34" t="e">
        <f>INDEX('Equipment list'!$B$227:$B$256, (MATCH(C322,'Equipment list'!$D$227:$D$256,0)),1)</f>
        <v>#N/A</v>
      </c>
      <c r="E322" s="34" t="e">
        <f>INDEX('Equipment list'!$C$227:$C$256, (MATCH(C322,'Equipment list'!$D$227:$D$256,0)),1)</f>
        <v>#N/A</v>
      </c>
      <c r="F322" s="34">
        <f t="shared" si="25"/>
        <v>0</v>
      </c>
      <c r="G322" s="34">
        <f t="shared" si="26"/>
        <v>0</v>
      </c>
      <c r="H322" s="34" t="e">
        <f t="shared" si="27"/>
        <v>#N/A</v>
      </c>
      <c r="I322" s="34" t="e">
        <f t="shared" si="28"/>
        <v>#N/A</v>
      </c>
      <c r="J322" s="45"/>
      <c r="K322" s="46"/>
      <c r="L322" s="49"/>
      <c r="M322" s="39"/>
      <c r="N322" s="39"/>
      <c r="O322" s="37">
        <f t="shared" si="29"/>
        <v>0</v>
      </c>
      <c r="P322" s="44"/>
      <c r="Q322" s="44"/>
    </row>
    <row r="323" spans="1:17" x14ac:dyDescent="0.4">
      <c r="A323" s="70"/>
      <c r="B323" s="46"/>
      <c r="C323" s="46"/>
      <c r="D323" s="34" t="e">
        <f>INDEX('Equipment list'!$B$227:$B$256, (MATCH(C323,'Equipment list'!$D$227:$D$256,0)),1)</f>
        <v>#N/A</v>
      </c>
      <c r="E323" s="34" t="e">
        <f>INDEX('Equipment list'!$C$227:$C$256, (MATCH(C323,'Equipment list'!$D$227:$D$256,0)),1)</f>
        <v>#N/A</v>
      </c>
      <c r="F323" s="34">
        <f t="shared" si="25"/>
        <v>0</v>
      </c>
      <c r="G323" s="34">
        <f t="shared" si="26"/>
        <v>0</v>
      </c>
      <c r="H323" s="34" t="e">
        <f t="shared" si="27"/>
        <v>#N/A</v>
      </c>
      <c r="I323" s="34" t="e">
        <f t="shared" si="28"/>
        <v>#N/A</v>
      </c>
      <c r="J323" s="45"/>
      <c r="K323" s="46"/>
      <c r="L323" s="49"/>
      <c r="M323" s="39"/>
      <c r="N323" s="39"/>
      <c r="O323" s="37">
        <f t="shared" si="29"/>
        <v>0</v>
      </c>
      <c r="P323" s="44"/>
      <c r="Q323" s="44"/>
    </row>
    <row r="324" spans="1:17" x14ac:dyDescent="0.4">
      <c r="A324" s="70"/>
      <c r="B324" s="46"/>
      <c r="C324" s="46"/>
      <c r="D324" s="34" t="e">
        <f>INDEX('Equipment list'!$B$227:$B$256, (MATCH(C324,'Equipment list'!$D$227:$D$256,0)),1)</f>
        <v>#N/A</v>
      </c>
      <c r="E324" s="34" t="e">
        <f>INDEX('Equipment list'!$C$227:$C$256, (MATCH(C324,'Equipment list'!$D$227:$D$256,0)),1)</f>
        <v>#N/A</v>
      </c>
      <c r="F324" s="34">
        <f t="shared" si="25"/>
        <v>0</v>
      </c>
      <c r="G324" s="34">
        <f t="shared" si="26"/>
        <v>0</v>
      </c>
      <c r="H324" s="34" t="e">
        <f t="shared" si="27"/>
        <v>#N/A</v>
      </c>
      <c r="I324" s="34" t="e">
        <f t="shared" si="28"/>
        <v>#N/A</v>
      </c>
      <c r="J324" s="45"/>
      <c r="K324" s="46"/>
      <c r="L324" s="49"/>
      <c r="M324" s="39"/>
      <c r="N324" s="39"/>
      <c r="O324" s="37">
        <f t="shared" si="29"/>
        <v>0</v>
      </c>
      <c r="P324" s="44"/>
      <c r="Q324" s="44"/>
    </row>
    <row r="325" spans="1:17" x14ac:dyDescent="0.4">
      <c r="A325" s="70"/>
      <c r="B325" s="46"/>
      <c r="C325" s="46"/>
      <c r="D325" s="34" t="e">
        <f>INDEX('Equipment list'!$B$227:$B$256, (MATCH(C325,'Equipment list'!$D$227:$D$256,0)),1)</f>
        <v>#N/A</v>
      </c>
      <c r="E325" s="34" t="e">
        <f>INDEX('Equipment list'!$C$227:$C$256, (MATCH(C325,'Equipment list'!$D$227:$D$256,0)),1)</f>
        <v>#N/A</v>
      </c>
      <c r="F325" s="34">
        <f t="shared" si="25"/>
        <v>0</v>
      </c>
      <c r="G325" s="34">
        <f t="shared" si="26"/>
        <v>0</v>
      </c>
      <c r="H325" s="34" t="e">
        <f t="shared" si="27"/>
        <v>#N/A</v>
      </c>
      <c r="I325" s="34" t="e">
        <f t="shared" si="28"/>
        <v>#N/A</v>
      </c>
      <c r="J325" s="45"/>
      <c r="K325" s="46"/>
      <c r="L325" s="49"/>
      <c r="M325" s="39"/>
      <c r="N325" s="39"/>
      <c r="O325" s="37">
        <f t="shared" si="29"/>
        <v>0</v>
      </c>
      <c r="P325" s="44"/>
      <c r="Q325" s="44"/>
    </row>
    <row r="326" spans="1:17" x14ac:dyDescent="0.4">
      <c r="A326" s="70"/>
      <c r="B326" s="46"/>
      <c r="C326" s="46"/>
      <c r="D326" s="34" t="e">
        <f>INDEX('Equipment list'!$B$227:$B$256, (MATCH(C326,'Equipment list'!$D$227:$D$256,0)),1)</f>
        <v>#N/A</v>
      </c>
      <c r="E326" s="34" t="e">
        <f>INDEX('Equipment list'!$C$227:$C$256, (MATCH(C326,'Equipment list'!$D$227:$D$256,0)),1)</f>
        <v>#N/A</v>
      </c>
      <c r="F326" s="34">
        <f t="shared" ref="F326:F389" si="30">P326*4</f>
        <v>0</v>
      </c>
      <c r="G326" s="34">
        <f t="shared" ref="G326:G389" si="31">Q326*4</f>
        <v>0</v>
      </c>
      <c r="H326" s="34" t="e">
        <f t="shared" ref="H326:H389" si="32">(F326-D326)/D326*100</f>
        <v>#N/A</v>
      </c>
      <c r="I326" s="34" t="e">
        <f t="shared" ref="I326:I389" si="33">(G326-E326)/E326*100</f>
        <v>#N/A</v>
      </c>
      <c r="J326" s="45"/>
      <c r="K326" s="46"/>
      <c r="L326" s="49"/>
      <c r="M326" s="39"/>
      <c r="N326" s="39"/>
      <c r="O326" s="37">
        <f t="shared" ref="O326:O389" si="34">C326</f>
        <v>0</v>
      </c>
      <c r="P326" s="44"/>
      <c r="Q326" s="44"/>
    </row>
    <row r="327" spans="1:17" x14ac:dyDescent="0.4">
      <c r="A327" s="70"/>
      <c r="B327" s="46"/>
      <c r="C327" s="46"/>
      <c r="D327" s="34" t="e">
        <f>INDEX('Equipment list'!$B$227:$B$256, (MATCH(C327,'Equipment list'!$D$227:$D$256,0)),1)</f>
        <v>#N/A</v>
      </c>
      <c r="E327" s="34" t="e">
        <f>INDEX('Equipment list'!$C$227:$C$256, (MATCH(C327,'Equipment list'!$D$227:$D$256,0)),1)</f>
        <v>#N/A</v>
      </c>
      <c r="F327" s="34">
        <f t="shared" si="30"/>
        <v>0</v>
      </c>
      <c r="G327" s="34">
        <f t="shared" si="31"/>
        <v>0</v>
      </c>
      <c r="H327" s="34" t="e">
        <f t="shared" si="32"/>
        <v>#N/A</v>
      </c>
      <c r="I327" s="34" t="e">
        <f t="shared" si="33"/>
        <v>#N/A</v>
      </c>
      <c r="J327" s="45"/>
      <c r="K327" s="46"/>
      <c r="L327" s="49"/>
      <c r="M327" s="39"/>
      <c r="N327" s="39"/>
      <c r="O327" s="37">
        <f t="shared" si="34"/>
        <v>0</v>
      </c>
      <c r="P327" s="44"/>
      <c r="Q327" s="44"/>
    </row>
    <row r="328" spans="1:17" x14ac:dyDescent="0.4">
      <c r="A328" s="70"/>
      <c r="B328" s="46"/>
      <c r="C328" s="46"/>
      <c r="D328" s="34" t="e">
        <f>INDEX('Equipment list'!$B$227:$B$256, (MATCH(C328,'Equipment list'!$D$227:$D$256,0)),1)</f>
        <v>#N/A</v>
      </c>
      <c r="E328" s="34" t="e">
        <f>INDEX('Equipment list'!$C$227:$C$256, (MATCH(C328,'Equipment list'!$D$227:$D$256,0)),1)</f>
        <v>#N/A</v>
      </c>
      <c r="F328" s="34">
        <f t="shared" si="30"/>
        <v>0</v>
      </c>
      <c r="G328" s="34">
        <f t="shared" si="31"/>
        <v>0</v>
      </c>
      <c r="H328" s="34" t="e">
        <f t="shared" si="32"/>
        <v>#N/A</v>
      </c>
      <c r="I328" s="34" t="e">
        <f t="shared" si="33"/>
        <v>#N/A</v>
      </c>
      <c r="J328" s="45"/>
      <c r="K328" s="46"/>
      <c r="L328" s="49"/>
      <c r="M328" s="39"/>
      <c r="N328" s="39"/>
      <c r="O328" s="37">
        <f t="shared" si="34"/>
        <v>0</v>
      </c>
      <c r="P328" s="44"/>
      <c r="Q328" s="44"/>
    </row>
    <row r="329" spans="1:17" x14ac:dyDescent="0.4">
      <c r="A329" s="70"/>
      <c r="B329" s="46"/>
      <c r="C329" s="46"/>
      <c r="D329" s="34" t="e">
        <f>INDEX('Equipment list'!$B$227:$B$256, (MATCH(C329,'Equipment list'!$D$227:$D$256,0)),1)</f>
        <v>#N/A</v>
      </c>
      <c r="E329" s="34" t="e">
        <f>INDEX('Equipment list'!$C$227:$C$256, (MATCH(C329,'Equipment list'!$D$227:$D$256,0)),1)</f>
        <v>#N/A</v>
      </c>
      <c r="F329" s="34">
        <f t="shared" si="30"/>
        <v>0</v>
      </c>
      <c r="G329" s="34">
        <f t="shared" si="31"/>
        <v>0</v>
      </c>
      <c r="H329" s="34" t="e">
        <f t="shared" si="32"/>
        <v>#N/A</v>
      </c>
      <c r="I329" s="34" t="e">
        <f t="shared" si="33"/>
        <v>#N/A</v>
      </c>
      <c r="J329" s="45"/>
      <c r="K329" s="46"/>
      <c r="L329" s="49"/>
      <c r="M329" s="39"/>
      <c r="N329" s="39"/>
      <c r="O329" s="37">
        <f t="shared" si="34"/>
        <v>0</v>
      </c>
      <c r="P329" s="44"/>
      <c r="Q329" s="44"/>
    </row>
    <row r="330" spans="1:17" x14ac:dyDescent="0.4">
      <c r="A330" s="70"/>
      <c r="B330" s="46"/>
      <c r="C330" s="46"/>
      <c r="D330" s="34" t="e">
        <f>INDEX('Equipment list'!$B$227:$B$256, (MATCH(C330,'Equipment list'!$D$227:$D$256,0)),1)</f>
        <v>#N/A</v>
      </c>
      <c r="E330" s="34" t="e">
        <f>INDEX('Equipment list'!$C$227:$C$256, (MATCH(C330,'Equipment list'!$D$227:$D$256,0)),1)</f>
        <v>#N/A</v>
      </c>
      <c r="F330" s="34">
        <f t="shared" si="30"/>
        <v>0</v>
      </c>
      <c r="G330" s="34">
        <f t="shared" si="31"/>
        <v>0</v>
      </c>
      <c r="H330" s="34" t="e">
        <f t="shared" si="32"/>
        <v>#N/A</v>
      </c>
      <c r="I330" s="34" t="e">
        <f t="shared" si="33"/>
        <v>#N/A</v>
      </c>
      <c r="J330" s="45"/>
      <c r="K330" s="46"/>
      <c r="L330" s="49"/>
      <c r="M330" s="39"/>
      <c r="N330" s="39"/>
      <c r="O330" s="37">
        <f t="shared" si="34"/>
        <v>0</v>
      </c>
      <c r="P330" s="44"/>
      <c r="Q330" s="44"/>
    </row>
    <row r="331" spans="1:17" x14ac:dyDescent="0.4">
      <c r="A331" s="70"/>
      <c r="B331" s="46"/>
      <c r="C331" s="46"/>
      <c r="D331" s="34" t="e">
        <f>INDEX('Equipment list'!$B$227:$B$256, (MATCH(C331,'Equipment list'!$D$227:$D$256,0)),1)</f>
        <v>#N/A</v>
      </c>
      <c r="E331" s="34" t="e">
        <f>INDEX('Equipment list'!$C$227:$C$256, (MATCH(C331,'Equipment list'!$D$227:$D$256,0)),1)</f>
        <v>#N/A</v>
      </c>
      <c r="F331" s="34">
        <f t="shared" si="30"/>
        <v>0</v>
      </c>
      <c r="G331" s="34">
        <f t="shared" si="31"/>
        <v>0</v>
      </c>
      <c r="H331" s="34" t="e">
        <f t="shared" si="32"/>
        <v>#N/A</v>
      </c>
      <c r="I331" s="34" t="e">
        <f t="shared" si="33"/>
        <v>#N/A</v>
      </c>
      <c r="J331" s="45"/>
      <c r="K331" s="46"/>
      <c r="L331" s="49"/>
      <c r="M331" s="39"/>
      <c r="N331" s="39"/>
      <c r="O331" s="37">
        <f t="shared" si="34"/>
        <v>0</v>
      </c>
      <c r="P331" s="44"/>
      <c r="Q331" s="44"/>
    </row>
    <row r="332" spans="1:17" x14ac:dyDescent="0.4">
      <c r="A332" s="70"/>
      <c r="B332" s="46"/>
      <c r="C332" s="46"/>
      <c r="D332" s="34" t="e">
        <f>INDEX('Equipment list'!$B$227:$B$256, (MATCH(C332,'Equipment list'!$D$227:$D$256,0)),1)</f>
        <v>#N/A</v>
      </c>
      <c r="E332" s="34" t="e">
        <f>INDEX('Equipment list'!$C$227:$C$256, (MATCH(C332,'Equipment list'!$D$227:$D$256,0)),1)</f>
        <v>#N/A</v>
      </c>
      <c r="F332" s="34">
        <f t="shared" si="30"/>
        <v>0</v>
      </c>
      <c r="G332" s="34">
        <f t="shared" si="31"/>
        <v>0</v>
      </c>
      <c r="H332" s="34" t="e">
        <f t="shared" si="32"/>
        <v>#N/A</v>
      </c>
      <c r="I332" s="34" t="e">
        <f t="shared" si="33"/>
        <v>#N/A</v>
      </c>
      <c r="J332" s="45"/>
      <c r="K332" s="46"/>
      <c r="L332" s="49"/>
      <c r="M332" s="39"/>
      <c r="N332" s="39"/>
      <c r="O332" s="37">
        <f t="shared" si="34"/>
        <v>0</v>
      </c>
      <c r="P332" s="44"/>
      <c r="Q332" s="44"/>
    </row>
    <row r="333" spans="1:17" x14ac:dyDescent="0.4">
      <c r="A333" s="70"/>
      <c r="B333" s="46"/>
      <c r="C333" s="46"/>
      <c r="D333" s="34" t="e">
        <f>INDEX('Equipment list'!$B$227:$B$256, (MATCH(C333,'Equipment list'!$D$227:$D$256,0)),1)</f>
        <v>#N/A</v>
      </c>
      <c r="E333" s="34" t="e">
        <f>INDEX('Equipment list'!$C$227:$C$256, (MATCH(C333,'Equipment list'!$D$227:$D$256,0)),1)</f>
        <v>#N/A</v>
      </c>
      <c r="F333" s="34">
        <f t="shared" si="30"/>
        <v>0</v>
      </c>
      <c r="G333" s="34">
        <f t="shared" si="31"/>
        <v>0</v>
      </c>
      <c r="H333" s="34" t="e">
        <f t="shared" si="32"/>
        <v>#N/A</v>
      </c>
      <c r="I333" s="34" t="e">
        <f t="shared" si="33"/>
        <v>#N/A</v>
      </c>
      <c r="J333" s="45"/>
      <c r="K333" s="46"/>
      <c r="L333" s="49"/>
      <c r="M333" s="39"/>
      <c r="N333" s="39"/>
      <c r="O333" s="37">
        <f t="shared" si="34"/>
        <v>0</v>
      </c>
      <c r="P333" s="44"/>
      <c r="Q333" s="44"/>
    </row>
    <row r="334" spans="1:17" x14ac:dyDescent="0.4">
      <c r="A334" s="70"/>
      <c r="B334" s="46"/>
      <c r="C334" s="46"/>
      <c r="D334" s="34" t="e">
        <f>INDEX('Equipment list'!$B$227:$B$256, (MATCH(C334,'Equipment list'!$D$227:$D$256,0)),1)</f>
        <v>#N/A</v>
      </c>
      <c r="E334" s="34" t="e">
        <f>INDEX('Equipment list'!$C$227:$C$256, (MATCH(C334,'Equipment list'!$D$227:$D$256,0)),1)</f>
        <v>#N/A</v>
      </c>
      <c r="F334" s="34">
        <f t="shared" si="30"/>
        <v>0</v>
      </c>
      <c r="G334" s="34">
        <f t="shared" si="31"/>
        <v>0</v>
      </c>
      <c r="H334" s="34" t="e">
        <f t="shared" si="32"/>
        <v>#N/A</v>
      </c>
      <c r="I334" s="34" t="e">
        <f t="shared" si="33"/>
        <v>#N/A</v>
      </c>
      <c r="J334" s="45"/>
      <c r="K334" s="46"/>
      <c r="L334" s="49"/>
      <c r="M334" s="39"/>
      <c r="N334" s="39"/>
      <c r="O334" s="37">
        <f t="shared" si="34"/>
        <v>0</v>
      </c>
      <c r="P334" s="44"/>
      <c r="Q334" s="44"/>
    </row>
    <row r="335" spans="1:17" x14ac:dyDescent="0.4">
      <c r="A335" s="70"/>
      <c r="B335" s="46"/>
      <c r="C335" s="46"/>
      <c r="D335" s="34" t="e">
        <f>INDEX('Equipment list'!$B$227:$B$256, (MATCH(C335,'Equipment list'!$D$227:$D$256,0)),1)</f>
        <v>#N/A</v>
      </c>
      <c r="E335" s="34" t="e">
        <f>INDEX('Equipment list'!$C$227:$C$256, (MATCH(C335,'Equipment list'!$D$227:$D$256,0)),1)</f>
        <v>#N/A</v>
      </c>
      <c r="F335" s="34">
        <f t="shared" si="30"/>
        <v>0</v>
      </c>
      <c r="G335" s="34">
        <f t="shared" si="31"/>
        <v>0</v>
      </c>
      <c r="H335" s="34" t="e">
        <f t="shared" si="32"/>
        <v>#N/A</v>
      </c>
      <c r="I335" s="34" t="e">
        <f t="shared" si="33"/>
        <v>#N/A</v>
      </c>
      <c r="J335" s="45"/>
      <c r="K335" s="46"/>
      <c r="L335" s="49"/>
      <c r="M335" s="39"/>
      <c r="N335" s="39"/>
      <c r="O335" s="37">
        <f t="shared" si="34"/>
        <v>0</v>
      </c>
      <c r="P335" s="44"/>
      <c r="Q335" s="44"/>
    </row>
    <row r="336" spans="1:17" x14ac:dyDescent="0.4">
      <c r="A336" s="70"/>
      <c r="B336" s="46"/>
      <c r="C336" s="46"/>
      <c r="D336" s="34" t="e">
        <f>INDEX('Equipment list'!$B$227:$B$256, (MATCH(C336,'Equipment list'!$D$227:$D$256,0)),1)</f>
        <v>#N/A</v>
      </c>
      <c r="E336" s="34" t="e">
        <f>INDEX('Equipment list'!$C$227:$C$256, (MATCH(C336,'Equipment list'!$D$227:$D$256,0)),1)</f>
        <v>#N/A</v>
      </c>
      <c r="F336" s="34">
        <f t="shared" si="30"/>
        <v>0</v>
      </c>
      <c r="G336" s="34">
        <f t="shared" si="31"/>
        <v>0</v>
      </c>
      <c r="H336" s="34" t="e">
        <f t="shared" si="32"/>
        <v>#N/A</v>
      </c>
      <c r="I336" s="34" t="e">
        <f t="shared" si="33"/>
        <v>#N/A</v>
      </c>
      <c r="J336" s="45"/>
      <c r="K336" s="46"/>
      <c r="L336" s="49"/>
      <c r="M336" s="39"/>
      <c r="N336" s="39"/>
      <c r="O336" s="37">
        <f t="shared" si="34"/>
        <v>0</v>
      </c>
      <c r="P336" s="44"/>
      <c r="Q336" s="44"/>
    </row>
    <row r="337" spans="1:17" x14ac:dyDescent="0.4">
      <c r="A337" s="70"/>
      <c r="B337" s="46"/>
      <c r="C337" s="46"/>
      <c r="D337" s="34" t="e">
        <f>INDEX('Equipment list'!$B$227:$B$256, (MATCH(C337,'Equipment list'!$D$227:$D$256,0)),1)</f>
        <v>#N/A</v>
      </c>
      <c r="E337" s="34" t="e">
        <f>INDEX('Equipment list'!$C$227:$C$256, (MATCH(C337,'Equipment list'!$D$227:$D$256,0)),1)</f>
        <v>#N/A</v>
      </c>
      <c r="F337" s="34">
        <f t="shared" si="30"/>
        <v>0</v>
      </c>
      <c r="G337" s="34">
        <f t="shared" si="31"/>
        <v>0</v>
      </c>
      <c r="H337" s="34" t="e">
        <f t="shared" si="32"/>
        <v>#N/A</v>
      </c>
      <c r="I337" s="34" t="e">
        <f t="shared" si="33"/>
        <v>#N/A</v>
      </c>
      <c r="J337" s="45"/>
      <c r="K337" s="46"/>
      <c r="L337" s="49"/>
      <c r="M337" s="39"/>
      <c r="N337" s="39"/>
      <c r="O337" s="37">
        <f t="shared" si="34"/>
        <v>0</v>
      </c>
      <c r="P337" s="44"/>
      <c r="Q337" s="44"/>
    </row>
    <row r="338" spans="1:17" x14ac:dyDescent="0.4">
      <c r="A338" s="70"/>
      <c r="B338" s="46"/>
      <c r="C338" s="46"/>
      <c r="D338" s="34" t="e">
        <f>INDEX('Equipment list'!$B$227:$B$256, (MATCH(C338,'Equipment list'!$D$227:$D$256,0)),1)</f>
        <v>#N/A</v>
      </c>
      <c r="E338" s="34" t="e">
        <f>INDEX('Equipment list'!$C$227:$C$256, (MATCH(C338,'Equipment list'!$D$227:$D$256,0)),1)</f>
        <v>#N/A</v>
      </c>
      <c r="F338" s="34">
        <f t="shared" si="30"/>
        <v>0</v>
      </c>
      <c r="G338" s="34">
        <f t="shared" si="31"/>
        <v>0</v>
      </c>
      <c r="H338" s="34" t="e">
        <f t="shared" si="32"/>
        <v>#N/A</v>
      </c>
      <c r="I338" s="34" t="e">
        <f t="shared" si="33"/>
        <v>#N/A</v>
      </c>
      <c r="J338" s="45"/>
      <c r="K338" s="46"/>
      <c r="L338" s="49"/>
      <c r="M338" s="39"/>
      <c r="N338" s="39"/>
      <c r="O338" s="37">
        <f t="shared" si="34"/>
        <v>0</v>
      </c>
      <c r="P338" s="44"/>
      <c r="Q338" s="44"/>
    </row>
    <row r="339" spans="1:17" x14ac:dyDescent="0.4">
      <c r="A339" s="70"/>
      <c r="B339" s="46"/>
      <c r="C339" s="46"/>
      <c r="D339" s="34" t="e">
        <f>INDEX('Equipment list'!$B$227:$B$256, (MATCH(C339,'Equipment list'!$D$227:$D$256,0)),1)</f>
        <v>#N/A</v>
      </c>
      <c r="E339" s="34" t="e">
        <f>INDEX('Equipment list'!$C$227:$C$256, (MATCH(C339,'Equipment list'!$D$227:$D$256,0)),1)</f>
        <v>#N/A</v>
      </c>
      <c r="F339" s="34">
        <f t="shared" si="30"/>
        <v>0</v>
      </c>
      <c r="G339" s="34">
        <f t="shared" si="31"/>
        <v>0</v>
      </c>
      <c r="H339" s="34" t="e">
        <f t="shared" si="32"/>
        <v>#N/A</v>
      </c>
      <c r="I339" s="34" t="e">
        <f t="shared" si="33"/>
        <v>#N/A</v>
      </c>
      <c r="J339" s="45"/>
      <c r="K339" s="46"/>
      <c r="L339" s="49"/>
      <c r="M339" s="39"/>
      <c r="N339" s="39"/>
      <c r="O339" s="37">
        <f t="shared" si="34"/>
        <v>0</v>
      </c>
      <c r="P339" s="44"/>
      <c r="Q339" s="44"/>
    </row>
    <row r="340" spans="1:17" x14ac:dyDescent="0.4">
      <c r="A340" s="70"/>
      <c r="B340" s="46"/>
      <c r="C340" s="46"/>
      <c r="D340" s="34" t="e">
        <f>INDEX('Equipment list'!$B$227:$B$256, (MATCH(C340,'Equipment list'!$D$227:$D$256,0)),1)</f>
        <v>#N/A</v>
      </c>
      <c r="E340" s="34" t="e">
        <f>INDEX('Equipment list'!$C$227:$C$256, (MATCH(C340,'Equipment list'!$D$227:$D$256,0)),1)</f>
        <v>#N/A</v>
      </c>
      <c r="F340" s="34">
        <f t="shared" si="30"/>
        <v>0</v>
      </c>
      <c r="G340" s="34">
        <f t="shared" si="31"/>
        <v>0</v>
      </c>
      <c r="H340" s="34" t="e">
        <f t="shared" si="32"/>
        <v>#N/A</v>
      </c>
      <c r="I340" s="34" t="e">
        <f t="shared" si="33"/>
        <v>#N/A</v>
      </c>
      <c r="J340" s="45"/>
      <c r="K340" s="46"/>
      <c r="L340" s="49"/>
      <c r="M340" s="39"/>
      <c r="N340" s="39"/>
      <c r="O340" s="37">
        <f t="shared" si="34"/>
        <v>0</v>
      </c>
      <c r="P340" s="44"/>
      <c r="Q340" s="44"/>
    </row>
    <row r="341" spans="1:17" x14ac:dyDescent="0.4">
      <c r="A341" s="70"/>
      <c r="B341" s="46"/>
      <c r="C341" s="46"/>
      <c r="D341" s="34" t="e">
        <f>INDEX('Equipment list'!$B$227:$B$256, (MATCH(C341,'Equipment list'!$D$227:$D$256,0)),1)</f>
        <v>#N/A</v>
      </c>
      <c r="E341" s="34" t="e">
        <f>INDEX('Equipment list'!$C$227:$C$256, (MATCH(C341,'Equipment list'!$D$227:$D$256,0)),1)</f>
        <v>#N/A</v>
      </c>
      <c r="F341" s="34">
        <f t="shared" si="30"/>
        <v>0</v>
      </c>
      <c r="G341" s="34">
        <f t="shared" si="31"/>
        <v>0</v>
      </c>
      <c r="H341" s="34" t="e">
        <f t="shared" si="32"/>
        <v>#N/A</v>
      </c>
      <c r="I341" s="34" t="e">
        <f t="shared" si="33"/>
        <v>#N/A</v>
      </c>
      <c r="J341" s="45"/>
      <c r="K341" s="46"/>
      <c r="L341" s="49"/>
      <c r="M341" s="39"/>
      <c r="N341" s="39"/>
      <c r="O341" s="37">
        <f t="shared" si="34"/>
        <v>0</v>
      </c>
      <c r="P341" s="44"/>
      <c r="Q341" s="44"/>
    </row>
    <row r="342" spans="1:17" x14ac:dyDescent="0.4">
      <c r="A342" s="70"/>
      <c r="B342" s="46"/>
      <c r="C342" s="46"/>
      <c r="D342" s="34" t="e">
        <f>INDEX('Equipment list'!$B$227:$B$256, (MATCH(C342,'Equipment list'!$D$227:$D$256,0)),1)</f>
        <v>#N/A</v>
      </c>
      <c r="E342" s="34" t="e">
        <f>INDEX('Equipment list'!$C$227:$C$256, (MATCH(C342,'Equipment list'!$D$227:$D$256,0)),1)</f>
        <v>#N/A</v>
      </c>
      <c r="F342" s="34">
        <f t="shared" si="30"/>
        <v>0</v>
      </c>
      <c r="G342" s="34">
        <f t="shared" si="31"/>
        <v>0</v>
      </c>
      <c r="H342" s="34" t="e">
        <f t="shared" si="32"/>
        <v>#N/A</v>
      </c>
      <c r="I342" s="34" t="e">
        <f t="shared" si="33"/>
        <v>#N/A</v>
      </c>
      <c r="J342" s="45"/>
      <c r="K342" s="46"/>
      <c r="L342" s="49"/>
      <c r="M342" s="39"/>
      <c r="N342" s="39"/>
      <c r="O342" s="37">
        <f t="shared" si="34"/>
        <v>0</v>
      </c>
      <c r="P342" s="44"/>
      <c r="Q342" s="44"/>
    </row>
    <row r="343" spans="1:17" x14ac:dyDescent="0.4">
      <c r="A343" s="70"/>
      <c r="B343" s="46"/>
      <c r="C343" s="46"/>
      <c r="D343" s="34" t="e">
        <f>INDEX('Equipment list'!$B$227:$B$256, (MATCH(C343,'Equipment list'!$D$227:$D$256,0)),1)</f>
        <v>#N/A</v>
      </c>
      <c r="E343" s="34" t="e">
        <f>INDEX('Equipment list'!$C$227:$C$256, (MATCH(C343,'Equipment list'!$D$227:$D$256,0)),1)</f>
        <v>#N/A</v>
      </c>
      <c r="F343" s="34">
        <f t="shared" si="30"/>
        <v>0</v>
      </c>
      <c r="G343" s="34">
        <f t="shared" si="31"/>
        <v>0</v>
      </c>
      <c r="H343" s="34" t="e">
        <f t="shared" si="32"/>
        <v>#N/A</v>
      </c>
      <c r="I343" s="34" t="e">
        <f t="shared" si="33"/>
        <v>#N/A</v>
      </c>
      <c r="J343" s="45"/>
      <c r="K343" s="46"/>
      <c r="L343" s="49"/>
      <c r="M343" s="39"/>
      <c r="N343" s="39"/>
      <c r="O343" s="37">
        <f t="shared" si="34"/>
        <v>0</v>
      </c>
      <c r="P343" s="44"/>
      <c r="Q343" s="44"/>
    </row>
    <row r="344" spans="1:17" x14ac:dyDescent="0.4">
      <c r="A344" s="70"/>
      <c r="B344" s="46"/>
      <c r="C344" s="46"/>
      <c r="D344" s="34" t="e">
        <f>INDEX('Equipment list'!$B$227:$B$256, (MATCH(C344,'Equipment list'!$D$227:$D$256,0)),1)</f>
        <v>#N/A</v>
      </c>
      <c r="E344" s="34" t="e">
        <f>INDEX('Equipment list'!$C$227:$C$256, (MATCH(C344,'Equipment list'!$D$227:$D$256,0)),1)</f>
        <v>#N/A</v>
      </c>
      <c r="F344" s="34">
        <f t="shared" si="30"/>
        <v>0</v>
      </c>
      <c r="G344" s="34">
        <f t="shared" si="31"/>
        <v>0</v>
      </c>
      <c r="H344" s="34" t="e">
        <f t="shared" si="32"/>
        <v>#N/A</v>
      </c>
      <c r="I344" s="34" t="e">
        <f t="shared" si="33"/>
        <v>#N/A</v>
      </c>
      <c r="J344" s="45"/>
      <c r="K344" s="46"/>
      <c r="L344" s="49"/>
      <c r="M344" s="39"/>
      <c r="N344" s="39"/>
      <c r="O344" s="37">
        <f t="shared" si="34"/>
        <v>0</v>
      </c>
      <c r="P344" s="44"/>
      <c r="Q344" s="44"/>
    </row>
    <row r="345" spans="1:17" x14ac:dyDescent="0.4">
      <c r="A345" s="70"/>
      <c r="B345" s="46"/>
      <c r="C345" s="46"/>
      <c r="D345" s="34" t="e">
        <f>INDEX('Equipment list'!$B$227:$B$256, (MATCH(C345,'Equipment list'!$D$227:$D$256,0)),1)</f>
        <v>#N/A</v>
      </c>
      <c r="E345" s="34" t="e">
        <f>INDEX('Equipment list'!$C$227:$C$256, (MATCH(C345,'Equipment list'!$D$227:$D$256,0)),1)</f>
        <v>#N/A</v>
      </c>
      <c r="F345" s="34">
        <f t="shared" si="30"/>
        <v>0</v>
      </c>
      <c r="G345" s="34">
        <f t="shared" si="31"/>
        <v>0</v>
      </c>
      <c r="H345" s="34" t="e">
        <f t="shared" si="32"/>
        <v>#N/A</v>
      </c>
      <c r="I345" s="34" t="e">
        <f t="shared" si="33"/>
        <v>#N/A</v>
      </c>
      <c r="J345" s="45"/>
      <c r="K345" s="46"/>
      <c r="L345" s="49"/>
      <c r="M345" s="39"/>
      <c r="N345" s="39"/>
      <c r="O345" s="37">
        <f t="shared" si="34"/>
        <v>0</v>
      </c>
      <c r="P345" s="44"/>
      <c r="Q345" s="44"/>
    </row>
    <row r="346" spans="1:17" x14ac:dyDescent="0.4">
      <c r="A346" s="70"/>
      <c r="B346" s="46"/>
      <c r="C346" s="46"/>
      <c r="D346" s="34" t="e">
        <f>INDEX('Equipment list'!$B$227:$B$256, (MATCH(C346,'Equipment list'!$D$227:$D$256,0)),1)</f>
        <v>#N/A</v>
      </c>
      <c r="E346" s="34" t="e">
        <f>INDEX('Equipment list'!$C$227:$C$256, (MATCH(C346,'Equipment list'!$D$227:$D$256,0)),1)</f>
        <v>#N/A</v>
      </c>
      <c r="F346" s="34">
        <f t="shared" si="30"/>
        <v>0</v>
      </c>
      <c r="G346" s="34">
        <f t="shared" si="31"/>
        <v>0</v>
      </c>
      <c r="H346" s="34" t="e">
        <f t="shared" si="32"/>
        <v>#N/A</v>
      </c>
      <c r="I346" s="34" t="e">
        <f t="shared" si="33"/>
        <v>#N/A</v>
      </c>
      <c r="J346" s="45"/>
      <c r="K346" s="46"/>
      <c r="L346" s="49"/>
      <c r="M346" s="39"/>
      <c r="N346" s="39"/>
      <c r="O346" s="37">
        <f t="shared" si="34"/>
        <v>0</v>
      </c>
      <c r="P346" s="44"/>
      <c r="Q346" s="44"/>
    </row>
    <row r="347" spans="1:17" x14ac:dyDescent="0.4">
      <c r="A347" s="70"/>
      <c r="B347" s="46"/>
      <c r="C347" s="46"/>
      <c r="D347" s="34" t="e">
        <f>INDEX('Equipment list'!$B$227:$B$256, (MATCH(C347,'Equipment list'!$D$227:$D$256,0)),1)</f>
        <v>#N/A</v>
      </c>
      <c r="E347" s="34" t="e">
        <f>INDEX('Equipment list'!$C$227:$C$256, (MATCH(C347,'Equipment list'!$D$227:$D$256,0)),1)</f>
        <v>#N/A</v>
      </c>
      <c r="F347" s="34">
        <f t="shared" si="30"/>
        <v>0</v>
      </c>
      <c r="G347" s="34">
        <f t="shared" si="31"/>
        <v>0</v>
      </c>
      <c r="H347" s="34" t="e">
        <f t="shared" si="32"/>
        <v>#N/A</v>
      </c>
      <c r="I347" s="34" t="e">
        <f t="shared" si="33"/>
        <v>#N/A</v>
      </c>
      <c r="J347" s="45"/>
      <c r="K347" s="46"/>
      <c r="L347" s="49"/>
      <c r="M347" s="39"/>
      <c r="N347" s="39"/>
      <c r="O347" s="37">
        <f t="shared" si="34"/>
        <v>0</v>
      </c>
      <c r="P347" s="44"/>
      <c r="Q347" s="44"/>
    </row>
    <row r="348" spans="1:17" x14ac:dyDescent="0.4">
      <c r="A348" s="70"/>
      <c r="B348" s="46"/>
      <c r="C348" s="46"/>
      <c r="D348" s="34" t="e">
        <f>INDEX('Equipment list'!$B$227:$B$256, (MATCH(C348,'Equipment list'!$D$227:$D$256,0)),1)</f>
        <v>#N/A</v>
      </c>
      <c r="E348" s="34" t="e">
        <f>INDEX('Equipment list'!$C$227:$C$256, (MATCH(C348,'Equipment list'!$D$227:$D$256,0)),1)</f>
        <v>#N/A</v>
      </c>
      <c r="F348" s="34">
        <f t="shared" si="30"/>
        <v>0</v>
      </c>
      <c r="G348" s="34">
        <f t="shared" si="31"/>
        <v>0</v>
      </c>
      <c r="H348" s="34" t="e">
        <f t="shared" si="32"/>
        <v>#N/A</v>
      </c>
      <c r="I348" s="34" t="e">
        <f t="shared" si="33"/>
        <v>#N/A</v>
      </c>
      <c r="J348" s="45"/>
      <c r="K348" s="46"/>
      <c r="L348" s="49"/>
      <c r="M348" s="39"/>
      <c r="N348" s="39"/>
      <c r="O348" s="37">
        <f t="shared" si="34"/>
        <v>0</v>
      </c>
      <c r="P348" s="44"/>
      <c r="Q348" s="44"/>
    </row>
    <row r="349" spans="1:17" x14ac:dyDescent="0.4">
      <c r="A349" s="70"/>
      <c r="B349" s="46"/>
      <c r="C349" s="46"/>
      <c r="D349" s="34" t="e">
        <f>INDEX('Equipment list'!$B$227:$B$256, (MATCH(C349,'Equipment list'!$D$227:$D$256,0)),1)</f>
        <v>#N/A</v>
      </c>
      <c r="E349" s="34" t="e">
        <f>INDEX('Equipment list'!$C$227:$C$256, (MATCH(C349,'Equipment list'!$D$227:$D$256,0)),1)</f>
        <v>#N/A</v>
      </c>
      <c r="F349" s="34">
        <f t="shared" si="30"/>
        <v>0</v>
      </c>
      <c r="G349" s="34">
        <f t="shared" si="31"/>
        <v>0</v>
      </c>
      <c r="H349" s="34" t="e">
        <f t="shared" si="32"/>
        <v>#N/A</v>
      </c>
      <c r="I349" s="34" t="e">
        <f t="shared" si="33"/>
        <v>#N/A</v>
      </c>
      <c r="J349" s="45"/>
      <c r="K349" s="46"/>
      <c r="L349" s="49"/>
      <c r="M349" s="39"/>
      <c r="N349" s="39"/>
      <c r="O349" s="37">
        <f t="shared" si="34"/>
        <v>0</v>
      </c>
      <c r="P349" s="44"/>
      <c r="Q349" s="44"/>
    </row>
    <row r="350" spans="1:17" x14ac:dyDescent="0.4">
      <c r="A350" s="70"/>
      <c r="B350" s="46"/>
      <c r="C350" s="46"/>
      <c r="D350" s="34" t="e">
        <f>INDEX('Equipment list'!$B$227:$B$256, (MATCH(C350,'Equipment list'!$D$227:$D$256,0)),1)</f>
        <v>#N/A</v>
      </c>
      <c r="E350" s="34" t="e">
        <f>INDEX('Equipment list'!$C$227:$C$256, (MATCH(C350,'Equipment list'!$D$227:$D$256,0)),1)</f>
        <v>#N/A</v>
      </c>
      <c r="F350" s="34">
        <f t="shared" si="30"/>
        <v>0</v>
      </c>
      <c r="G350" s="34">
        <f t="shared" si="31"/>
        <v>0</v>
      </c>
      <c r="H350" s="34" t="e">
        <f t="shared" si="32"/>
        <v>#N/A</v>
      </c>
      <c r="I350" s="34" t="e">
        <f t="shared" si="33"/>
        <v>#N/A</v>
      </c>
      <c r="J350" s="45"/>
      <c r="K350" s="46"/>
      <c r="L350" s="49"/>
      <c r="M350" s="39"/>
      <c r="N350" s="39"/>
      <c r="O350" s="37">
        <f t="shared" si="34"/>
        <v>0</v>
      </c>
      <c r="P350" s="44"/>
      <c r="Q350" s="44"/>
    </row>
    <row r="351" spans="1:17" x14ac:dyDescent="0.4">
      <c r="A351" s="70"/>
      <c r="B351" s="46"/>
      <c r="C351" s="46"/>
      <c r="D351" s="34" t="e">
        <f>INDEX('Equipment list'!$B$227:$B$256, (MATCH(C351,'Equipment list'!$D$227:$D$256,0)),1)</f>
        <v>#N/A</v>
      </c>
      <c r="E351" s="34" t="e">
        <f>INDEX('Equipment list'!$C$227:$C$256, (MATCH(C351,'Equipment list'!$D$227:$D$256,0)),1)</f>
        <v>#N/A</v>
      </c>
      <c r="F351" s="34">
        <f t="shared" si="30"/>
        <v>0</v>
      </c>
      <c r="G351" s="34">
        <f t="shared" si="31"/>
        <v>0</v>
      </c>
      <c r="H351" s="34" t="e">
        <f t="shared" si="32"/>
        <v>#N/A</v>
      </c>
      <c r="I351" s="34" t="e">
        <f t="shared" si="33"/>
        <v>#N/A</v>
      </c>
      <c r="J351" s="45"/>
      <c r="K351" s="46"/>
      <c r="L351" s="49"/>
      <c r="M351" s="39"/>
      <c r="N351" s="39"/>
      <c r="O351" s="37">
        <f t="shared" si="34"/>
        <v>0</v>
      </c>
      <c r="P351" s="44"/>
      <c r="Q351" s="44"/>
    </row>
    <row r="352" spans="1:17" x14ac:dyDescent="0.4">
      <c r="A352" s="70"/>
      <c r="B352" s="46"/>
      <c r="C352" s="46"/>
      <c r="D352" s="34" t="e">
        <f>INDEX('Equipment list'!$B$227:$B$256, (MATCH(C352,'Equipment list'!$D$227:$D$256,0)),1)</f>
        <v>#N/A</v>
      </c>
      <c r="E352" s="34" t="e">
        <f>INDEX('Equipment list'!$C$227:$C$256, (MATCH(C352,'Equipment list'!$D$227:$D$256,0)),1)</f>
        <v>#N/A</v>
      </c>
      <c r="F352" s="34">
        <f t="shared" si="30"/>
        <v>0</v>
      </c>
      <c r="G352" s="34">
        <f t="shared" si="31"/>
        <v>0</v>
      </c>
      <c r="H352" s="34" t="e">
        <f t="shared" si="32"/>
        <v>#N/A</v>
      </c>
      <c r="I352" s="34" t="e">
        <f t="shared" si="33"/>
        <v>#N/A</v>
      </c>
      <c r="J352" s="45"/>
      <c r="K352" s="46"/>
      <c r="L352" s="49"/>
      <c r="M352" s="39"/>
      <c r="N352" s="39"/>
      <c r="O352" s="37">
        <f t="shared" si="34"/>
        <v>0</v>
      </c>
      <c r="P352" s="44"/>
      <c r="Q352" s="44"/>
    </row>
    <row r="353" spans="1:17" x14ac:dyDescent="0.4">
      <c r="A353" s="70"/>
      <c r="B353" s="46"/>
      <c r="C353" s="46"/>
      <c r="D353" s="34" t="e">
        <f>INDEX('Equipment list'!$B$227:$B$256, (MATCH(C353,'Equipment list'!$D$227:$D$256,0)),1)</f>
        <v>#N/A</v>
      </c>
      <c r="E353" s="34" t="e">
        <f>INDEX('Equipment list'!$C$227:$C$256, (MATCH(C353,'Equipment list'!$D$227:$D$256,0)),1)</f>
        <v>#N/A</v>
      </c>
      <c r="F353" s="34">
        <f t="shared" si="30"/>
        <v>0</v>
      </c>
      <c r="G353" s="34">
        <f t="shared" si="31"/>
        <v>0</v>
      </c>
      <c r="H353" s="34" t="e">
        <f t="shared" si="32"/>
        <v>#N/A</v>
      </c>
      <c r="I353" s="34" t="e">
        <f t="shared" si="33"/>
        <v>#N/A</v>
      </c>
      <c r="J353" s="45"/>
      <c r="K353" s="46"/>
      <c r="L353" s="49"/>
      <c r="M353" s="39"/>
      <c r="N353" s="39"/>
      <c r="O353" s="37">
        <f t="shared" si="34"/>
        <v>0</v>
      </c>
      <c r="P353" s="44"/>
      <c r="Q353" s="44"/>
    </row>
    <row r="354" spans="1:17" x14ac:dyDescent="0.4">
      <c r="A354" s="70"/>
      <c r="B354" s="46"/>
      <c r="C354" s="46"/>
      <c r="D354" s="34" t="e">
        <f>INDEX('Equipment list'!$B$227:$B$256, (MATCH(C354,'Equipment list'!$D$227:$D$256,0)),1)</f>
        <v>#N/A</v>
      </c>
      <c r="E354" s="34" t="e">
        <f>INDEX('Equipment list'!$C$227:$C$256, (MATCH(C354,'Equipment list'!$D$227:$D$256,0)),1)</f>
        <v>#N/A</v>
      </c>
      <c r="F354" s="34">
        <f t="shared" si="30"/>
        <v>0</v>
      </c>
      <c r="G354" s="34">
        <f t="shared" si="31"/>
        <v>0</v>
      </c>
      <c r="H354" s="34" t="e">
        <f t="shared" si="32"/>
        <v>#N/A</v>
      </c>
      <c r="I354" s="34" t="e">
        <f t="shared" si="33"/>
        <v>#N/A</v>
      </c>
      <c r="J354" s="45"/>
      <c r="K354" s="46"/>
      <c r="L354" s="49"/>
      <c r="M354" s="39"/>
      <c r="N354" s="39"/>
      <c r="O354" s="37">
        <f t="shared" si="34"/>
        <v>0</v>
      </c>
      <c r="P354" s="44"/>
      <c r="Q354" s="44"/>
    </row>
    <row r="355" spans="1:17" x14ac:dyDescent="0.4">
      <c r="A355" s="70"/>
      <c r="B355" s="46"/>
      <c r="C355" s="46"/>
      <c r="D355" s="34" t="e">
        <f>INDEX('Equipment list'!$B$227:$B$256, (MATCH(C355,'Equipment list'!$D$227:$D$256,0)),1)</f>
        <v>#N/A</v>
      </c>
      <c r="E355" s="34" t="e">
        <f>INDEX('Equipment list'!$C$227:$C$256, (MATCH(C355,'Equipment list'!$D$227:$D$256,0)),1)</f>
        <v>#N/A</v>
      </c>
      <c r="F355" s="34">
        <f t="shared" si="30"/>
        <v>0</v>
      </c>
      <c r="G355" s="34">
        <f t="shared" si="31"/>
        <v>0</v>
      </c>
      <c r="H355" s="34" t="e">
        <f t="shared" si="32"/>
        <v>#N/A</v>
      </c>
      <c r="I355" s="34" t="e">
        <f t="shared" si="33"/>
        <v>#N/A</v>
      </c>
      <c r="J355" s="45"/>
      <c r="K355" s="46"/>
      <c r="L355" s="49"/>
      <c r="M355" s="39"/>
      <c r="N355" s="39"/>
      <c r="O355" s="37">
        <f t="shared" si="34"/>
        <v>0</v>
      </c>
      <c r="P355" s="44"/>
      <c r="Q355" s="44"/>
    </row>
    <row r="356" spans="1:17" x14ac:dyDescent="0.4">
      <c r="A356" s="70"/>
      <c r="B356" s="46"/>
      <c r="C356" s="46"/>
      <c r="D356" s="34" t="e">
        <f>INDEX('Equipment list'!$B$227:$B$256, (MATCH(C356,'Equipment list'!$D$227:$D$256,0)),1)</f>
        <v>#N/A</v>
      </c>
      <c r="E356" s="34" t="e">
        <f>INDEX('Equipment list'!$C$227:$C$256, (MATCH(C356,'Equipment list'!$D$227:$D$256,0)),1)</f>
        <v>#N/A</v>
      </c>
      <c r="F356" s="34">
        <f t="shared" si="30"/>
        <v>0</v>
      </c>
      <c r="G356" s="34">
        <f t="shared" si="31"/>
        <v>0</v>
      </c>
      <c r="H356" s="34" t="e">
        <f t="shared" si="32"/>
        <v>#N/A</v>
      </c>
      <c r="I356" s="34" t="e">
        <f t="shared" si="33"/>
        <v>#N/A</v>
      </c>
      <c r="J356" s="45"/>
      <c r="K356" s="46"/>
      <c r="L356" s="49"/>
      <c r="M356" s="39"/>
      <c r="N356" s="39"/>
      <c r="O356" s="37">
        <f t="shared" si="34"/>
        <v>0</v>
      </c>
      <c r="P356" s="44"/>
      <c r="Q356" s="44"/>
    </row>
    <row r="357" spans="1:17" x14ac:dyDescent="0.4">
      <c r="A357" s="70"/>
      <c r="B357" s="46"/>
      <c r="C357" s="46"/>
      <c r="D357" s="34" t="e">
        <f>INDEX('Equipment list'!$B$227:$B$256, (MATCH(C357,'Equipment list'!$D$227:$D$256,0)),1)</f>
        <v>#N/A</v>
      </c>
      <c r="E357" s="34" t="e">
        <f>INDEX('Equipment list'!$C$227:$C$256, (MATCH(C357,'Equipment list'!$D$227:$D$256,0)),1)</f>
        <v>#N/A</v>
      </c>
      <c r="F357" s="34">
        <f t="shared" si="30"/>
        <v>0</v>
      </c>
      <c r="G357" s="34">
        <f t="shared" si="31"/>
        <v>0</v>
      </c>
      <c r="H357" s="34" t="e">
        <f t="shared" si="32"/>
        <v>#N/A</v>
      </c>
      <c r="I357" s="34" t="e">
        <f t="shared" si="33"/>
        <v>#N/A</v>
      </c>
      <c r="J357" s="45"/>
      <c r="K357" s="46"/>
      <c r="L357" s="49"/>
      <c r="M357" s="39"/>
      <c r="N357" s="39"/>
      <c r="O357" s="37">
        <f t="shared" si="34"/>
        <v>0</v>
      </c>
      <c r="P357" s="44"/>
      <c r="Q357" s="44"/>
    </row>
    <row r="358" spans="1:17" x14ac:dyDescent="0.4">
      <c r="A358" s="70"/>
      <c r="B358" s="46"/>
      <c r="C358" s="46"/>
      <c r="D358" s="34" t="e">
        <f>INDEX('Equipment list'!$B$227:$B$256, (MATCH(C358,'Equipment list'!$D$227:$D$256,0)),1)</f>
        <v>#N/A</v>
      </c>
      <c r="E358" s="34" t="e">
        <f>INDEX('Equipment list'!$C$227:$C$256, (MATCH(C358,'Equipment list'!$D$227:$D$256,0)),1)</f>
        <v>#N/A</v>
      </c>
      <c r="F358" s="34">
        <f t="shared" si="30"/>
        <v>0</v>
      </c>
      <c r="G358" s="34">
        <f t="shared" si="31"/>
        <v>0</v>
      </c>
      <c r="H358" s="34" t="e">
        <f t="shared" si="32"/>
        <v>#N/A</v>
      </c>
      <c r="I358" s="34" t="e">
        <f t="shared" si="33"/>
        <v>#N/A</v>
      </c>
      <c r="J358" s="45"/>
      <c r="K358" s="46"/>
      <c r="L358" s="49"/>
      <c r="M358" s="39"/>
      <c r="N358" s="39"/>
      <c r="O358" s="37">
        <f t="shared" si="34"/>
        <v>0</v>
      </c>
      <c r="P358" s="44"/>
      <c r="Q358" s="44"/>
    </row>
    <row r="359" spans="1:17" x14ac:dyDescent="0.4">
      <c r="A359" s="70"/>
      <c r="B359" s="46"/>
      <c r="C359" s="46"/>
      <c r="D359" s="34" t="e">
        <f>INDEX('Equipment list'!$B$227:$B$256, (MATCH(C359,'Equipment list'!$D$227:$D$256,0)),1)</f>
        <v>#N/A</v>
      </c>
      <c r="E359" s="34" t="e">
        <f>INDEX('Equipment list'!$C$227:$C$256, (MATCH(C359,'Equipment list'!$D$227:$D$256,0)),1)</f>
        <v>#N/A</v>
      </c>
      <c r="F359" s="34">
        <f t="shared" si="30"/>
        <v>0</v>
      </c>
      <c r="G359" s="34">
        <f t="shared" si="31"/>
        <v>0</v>
      </c>
      <c r="H359" s="34" t="e">
        <f t="shared" si="32"/>
        <v>#N/A</v>
      </c>
      <c r="I359" s="34" t="e">
        <f t="shared" si="33"/>
        <v>#N/A</v>
      </c>
      <c r="J359" s="45"/>
      <c r="K359" s="46"/>
      <c r="L359" s="49"/>
      <c r="M359" s="39"/>
      <c r="N359" s="39"/>
      <c r="O359" s="37">
        <f t="shared" si="34"/>
        <v>0</v>
      </c>
      <c r="P359" s="44"/>
      <c r="Q359" s="44"/>
    </row>
    <row r="360" spans="1:17" x14ac:dyDescent="0.4">
      <c r="A360" s="70"/>
      <c r="B360" s="46"/>
      <c r="C360" s="46"/>
      <c r="D360" s="34" t="e">
        <f>INDEX('Equipment list'!$B$227:$B$256, (MATCH(C360,'Equipment list'!$D$227:$D$256,0)),1)</f>
        <v>#N/A</v>
      </c>
      <c r="E360" s="34" t="e">
        <f>INDEX('Equipment list'!$C$227:$C$256, (MATCH(C360,'Equipment list'!$D$227:$D$256,0)),1)</f>
        <v>#N/A</v>
      </c>
      <c r="F360" s="34">
        <f t="shared" si="30"/>
        <v>0</v>
      </c>
      <c r="G360" s="34">
        <f t="shared" si="31"/>
        <v>0</v>
      </c>
      <c r="H360" s="34" t="e">
        <f t="shared" si="32"/>
        <v>#N/A</v>
      </c>
      <c r="I360" s="34" t="e">
        <f t="shared" si="33"/>
        <v>#N/A</v>
      </c>
      <c r="J360" s="45"/>
      <c r="K360" s="46"/>
      <c r="L360" s="49"/>
      <c r="M360" s="39"/>
      <c r="N360" s="39"/>
      <c r="O360" s="37">
        <f t="shared" si="34"/>
        <v>0</v>
      </c>
      <c r="P360" s="44"/>
      <c r="Q360" s="44"/>
    </row>
    <row r="361" spans="1:17" x14ac:dyDescent="0.4">
      <c r="A361" s="70"/>
      <c r="B361" s="46"/>
      <c r="C361" s="46"/>
      <c r="D361" s="34" t="e">
        <f>INDEX('Equipment list'!$B$227:$B$256, (MATCH(C361,'Equipment list'!$D$227:$D$256,0)),1)</f>
        <v>#N/A</v>
      </c>
      <c r="E361" s="34" t="e">
        <f>INDEX('Equipment list'!$C$227:$C$256, (MATCH(C361,'Equipment list'!$D$227:$D$256,0)),1)</f>
        <v>#N/A</v>
      </c>
      <c r="F361" s="34">
        <f t="shared" si="30"/>
        <v>0</v>
      </c>
      <c r="G361" s="34">
        <f t="shared" si="31"/>
        <v>0</v>
      </c>
      <c r="H361" s="34" t="e">
        <f t="shared" si="32"/>
        <v>#N/A</v>
      </c>
      <c r="I361" s="34" t="e">
        <f t="shared" si="33"/>
        <v>#N/A</v>
      </c>
      <c r="J361" s="45"/>
      <c r="K361" s="46"/>
      <c r="L361" s="49"/>
      <c r="M361" s="39"/>
      <c r="N361" s="39"/>
      <c r="O361" s="37">
        <f t="shared" si="34"/>
        <v>0</v>
      </c>
      <c r="P361" s="44"/>
      <c r="Q361" s="44"/>
    </row>
    <row r="362" spans="1:17" x14ac:dyDescent="0.4">
      <c r="A362" s="70"/>
      <c r="B362" s="46"/>
      <c r="C362" s="46"/>
      <c r="D362" s="34" t="e">
        <f>INDEX('Equipment list'!$B$227:$B$256, (MATCH(C362,'Equipment list'!$D$227:$D$256,0)),1)</f>
        <v>#N/A</v>
      </c>
      <c r="E362" s="34" t="e">
        <f>INDEX('Equipment list'!$C$227:$C$256, (MATCH(C362,'Equipment list'!$D$227:$D$256,0)),1)</f>
        <v>#N/A</v>
      </c>
      <c r="F362" s="34">
        <f t="shared" si="30"/>
        <v>0</v>
      </c>
      <c r="G362" s="34">
        <f t="shared" si="31"/>
        <v>0</v>
      </c>
      <c r="H362" s="34" t="e">
        <f t="shared" si="32"/>
        <v>#N/A</v>
      </c>
      <c r="I362" s="34" t="e">
        <f t="shared" si="33"/>
        <v>#N/A</v>
      </c>
      <c r="J362" s="45"/>
      <c r="K362" s="46"/>
      <c r="L362" s="49"/>
      <c r="M362" s="39"/>
      <c r="N362" s="39"/>
      <c r="O362" s="37">
        <f t="shared" si="34"/>
        <v>0</v>
      </c>
      <c r="P362" s="44"/>
      <c r="Q362" s="44"/>
    </row>
    <row r="363" spans="1:17" x14ac:dyDescent="0.4">
      <c r="A363" s="70"/>
      <c r="B363" s="46"/>
      <c r="C363" s="46"/>
      <c r="D363" s="34" t="e">
        <f>INDEX('Equipment list'!$B$227:$B$256, (MATCH(C363,'Equipment list'!$D$227:$D$256,0)),1)</f>
        <v>#N/A</v>
      </c>
      <c r="E363" s="34" t="e">
        <f>INDEX('Equipment list'!$C$227:$C$256, (MATCH(C363,'Equipment list'!$D$227:$D$256,0)),1)</f>
        <v>#N/A</v>
      </c>
      <c r="F363" s="34">
        <f t="shared" si="30"/>
        <v>0</v>
      </c>
      <c r="G363" s="34">
        <f t="shared" si="31"/>
        <v>0</v>
      </c>
      <c r="H363" s="34" t="e">
        <f t="shared" si="32"/>
        <v>#N/A</v>
      </c>
      <c r="I363" s="34" t="e">
        <f t="shared" si="33"/>
        <v>#N/A</v>
      </c>
      <c r="J363" s="45"/>
      <c r="K363" s="46"/>
      <c r="L363" s="49"/>
      <c r="M363" s="39"/>
      <c r="N363" s="39"/>
      <c r="O363" s="37">
        <f t="shared" si="34"/>
        <v>0</v>
      </c>
      <c r="P363" s="44"/>
      <c r="Q363" s="44"/>
    </row>
    <row r="364" spans="1:17" x14ac:dyDescent="0.4">
      <c r="A364" s="70"/>
      <c r="B364" s="46"/>
      <c r="C364" s="46"/>
      <c r="D364" s="34" t="e">
        <f>INDEX('Equipment list'!$B$227:$B$256, (MATCH(C364,'Equipment list'!$D$227:$D$256,0)),1)</f>
        <v>#N/A</v>
      </c>
      <c r="E364" s="34" t="e">
        <f>INDEX('Equipment list'!$C$227:$C$256, (MATCH(C364,'Equipment list'!$D$227:$D$256,0)),1)</f>
        <v>#N/A</v>
      </c>
      <c r="F364" s="34">
        <f t="shared" si="30"/>
        <v>0</v>
      </c>
      <c r="G364" s="34">
        <f t="shared" si="31"/>
        <v>0</v>
      </c>
      <c r="H364" s="34" t="e">
        <f t="shared" si="32"/>
        <v>#N/A</v>
      </c>
      <c r="I364" s="34" t="e">
        <f t="shared" si="33"/>
        <v>#N/A</v>
      </c>
      <c r="J364" s="45"/>
      <c r="K364" s="46"/>
      <c r="L364" s="49"/>
      <c r="M364" s="39"/>
      <c r="N364" s="39"/>
      <c r="O364" s="37">
        <f t="shared" si="34"/>
        <v>0</v>
      </c>
      <c r="P364" s="44"/>
      <c r="Q364" s="44"/>
    </row>
    <row r="365" spans="1:17" x14ac:dyDescent="0.4">
      <c r="A365" s="70"/>
      <c r="B365" s="46"/>
      <c r="C365" s="46"/>
      <c r="D365" s="34" t="e">
        <f>INDEX('Equipment list'!$B$227:$B$256, (MATCH(C365,'Equipment list'!$D$227:$D$256,0)),1)</f>
        <v>#N/A</v>
      </c>
      <c r="E365" s="34" t="e">
        <f>INDEX('Equipment list'!$C$227:$C$256, (MATCH(C365,'Equipment list'!$D$227:$D$256,0)),1)</f>
        <v>#N/A</v>
      </c>
      <c r="F365" s="34">
        <f t="shared" si="30"/>
        <v>0</v>
      </c>
      <c r="G365" s="34">
        <f t="shared" si="31"/>
        <v>0</v>
      </c>
      <c r="H365" s="34" t="e">
        <f t="shared" si="32"/>
        <v>#N/A</v>
      </c>
      <c r="I365" s="34" t="e">
        <f t="shared" si="33"/>
        <v>#N/A</v>
      </c>
      <c r="J365" s="45"/>
      <c r="K365" s="46"/>
      <c r="L365" s="49"/>
      <c r="M365" s="39"/>
      <c r="N365" s="39"/>
      <c r="O365" s="37">
        <f t="shared" si="34"/>
        <v>0</v>
      </c>
      <c r="P365" s="44"/>
      <c r="Q365" s="44"/>
    </row>
    <row r="366" spans="1:17" x14ac:dyDescent="0.4">
      <c r="A366" s="70"/>
      <c r="B366" s="46"/>
      <c r="C366" s="46"/>
      <c r="D366" s="34" t="e">
        <f>INDEX('Equipment list'!$B$227:$B$256, (MATCH(C366,'Equipment list'!$D$227:$D$256,0)),1)</f>
        <v>#N/A</v>
      </c>
      <c r="E366" s="34" t="e">
        <f>INDEX('Equipment list'!$C$227:$C$256, (MATCH(C366,'Equipment list'!$D$227:$D$256,0)),1)</f>
        <v>#N/A</v>
      </c>
      <c r="F366" s="34">
        <f t="shared" si="30"/>
        <v>0</v>
      </c>
      <c r="G366" s="34">
        <f t="shared" si="31"/>
        <v>0</v>
      </c>
      <c r="H366" s="34" t="e">
        <f t="shared" si="32"/>
        <v>#N/A</v>
      </c>
      <c r="I366" s="34" t="e">
        <f t="shared" si="33"/>
        <v>#N/A</v>
      </c>
      <c r="J366" s="45"/>
      <c r="K366" s="46"/>
      <c r="L366" s="49"/>
      <c r="M366" s="39"/>
      <c r="N366" s="39"/>
      <c r="O366" s="37">
        <f t="shared" si="34"/>
        <v>0</v>
      </c>
      <c r="P366" s="44"/>
      <c r="Q366" s="44"/>
    </row>
    <row r="367" spans="1:17" x14ac:dyDescent="0.4">
      <c r="A367" s="70"/>
      <c r="B367" s="46"/>
      <c r="C367" s="46"/>
      <c r="D367" s="34" t="e">
        <f>INDEX('Equipment list'!$B$227:$B$256, (MATCH(C367,'Equipment list'!$D$227:$D$256,0)),1)</f>
        <v>#N/A</v>
      </c>
      <c r="E367" s="34" t="e">
        <f>INDEX('Equipment list'!$C$227:$C$256, (MATCH(C367,'Equipment list'!$D$227:$D$256,0)),1)</f>
        <v>#N/A</v>
      </c>
      <c r="F367" s="34">
        <f t="shared" si="30"/>
        <v>0</v>
      </c>
      <c r="G367" s="34">
        <f t="shared" si="31"/>
        <v>0</v>
      </c>
      <c r="H367" s="34" t="e">
        <f t="shared" si="32"/>
        <v>#N/A</v>
      </c>
      <c r="I367" s="34" t="e">
        <f t="shared" si="33"/>
        <v>#N/A</v>
      </c>
      <c r="J367" s="45"/>
      <c r="K367" s="46"/>
      <c r="L367" s="49"/>
      <c r="M367" s="39"/>
      <c r="N367" s="39"/>
      <c r="O367" s="37">
        <f t="shared" si="34"/>
        <v>0</v>
      </c>
      <c r="P367" s="44"/>
      <c r="Q367" s="44"/>
    </row>
    <row r="368" spans="1:17" x14ac:dyDescent="0.4">
      <c r="A368" s="70"/>
      <c r="B368" s="46"/>
      <c r="C368" s="46"/>
      <c r="D368" s="34" t="e">
        <f>INDEX('Equipment list'!$B$227:$B$256, (MATCH(C368,'Equipment list'!$D$227:$D$256,0)),1)</f>
        <v>#N/A</v>
      </c>
      <c r="E368" s="34" t="e">
        <f>INDEX('Equipment list'!$C$227:$C$256, (MATCH(C368,'Equipment list'!$D$227:$D$256,0)),1)</f>
        <v>#N/A</v>
      </c>
      <c r="F368" s="34">
        <f t="shared" si="30"/>
        <v>0</v>
      </c>
      <c r="G368" s="34">
        <f t="shared" si="31"/>
        <v>0</v>
      </c>
      <c r="H368" s="34" t="e">
        <f t="shared" si="32"/>
        <v>#N/A</v>
      </c>
      <c r="I368" s="34" t="e">
        <f t="shared" si="33"/>
        <v>#N/A</v>
      </c>
      <c r="J368" s="45"/>
      <c r="K368" s="46"/>
      <c r="L368" s="49"/>
      <c r="M368" s="39"/>
      <c r="N368" s="39"/>
      <c r="O368" s="37">
        <f t="shared" si="34"/>
        <v>0</v>
      </c>
      <c r="P368" s="44"/>
      <c r="Q368" s="44"/>
    </row>
    <row r="369" spans="1:17" x14ac:dyDescent="0.4">
      <c r="A369" s="70"/>
      <c r="B369" s="46"/>
      <c r="C369" s="46"/>
      <c r="D369" s="34" t="e">
        <f>INDEX('Equipment list'!$B$227:$B$256, (MATCH(C369,'Equipment list'!$D$227:$D$256,0)),1)</f>
        <v>#N/A</v>
      </c>
      <c r="E369" s="34" t="e">
        <f>INDEX('Equipment list'!$C$227:$C$256, (MATCH(C369,'Equipment list'!$D$227:$D$256,0)),1)</f>
        <v>#N/A</v>
      </c>
      <c r="F369" s="34">
        <f t="shared" si="30"/>
        <v>0</v>
      </c>
      <c r="G369" s="34">
        <f t="shared" si="31"/>
        <v>0</v>
      </c>
      <c r="H369" s="34" t="e">
        <f t="shared" si="32"/>
        <v>#N/A</v>
      </c>
      <c r="I369" s="34" t="e">
        <f t="shared" si="33"/>
        <v>#N/A</v>
      </c>
      <c r="J369" s="45"/>
      <c r="K369" s="46"/>
      <c r="L369" s="49"/>
      <c r="M369" s="39"/>
      <c r="N369" s="39"/>
      <c r="O369" s="37">
        <f t="shared" si="34"/>
        <v>0</v>
      </c>
      <c r="P369" s="44"/>
      <c r="Q369" s="44"/>
    </row>
    <row r="370" spans="1:17" x14ac:dyDescent="0.4">
      <c r="A370" s="70"/>
      <c r="B370" s="46"/>
      <c r="C370" s="46"/>
      <c r="D370" s="34" t="e">
        <f>INDEX('Equipment list'!$B$227:$B$256, (MATCH(C370,'Equipment list'!$D$227:$D$256,0)),1)</f>
        <v>#N/A</v>
      </c>
      <c r="E370" s="34" t="e">
        <f>INDEX('Equipment list'!$C$227:$C$256, (MATCH(C370,'Equipment list'!$D$227:$D$256,0)),1)</f>
        <v>#N/A</v>
      </c>
      <c r="F370" s="34">
        <f t="shared" si="30"/>
        <v>0</v>
      </c>
      <c r="G370" s="34">
        <f t="shared" si="31"/>
        <v>0</v>
      </c>
      <c r="H370" s="34" t="e">
        <f t="shared" si="32"/>
        <v>#N/A</v>
      </c>
      <c r="I370" s="34" t="e">
        <f t="shared" si="33"/>
        <v>#N/A</v>
      </c>
      <c r="J370" s="45"/>
      <c r="K370" s="46"/>
      <c r="L370" s="49"/>
      <c r="M370" s="39"/>
      <c r="N370" s="39"/>
      <c r="O370" s="37">
        <f t="shared" si="34"/>
        <v>0</v>
      </c>
      <c r="P370" s="44"/>
      <c r="Q370" s="44"/>
    </row>
    <row r="371" spans="1:17" x14ac:dyDescent="0.4">
      <c r="A371" s="70"/>
      <c r="B371" s="46"/>
      <c r="C371" s="46"/>
      <c r="D371" s="34" t="e">
        <f>INDEX('Equipment list'!$B$227:$B$256, (MATCH(C371,'Equipment list'!$D$227:$D$256,0)),1)</f>
        <v>#N/A</v>
      </c>
      <c r="E371" s="34" t="e">
        <f>INDEX('Equipment list'!$C$227:$C$256, (MATCH(C371,'Equipment list'!$D$227:$D$256,0)),1)</f>
        <v>#N/A</v>
      </c>
      <c r="F371" s="34">
        <f t="shared" si="30"/>
        <v>0</v>
      </c>
      <c r="G371" s="34">
        <f t="shared" si="31"/>
        <v>0</v>
      </c>
      <c r="H371" s="34" t="e">
        <f t="shared" si="32"/>
        <v>#N/A</v>
      </c>
      <c r="I371" s="34" t="e">
        <f t="shared" si="33"/>
        <v>#N/A</v>
      </c>
      <c r="J371" s="45"/>
      <c r="K371" s="46"/>
      <c r="L371" s="49"/>
      <c r="M371" s="39"/>
      <c r="N371" s="39"/>
      <c r="O371" s="37">
        <f t="shared" si="34"/>
        <v>0</v>
      </c>
      <c r="P371" s="44"/>
      <c r="Q371" s="44"/>
    </row>
    <row r="372" spans="1:17" x14ac:dyDescent="0.4">
      <c r="A372" s="70"/>
      <c r="B372" s="46"/>
      <c r="C372" s="46"/>
      <c r="D372" s="34" t="e">
        <f>INDEX('Equipment list'!$B$227:$B$256, (MATCH(C372,'Equipment list'!$D$227:$D$256,0)),1)</f>
        <v>#N/A</v>
      </c>
      <c r="E372" s="34" t="e">
        <f>INDEX('Equipment list'!$C$227:$C$256, (MATCH(C372,'Equipment list'!$D$227:$D$256,0)),1)</f>
        <v>#N/A</v>
      </c>
      <c r="F372" s="34">
        <f t="shared" si="30"/>
        <v>0</v>
      </c>
      <c r="G372" s="34">
        <f t="shared" si="31"/>
        <v>0</v>
      </c>
      <c r="H372" s="34" t="e">
        <f t="shared" si="32"/>
        <v>#N/A</v>
      </c>
      <c r="I372" s="34" t="e">
        <f t="shared" si="33"/>
        <v>#N/A</v>
      </c>
      <c r="J372" s="45"/>
      <c r="K372" s="46"/>
      <c r="L372" s="49"/>
      <c r="M372" s="39"/>
      <c r="N372" s="39"/>
      <c r="O372" s="37">
        <f t="shared" si="34"/>
        <v>0</v>
      </c>
      <c r="P372" s="44"/>
      <c r="Q372" s="44"/>
    </row>
    <row r="373" spans="1:17" x14ac:dyDescent="0.4">
      <c r="A373" s="70"/>
      <c r="B373" s="46"/>
      <c r="C373" s="46"/>
      <c r="D373" s="34" t="e">
        <f>INDEX('Equipment list'!$B$227:$B$256, (MATCH(C373,'Equipment list'!$D$227:$D$256,0)),1)</f>
        <v>#N/A</v>
      </c>
      <c r="E373" s="34" t="e">
        <f>INDEX('Equipment list'!$C$227:$C$256, (MATCH(C373,'Equipment list'!$D$227:$D$256,0)),1)</f>
        <v>#N/A</v>
      </c>
      <c r="F373" s="34">
        <f t="shared" si="30"/>
        <v>0</v>
      </c>
      <c r="G373" s="34">
        <f t="shared" si="31"/>
        <v>0</v>
      </c>
      <c r="H373" s="34" t="e">
        <f t="shared" si="32"/>
        <v>#N/A</v>
      </c>
      <c r="I373" s="34" t="e">
        <f t="shared" si="33"/>
        <v>#N/A</v>
      </c>
      <c r="J373" s="45"/>
      <c r="K373" s="46"/>
      <c r="L373" s="49"/>
      <c r="M373" s="39"/>
      <c r="N373" s="39"/>
      <c r="O373" s="37">
        <f t="shared" si="34"/>
        <v>0</v>
      </c>
      <c r="P373" s="44"/>
      <c r="Q373" s="44"/>
    </row>
    <row r="374" spans="1:17" x14ac:dyDescent="0.4">
      <c r="A374" s="70"/>
      <c r="B374" s="46"/>
      <c r="C374" s="46"/>
      <c r="D374" s="34" t="e">
        <f>INDEX('Equipment list'!$B$227:$B$256, (MATCH(C374,'Equipment list'!$D$227:$D$256,0)),1)</f>
        <v>#N/A</v>
      </c>
      <c r="E374" s="34" t="e">
        <f>INDEX('Equipment list'!$C$227:$C$256, (MATCH(C374,'Equipment list'!$D$227:$D$256,0)),1)</f>
        <v>#N/A</v>
      </c>
      <c r="F374" s="34">
        <f t="shared" si="30"/>
        <v>0</v>
      </c>
      <c r="G374" s="34">
        <f t="shared" si="31"/>
        <v>0</v>
      </c>
      <c r="H374" s="34" t="e">
        <f t="shared" si="32"/>
        <v>#N/A</v>
      </c>
      <c r="I374" s="34" t="e">
        <f t="shared" si="33"/>
        <v>#N/A</v>
      </c>
      <c r="J374" s="45"/>
      <c r="K374" s="46"/>
      <c r="L374" s="49"/>
      <c r="M374" s="39"/>
      <c r="N374" s="39"/>
      <c r="O374" s="37">
        <f t="shared" si="34"/>
        <v>0</v>
      </c>
      <c r="P374" s="44"/>
      <c r="Q374" s="44"/>
    </row>
    <row r="375" spans="1:17" x14ac:dyDescent="0.4">
      <c r="A375" s="70"/>
      <c r="B375" s="46"/>
      <c r="C375" s="46"/>
      <c r="D375" s="34" t="e">
        <f>INDEX('Equipment list'!$B$227:$B$256, (MATCH(C375,'Equipment list'!$D$227:$D$256,0)),1)</f>
        <v>#N/A</v>
      </c>
      <c r="E375" s="34" t="e">
        <f>INDEX('Equipment list'!$C$227:$C$256, (MATCH(C375,'Equipment list'!$D$227:$D$256,0)),1)</f>
        <v>#N/A</v>
      </c>
      <c r="F375" s="34">
        <f t="shared" si="30"/>
        <v>0</v>
      </c>
      <c r="G375" s="34">
        <f t="shared" si="31"/>
        <v>0</v>
      </c>
      <c r="H375" s="34" t="e">
        <f t="shared" si="32"/>
        <v>#N/A</v>
      </c>
      <c r="I375" s="34" t="e">
        <f t="shared" si="33"/>
        <v>#N/A</v>
      </c>
      <c r="J375" s="45"/>
      <c r="K375" s="46"/>
      <c r="L375" s="49"/>
      <c r="M375" s="39"/>
      <c r="N375" s="39"/>
      <c r="O375" s="37">
        <f t="shared" si="34"/>
        <v>0</v>
      </c>
      <c r="P375" s="44"/>
      <c r="Q375" s="44"/>
    </row>
    <row r="376" spans="1:17" x14ac:dyDescent="0.4">
      <c r="A376" s="70"/>
      <c r="B376" s="46"/>
      <c r="C376" s="46"/>
      <c r="D376" s="34" t="e">
        <f>INDEX('Equipment list'!$B$227:$B$256, (MATCH(C376,'Equipment list'!$D$227:$D$256,0)),1)</f>
        <v>#N/A</v>
      </c>
      <c r="E376" s="34" t="e">
        <f>INDEX('Equipment list'!$C$227:$C$256, (MATCH(C376,'Equipment list'!$D$227:$D$256,0)),1)</f>
        <v>#N/A</v>
      </c>
      <c r="F376" s="34">
        <f t="shared" si="30"/>
        <v>0</v>
      </c>
      <c r="G376" s="34">
        <f t="shared" si="31"/>
        <v>0</v>
      </c>
      <c r="H376" s="34" t="e">
        <f t="shared" si="32"/>
        <v>#N/A</v>
      </c>
      <c r="I376" s="34" t="e">
        <f t="shared" si="33"/>
        <v>#N/A</v>
      </c>
      <c r="J376" s="45"/>
      <c r="K376" s="46"/>
      <c r="L376" s="49"/>
      <c r="M376" s="39"/>
      <c r="N376" s="39"/>
      <c r="O376" s="37">
        <f t="shared" si="34"/>
        <v>0</v>
      </c>
      <c r="P376" s="44"/>
      <c r="Q376" s="44"/>
    </row>
    <row r="377" spans="1:17" x14ac:dyDescent="0.4">
      <c r="A377" s="70"/>
      <c r="B377" s="46"/>
      <c r="C377" s="46"/>
      <c r="D377" s="34" t="e">
        <f>INDEX('Equipment list'!$B$227:$B$256, (MATCH(C377,'Equipment list'!$D$227:$D$256,0)),1)</f>
        <v>#N/A</v>
      </c>
      <c r="E377" s="34" t="e">
        <f>INDEX('Equipment list'!$C$227:$C$256, (MATCH(C377,'Equipment list'!$D$227:$D$256,0)),1)</f>
        <v>#N/A</v>
      </c>
      <c r="F377" s="34">
        <f t="shared" si="30"/>
        <v>0</v>
      </c>
      <c r="G377" s="34">
        <f t="shared" si="31"/>
        <v>0</v>
      </c>
      <c r="H377" s="34" t="e">
        <f t="shared" si="32"/>
        <v>#N/A</v>
      </c>
      <c r="I377" s="34" t="e">
        <f t="shared" si="33"/>
        <v>#N/A</v>
      </c>
      <c r="J377" s="45"/>
      <c r="K377" s="46"/>
      <c r="L377" s="49"/>
      <c r="M377" s="39"/>
      <c r="N377" s="39"/>
      <c r="O377" s="37">
        <f t="shared" si="34"/>
        <v>0</v>
      </c>
      <c r="P377" s="44"/>
      <c r="Q377" s="44"/>
    </row>
    <row r="378" spans="1:17" x14ac:dyDescent="0.4">
      <c r="A378" s="70"/>
      <c r="B378" s="46"/>
      <c r="C378" s="46"/>
      <c r="D378" s="34" t="e">
        <f>INDEX('Equipment list'!$B$227:$B$256, (MATCH(C378,'Equipment list'!$D$227:$D$256,0)),1)</f>
        <v>#N/A</v>
      </c>
      <c r="E378" s="34" t="e">
        <f>INDEX('Equipment list'!$C$227:$C$256, (MATCH(C378,'Equipment list'!$D$227:$D$256,0)),1)</f>
        <v>#N/A</v>
      </c>
      <c r="F378" s="34">
        <f t="shared" si="30"/>
        <v>0</v>
      </c>
      <c r="G378" s="34">
        <f t="shared" si="31"/>
        <v>0</v>
      </c>
      <c r="H378" s="34" t="e">
        <f t="shared" si="32"/>
        <v>#N/A</v>
      </c>
      <c r="I378" s="34" t="e">
        <f t="shared" si="33"/>
        <v>#N/A</v>
      </c>
      <c r="J378" s="45"/>
      <c r="K378" s="46"/>
      <c r="L378" s="49"/>
      <c r="M378" s="39"/>
      <c r="N378" s="39"/>
      <c r="O378" s="37">
        <f t="shared" si="34"/>
        <v>0</v>
      </c>
      <c r="P378" s="44"/>
      <c r="Q378" s="44"/>
    </row>
    <row r="379" spans="1:17" x14ac:dyDescent="0.4">
      <c r="A379" s="70"/>
      <c r="B379" s="46"/>
      <c r="C379" s="46"/>
      <c r="D379" s="34" t="e">
        <f>INDEX('Equipment list'!$B$227:$B$256, (MATCH(C379,'Equipment list'!$D$227:$D$256,0)),1)</f>
        <v>#N/A</v>
      </c>
      <c r="E379" s="34" t="e">
        <f>INDEX('Equipment list'!$C$227:$C$256, (MATCH(C379,'Equipment list'!$D$227:$D$256,0)),1)</f>
        <v>#N/A</v>
      </c>
      <c r="F379" s="34">
        <f t="shared" si="30"/>
        <v>0</v>
      </c>
      <c r="G379" s="34">
        <f t="shared" si="31"/>
        <v>0</v>
      </c>
      <c r="H379" s="34" t="e">
        <f t="shared" si="32"/>
        <v>#N/A</v>
      </c>
      <c r="I379" s="34" t="e">
        <f t="shared" si="33"/>
        <v>#N/A</v>
      </c>
      <c r="J379" s="45"/>
      <c r="K379" s="46"/>
      <c r="L379" s="49"/>
      <c r="M379" s="39"/>
      <c r="N379" s="39"/>
      <c r="O379" s="37">
        <f t="shared" si="34"/>
        <v>0</v>
      </c>
      <c r="P379" s="44"/>
      <c r="Q379" s="44"/>
    </row>
    <row r="380" spans="1:17" x14ac:dyDescent="0.4">
      <c r="A380" s="70"/>
      <c r="B380" s="46"/>
      <c r="C380" s="46"/>
      <c r="D380" s="34" t="e">
        <f>INDEX('Equipment list'!$B$227:$B$256, (MATCH(C380,'Equipment list'!$D$227:$D$256,0)),1)</f>
        <v>#N/A</v>
      </c>
      <c r="E380" s="34" t="e">
        <f>INDEX('Equipment list'!$C$227:$C$256, (MATCH(C380,'Equipment list'!$D$227:$D$256,0)),1)</f>
        <v>#N/A</v>
      </c>
      <c r="F380" s="34">
        <f t="shared" si="30"/>
        <v>0</v>
      </c>
      <c r="G380" s="34">
        <f t="shared" si="31"/>
        <v>0</v>
      </c>
      <c r="H380" s="34" t="e">
        <f t="shared" si="32"/>
        <v>#N/A</v>
      </c>
      <c r="I380" s="34" t="e">
        <f t="shared" si="33"/>
        <v>#N/A</v>
      </c>
      <c r="J380" s="45"/>
      <c r="K380" s="46"/>
      <c r="L380" s="49"/>
      <c r="M380" s="39"/>
      <c r="N380" s="39"/>
      <c r="O380" s="37">
        <f t="shared" si="34"/>
        <v>0</v>
      </c>
      <c r="P380" s="44"/>
      <c r="Q380" s="44"/>
    </row>
    <row r="381" spans="1:17" x14ac:dyDescent="0.4">
      <c r="A381" s="70"/>
      <c r="B381" s="46"/>
      <c r="C381" s="46"/>
      <c r="D381" s="34" t="e">
        <f>INDEX('Equipment list'!$B$227:$B$256, (MATCH(C381,'Equipment list'!$D$227:$D$256,0)),1)</f>
        <v>#N/A</v>
      </c>
      <c r="E381" s="34" t="e">
        <f>INDEX('Equipment list'!$C$227:$C$256, (MATCH(C381,'Equipment list'!$D$227:$D$256,0)),1)</f>
        <v>#N/A</v>
      </c>
      <c r="F381" s="34">
        <f t="shared" si="30"/>
        <v>0</v>
      </c>
      <c r="G381" s="34">
        <f t="shared" si="31"/>
        <v>0</v>
      </c>
      <c r="H381" s="34" t="e">
        <f t="shared" si="32"/>
        <v>#N/A</v>
      </c>
      <c r="I381" s="34" t="e">
        <f t="shared" si="33"/>
        <v>#N/A</v>
      </c>
      <c r="J381" s="45"/>
      <c r="K381" s="46"/>
      <c r="L381" s="49"/>
      <c r="M381" s="39"/>
      <c r="N381" s="39"/>
      <c r="O381" s="37">
        <f t="shared" si="34"/>
        <v>0</v>
      </c>
      <c r="P381" s="44"/>
      <c r="Q381" s="44"/>
    </row>
    <row r="382" spans="1:17" x14ac:dyDescent="0.4">
      <c r="A382" s="70"/>
      <c r="B382" s="46"/>
      <c r="C382" s="46"/>
      <c r="D382" s="34" t="e">
        <f>INDEX('Equipment list'!$B$227:$B$256, (MATCH(C382,'Equipment list'!$D$227:$D$256,0)),1)</f>
        <v>#N/A</v>
      </c>
      <c r="E382" s="34" t="e">
        <f>INDEX('Equipment list'!$C$227:$C$256, (MATCH(C382,'Equipment list'!$D$227:$D$256,0)),1)</f>
        <v>#N/A</v>
      </c>
      <c r="F382" s="34">
        <f t="shared" si="30"/>
        <v>0</v>
      </c>
      <c r="G382" s="34">
        <f t="shared" si="31"/>
        <v>0</v>
      </c>
      <c r="H382" s="34" t="e">
        <f t="shared" si="32"/>
        <v>#N/A</v>
      </c>
      <c r="I382" s="34" t="e">
        <f t="shared" si="33"/>
        <v>#N/A</v>
      </c>
      <c r="J382" s="45"/>
      <c r="K382" s="46"/>
      <c r="L382" s="49"/>
      <c r="M382" s="39"/>
      <c r="N382" s="39"/>
      <c r="O382" s="37">
        <f t="shared" si="34"/>
        <v>0</v>
      </c>
      <c r="P382" s="44"/>
      <c r="Q382" s="44"/>
    </row>
    <row r="383" spans="1:17" x14ac:dyDescent="0.4">
      <c r="A383" s="70"/>
      <c r="B383" s="46"/>
      <c r="C383" s="46"/>
      <c r="D383" s="34" t="e">
        <f>INDEX('Equipment list'!$B$227:$B$256, (MATCH(C383,'Equipment list'!$D$227:$D$256,0)),1)</f>
        <v>#N/A</v>
      </c>
      <c r="E383" s="34" t="e">
        <f>INDEX('Equipment list'!$C$227:$C$256, (MATCH(C383,'Equipment list'!$D$227:$D$256,0)),1)</f>
        <v>#N/A</v>
      </c>
      <c r="F383" s="34">
        <f t="shared" si="30"/>
        <v>0</v>
      </c>
      <c r="G383" s="34">
        <f t="shared" si="31"/>
        <v>0</v>
      </c>
      <c r="H383" s="34" t="e">
        <f t="shared" si="32"/>
        <v>#N/A</v>
      </c>
      <c r="I383" s="34" t="e">
        <f t="shared" si="33"/>
        <v>#N/A</v>
      </c>
      <c r="J383" s="45"/>
      <c r="K383" s="46"/>
      <c r="L383" s="49"/>
      <c r="M383" s="39"/>
      <c r="N383" s="39"/>
      <c r="O383" s="37">
        <f t="shared" si="34"/>
        <v>0</v>
      </c>
      <c r="P383" s="44"/>
      <c r="Q383" s="44"/>
    </row>
    <row r="384" spans="1:17" x14ac:dyDescent="0.4">
      <c r="A384" s="70"/>
      <c r="B384" s="46"/>
      <c r="C384" s="46"/>
      <c r="D384" s="34" t="e">
        <f>INDEX('Equipment list'!$B$227:$B$256, (MATCH(C384,'Equipment list'!$D$227:$D$256,0)),1)</f>
        <v>#N/A</v>
      </c>
      <c r="E384" s="34" t="e">
        <f>INDEX('Equipment list'!$C$227:$C$256, (MATCH(C384,'Equipment list'!$D$227:$D$256,0)),1)</f>
        <v>#N/A</v>
      </c>
      <c r="F384" s="34">
        <f t="shared" si="30"/>
        <v>0</v>
      </c>
      <c r="G384" s="34">
        <f t="shared" si="31"/>
        <v>0</v>
      </c>
      <c r="H384" s="34" t="e">
        <f t="shared" si="32"/>
        <v>#N/A</v>
      </c>
      <c r="I384" s="34" t="e">
        <f t="shared" si="33"/>
        <v>#N/A</v>
      </c>
      <c r="J384" s="45"/>
      <c r="K384" s="46"/>
      <c r="L384" s="49"/>
      <c r="M384" s="39"/>
      <c r="N384" s="39"/>
      <c r="O384" s="37">
        <f t="shared" si="34"/>
        <v>0</v>
      </c>
      <c r="P384" s="44"/>
      <c r="Q384" s="44"/>
    </row>
    <row r="385" spans="1:17" x14ac:dyDescent="0.4">
      <c r="A385" s="70"/>
      <c r="B385" s="46"/>
      <c r="C385" s="46"/>
      <c r="D385" s="34" t="e">
        <f>INDEX('Equipment list'!$B$227:$B$256, (MATCH(C385,'Equipment list'!$D$227:$D$256,0)),1)</f>
        <v>#N/A</v>
      </c>
      <c r="E385" s="34" t="e">
        <f>INDEX('Equipment list'!$C$227:$C$256, (MATCH(C385,'Equipment list'!$D$227:$D$256,0)),1)</f>
        <v>#N/A</v>
      </c>
      <c r="F385" s="34">
        <f t="shared" si="30"/>
        <v>0</v>
      </c>
      <c r="G385" s="34">
        <f t="shared" si="31"/>
        <v>0</v>
      </c>
      <c r="H385" s="34" t="e">
        <f t="shared" si="32"/>
        <v>#N/A</v>
      </c>
      <c r="I385" s="34" t="e">
        <f t="shared" si="33"/>
        <v>#N/A</v>
      </c>
      <c r="J385" s="45"/>
      <c r="K385" s="46"/>
      <c r="L385" s="49"/>
      <c r="M385" s="39"/>
      <c r="N385" s="39"/>
      <c r="O385" s="37">
        <f t="shared" si="34"/>
        <v>0</v>
      </c>
      <c r="P385" s="44"/>
      <c r="Q385" s="44"/>
    </row>
    <row r="386" spans="1:17" x14ac:dyDescent="0.4">
      <c r="A386" s="70"/>
      <c r="B386" s="46"/>
      <c r="C386" s="46"/>
      <c r="D386" s="34" t="e">
        <f>INDEX('Equipment list'!$B$227:$B$256, (MATCH(C386,'Equipment list'!$D$227:$D$256,0)),1)</f>
        <v>#N/A</v>
      </c>
      <c r="E386" s="34" t="e">
        <f>INDEX('Equipment list'!$C$227:$C$256, (MATCH(C386,'Equipment list'!$D$227:$D$256,0)),1)</f>
        <v>#N/A</v>
      </c>
      <c r="F386" s="34">
        <f t="shared" si="30"/>
        <v>0</v>
      </c>
      <c r="G386" s="34">
        <f t="shared" si="31"/>
        <v>0</v>
      </c>
      <c r="H386" s="34" t="e">
        <f t="shared" si="32"/>
        <v>#N/A</v>
      </c>
      <c r="I386" s="34" t="e">
        <f t="shared" si="33"/>
        <v>#N/A</v>
      </c>
      <c r="J386" s="45"/>
      <c r="K386" s="46"/>
      <c r="L386" s="49"/>
      <c r="M386" s="39"/>
      <c r="N386" s="39"/>
      <c r="O386" s="37">
        <f t="shared" si="34"/>
        <v>0</v>
      </c>
      <c r="P386" s="44"/>
      <c r="Q386" s="44"/>
    </row>
    <row r="387" spans="1:17" x14ac:dyDescent="0.4">
      <c r="A387" s="70"/>
      <c r="B387" s="46"/>
      <c r="C387" s="46"/>
      <c r="D387" s="34" t="e">
        <f>INDEX('Equipment list'!$B$227:$B$256, (MATCH(C387,'Equipment list'!$D$227:$D$256,0)),1)</f>
        <v>#N/A</v>
      </c>
      <c r="E387" s="34" t="e">
        <f>INDEX('Equipment list'!$C$227:$C$256, (MATCH(C387,'Equipment list'!$D$227:$D$256,0)),1)</f>
        <v>#N/A</v>
      </c>
      <c r="F387" s="34">
        <f t="shared" si="30"/>
        <v>0</v>
      </c>
      <c r="G387" s="34">
        <f t="shared" si="31"/>
        <v>0</v>
      </c>
      <c r="H387" s="34" t="e">
        <f t="shared" si="32"/>
        <v>#N/A</v>
      </c>
      <c r="I387" s="34" t="e">
        <f t="shared" si="33"/>
        <v>#N/A</v>
      </c>
      <c r="J387" s="45"/>
      <c r="K387" s="46"/>
      <c r="L387" s="49"/>
      <c r="M387" s="39"/>
      <c r="N387" s="39"/>
      <c r="O387" s="37">
        <f t="shared" si="34"/>
        <v>0</v>
      </c>
      <c r="P387" s="44"/>
      <c r="Q387" s="44"/>
    </row>
    <row r="388" spans="1:17" x14ac:dyDescent="0.4">
      <c r="A388" s="70"/>
      <c r="B388" s="46"/>
      <c r="C388" s="46"/>
      <c r="D388" s="34" t="e">
        <f>INDEX('Equipment list'!$B$227:$B$256, (MATCH(C388,'Equipment list'!$D$227:$D$256,0)),1)</f>
        <v>#N/A</v>
      </c>
      <c r="E388" s="34" t="e">
        <f>INDEX('Equipment list'!$C$227:$C$256, (MATCH(C388,'Equipment list'!$D$227:$D$256,0)),1)</f>
        <v>#N/A</v>
      </c>
      <c r="F388" s="34">
        <f t="shared" si="30"/>
        <v>0</v>
      </c>
      <c r="G388" s="34">
        <f t="shared" si="31"/>
        <v>0</v>
      </c>
      <c r="H388" s="34" t="e">
        <f t="shared" si="32"/>
        <v>#N/A</v>
      </c>
      <c r="I388" s="34" t="e">
        <f t="shared" si="33"/>
        <v>#N/A</v>
      </c>
      <c r="J388" s="45"/>
      <c r="K388" s="46"/>
      <c r="L388" s="49"/>
      <c r="M388" s="39"/>
      <c r="N388" s="39"/>
      <c r="O388" s="37">
        <f t="shared" si="34"/>
        <v>0</v>
      </c>
      <c r="P388" s="44"/>
      <c r="Q388" s="44"/>
    </row>
    <row r="389" spans="1:17" x14ac:dyDescent="0.4">
      <c r="A389" s="70"/>
      <c r="B389" s="46"/>
      <c r="C389" s="46"/>
      <c r="D389" s="34" t="e">
        <f>INDEX('Equipment list'!$B$227:$B$256, (MATCH(C389,'Equipment list'!$D$227:$D$256,0)),1)</f>
        <v>#N/A</v>
      </c>
      <c r="E389" s="34" t="e">
        <f>INDEX('Equipment list'!$C$227:$C$256, (MATCH(C389,'Equipment list'!$D$227:$D$256,0)),1)</f>
        <v>#N/A</v>
      </c>
      <c r="F389" s="34">
        <f t="shared" si="30"/>
        <v>0</v>
      </c>
      <c r="G389" s="34">
        <f t="shared" si="31"/>
        <v>0</v>
      </c>
      <c r="H389" s="34" t="e">
        <f t="shared" si="32"/>
        <v>#N/A</v>
      </c>
      <c r="I389" s="34" t="e">
        <f t="shared" si="33"/>
        <v>#N/A</v>
      </c>
      <c r="J389" s="45"/>
      <c r="K389" s="46"/>
      <c r="L389" s="49"/>
      <c r="M389" s="39"/>
      <c r="N389" s="39"/>
      <c r="O389" s="37">
        <f t="shared" si="34"/>
        <v>0</v>
      </c>
      <c r="P389" s="44"/>
      <c r="Q389" s="44"/>
    </row>
    <row r="390" spans="1:17" x14ac:dyDescent="0.4">
      <c r="A390" s="70"/>
      <c r="B390" s="46"/>
      <c r="C390" s="46"/>
      <c r="D390" s="34" t="e">
        <f>INDEX('Equipment list'!$B$227:$B$256, (MATCH(C390,'Equipment list'!$D$227:$D$256,0)),1)</f>
        <v>#N/A</v>
      </c>
      <c r="E390" s="34" t="e">
        <f>INDEX('Equipment list'!$C$227:$C$256, (MATCH(C390,'Equipment list'!$D$227:$D$256,0)),1)</f>
        <v>#N/A</v>
      </c>
      <c r="F390" s="34">
        <f t="shared" ref="F390:F453" si="35">P390*4</f>
        <v>0</v>
      </c>
      <c r="G390" s="34">
        <f t="shared" ref="G390:G453" si="36">Q390*4</f>
        <v>0</v>
      </c>
      <c r="H390" s="34" t="e">
        <f t="shared" ref="H390:H453" si="37">(F390-D390)/D390*100</f>
        <v>#N/A</v>
      </c>
      <c r="I390" s="34" t="e">
        <f t="shared" ref="I390:I453" si="38">(G390-E390)/E390*100</f>
        <v>#N/A</v>
      </c>
      <c r="J390" s="45"/>
      <c r="K390" s="46"/>
      <c r="L390" s="49"/>
      <c r="M390" s="39"/>
      <c r="N390" s="39"/>
      <c r="O390" s="37">
        <f t="shared" ref="O390:O453" si="39">C390</f>
        <v>0</v>
      </c>
      <c r="P390" s="44"/>
      <c r="Q390" s="44"/>
    </row>
    <row r="391" spans="1:17" x14ac:dyDescent="0.4">
      <c r="A391" s="70"/>
      <c r="B391" s="46"/>
      <c r="C391" s="46"/>
      <c r="D391" s="34" t="e">
        <f>INDEX('Equipment list'!$B$227:$B$256, (MATCH(C391,'Equipment list'!$D$227:$D$256,0)),1)</f>
        <v>#N/A</v>
      </c>
      <c r="E391" s="34" t="e">
        <f>INDEX('Equipment list'!$C$227:$C$256, (MATCH(C391,'Equipment list'!$D$227:$D$256,0)),1)</f>
        <v>#N/A</v>
      </c>
      <c r="F391" s="34">
        <f t="shared" si="35"/>
        <v>0</v>
      </c>
      <c r="G391" s="34">
        <f t="shared" si="36"/>
        <v>0</v>
      </c>
      <c r="H391" s="34" t="e">
        <f t="shared" si="37"/>
        <v>#N/A</v>
      </c>
      <c r="I391" s="34" t="e">
        <f t="shared" si="38"/>
        <v>#N/A</v>
      </c>
      <c r="J391" s="45"/>
      <c r="K391" s="46"/>
      <c r="L391" s="49"/>
      <c r="M391" s="39"/>
      <c r="N391" s="39"/>
      <c r="O391" s="37">
        <f t="shared" si="39"/>
        <v>0</v>
      </c>
      <c r="P391" s="44"/>
      <c r="Q391" s="44"/>
    </row>
    <row r="392" spans="1:17" x14ac:dyDescent="0.4">
      <c r="A392" s="70"/>
      <c r="B392" s="46"/>
      <c r="C392" s="46"/>
      <c r="D392" s="34" t="e">
        <f>INDEX('Equipment list'!$B$227:$B$256, (MATCH(C392,'Equipment list'!$D$227:$D$256,0)),1)</f>
        <v>#N/A</v>
      </c>
      <c r="E392" s="34" t="e">
        <f>INDEX('Equipment list'!$C$227:$C$256, (MATCH(C392,'Equipment list'!$D$227:$D$256,0)),1)</f>
        <v>#N/A</v>
      </c>
      <c r="F392" s="34">
        <f t="shared" si="35"/>
        <v>0</v>
      </c>
      <c r="G392" s="34">
        <f t="shared" si="36"/>
        <v>0</v>
      </c>
      <c r="H392" s="34" t="e">
        <f t="shared" si="37"/>
        <v>#N/A</v>
      </c>
      <c r="I392" s="34" t="e">
        <f t="shared" si="38"/>
        <v>#N/A</v>
      </c>
      <c r="J392" s="45"/>
      <c r="K392" s="46"/>
      <c r="L392" s="49"/>
      <c r="M392" s="39"/>
      <c r="N392" s="39"/>
      <c r="O392" s="37">
        <f t="shared" si="39"/>
        <v>0</v>
      </c>
      <c r="P392" s="44"/>
      <c r="Q392" s="44"/>
    </row>
    <row r="393" spans="1:17" x14ac:dyDescent="0.4">
      <c r="A393" s="70"/>
      <c r="B393" s="46"/>
      <c r="C393" s="46"/>
      <c r="D393" s="34" t="e">
        <f>INDEX('Equipment list'!$B$227:$B$256, (MATCH(C393,'Equipment list'!$D$227:$D$256,0)),1)</f>
        <v>#N/A</v>
      </c>
      <c r="E393" s="34" t="e">
        <f>INDEX('Equipment list'!$C$227:$C$256, (MATCH(C393,'Equipment list'!$D$227:$D$256,0)),1)</f>
        <v>#N/A</v>
      </c>
      <c r="F393" s="34">
        <f t="shared" si="35"/>
        <v>0</v>
      </c>
      <c r="G393" s="34">
        <f t="shared" si="36"/>
        <v>0</v>
      </c>
      <c r="H393" s="34" t="e">
        <f t="shared" si="37"/>
        <v>#N/A</v>
      </c>
      <c r="I393" s="34" t="e">
        <f t="shared" si="38"/>
        <v>#N/A</v>
      </c>
      <c r="J393" s="45"/>
      <c r="K393" s="46"/>
      <c r="L393" s="49"/>
      <c r="M393" s="39"/>
      <c r="N393" s="39"/>
      <c r="O393" s="37">
        <f t="shared" si="39"/>
        <v>0</v>
      </c>
      <c r="P393" s="44"/>
      <c r="Q393" s="44"/>
    </row>
    <row r="394" spans="1:17" x14ac:dyDescent="0.4">
      <c r="A394" s="70"/>
      <c r="B394" s="46"/>
      <c r="C394" s="46"/>
      <c r="D394" s="34" t="e">
        <f>INDEX('Equipment list'!$B$227:$B$256, (MATCH(C394,'Equipment list'!$D$227:$D$256,0)),1)</f>
        <v>#N/A</v>
      </c>
      <c r="E394" s="34" t="e">
        <f>INDEX('Equipment list'!$C$227:$C$256, (MATCH(C394,'Equipment list'!$D$227:$D$256,0)),1)</f>
        <v>#N/A</v>
      </c>
      <c r="F394" s="34">
        <f t="shared" si="35"/>
        <v>0</v>
      </c>
      <c r="G394" s="34">
        <f t="shared" si="36"/>
        <v>0</v>
      </c>
      <c r="H394" s="34" t="e">
        <f t="shared" si="37"/>
        <v>#N/A</v>
      </c>
      <c r="I394" s="34" t="e">
        <f t="shared" si="38"/>
        <v>#N/A</v>
      </c>
      <c r="J394" s="45"/>
      <c r="K394" s="46"/>
      <c r="L394" s="49"/>
      <c r="M394" s="39"/>
      <c r="N394" s="39"/>
      <c r="O394" s="37">
        <f t="shared" si="39"/>
        <v>0</v>
      </c>
      <c r="P394" s="44"/>
      <c r="Q394" s="44"/>
    </row>
    <row r="395" spans="1:17" x14ac:dyDescent="0.4">
      <c r="A395" s="70"/>
      <c r="B395" s="46"/>
      <c r="C395" s="46"/>
      <c r="D395" s="34" t="e">
        <f>INDEX('Equipment list'!$B$227:$B$256, (MATCH(C395,'Equipment list'!$D$227:$D$256,0)),1)</f>
        <v>#N/A</v>
      </c>
      <c r="E395" s="34" t="e">
        <f>INDEX('Equipment list'!$C$227:$C$256, (MATCH(C395,'Equipment list'!$D$227:$D$256,0)),1)</f>
        <v>#N/A</v>
      </c>
      <c r="F395" s="34">
        <f t="shared" si="35"/>
        <v>0</v>
      </c>
      <c r="G395" s="34">
        <f t="shared" si="36"/>
        <v>0</v>
      </c>
      <c r="H395" s="34" t="e">
        <f t="shared" si="37"/>
        <v>#N/A</v>
      </c>
      <c r="I395" s="34" t="e">
        <f t="shared" si="38"/>
        <v>#N/A</v>
      </c>
      <c r="J395" s="45"/>
      <c r="K395" s="46"/>
      <c r="L395" s="49"/>
      <c r="M395" s="39"/>
      <c r="N395" s="39"/>
      <c r="O395" s="37">
        <f t="shared" si="39"/>
        <v>0</v>
      </c>
      <c r="P395" s="44"/>
      <c r="Q395" s="44"/>
    </row>
    <row r="396" spans="1:17" x14ac:dyDescent="0.4">
      <c r="A396" s="70"/>
      <c r="B396" s="46"/>
      <c r="C396" s="46"/>
      <c r="D396" s="34" t="e">
        <f>INDEX('Equipment list'!$B$227:$B$256, (MATCH(C396,'Equipment list'!$D$227:$D$256,0)),1)</f>
        <v>#N/A</v>
      </c>
      <c r="E396" s="34" t="e">
        <f>INDEX('Equipment list'!$C$227:$C$256, (MATCH(C396,'Equipment list'!$D$227:$D$256,0)),1)</f>
        <v>#N/A</v>
      </c>
      <c r="F396" s="34">
        <f t="shared" si="35"/>
        <v>0</v>
      </c>
      <c r="G396" s="34">
        <f t="shared" si="36"/>
        <v>0</v>
      </c>
      <c r="H396" s="34" t="e">
        <f t="shared" si="37"/>
        <v>#N/A</v>
      </c>
      <c r="I396" s="34" t="e">
        <f t="shared" si="38"/>
        <v>#N/A</v>
      </c>
      <c r="J396" s="45"/>
      <c r="K396" s="46"/>
      <c r="L396" s="49"/>
      <c r="M396" s="39"/>
      <c r="N396" s="39"/>
      <c r="O396" s="37">
        <f t="shared" si="39"/>
        <v>0</v>
      </c>
      <c r="P396" s="44"/>
      <c r="Q396" s="44"/>
    </row>
    <row r="397" spans="1:17" x14ac:dyDescent="0.4">
      <c r="A397" s="70"/>
      <c r="B397" s="46"/>
      <c r="C397" s="46"/>
      <c r="D397" s="34" t="e">
        <f>INDEX('Equipment list'!$B$227:$B$256, (MATCH(C397,'Equipment list'!$D$227:$D$256,0)),1)</f>
        <v>#N/A</v>
      </c>
      <c r="E397" s="34" t="e">
        <f>INDEX('Equipment list'!$C$227:$C$256, (MATCH(C397,'Equipment list'!$D$227:$D$256,0)),1)</f>
        <v>#N/A</v>
      </c>
      <c r="F397" s="34">
        <f t="shared" si="35"/>
        <v>0</v>
      </c>
      <c r="G397" s="34">
        <f t="shared" si="36"/>
        <v>0</v>
      </c>
      <c r="H397" s="34" t="e">
        <f t="shared" si="37"/>
        <v>#N/A</v>
      </c>
      <c r="I397" s="34" t="e">
        <f t="shared" si="38"/>
        <v>#N/A</v>
      </c>
      <c r="J397" s="45"/>
      <c r="K397" s="46"/>
      <c r="L397" s="49"/>
      <c r="M397" s="39"/>
      <c r="N397" s="39"/>
      <c r="O397" s="37">
        <f t="shared" si="39"/>
        <v>0</v>
      </c>
      <c r="P397" s="44"/>
      <c r="Q397" s="44"/>
    </row>
    <row r="398" spans="1:17" x14ac:dyDescent="0.4">
      <c r="A398" s="70"/>
      <c r="B398" s="46"/>
      <c r="C398" s="46"/>
      <c r="D398" s="34" t="e">
        <f>INDEX('Equipment list'!$B$227:$B$256, (MATCH(C398,'Equipment list'!$D$227:$D$256,0)),1)</f>
        <v>#N/A</v>
      </c>
      <c r="E398" s="34" t="e">
        <f>INDEX('Equipment list'!$C$227:$C$256, (MATCH(C398,'Equipment list'!$D$227:$D$256,0)),1)</f>
        <v>#N/A</v>
      </c>
      <c r="F398" s="34">
        <f t="shared" si="35"/>
        <v>0</v>
      </c>
      <c r="G398" s="34">
        <f t="shared" si="36"/>
        <v>0</v>
      </c>
      <c r="H398" s="34" t="e">
        <f t="shared" si="37"/>
        <v>#N/A</v>
      </c>
      <c r="I398" s="34" t="e">
        <f t="shared" si="38"/>
        <v>#N/A</v>
      </c>
      <c r="J398" s="45"/>
      <c r="K398" s="46"/>
      <c r="L398" s="49"/>
      <c r="M398" s="39"/>
      <c r="N398" s="39"/>
      <c r="O398" s="37">
        <f t="shared" si="39"/>
        <v>0</v>
      </c>
      <c r="P398" s="44"/>
      <c r="Q398" s="44"/>
    </row>
    <row r="399" spans="1:17" x14ac:dyDescent="0.4">
      <c r="A399" s="70"/>
      <c r="B399" s="46"/>
      <c r="C399" s="46"/>
      <c r="D399" s="34" t="e">
        <f>INDEX('Equipment list'!$B$227:$B$256, (MATCH(C399,'Equipment list'!$D$227:$D$256,0)),1)</f>
        <v>#N/A</v>
      </c>
      <c r="E399" s="34" t="e">
        <f>INDEX('Equipment list'!$C$227:$C$256, (MATCH(C399,'Equipment list'!$D$227:$D$256,0)),1)</f>
        <v>#N/A</v>
      </c>
      <c r="F399" s="34">
        <f t="shared" si="35"/>
        <v>0</v>
      </c>
      <c r="G399" s="34">
        <f t="shared" si="36"/>
        <v>0</v>
      </c>
      <c r="H399" s="34" t="e">
        <f t="shared" si="37"/>
        <v>#N/A</v>
      </c>
      <c r="I399" s="34" t="e">
        <f t="shared" si="38"/>
        <v>#N/A</v>
      </c>
      <c r="J399" s="45"/>
      <c r="K399" s="46"/>
      <c r="L399" s="49"/>
      <c r="M399" s="39"/>
      <c r="N399" s="39"/>
      <c r="O399" s="37">
        <f t="shared" si="39"/>
        <v>0</v>
      </c>
      <c r="P399" s="44"/>
      <c r="Q399" s="44"/>
    </row>
    <row r="400" spans="1:17" x14ac:dyDescent="0.4">
      <c r="A400" s="70"/>
      <c r="B400" s="46"/>
      <c r="C400" s="46"/>
      <c r="D400" s="34" t="e">
        <f>INDEX('Equipment list'!$B$227:$B$256, (MATCH(C400,'Equipment list'!$D$227:$D$256,0)),1)</f>
        <v>#N/A</v>
      </c>
      <c r="E400" s="34" t="e">
        <f>INDEX('Equipment list'!$C$227:$C$256, (MATCH(C400,'Equipment list'!$D$227:$D$256,0)),1)</f>
        <v>#N/A</v>
      </c>
      <c r="F400" s="34">
        <f t="shared" si="35"/>
        <v>0</v>
      </c>
      <c r="G400" s="34">
        <f t="shared" si="36"/>
        <v>0</v>
      </c>
      <c r="H400" s="34" t="e">
        <f t="shared" si="37"/>
        <v>#N/A</v>
      </c>
      <c r="I400" s="34" t="e">
        <f t="shared" si="38"/>
        <v>#N/A</v>
      </c>
      <c r="J400" s="45"/>
      <c r="K400" s="46"/>
      <c r="L400" s="49"/>
      <c r="M400" s="39"/>
      <c r="N400" s="39"/>
      <c r="O400" s="37">
        <f t="shared" si="39"/>
        <v>0</v>
      </c>
      <c r="P400" s="44"/>
      <c r="Q400" s="44"/>
    </row>
    <row r="401" spans="1:17" x14ac:dyDescent="0.4">
      <c r="A401" s="70"/>
      <c r="B401" s="46"/>
      <c r="C401" s="46"/>
      <c r="D401" s="34" t="e">
        <f>INDEX('Equipment list'!$B$227:$B$256, (MATCH(C401,'Equipment list'!$D$227:$D$256,0)),1)</f>
        <v>#N/A</v>
      </c>
      <c r="E401" s="34" t="e">
        <f>INDEX('Equipment list'!$C$227:$C$256, (MATCH(C401,'Equipment list'!$D$227:$D$256,0)),1)</f>
        <v>#N/A</v>
      </c>
      <c r="F401" s="34">
        <f t="shared" si="35"/>
        <v>0</v>
      </c>
      <c r="G401" s="34">
        <f t="shared" si="36"/>
        <v>0</v>
      </c>
      <c r="H401" s="34" t="e">
        <f t="shared" si="37"/>
        <v>#N/A</v>
      </c>
      <c r="I401" s="34" t="e">
        <f t="shared" si="38"/>
        <v>#N/A</v>
      </c>
      <c r="J401" s="45"/>
      <c r="K401" s="46"/>
      <c r="L401" s="49"/>
      <c r="M401" s="39"/>
      <c r="N401" s="39"/>
      <c r="O401" s="37">
        <f t="shared" si="39"/>
        <v>0</v>
      </c>
      <c r="P401" s="44"/>
      <c r="Q401" s="44"/>
    </row>
    <row r="402" spans="1:17" x14ac:dyDescent="0.4">
      <c r="A402" s="70"/>
      <c r="B402" s="46"/>
      <c r="C402" s="46"/>
      <c r="D402" s="34" t="e">
        <f>INDEX('Equipment list'!$B$227:$B$256, (MATCH(C402,'Equipment list'!$D$227:$D$256,0)),1)</f>
        <v>#N/A</v>
      </c>
      <c r="E402" s="34" t="e">
        <f>INDEX('Equipment list'!$C$227:$C$256, (MATCH(C402,'Equipment list'!$D$227:$D$256,0)),1)</f>
        <v>#N/A</v>
      </c>
      <c r="F402" s="34">
        <f t="shared" si="35"/>
        <v>0</v>
      </c>
      <c r="G402" s="34">
        <f t="shared" si="36"/>
        <v>0</v>
      </c>
      <c r="H402" s="34" t="e">
        <f t="shared" si="37"/>
        <v>#N/A</v>
      </c>
      <c r="I402" s="34" t="e">
        <f t="shared" si="38"/>
        <v>#N/A</v>
      </c>
      <c r="J402" s="45"/>
      <c r="K402" s="46"/>
      <c r="L402" s="49"/>
      <c r="M402" s="39"/>
      <c r="N402" s="39"/>
      <c r="O402" s="37">
        <f t="shared" si="39"/>
        <v>0</v>
      </c>
      <c r="P402" s="44"/>
      <c r="Q402" s="44"/>
    </row>
    <row r="403" spans="1:17" x14ac:dyDescent="0.4">
      <c r="A403" s="70"/>
      <c r="B403" s="46"/>
      <c r="C403" s="46"/>
      <c r="D403" s="34" t="e">
        <f>INDEX('Equipment list'!$B$227:$B$256, (MATCH(C403,'Equipment list'!$D$227:$D$256,0)),1)</f>
        <v>#N/A</v>
      </c>
      <c r="E403" s="34" t="e">
        <f>INDEX('Equipment list'!$C$227:$C$256, (MATCH(C403,'Equipment list'!$D$227:$D$256,0)),1)</f>
        <v>#N/A</v>
      </c>
      <c r="F403" s="34">
        <f t="shared" si="35"/>
        <v>0</v>
      </c>
      <c r="G403" s="34">
        <f t="shared" si="36"/>
        <v>0</v>
      </c>
      <c r="H403" s="34" t="e">
        <f t="shared" si="37"/>
        <v>#N/A</v>
      </c>
      <c r="I403" s="34" t="e">
        <f t="shared" si="38"/>
        <v>#N/A</v>
      </c>
      <c r="J403" s="45"/>
      <c r="K403" s="46"/>
      <c r="L403" s="49"/>
      <c r="M403" s="39"/>
      <c r="N403" s="39"/>
      <c r="O403" s="37">
        <f t="shared" si="39"/>
        <v>0</v>
      </c>
      <c r="P403" s="44"/>
      <c r="Q403" s="44"/>
    </row>
    <row r="404" spans="1:17" x14ac:dyDescent="0.4">
      <c r="A404" s="70"/>
      <c r="B404" s="46"/>
      <c r="C404" s="46"/>
      <c r="D404" s="34" t="e">
        <f>INDEX('Equipment list'!$B$227:$B$256, (MATCH(C404,'Equipment list'!$D$227:$D$256,0)),1)</f>
        <v>#N/A</v>
      </c>
      <c r="E404" s="34" t="e">
        <f>INDEX('Equipment list'!$C$227:$C$256, (MATCH(C404,'Equipment list'!$D$227:$D$256,0)),1)</f>
        <v>#N/A</v>
      </c>
      <c r="F404" s="34">
        <f t="shared" si="35"/>
        <v>0</v>
      </c>
      <c r="G404" s="34">
        <f t="shared" si="36"/>
        <v>0</v>
      </c>
      <c r="H404" s="34" t="e">
        <f t="shared" si="37"/>
        <v>#N/A</v>
      </c>
      <c r="I404" s="34" t="e">
        <f t="shared" si="38"/>
        <v>#N/A</v>
      </c>
      <c r="J404" s="45"/>
      <c r="K404" s="46"/>
      <c r="L404" s="49"/>
      <c r="M404" s="39"/>
      <c r="N404" s="39"/>
      <c r="O404" s="37">
        <f t="shared" si="39"/>
        <v>0</v>
      </c>
      <c r="P404" s="44"/>
      <c r="Q404" s="44"/>
    </row>
    <row r="405" spans="1:17" x14ac:dyDescent="0.4">
      <c r="A405" s="70"/>
      <c r="B405" s="46"/>
      <c r="C405" s="46"/>
      <c r="D405" s="34" t="e">
        <f>INDEX('Equipment list'!$B$227:$B$256, (MATCH(C405,'Equipment list'!$D$227:$D$256,0)),1)</f>
        <v>#N/A</v>
      </c>
      <c r="E405" s="34" t="e">
        <f>INDEX('Equipment list'!$C$227:$C$256, (MATCH(C405,'Equipment list'!$D$227:$D$256,0)),1)</f>
        <v>#N/A</v>
      </c>
      <c r="F405" s="34">
        <f t="shared" si="35"/>
        <v>0</v>
      </c>
      <c r="G405" s="34">
        <f t="shared" si="36"/>
        <v>0</v>
      </c>
      <c r="H405" s="34" t="e">
        <f t="shared" si="37"/>
        <v>#N/A</v>
      </c>
      <c r="I405" s="34" t="e">
        <f t="shared" si="38"/>
        <v>#N/A</v>
      </c>
      <c r="J405" s="45"/>
      <c r="K405" s="46"/>
      <c r="L405" s="49"/>
      <c r="M405" s="39"/>
      <c r="N405" s="39"/>
      <c r="O405" s="37">
        <f t="shared" si="39"/>
        <v>0</v>
      </c>
      <c r="P405" s="44"/>
      <c r="Q405" s="44"/>
    </row>
    <row r="406" spans="1:17" x14ac:dyDescent="0.4">
      <c r="A406" s="70"/>
      <c r="B406" s="46"/>
      <c r="C406" s="46"/>
      <c r="D406" s="34" t="e">
        <f>INDEX('Equipment list'!$B$227:$B$256, (MATCH(C406,'Equipment list'!$D$227:$D$256,0)),1)</f>
        <v>#N/A</v>
      </c>
      <c r="E406" s="34" t="e">
        <f>INDEX('Equipment list'!$C$227:$C$256, (MATCH(C406,'Equipment list'!$D$227:$D$256,0)),1)</f>
        <v>#N/A</v>
      </c>
      <c r="F406" s="34">
        <f t="shared" si="35"/>
        <v>0</v>
      </c>
      <c r="G406" s="34">
        <f t="shared" si="36"/>
        <v>0</v>
      </c>
      <c r="H406" s="34" t="e">
        <f t="shared" si="37"/>
        <v>#N/A</v>
      </c>
      <c r="I406" s="34" t="e">
        <f t="shared" si="38"/>
        <v>#N/A</v>
      </c>
      <c r="J406" s="45"/>
      <c r="K406" s="46"/>
      <c r="L406" s="49"/>
      <c r="M406" s="39"/>
      <c r="N406" s="39"/>
      <c r="O406" s="37">
        <f t="shared" si="39"/>
        <v>0</v>
      </c>
      <c r="P406" s="44"/>
      <c r="Q406" s="44"/>
    </row>
    <row r="407" spans="1:17" x14ac:dyDescent="0.4">
      <c r="A407" s="70"/>
      <c r="B407" s="46"/>
      <c r="C407" s="46"/>
      <c r="D407" s="34" t="e">
        <f>INDEX('Equipment list'!$B$227:$B$256, (MATCH(C407,'Equipment list'!$D$227:$D$256,0)),1)</f>
        <v>#N/A</v>
      </c>
      <c r="E407" s="34" t="e">
        <f>INDEX('Equipment list'!$C$227:$C$256, (MATCH(C407,'Equipment list'!$D$227:$D$256,0)),1)</f>
        <v>#N/A</v>
      </c>
      <c r="F407" s="34">
        <f t="shared" si="35"/>
        <v>0</v>
      </c>
      <c r="G407" s="34">
        <f t="shared" si="36"/>
        <v>0</v>
      </c>
      <c r="H407" s="34" t="e">
        <f t="shared" si="37"/>
        <v>#N/A</v>
      </c>
      <c r="I407" s="34" t="e">
        <f t="shared" si="38"/>
        <v>#N/A</v>
      </c>
      <c r="J407" s="45"/>
      <c r="K407" s="46"/>
      <c r="L407" s="49"/>
      <c r="M407" s="39"/>
      <c r="N407" s="39"/>
      <c r="O407" s="37">
        <f t="shared" si="39"/>
        <v>0</v>
      </c>
      <c r="P407" s="44"/>
      <c r="Q407" s="44"/>
    </row>
    <row r="408" spans="1:17" x14ac:dyDescent="0.4">
      <c r="A408" s="70"/>
      <c r="B408" s="46"/>
      <c r="C408" s="46"/>
      <c r="D408" s="34" t="e">
        <f>INDEX('Equipment list'!$B$227:$B$256, (MATCH(C408,'Equipment list'!$D$227:$D$256,0)),1)</f>
        <v>#N/A</v>
      </c>
      <c r="E408" s="34" t="e">
        <f>INDEX('Equipment list'!$C$227:$C$256, (MATCH(C408,'Equipment list'!$D$227:$D$256,0)),1)</f>
        <v>#N/A</v>
      </c>
      <c r="F408" s="34">
        <f t="shared" si="35"/>
        <v>0</v>
      </c>
      <c r="G408" s="34">
        <f t="shared" si="36"/>
        <v>0</v>
      </c>
      <c r="H408" s="34" t="e">
        <f t="shared" si="37"/>
        <v>#N/A</v>
      </c>
      <c r="I408" s="34" t="e">
        <f t="shared" si="38"/>
        <v>#N/A</v>
      </c>
      <c r="J408" s="45"/>
      <c r="K408" s="46"/>
      <c r="L408" s="49"/>
      <c r="M408" s="39"/>
      <c r="N408" s="39"/>
      <c r="O408" s="37">
        <f t="shared" si="39"/>
        <v>0</v>
      </c>
      <c r="P408" s="44"/>
      <c r="Q408" s="44"/>
    </row>
    <row r="409" spans="1:17" x14ac:dyDescent="0.4">
      <c r="A409" s="70"/>
      <c r="B409" s="46"/>
      <c r="C409" s="46"/>
      <c r="D409" s="34" t="e">
        <f>INDEX('Equipment list'!$B$227:$B$256, (MATCH(C409,'Equipment list'!$D$227:$D$256,0)),1)</f>
        <v>#N/A</v>
      </c>
      <c r="E409" s="34" t="e">
        <f>INDEX('Equipment list'!$C$227:$C$256, (MATCH(C409,'Equipment list'!$D$227:$D$256,0)),1)</f>
        <v>#N/A</v>
      </c>
      <c r="F409" s="34">
        <f t="shared" si="35"/>
        <v>0</v>
      </c>
      <c r="G409" s="34">
        <f t="shared" si="36"/>
        <v>0</v>
      </c>
      <c r="H409" s="34" t="e">
        <f t="shared" si="37"/>
        <v>#N/A</v>
      </c>
      <c r="I409" s="34" t="e">
        <f t="shared" si="38"/>
        <v>#N/A</v>
      </c>
      <c r="J409" s="45"/>
      <c r="K409" s="46"/>
      <c r="L409" s="49"/>
      <c r="M409" s="39"/>
      <c r="N409" s="39"/>
      <c r="O409" s="37">
        <f t="shared" si="39"/>
        <v>0</v>
      </c>
      <c r="P409" s="44"/>
      <c r="Q409" s="44"/>
    </row>
    <row r="410" spans="1:17" x14ac:dyDescent="0.4">
      <c r="A410" s="70"/>
      <c r="B410" s="46"/>
      <c r="C410" s="46"/>
      <c r="D410" s="34" t="e">
        <f>INDEX('Equipment list'!$B$227:$B$256, (MATCH(C410,'Equipment list'!$D$227:$D$256,0)),1)</f>
        <v>#N/A</v>
      </c>
      <c r="E410" s="34" t="e">
        <f>INDEX('Equipment list'!$C$227:$C$256, (MATCH(C410,'Equipment list'!$D$227:$D$256,0)),1)</f>
        <v>#N/A</v>
      </c>
      <c r="F410" s="34">
        <f t="shared" si="35"/>
        <v>0</v>
      </c>
      <c r="G410" s="34">
        <f t="shared" si="36"/>
        <v>0</v>
      </c>
      <c r="H410" s="34" t="e">
        <f t="shared" si="37"/>
        <v>#N/A</v>
      </c>
      <c r="I410" s="34" t="e">
        <f t="shared" si="38"/>
        <v>#N/A</v>
      </c>
      <c r="J410" s="45"/>
      <c r="K410" s="46"/>
      <c r="L410" s="49"/>
      <c r="M410" s="39"/>
      <c r="N410" s="39"/>
      <c r="O410" s="37">
        <f t="shared" si="39"/>
        <v>0</v>
      </c>
      <c r="P410" s="44"/>
      <c r="Q410" s="44"/>
    </row>
    <row r="411" spans="1:17" x14ac:dyDescent="0.4">
      <c r="A411" s="70"/>
      <c r="B411" s="46"/>
      <c r="C411" s="46"/>
      <c r="D411" s="34" t="e">
        <f>INDEX('Equipment list'!$B$227:$B$256, (MATCH(C411,'Equipment list'!$D$227:$D$256,0)),1)</f>
        <v>#N/A</v>
      </c>
      <c r="E411" s="34" t="e">
        <f>INDEX('Equipment list'!$C$227:$C$256, (MATCH(C411,'Equipment list'!$D$227:$D$256,0)),1)</f>
        <v>#N/A</v>
      </c>
      <c r="F411" s="34">
        <f t="shared" si="35"/>
        <v>0</v>
      </c>
      <c r="G411" s="34">
        <f t="shared" si="36"/>
        <v>0</v>
      </c>
      <c r="H411" s="34" t="e">
        <f t="shared" si="37"/>
        <v>#N/A</v>
      </c>
      <c r="I411" s="34" t="e">
        <f t="shared" si="38"/>
        <v>#N/A</v>
      </c>
      <c r="J411" s="45"/>
      <c r="K411" s="46"/>
      <c r="L411" s="49"/>
      <c r="M411" s="39"/>
      <c r="N411" s="39"/>
      <c r="O411" s="37">
        <f t="shared" si="39"/>
        <v>0</v>
      </c>
      <c r="P411" s="44"/>
      <c r="Q411" s="44"/>
    </row>
    <row r="412" spans="1:17" x14ac:dyDescent="0.4">
      <c r="A412" s="70"/>
      <c r="B412" s="46"/>
      <c r="C412" s="46"/>
      <c r="D412" s="34" t="e">
        <f>INDEX('Equipment list'!$B$227:$B$256, (MATCH(C412,'Equipment list'!$D$227:$D$256,0)),1)</f>
        <v>#N/A</v>
      </c>
      <c r="E412" s="34" t="e">
        <f>INDEX('Equipment list'!$C$227:$C$256, (MATCH(C412,'Equipment list'!$D$227:$D$256,0)),1)</f>
        <v>#N/A</v>
      </c>
      <c r="F412" s="34">
        <f t="shared" si="35"/>
        <v>0</v>
      </c>
      <c r="G412" s="34">
        <f t="shared" si="36"/>
        <v>0</v>
      </c>
      <c r="H412" s="34" t="e">
        <f t="shared" si="37"/>
        <v>#N/A</v>
      </c>
      <c r="I412" s="34" t="e">
        <f t="shared" si="38"/>
        <v>#N/A</v>
      </c>
      <c r="J412" s="45"/>
      <c r="K412" s="46"/>
      <c r="L412" s="49"/>
      <c r="M412" s="39"/>
      <c r="N412" s="39"/>
      <c r="O412" s="37">
        <f t="shared" si="39"/>
        <v>0</v>
      </c>
      <c r="P412" s="44"/>
      <c r="Q412" s="44"/>
    </row>
    <row r="413" spans="1:17" x14ac:dyDescent="0.4">
      <c r="A413" s="70"/>
      <c r="B413" s="46"/>
      <c r="C413" s="46"/>
      <c r="D413" s="34" t="e">
        <f>INDEX('Equipment list'!$B$227:$B$256, (MATCH(C413,'Equipment list'!$D$227:$D$256,0)),1)</f>
        <v>#N/A</v>
      </c>
      <c r="E413" s="34" t="e">
        <f>INDEX('Equipment list'!$C$227:$C$256, (MATCH(C413,'Equipment list'!$D$227:$D$256,0)),1)</f>
        <v>#N/A</v>
      </c>
      <c r="F413" s="34">
        <f t="shared" si="35"/>
        <v>0</v>
      </c>
      <c r="G413" s="34">
        <f t="shared" si="36"/>
        <v>0</v>
      </c>
      <c r="H413" s="34" t="e">
        <f t="shared" si="37"/>
        <v>#N/A</v>
      </c>
      <c r="I413" s="34" t="e">
        <f t="shared" si="38"/>
        <v>#N/A</v>
      </c>
      <c r="J413" s="45"/>
      <c r="K413" s="46"/>
      <c r="L413" s="49"/>
      <c r="M413" s="39"/>
      <c r="N413" s="39"/>
      <c r="O413" s="37">
        <f t="shared" si="39"/>
        <v>0</v>
      </c>
      <c r="P413" s="44"/>
      <c r="Q413" s="44"/>
    </row>
    <row r="414" spans="1:17" x14ac:dyDescent="0.4">
      <c r="A414" s="70"/>
      <c r="B414" s="46"/>
      <c r="C414" s="46"/>
      <c r="D414" s="34" t="e">
        <f>INDEX('Equipment list'!$B$227:$B$256, (MATCH(C414,'Equipment list'!$D$227:$D$256,0)),1)</f>
        <v>#N/A</v>
      </c>
      <c r="E414" s="34" t="e">
        <f>INDEX('Equipment list'!$C$227:$C$256, (MATCH(C414,'Equipment list'!$D$227:$D$256,0)),1)</f>
        <v>#N/A</v>
      </c>
      <c r="F414" s="34">
        <f t="shared" si="35"/>
        <v>0</v>
      </c>
      <c r="G414" s="34">
        <f t="shared" si="36"/>
        <v>0</v>
      </c>
      <c r="H414" s="34" t="e">
        <f t="shared" si="37"/>
        <v>#N/A</v>
      </c>
      <c r="I414" s="34" t="e">
        <f t="shared" si="38"/>
        <v>#N/A</v>
      </c>
      <c r="J414" s="45"/>
      <c r="K414" s="46"/>
      <c r="L414" s="49"/>
      <c r="M414" s="39"/>
      <c r="N414" s="39"/>
      <c r="O414" s="37">
        <f t="shared" si="39"/>
        <v>0</v>
      </c>
      <c r="P414" s="44"/>
      <c r="Q414" s="44"/>
    </row>
    <row r="415" spans="1:17" x14ac:dyDescent="0.4">
      <c r="A415" s="70"/>
      <c r="B415" s="46"/>
      <c r="C415" s="46"/>
      <c r="D415" s="34" t="e">
        <f>INDEX('Equipment list'!$B$227:$B$256, (MATCH(C415,'Equipment list'!$D$227:$D$256,0)),1)</f>
        <v>#N/A</v>
      </c>
      <c r="E415" s="34" t="e">
        <f>INDEX('Equipment list'!$C$227:$C$256, (MATCH(C415,'Equipment list'!$D$227:$D$256,0)),1)</f>
        <v>#N/A</v>
      </c>
      <c r="F415" s="34">
        <f t="shared" si="35"/>
        <v>0</v>
      </c>
      <c r="G415" s="34">
        <f t="shared" si="36"/>
        <v>0</v>
      </c>
      <c r="H415" s="34" t="e">
        <f t="shared" si="37"/>
        <v>#N/A</v>
      </c>
      <c r="I415" s="34" t="e">
        <f t="shared" si="38"/>
        <v>#N/A</v>
      </c>
      <c r="J415" s="45"/>
      <c r="K415" s="46"/>
      <c r="L415" s="49"/>
      <c r="M415" s="39"/>
      <c r="N415" s="39"/>
      <c r="O415" s="37">
        <f t="shared" si="39"/>
        <v>0</v>
      </c>
      <c r="P415" s="44"/>
      <c r="Q415" s="44"/>
    </row>
    <row r="416" spans="1:17" x14ac:dyDescent="0.4">
      <c r="A416" s="70"/>
      <c r="B416" s="46"/>
      <c r="C416" s="46"/>
      <c r="D416" s="34" t="e">
        <f>INDEX('Equipment list'!$B$227:$B$256, (MATCH(C416,'Equipment list'!$D$227:$D$256,0)),1)</f>
        <v>#N/A</v>
      </c>
      <c r="E416" s="34" t="e">
        <f>INDEX('Equipment list'!$C$227:$C$256, (MATCH(C416,'Equipment list'!$D$227:$D$256,0)),1)</f>
        <v>#N/A</v>
      </c>
      <c r="F416" s="34">
        <f t="shared" si="35"/>
        <v>0</v>
      </c>
      <c r="G416" s="34">
        <f t="shared" si="36"/>
        <v>0</v>
      </c>
      <c r="H416" s="34" t="e">
        <f t="shared" si="37"/>
        <v>#N/A</v>
      </c>
      <c r="I416" s="34" t="e">
        <f t="shared" si="38"/>
        <v>#N/A</v>
      </c>
      <c r="J416" s="45"/>
      <c r="K416" s="46"/>
      <c r="L416" s="49"/>
      <c r="M416" s="39"/>
      <c r="N416" s="39"/>
      <c r="O416" s="37">
        <f t="shared" si="39"/>
        <v>0</v>
      </c>
      <c r="P416" s="44"/>
      <c r="Q416" s="44"/>
    </row>
    <row r="417" spans="1:17" x14ac:dyDescent="0.4">
      <c r="A417" s="70"/>
      <c r="B417" s="46"/>
      <c r="C417" s="46"/>
      <c r="D417" s="34" t="e">
        <f>INDEX('Equipment list'!$B$227:$B$256, (MATCH(C417,'Equipment list'!$D$227:$D$256,0)),1)</f>
        <v>#N/A</v>
      </c>
      <c r="E417" s="34" t="e">
        <f>INDEX('Equipment list'!$C$227:$C$256, (MATCH(C417,'Equipment list'!$D$227:$D$256,0)),1)</f>
        <v>#N/A</v>
      </c>
      <c r="F417" s="34">
        <f t="shared" si="35"/>
        <v>0</v>
      </c>
      <c r="G417" s="34">
        <f t="shared" si="36"/>
        <v>0</v>
      </c>
      <c r="H417" s="34" t="e">
        <f t="shared" si="37"/>
        <v>#N/A</v>
      </c>
      <c r="I417" s="34" t="e">
        <f t="shared" si="38"/>
        <v>#N/A</v>
      </c>
      <c r="J417" s="45"/>
      <c r="K417" s="46"/>
      <c r="L417" s="49"/>
      <c r="M417" s="39"/>
      <c r="N417" s="39"/>
      <c r="O417" s="37">
        <f t="shared" si="39"/>
        <v>0</v>
      </c>
      <c r="P417" s="44"/>
      <c r="Q417" s="44"/>
    </row>
    <row r="418" spans="1:17" x14ac:dyDescent="0.4">
      <c r="A418" s="70"/>
      <c r="B418" s="46"/>
      <c r="C418" s="46"/>
      <c r="D418" s="34" t="e">
        <f>INDEX('Equipment list'!$B$227:$B$256, (MATCH(C418,'Equipment list'!$D$227:$D$256,0)),1)</f>
        <v>#N/A</v>
      </c>
      <c r="E418" s="34" t="e">
        <f>INDEX('Equipment list'!$C$227:$C$256, (MATCH(C418,'Equipment list'!$D$227:$D$256,0)),1)</f>
        <v>#N/A</v>
      </c>
      <c r="F418" s="34">
        <f t="shared" si="35"/>
        <v>0</v>
      </c>
      <c r="G418" s="34">
        <f t="shared" si="36"/>
        <v>0</v>
      </c>
      <c r="H418" s="34" t="e">
        <f t="shared" si="37"/>
        <v>#N/A</v>
      </c>
      <c r="I418" s="34" t="e">
        <f t="shared" si="38"/>
        <v>#N/A</v>
      </c>
      <c r="J418" s="45"/>
      <c r="K418" s="46"/>
      <c r="L418" s="49"/>
      <c r="M418" s="39"/>
      <c r="N418" s="39"/>
      <c r="O418" s="37">
        <f t="shared" si="39"/>
        <v>0</v>
      </c>
      <c r="P418" s="44"/>
      <c r="Q418" s="44"/>
    </row>
    <row r="419" spans="1:17" x14ac:dyDescent="0.4">
      <c r="A419" s="70"/>
      <c r="B419" s="46"/>
      <c r="C419" s="46"/>
      <c r="D419" s="34" t="e">
        <f>INDEX('Equipment list'!$B$227:$B$256, (MATCH(C419,'Equipment list'!$D$227:$D$256,0)),1)</f>
        <v>#N/A</v>
      </c>
      <c r="E419" s="34" t="e">
        <f>INDEX('Equipment list'!$C$227:$C$256, (MATCH(C419,'Equipment list'!$D$227:$D$256,0)),1)</f>
        <v>#N/A</v>
      </c>
      <c r="F419" s="34">
        <f t="shared" si="35"/>
        <v>0</v>
      </c>
      <c r="G419" s="34">
        <f t="shared" si="36"/>
        <v>0</v>
      </c>
      <c r="H419" s="34" t="e">
        <f t="shared" si="37"/>
        <v>#N/A</v>
      </c>
      <c r="I419" s="34" t="e">
        <f t="shared" si="38"/>
        <v>#N/A</v>
      </c>
      <c r="J419" s="45"/>
      <c r="K419" s="46"/>
      <c r="L419" s="49"/>
      <c r="M419" s="39"/>
      <c r="N419" s="39"/>
      <c r="O419" s="37">
        <f t="shared" si="39"/>
        <v>0</v>
      </c>
      <c r="P419" s="44"/>
      <c r="Q419" s="44"/>
    </row>
    <row r="420" spans="1:17" x14ac:dyDescent="0.4">
      <c r="A420" s="70"/>
      <c r="B420" s="46"/>
      <c r="C420" s="46"/>
      <c r="D420" s="34" t="e">
        <f>INDEX('Equipment list'!$B$227:$B$256, (MATCH(C420,'Equipment list'!$D$227:$D$256,0)),1)</f>
        <v>#N/A</v>
      </c>
      <c r="E420" s="34" t="e">
        <f>INDEX('Equipment list'!$C$227:$C$256, (MATCH(C420,'Equipment list'!$D$227:$D$256,0)),1)</f>
        <v>#N/A</v>
      </c>
      <c r="F420" s="34">
        <f t="shared" si="35"/>
        <v>0</v>
      </c>
      <c r="G420" s="34">
        <f t="shared" si="36"/>
        <v>0</v>
      </c>
      <c r="H420" s="34" t="e">
        <f t="shared" si="37"/>
        <v>#N/A</v>
      </c>
      <c r="I420" s="34" t="e">
        <f t="shared" si="38"/>
        <v>#N/A</v>
      </c>
      <c r="J420" s="45"/>
      <c r="K420" s="46"/>
      <c r="L420" s="49"/>
      <c r="M420" s="39"/>
      <c r="N420" s="39"/>
      <c r="O420" s="37">
        <f t="shared" si="39"/>
        <v>0</v>
      </c>
      <c r="P420" s="44"/>
      <c r="Q420" s="44"/>
    </row>
    <row r="421" spans="1:17" x14ac:dyDescent="0.4">
      <c r="A421" s="70"/>
      <c r="B421" s="46"/>
      <c r="C421" s="46"/>
      <c r="D421" s="34" t="e">
        <f>INDEX('Equipment list'!$B$227:$B$256, (MATCH(C421,'Equipment list'!$D$227:$D$256,0)),1)</f>
        <v>#N/A</v>
      </c>
      <c r="E421" s="34" t="e">
        <f>INDEX('Equipment list'!$C$227:$C$256, (MATCH(C421,'Equipment list'!$D$227:$D$256,0)),1)</f>
        <v>#N/A</v>
      </c>
      <c r="F421" s="34">
        <f t="shared" si="35"/>
        <v>0</v>
      </c>
      <c r="G421" s="34">
        <f t="shared" si="36"/>
        <v>0</v>
      </c>
      <c r="H421" s="34" t="e">
        <f t="shared" si="37"/>
        <v>#N/A</v>
      </c>
      <c r="I421" s="34" t="e">
        <f t="shared" si="38"/>
        <v>#N/A</v>
      </c>
      <c r="J421" s="45"/>
      <c r="K421" s="46"/>
      <c r="L421" s="49"/>
      <c r="M421" s="39"/>
      <c r="N421" s="39"/>
      <c r="O421" s="37">
        <f t="shared" si="39"/>
        <v>0</v>
      </c>
      <c r="P421" s="44"/>
      <c r="Q421" s="44"/>
    </row>
    <row r="422" spans="1:17" x14ac:dyDescent="0.4">
      <c r="A422" s="70"/>
      <c r="B422" s="46"/>
      <c r="C422" s="46"/>
      <c r="D422" s="34" t="e">
        <f>INDEX('Equipment list'!$B$227:$B$256, (MATCH(C422,'Equipment list'!$D$227:$D$256,0)),1)</f>
        <v>#N/A</v>
      </c>
      <c r="E422" s="34" t="e">
        <f>INDEX('Equipment list'!$C$227:$C$256, (MATCH(C422,'Equipment list'!$D$227:$D$256,0)),1)</f>
        <v>#N/A</v>
      </c>
      <c r="F422" s="34">
        <f t="shared" si="35"/>
        <v>0</v>
      </c>
      <c r="G422" s="34">
        <f t="shared" si="36"/>
        <v>0</v>
      </c>
      <c r="H422" s="34" t="e">
        <f t="shared" si="37"/>
        <v>#N/A</v>
      </c>
      <c r="I422" s="34" t="e">
        <f t="shared" si="38"/>
        <v>#N/A</v>
      </c>
      <c r="J422" s="45"/>
      <c r="K422" s="46"/>
      <c r="L422" s="49"/>
      <c r="M422" s="39"/>
      <c r="N422" s="39"/>
      <c r="O422" s="37">
        <f t="shared" si="39"/>
        <v>0</v>
      </c>
      <c r="P422" s="44"/>
      <c r="Q422" s="44"/>
    </row>
    <row r="423" spans="1:17" x14ac:dyDescent="0.4">
      <c r="A423" s="70"/>
      <c r="B423" s="46"/>
      <c r="C423" s="46"/>
      <c r="D423" s="34" t="e">
        <f>INDEX('Equipment list'!$B$227:$B$256, (MATCH(C423,'Equipment list'!$D$227:$D$256,0)),1)</f>
        <v>#N/A</v>
      </c>
      <c r="E423" s="34" t="e">
        <f>INDEX('Equipment list'!$C$227:$C$256, (MATCH(C423,'Equipment list'!$D$227:$D$256,0)),1)</f>
        <v>#N/A</v>
      </c>
      <c r="F423" s="34">
        <f t="shared" si="35"/>
        <v>0</v>
      </c>
      <c r="G423" s="34">
        <f t="shared" si="36"/>
        <v>0</v>
      </c>
      <c r="H423" s="34" t="e">
        <f t="shared" si="37"/>
        <v>#N/A</v>
      </c>
      <c r="I423" s="34" t="e">
        <f t="shared" si="38"/>
        <v>#N/A</v>
      </c>
      <c r="J423" s="45"/>
      <c r="K423" s="46"/>
      <c r="L423" s="49"/>
      <c r="M423" s="39"/>
      <c r="N423" s="39"/>
      <c r="O423" s="37">
        <f t="shared" si="39"/>
        <v>0</v>
      </c>
      <c r="P423" s="44"/>
      <c r="Q423" s="44"/>
    </row>
    <row r="424" spans="1:17" x14ac:dyDescent="0.4">
      <c r="A424" s="70"/>
      <c r="B424" s="46"/>
      <c r="C424" s="46"/>
      <c r="D424" s="34" t="e">
        <f>INDEX('Equipment list'!$B$227:$B$256, (MATCH(C424,'Equipment list'!$D$227:$D$256,0)),1)</f>
        <v>#N/A</v>
      </c>
      <c r="E424" s="34" t="e">
        <f>INDEX('Equipment list'!$C$227:$C$256, (MATCH(C424,'Equipment list'!$D$227:$D$256,0)),1)</f>
        <v>#N/A</v>
      </c>
      <c r="F424" s="34">
        <f t="shared" si="35"/>
        <v>0</v>
      </c>
      <c r="G424" s="34">
        <f t="shared" si="36"/>
        <v>0</v>
      </c>
      <c r="H424" s="34" t="e">
        <f t="shared" si="37"/>
        <v>#N/A</v>
      </c>
      <c r="I424" s="34" t="e">
        <f t="shared" si="38"/>
        <v>#N/A</v>
      </c>
      <c r="J424" s="45"/>
      <c r="K424" s="46"/>
      <c r="L424" s="49"/>
      <c r="M424" s="39"/>
      <c r="N424" s="39"/>
      <c r="O424" s="37">
        <f t="shared" si="39"/>
        <v>0</v>
      </c>
      <c r="P424" s="44"/>
      <c r="Q424" s="44"/>
    </row>
    <row r="425" spans="1:17" x14ac:dyDescent="0.4">
      <c r="A425" s="70"/>
      <c r="B425" s="46"/>
      <c r="C425" s="46"/>
      <c r="D425" s="34" t="e">
        <f>INDEX('Equipment list'!$B$227:$B$256, (MATCH(C425,'Equipment list'!$D$227:$D$256,0)),1)</f>
        <v>#N/A</v>
      </c>
      <c r="E425" s="34" t="e">
        <f>INDEX('Equipment list'!$C$227:$C$256, (MATCH(C425,'Equipment list'!$D$227:$D$256,0)),1)</f>
        <v>#N/A</v>
      </c>
      <c r="F425" s="34">
        <f t="shared" si="35"/>
        <v>0</v>
      </c>
      <c r="G425" s="34">
        <f t="shared" si="36"/>
        <v>0</v>
      </c>
      <c r="H425" s="34" t="e">
        <f t="shared" si="37"/>
        <v>#N/A</v>
      </c>
      <c r="I425" s="34" t="e">
        <f t="shared" si="38"/>
        <v>#N/A</v>
      </c>
      <c r="J425" s="45"/>
      <c r="K425" s="46"/>
      <c r="L425" s="49"/>
      <c r="M425" s="39"/>
      <c r="N425" s="39"/>
      <c r="O425" s="37">
        <f t="shared" si="39"/>
        <v>0</v>
      </c>
      <c r="P425" s="44"/>
      <c r="Q425" s="44"/>
    </row>
    <row r="426" spans="1:17" x14ac:dyDescent="0.4">
      <c r="A426" s="70"/>
      <c r="B426" s="46"/>
      <c r="C426" s="46"/>
      <c r="D426" s="34" t="e">
        <f>INDEX('Equipment list'!$B$227:$B$256, (MATCH(C426,'Equipment list'!$D$227:$D$256,0)),1)</f>
        <v>#N/A</v>
      </c>
      <c r="E426" s="34" t="e">
        <f>INDEX('Equipment list'!$C$227:$C$256, (MATCH(C426,'Equipment list'!$D$227:$D$256,0)),1)</f>
        <v>#N/A</v>
      </c>
      <c r="F426" s="34">
        <f t="shared" si="35"/>
        <v>0</v>
      </c>
      <c r="G426" s="34">
        <f t="shared" si="36"/>
        <v>0</v>
      </c>
      <c r="H426" s="34" t="e">
        <f t="shared" si="37"/>
        <v>#N/A</v>
      </c>
      <c r="I426" s="34" t="e">
        <f t="shared" si="38"/>
        <v>#N/A</v>
      </c>
      <c r="J426" s="45"/>
      <c r="K426" s="46"/>
      <c r="L426" s="49"/>
      <c r="M426" s="39"/>
      <c r="N426" s="39"/>
      <c r="O426" s="37">
        <f t="shared" si="39"/>
        <v>0</v>
      </c>
      <c r="P426" s="44"/>
      <c r="Q426" s="44"/>
    </row>
    <row r="427" spans="1:17" x14ac:dyDescent="0.4">
      <c r="A427" s="70"/>
      <c r="B427" s="46"/>
      <c r="C427" s="46"/>
      <c r="D427" s="34" t="e">
        <f>INDEX('Equipment list'!$B$227:$B$256, (MATCH(C427,'Equipment list'!$D$227:$D$256,0)),1)</f>
        <v>#N/A</v>
      </c>
      <c r="E427" s="34" t="e">
        <f>INDEX('Equipment list'!$C$227:$C$256, (MATCH(C427,'Equipment list'!$D$227:$D$256,0)),1)</f>
        <v>#N/A</v>
      </c>
      <c r="F427" s="34">
        <f t="shared" si="35"/>
        <v>0</v>
      </c>
      <c r="G427" s="34">
        <f t="shared" si="36"/>
        <v>0</v>
      </c>
      <c r="H427" s="34" t="e">
        <f t="shared" si="37"/>
        <v>#N/A</v>
      </c>
      <c r="I427" s="34" t="e">
        <f t="shared" si="38"/>
        <v>#N/A</v>
      </c>
      <c r="J427" s="45"/>
      <c r="K427" s="46"/>
      <c r="L427" s="49"/>
      <c r="M427" s="39"/>
      <c r="N427" s="39"/>
      <c r="O427" s="37">
        <f t="shared" si="39"/>
        <v>0</v>
      </c>
      <c r="P427" s="44"/>
      <c r="Q427" s="44"/>
    </row>
    <row r="428" spans="1:17" x14ac:dyDescent="0.4">
      <c r="A428" s="70"/>
      <c r="B428" s="46"/>
      <c r="C428" s="46"/>
      <c r="D428" s="34" t="e">
        <f>INDEX('Equipment list'!$B$227:$B$256, (MATCH(C428,'Equipment list'!$D$227:$D$256,0)),1)</f>
        <v>#N/A</v>
      </c>
      <c r="E428" s="34" t="e">
        <f>INDEX('Equipment list'!$C$227:$C$256, (MATCH(C428,'Equipment list'!$D$227:$D$256,0)),1)</f>
        <v>#N/A</v>
      </c>
      <c r="F428" s="34">
        <f t="shared" si="35"/>
        <v>0</v>
      </c>
      <c r="G428" s="34">
        <f t="shared" si="36"/>
        <v>0</v>
      </c>
      <c r="H428" s="34" t="e">
        <f t="shared" si="37"/>
        <v>#N/A</v>
      </c>
      <c r="I428" s="34" t="e">
        <f t="shared" si="38"/>
        <v>#N/A</v>
      </c>
      <c r="J428" s="45"/>
      <c r="K428" s="46"/>
      <c r="L428" s="49"/>
      <c r="M428" s="39"/>
      <c r="N428" s="39"/>
      <c r="O428" s="37">
        <f t="shared" si="39"/>
        <v>0</v>
      </c>
      <c r="P428" s="44"/>
      <c r="Q428" s="44"/>
    </row>
    <row r="429" spans="1:17" x14ac:dyDescent="0.4">
      <c r="A429" s="70"/>
      <c r="B429" s="46"/>
      <c r="C429" s="46"/>
      <c r="D429" s="34" t="e">
        <f>INDEX('Equipment list'!$B$227:$B$256, (MATCH(C429,'Equipment list'!$D$227:$D$256,0)),1)</f>
        <v>#N/A</v>
      </c>
      <c r="E429" s="34" t="e">
        <f>INDEX('Equipment list'!$C$227:$C$256, (MATCH(C429,'Equipment list'!$D$227:$D$256,0)),1)</f>
        <v>#N/A</v>
      </c>
      <c r="F429" s="34">
        <f t="shared" si="35"/>
        <v>0</v>
      </c>
      <c r="G429" s="34">
        <f t="shared" si="36"/>
        <v>0</v>
      </c>
      <c r="H429" s="34" t="e">
        <f t="shared" si="37"/>
        <v>#N/A</v>
      </c>
      <c r="I429" s="34" t="e">
        <f t="shared" si="38"/>
        <v>#N/A</v>
      </c>
      <c r="J429" s="45"/>
      <c r="K429" s="46"/>
      <c r="L429" s="49"/>
      <c r="M429" s="39"/>
      <c r="N429" s="39"/>
      <c r="O429" s="37">
        <f t="shared" si="39"/>
        <v>0</v>
      </c>
      <c r="P429" s="44"/>
      <c r="Q429" s="44"/>
    </row>
    <row r="430" spans="1:17" x14ac:dyDescent="0.4">
      <c r="A430" s="70"/>
      <c r="B430" s="46"/>
      <c r="C430" s="46"/>
      <c r="D430" s="34" t="e">
        <f>INDEX('Equipment list'!$B$227:$B$256, (MATCH(C430,'Equipment list'!$D$227:$D$256,0)),1)</f>
        <v>#N/A</v>
      </c>
      <c r="E430" s="34" t="e">
        <f>INDEX('Equipment list'!$C$227:$C$256, (MATCH(C430,'Equipment list'!$D$227:$D$256,0)),1)</f>
        <v>#N/A</v>
      </c>
      <c r="F430" s="34">
        <f t="shared" si="35"/>
        <v>0</v>
      </c>
      <c r="G430" s="34">
        <f t="shared" si="36"/>
        <v>0</v>
      </c>
      <c r="H430" s="34" t="e">
        <f t="shared" si="37"/>
        <v>#N/A</v>
      </c>
      <c r="I430" s="34" t="e">
        <f t="shared" si="38"/>
        <v>#N/A</v>
      </c>
      <c r="J430" s="45"/>
      <c r="K430" s="46"/>
      <c r="L430" s="49"/>
      <c r="M430" s="39"/>
      <c r="N430" s="39"/>
      <c r="O430" s="37">
        <f t="shared" si="39"/>
        <v>0</v>
      </c>
      <c r="P430" s="44"/>
      <c r="Q430" s="44"/>
    </row>
    <row r="431" spans="1:17" x14ac:dyDescent="0.4">
      <c r="A431" s="70"/>
      <c r="B431" s="46"/>
      <c r="C431" s="46"/>
      <c r="D431" s="34" t="e">
        <f>INDEX('Equipment list'!$B$227:$B$256, (MATCH(C431,'Equipment list'!$D$227:$D$256,0)),1)</f>
        <v>#N/A</v>
      </c>
      <c r="E431" s="34" t="e">
        <f>INDEX('Equipment list'!$C$227:$C$256, (MATCH(C431,'Equipment list'!$D$227:$D$256,0)),1)</f>
        <v>#N/A</v>
      </c>
      <c r="F431" s="34">
        <f t="shared" si="35"/>
        <v>0</v>
      </c>
      <c r="G431" s="34">
        <f t="shared" si="36"/>
        <v>0</v>
      </c>
      <c r="H431" s="34" t="e">
        <f t="shared" si="37"/>
        <v>#N/A</v>
      </c>
      <c r="I431" s="34" t="e">
        <f t="shared" si="38"/>
        <v>#N/A</v>
      </c>
      <c r="J431" s="45"/>
      <c r="K431" s="46"/>
      <c r="L431" s="49"/>
      <c r="M431" s="39"/>
      <c r="N431" s="39"/>
      <c r="O431" s="37">
        <f t="shared" si="39"/>
        <v>0</v>
      </c>
      <c r="P431" s="44"/>
      <c r="Q431" s="44"/>
    </row>
    <row r="432" spans="1:17" x14ac:dyDescent="0.4">
      <c r="A432" s="70"/>
      <c r="B432" s="46"/>
      <c r="C432" s="46"/>
      <c r="D432" s="34" t="e">
        <f>INDEX('Equipment list'!$B$227:$B$256, (MATCH(C432,'Equipment list'!$D$227:$D$256,0)),1)</f>
        <v>#N/A</v>
      </c>
      <c r="E432" s="34" t="e">
        <f>INDEX('Equipment list'!$C$227:$C$256, (MATCH(C432,'Equipment list'!$D$227:$D$256,0)),1)</f>
        <v>#N/A</v>
      </c>
      <c r="F432" s="34">
        <f t="shared" si="35"/>
        <v>0</v>
      </c>
      <c r="G432" s="34">
        <f t="shared" si="36"/>
        <v>0</v>
      </c>
      <c r="H432" s="34" t="e">
        <f t="shared" si="37"/>
        <v>#N/A</v>
      </c>
      <c r="I432" s="34" t="e">
        <f t="shared" si="38"/>
        <v>#N/A</v>
      </c>
      <c r="J432" s="45"/>
      <c r="K432" s="46"/>
      <c r="L432" s="49"/>
      <c r="M432" s="39"/>
      <c r="N432" s="39"/>
      <c r="O432" s="37">
        <f t="shared" si="39"/>
        <v>0</v>
      </c>
      <c r="P432" s="44"/>
      <c r="Q432" s="44"/>
    </row>
    <row r="433" spans="1:17" x14ac:dyDescent="0.4">
      <c r="A433" s="70"/>
      <c r="B433" s="46"/>
      <c r="C433" s="46"/>
      <c r="D433" s="34" t="e">
        <f>INDEX('Equipment list'!$B$227:$B$256, (MATCH(C433,'Equipment list'!$D$227:$D$256,0)),1)</f>
        <v>#N/A</v>
      </c>
      <c r="E433" s="34" t="e">
        <f>INDEX('Equipment list'!$C$227:$C$256, (MATCH(C433,'Equipment list'!$D$227:$D$256,0)),1)</f>
        <v>#N/A</v>
      </c>
      <c r="F433" s="34">
        <f t="shared" si="35"/>
        <v>0</v>
      </c>
      <c r="G433" s="34">
        <f t="shared" si="36"/>
        <v>0</v>
      </c>
      <c r="H433" s="34" t="e">
        <f t="shared" si="37"/>
        <v>#N/A</v>
      </c>
      <c r="I433" s="34" t="e">
        <f t="shared" si="38"/>
        <v>#N/A</v>
      </c>
      <c r="J433" s="45"/>
      <c r="K433" s="46"/>
      <c r="L433" s="49"/>
      <c r="M433" s="39"/>
      <c r="N433" s="39"/>
      <c r="O433" s="37">
        <f t="shared" si="39"/>
        <v>0</v>
      </c>
      <c r="P433" s="44"/>
      <c r="Q433" s="44"/>
    </row>
    <row r="434" spans="1:17" x14ac:dyDescent="0.4">
      <c r="A434" s="70"/>
      <c r="B434" s="46"/>
      <c r="C434" s="46"/>
      <c r="D434" s="34" t="e">
        <f>INDEX('Equipment list'!$B$227:$B$256, (MATCH(C434,'Equipment list'!$D$227:$D$256,0)),1)</f>
        <v>#N/A</v>
      </c>
      <c r="E434" s="34" t="e">
        <f>INDEX('Equipment list'!$C$227:$C$256, (MATCH(C434,'Equipment list'!$D$227:$D$256,0)),1)</f>
        <v>#N/A</v>
      </c>
      <c r="F434" s="34">
        <f t="shared" si="35"/>
        <v>0</v>
      </c>
      <c r="G434" s="34">
        <f t="shared" si="36"/>
        <v>0</v>
      </c>
      <c r="H434" s="34" t="e">
        <f t="shared" si="37"/>
        <v>#N/A</v>
      </c>
      <c r="I434" s="34" t="e">
        <f t="shared" si="38"/>
        <v>#N/A</v>
      </c>
      <c r="J434" s="45"/>
      <c r="K434" s="46"/>
      <c r="L434" s="49"/>
      <c r="M434" s="39"/>
      <c r="N434" s="39"/>
      <c r="O434" s="37">
        <f t="shared" si="39"/>
        <v>0</v>
      </c>
      <c r="P434" s="44"/>
      <c r="Q434" s="44"/>
    </row>
    <row r="435" spans="1:17" x14ac:dyDescent="0.4">
      <c r="A435" s="70"/>
      <c r="B435" s="46"/>
      <c r="C435" s="46"/>
      <c r="D435" s="34" t="e">
        <f>INDEX('Equipment list'!$B$227:$B$256, (MATCH(C435,'Equipment list'!$D$227:$D$256,0)),1)</f>
        <v>#N/A</v>
      </c>
      <c r="E435" s="34" t="e">
        <f>INDEX('Equipment list'!$C$227:$C$256, (MATCH(C435,'Equipment list'!$D$227:$D$256,0)),1)</f>
        <v>#N/A</v>
      </c>
      <c r="F435" s="34">
        <f t="shared" si="35"/>
        <v>0</v>
      </c>
      <c r="G435" s="34">
        <f t="shared" si="36"/>
        <v>0</v>
      </c>
      <c r="H435" s="34" t="e">
        <f t="shared" si="37"/>
        <v>#N/A</v>
      </c>
      <c r="I435" s="34" t="e">
        <f t="shared" si="38"/>
        <v>#N/A</v>
      </c>
      <c r="J435" s="45"/>
      <c r="K435" s="46"/>
      <c r="L435" s="49"/>
      <c r="M435" s="39"/>
      <c r="N435" s="39"/>
      <c r="O435" s="37">
        <f t="shared" si="39"/>
        <v>0</v>
      </c>
      <c r="P435" s="44"/>
      <c r="Q435" s="44"/>
    </row>
    <row r="436" spans="1:17" x14ac:dyDescent="0.4">
      <c r="A436" s="70"/>
      <c r="B436" s="46"/>
      <c r="C436" s="46"/>
      <c r="D436" s="34" t="e">
        <f>INDEX('Equipment list'!$B$227:$B$256, (MATCH(C436,'Equipment list'!$D$227:$D$256,0)),1)</f>
        <v>#N/A</v>
      </c>
      <c r="E436" s="34" t="e">
        <f>INDEX('Equipment list'!$C$227:$C$256, (MATCH(C436,'Equipment list'!$D$227:$D$256,0)),1)</f>
        <v>#N/A</v>
      </c>
      <c r="F436" s="34">
        <f t="shared" si="35"/>
        <v>0</v>
      </c>
      <c r="G436" s="34">
        <f t="shared" si="36"/>
        <v>0</v>
      </c>
      <c r="H436" s="34" t="e">
        <f t="shared" si="37"/>
        <v>#N/A</v>
      </c>
      <c r="I436" s="34" t="e">
        <f t="shared" si="38"/>
        <v>#N/A</v>
      </c>
      <c r="J436" s="45"/>
      <c r="K436" s="46"/>
      <c r="L436" s="49"/>
      <c r="M436" s="39"/>
      <c r="N436" s="39"/>
      <c r="O436" s="37">
        <f t="shared" si="39"/>
        <v>0</v>
      </c>
      <c r="P436" s="44"/>
      <c r="Q436" s="44"/>
    </row>
    <row r="437" spans="1:17" x14ac:dyDescent="0.4">
      <c r="A437" s="70"/>
      <c r="B437" s="46"/>
      <c r="C437" s="46"/>
      <c r="D437" s="34" t="e">
        <f>INDEX('Equipment list'!$B$227:$B$256, (MATCH(C437,'Equipment list'!$D$227:$D$256,0)),1)</f>
        <v>#N/A</v>
      </c>
      <c r="E437" s="34" t="e">
        <f>INDEX('Equipment list'!$C$227:$C$256, (MATCH(C437,'Equipment list'!$D$227:$D$256,0)),1)</f>
        <v>#N/A</v>
      </c>
      <c r="F437" s="34">
        <f t="shared" si="35"/>
        <v>0</v>
      </c>
      <c r="G437" s="34">
        <f t="shared" si="36"/>
        <v>0</v>
      </c>
      <c r="H437" s="34" t="e">
        <f t="shared" si="37"/>
        <v>#N/A</v>
      </c>
      <c r="I437" s="34" t="e">
        <f t="shared" si="38"/>
        <v>#N/A</v>
      </c>
      <c r="J437" s="45"/>
      <c r="K437" s="46"/>
      <c r="L437" s="49"/>
      <c r="M437" s="39"/>
      <c r="N437" s="39"/>
      <c r="O437" s="37">
        <f t="shared" si="39"/>
        <v>0</v>
      </c>
      <c r="P437" s="44"/>
      <c r="Q437" s="44"/>
    </row>
    <row r="438" spans="1:17" x14ac:dyDescent="0.4">
      <c r="A438" s="70"/>
      <c r="B438" s="46"/>
      <c r="C438" s="46"/>
      <c r="D438" s="34" t="e">
        <f>INDEX('Equipment list'!$B$227:$B$256, (MATCH(C438,'Equipment list'!$D$227:$D$256,0)),1)</f>
        <v>#N/A</v>
      </c>
      <c r="E438" s="34" t="e">
        <f>INDEX('Equipment list'!$C$227:$C$256, (MATCH(C438,'Equipment list'!$D$227:$D$256,0)),1)</f>
        <v>#N/A</v>
      </c>
      <c r="F438" s="34">
        <f t="shared" si="35"/>
        <v>0</v>
      </c>
      <c r="G438" s="34">
        <f t="shared" si="36"/>
        <v>0</v>
      </c>
      <c r="H438" s="34" t="e">
        <f t="shared" si="37"/>
        <v>#N/A</v>
      </c>
      <c r="I438" s="34" t="e">
        <f t="shared" si="38"/>
        <v>#N/A</v>
      </c>
      <c r="J438" s="45"/>
      <c r="K438" s="46"/>
      <c r="L438" s="49"/>
      <c r="M438" s="39"/>
      <c r="N438" s="39"/>
      <c r="O438" s="37">
        <f t="shared" si="39"/>
        <v>0</v>
      </c>
      <c r="P438" s="44"/>
      <c r="Q438" s="44"/>
    </row>
    <row r="439" spans="1:17" x14ac:dyDescent="0.4">
      <c r="A439" s="70"/>
      <c r="B439" s="46"/>
      <c r="C439" s="46"/>
      <c r="D439" s="34" t="e">
        <f>INDEX('Equipment list'!$B$227:$B$256, (MATCH(C439,'Equipment list'!$D$227:$D$256,0)),1)</f>
        <v>#N/A</v>
      </c>
      <c r="E439" s="34" t="e">
        <f>INDEX('Equipment list'!$C$227:$C$256, (MATCH(C439,'Equipment list'!$D$227:$D$256,0)),1)</f>
        <v>#N/A</v>
      </c>
      <c r="F439" s="34">
        <f t="shared" si="35"/>
        <v>0</v>
      </c>
      <c r="G439" s="34">
        <f t="shared" si="36"/>
        <v>0</v>
      </c>
      <c r="H439" s="34" t="e">
        <f t="shared" si="37"/>
        <v>#N/A</v>
      </c>
      <c r="I439" s="34" t="e">
        <f t="shared" si="38"/>
        <v>#N/A</v>
      </c>
      <c r="J439" s="45"/>
      <c r="K439" s="46"/>
      <c r="L439" s="49"/>
      <c r="M439" s="39"/>
      <c r="N439" s="39"/>
      <c r="O439" s="37">
        <f t="shared" si="39"/>
        <v>0</v>
      </c>
      <c r="P439" s="44"/>
      <c r="Q439" s="44"/>
    </row>
    <row r="440" spans="1:17" x14ac:dyDescent="0.4">
      <c r="A440" s="70"/>
      <c r="B440" s="46"/>
      <c r="C440" s="46"/>
      <c r="D440" s="34" t="e">
        <f>INDEX('Equipment list'!$B$227:$B$256, (MATCH(C440,'Equipment list'!$D$227:$D$256,0)),1)</f>
        <v>#N/A</v>
      </c>
      <c r="E440" s="34" t="e">
        <f>INDEX('Equipment list'!$C$227:$C$256, (MATCH(C440,'Equipment list'!$D$227:$D$256,0)),1)</f>
        <v>#N/A</v>
      </c>
      <c r="F440" s="34">
        <f t="shared" si="35"/>
        <v>0</v>
      </c>
      <c r="G440" s="34">
        <f t="shared" si="36"/>
        <v>0</v>
      </c>
      <c r="H440" s="34" t="e">
        <f t="shared" si="37"/>
        <v>#N/A</v>
      </c>
      <c r="I440" s="34" t="e">
        <f t="shared" si="38"/>
        <v>#N/A</v>
      </c>
      <c r="J440" s="45"/>
      <c r="K440" s="46"/>
      <c r="L440" s="49"/>
      <c r="M440" s="39"/>
      <c r="N440" s="39"/>
      <c r="O440" s="37">
        <f t="shared" si="39"/>
        <v>0</v>
      </c>
      <c r="P440" s="44"/>
      <c r="Q440" s="44"/>
    </row>
    <row r="441" spans="1:17" x14ac:dyDescent="0.4">
      <c r="A441" s="70"/>
      <c r="B441" s="46"/>
      <c r="C441" s="46"/>
      <c r="D441" s="34" t="e">
        <f>INDEX('Equipment list'!$B$227:$B$256, (MATCH(C441,'Equipment list'!$D$227:$D$256,0)),1)</f>
        <v>#N/A</v>
      </c>
      <c r="E441" s="34" t="e">
        <f>INDEX('Equipment list'!$C$227:$C$256, (MATCH(C441,'Equipment list'!$D$227:$D$256,0)),1)</f>
        <v>#N/A</v>
      </c>
      <c r="F441" s="34">
        <f t="shared" si="35"/>
        <v>0</v>
      </c>
      <c r="G441" s="34">
        <f t="shared" si="36"/>
        <v>0</v>
      </c>
      <c r="H441" s="34" t="e">
        <f t="shared" si="37"/>
        <v>#N/A</v>
      </c>
      <c r="I441" s="34" t="e">
        <f t="shared" si="38"/>
        <v>#N/A</v>
      </c>
      <c r="J441" s="45"/>
      <c r="K441" s="46"/>
      <c r="L441" s="49"/>
      <c r="M441" s="39"/>
      <c r="N441" s="39"/>
      <c r="O441" s="37">
        <f t="shared" si="39"/>
        <v>0</v>
      </c>
      <c r="P441" s="44"/>
      <c r="Q441" s="44"/>
    </row>
    <row r="442" spans="1:17" x14ac:dyDescent="0.4">
      <c r="A442" s="70"/>
      <c r="B442" s="46"/>
      <c r="C442" s="46"/>
      <c r="D442" s="34" t="e">
        <f>INDEX('Equipment list'!$B$227:$B$256, (MATCH(C442,'Equipment list'!$D$227:$D$256,0)),1)</f>
        <v>#N/A</v>
      </c>
      <c r="E442" s="34" t="e">
        <f>INDEX('Equipment list'!$C$227:$C$256, (MATCH(C442,'Equipment list'!$D$227:$D$256,0)),1)</f>
        <v>#N/A</v>
      </c>
      <c r="F442" s="34">
        <f t="shared" si="35"/>
        <v>0</v>
      </c>
      <c r="G442" s="34">
        <f t="shared" si="36"/>
        <v>0</v>
      </c>
      <c r="H442" s="34" t="e">
        <f t="shared" si="37"/>
        <v>#N/A</v>
      </c>
      <c r="I442" s="34" t="e">
        <f t="shared" si="38"/>
        <v>#N/A</v>
      </c>
      <c r="J442" s="45"/>
      <c r="K442" s="46"/>
      <c r="L442" s="49"/>
      <c r="M442" s="39"/>
      <c r="N442" s="39"/>
      <c r="O442" s="37">
        <f t="shared" si="39"/>
        <v>0</v>
      </c>
      <c r="P442" s="44"/>
      <c r="Q442" s="44"/>
    </row>
    <row r="443" spans="1:17" x14ac:dyDescent="0.4">
      <c r="A443" s="70"/>
      <c r="B443" s="46"/>
      <c r="C443" s="46"/>
      <c r="D443" s="34" t="e">
        <f>INDEX('Equipment list'!$B$227:$B$256, (MATCH(C443,'Equipment list'!$D$227:$D$256,0)),1)</f>
        <v>#N/A</v>
      </c>
      <c r="E443" s="34" t="e">
        <f>INDEX('Equipment list'!$C$227:$C$256, (MATCH(C443,'Equipment list'!$D$227:$D$256,0)),1)</f>
        <v>#N/A</v>
      </c>
      <c r="F443" s="34">
        <f t="shared" si="35"/>
        <v>0</v>
      </c>
      <c r="G443" s="34">
        <f t="shared" si="36"/>
        <v>0</v>
      </c>
      <c r="H443" s="34" t="e">
        <f t="shared" si="37"/>
        <v>#N/A</v>
      </c>
      <c r="I443" s="34" t="e">
        <f t="shared" si="38"/>
        <v>#N/A</v>
      </c>
      <c r="J443" s="45"/>
      <c r="K443" s="46"/>
      <c r="L443" s="49"/>
      <c r="M443" s="39"/>
      <c r="N443" s="39"/>
      <c r="O443" s="37">
        <f t="shared" si="39"/>
        <v>0</v>
      </c>
      <c r="P443" s="44"/>
      <c r="Q443" s="44"/>
    </row>
    <row r="444" spans="1:17" x14ac:dyDescent="0.4">
      <c r="A444" s="70"/>
      <c r="B444" s="46"/>
      <c r="C444" s="46"/>
      <c r="D444" s="34" t="e">
        <f>INDEX('Equipment list'!$B$227:$B$256, (MATCH(C444,'Equipment list'!$D$227:$D$256,0)),1)</f>
        <v>#N/A</v>
      </c>
      <c r="E444" s="34" t="e">
        <f>INDEX('Equipment list'!$C$227:$C$256, (MATCH(C444,'Equipment list'!$D$227:$D$256,0)),1)</f>
        <v>#N/A</v>
      </c>
      <c r="F444" s="34">
        <f t="shared" si="35"/>
        <v>0</v>
      </c>
      <c r="G444" s="34">
        <f t="shared" si="36"/>
        <v>0</v>
      </c>
      <c r="H444" s="34" t="e">
        <f t="shared" si="37"/>
        <v>#N/A</v>
      </c>
      <c r="I444" s="34" t="e">
        <f t="shared" si="38"/>
        <v>#N/A</v>
      </c>
      <c r="J444" s="45"/>
      <c r="K444" s="46"/>
      <c r="L444" s="49"/>
      <c r="M444" s="39"/>
      <c r="N444" s="39"/>
      <c r="O444" s="37">
        <f t="shared" si="39"/>
        <v>0</v>
      </c>
      <c r="P444" s="44"/>
      <c r="Q444" s="44"/>
    </row>
    <row r="445" spans="1:17" x14ac:dyDescent="0.4">
      <c r="A445" s="70"/>
      <c r="B445" s="46"/>
      <c r="C445" s="46"/>
      <c r="D445" s="34" t="e">
        <f>INDEX('Equipment list'!$B$227:$B$256, (MATCH(C445,'Equipment list'!$D$227:$D$256,0)),1)</f>
        <v>#N/A</v>
      </c>
      <c r="E445" s="34" t="e">
        <f>INDEX('Equipment list'!$C$227:$C$256, (MATCH(C445,'Equipment list'!$D$227:$D$256,0)),1)</f>
        <v>#N/A</v>
      </c>
      <c r="F445" s="34">
        <f t="shared" si="35"/>
        <v>0</v>
      </c>
      <c r="G445" s="34">
        <f t="shared" si="36"/>
        <v>0</v>
      </c>
      <c r="H445" s="34" t="e">
        <f t="shared" si="37"/>
        <v>#N/A</v>
      </c>
      <c r="I445" s="34" t="e">
        <f t="shared" si="38"/>
        <v>#N/A</v>
      </c>
      <c r="J445" s="45"/>
      <c r="K445" s="46"/>
      <c r="L445" s="49"/>
      <c r="M445" s="39"/>
      <c r="N445" s="39"/>
      <c r="O445" s="37">
        <f t="shared" si="39"/>
        <v>0</v>
      </c>
      <c r="P445" s="44"/>
      <c r="Q445" s="44"/>
    </row>
    <row r="446" spans="1:17" x14ac:dyDescent="0.4">
      <c r="A446" s="70"/>
      <c r="B446" s="46"/>
      <c r="C446" s="46"/>
      <c r="D446" s="34" t="e">
        <f>INDEX('Equipment list'!$B$227:$B$256, (MATCH(C446,'Equipment list'!$D$227:$D$256,0)),1)</f>
        <v>#N/A</v>
      </c>
      <c r="E446" s="34" t="e">
        <f>INDEX('Equipment list'!$C$227:$C$256, (MATCH(C446,'Equipment list'!$D$227:$D$256,0)),1)</f>
        <v>#N/A</v>
      </c>
      <c r="F446" s="34">
        <f t="shared" si="35"/>
        <v>0</v>
      </c>
      <c r="G446" s="34">
        <f t="shared" si="36"/>
        <v>0</v>
      </c>
      <c r="H446" s="34" t="e">
        <f t="shared" si="37"/>
        <v>#N/A</v>
      </c>
      <c r="I446" s="34" t="e">
        <f t="shared" si="38"/>
        <v>#N/A</v>
      </c>
      <c r="J446" s="45"/>
      <c r="K446" s="46"/>
      <c r="L446" s="49"/>
      <c r="M446" s="39"/>
      <c r="N446" s="39"/>
      <c r="O446" s="37">
        <f t="shared" si="39"/>
        <v>0</v>
      </c>
      <c r="P446" s="44"/>
      <c r="Q446" s="44"/>
    </row>
    <row r="447" spans="1:17" x14ac:dyDescent="0.4">
      <c r="A447" s="70"/>
      <c r="B447" s="46"/>
      <c r="C447" s="46"/>
      <c r="D447" s="34" t="e">
        <f>INDEX('Equipment list'!$B$227:$B$256, (MATCH(C447,'Equipment list'!$D$227:$D$256,0)),1)</f>
        <v>#N/A</v>
      </c>
      <c r="E447" s="34" t="e">
        <f>INDEX('Equipment list'!$C$227:$C$256, (MATCH(C447,'Equipment list'!$D$227:$D$256,0)),1)</f>
        <v>#N/A</v>
      </c>
      <c r="F447" s="34">
        <f t="shared" si="35"/>
        <v>0</v>
      </c>
      <c r="G447" s="34">
        <f t="shared" si="36"/>
        <v>0</v>
      </c>
      <c r="H447" s="34" t="e">
        <f t="shared" si="37"/>
        <v>#N/A</v>
      </c>
      <c r="I447" s="34" t="e">
        <f t="shared" si="38"/>
        <v>#N/A</v>
      </c>
      <c r="J447" s="45"/>
      <c r="K447" s="46"/>
      <c r="L447" s="49"/>
      <c r="M447" s="39"/>
      <c r="N447" s="39"/>
      <c r="O447" s="37">
        <f t="shared" si="39"/>
        <v>0</v>
      </c>
      <c r="P447" s="44"/>
      <c r="Q447" s="44"/>
    </row>
    <row r="448" spans="1:17" x14ac:dyDescent="0.4">
      <c r="A448" s="70"/>
      <c r="B448" s="46"/>
      <c r="C448" s="46"/>
      <c r="D448" s="34" t="e">
        <f>INDEX('Equipment list'!$B$227:$B$256, (MATCH(C448,'Equipment list'!$D$227:$D$256,0)),1)</f>
        <v>#N/A</v>
      </c>
      <c r="E448" s="34" t="e">
        <f>INDEX('Equipment list'!$C$227:$C$256, (MATCH(C448,'Equipment list'!$D$227:$D$256,0)),1)</f>
        <v>#N/A</v>
      </c>
      <c r="F448" s="34">
        <f t="shared" si="35"/>
        <v>0</v>
      </c>
      <c r="G448" s="34">
        <f t="shared" si="36"/>
        <v>0</v>
      </c>
      <c r="H448" s="34" t="e">
        <f t="shared" si="37"/>
        <v>#N/A</v>
      </c>
      <c r="I448" s="34" t="e">
        <f t="shared" si="38"/>
        <v>#N/A</v>
      </c>
      <c r="J448" s="45"/>
      <c r="K448" s="46"/>
      <c r="L448" s="49"/>
      <c r="M448" s="39"/>
      <c r="N448" s="39"/>
      <c r="O448" s="37">
        <f t="shared" si="39"/>
        <v>0</v>
      </c>
      <c r="P448" s="44"/>
      <c r="Q448" s="44"/>
    </row>
    <row r="449" spans="1:17" x14ac:dyDescent="0.4">
      <c r="A449" s="70"/>
      <c r="B449" s="46"/>
      <c r="C449" s="46"/>
      <c r="D449" s="34" t="e">
        <f>INDEX('Equipment list'!$B$227:$B$256, (MATCH(C449,'Equipment list'!$D$227:$D$256,0)),1)</f>
        <v>#N/A</v>
      </c>
      <c r="E449" s="34" t="e">
        <f>INDEX('Equipment list'!$C$227:$C$256, (MATCH(C449,'Equipment list'!$D$227:$D$256,0)),1)</f>
        <v>#N/A</v>
      </c>
      <c r="F449" s="34">
        <f t="shared" si="35"/>
        <v>0</v>
      </c>
      <c r="G449" s="34">
        <f t="shared" si="36"/>
        <v>0</v>
      </c>
      <c r="H449" s="34" t="e">
        <f t="shared" si="37"/>
        <v>#N/A</v>
      </c>
      <c r="I449" s="34" t="e">
        <f t="shared" si="38"/>
        <v>#N/A</v>
      </c>
      <c r="J449" s="45"/>
      <c r="K449" s="46"/>
      <c r="L449" s="49"/>
      <c r="M449" s="39"/>
      <c r="N449" s="39"/>
      <c r="O449" s="37">
        <f t="shared" si="39"/>
        <v>0</v>
      </c>
      <c r="P449" s="44"/>
      <c r="Q449" s="44"/>
    </row>
    <row r="450" spans="1:17" x14ac:dyDescent="0.4">
      <c r="A450" s="70"/>
      <c r="B450" s="46"/>
      <c r="C450" s="46"/>
      <c r="D450" s="34" t="e">
        <f>INDEX('Equipment list'!$B$227:$B$256, (MATCH(C450,'Equipment list'!$D$227:$D$256,0)),1)</f>
        <v>#N/A</v>
      </c>
      <c r="E450" s="34" t="e">
        <f>INDEX('Equipment list'!$C$227:$C$256, (MATCH(C450,'Equipment list'!$D$227:$D$256,0)),1)</f>
        <v>#N/A</v>
      </c>
      <c r="F450" s="34">
        <f t="shared" si="35"/>
        <v>0</v>
      </c>
      <c r="G450" s="34">
        <f t="shared" si="36"/>
        <v>0</v>
      </c>
      <c r="H450" s="34" t="e">
        <f t="shared" si="37"/>
        <v>#N/A</v>
      </c>
      <c r="I450" s="34" t="e">
        <f t="shared" si="38"/>
        <v>#N/A</v>
      </c>
      <c r="J450" s="45"/>
      <c r="K450" s="46"/>
      <c r="L450" s="49"/>
      <c r="M450" s="39"/>
      <c r="N450" s="39"/>
      <c r="O450" s="37">
        <f t="shared" si="39"/>
        <v>0</v>
      </c>
      <c r="P450" s="44"/>
      <c r="Q450" s="44"/>
    </row>
    <row r="451" spans="1:17" x14ac:dyDescent="0.4">
      <c r="A451" s="70"/>
      <c r="B451" s="46"/>
      <c r="C451" s="46"/>
      <c r="D451" s="34" t="e">
        <f>INDEX('Equipment list'!$B$227:$B$256, (MATCH(C451,'Equipment list'!$D$227:$D$256,0)),1)</f>
        <v>#N/A</v>
      </c>
      <c r="E451" s="34" t="e">
        <f>INDEX('Equipment list'!$C$227:$C$256, (MATCH(C451,'Equipment list'!$D$227:$D$256,0)),1)</f>
        <v>#N/A</v>
      </c>
      <c r="F451" s="34">
        <f t="shared" si="35"/>
        <v>0</v>
      </c>
      <c r="G451" s="34">
        <f t="shared" si="36"/>
        <v>0</v>
      </c>
      <c r="H451" s="34" t="e">
        <f t="shared" si="37"/>
        <v>#N/A</v>
      </c>
      <c r="I451" s="34" t="e">
        <f t="shared" si="38"/>
        <v>#N/A</v>
      </c>
      <c r="J451" s="45"/>
      <c r="K451" s="46"/>
      <c r="L451" s="49"/>
      <c r="M451" s="39"/>
      <c r="N451" s="39"/>
      <c r="O451" s="37">
        <f t="shared" si="39"/>
        <v>0</v>
      </c>
      <c r="P451" s="44"/>
      <c r="Q451" s="44"/>
    </row>
    <row r="452" spans="1:17" x14ac:dyDescent="0.4">
      <c r="A452" s="70"/>
      <c r="B452" s="46"/>
      <c r="C452" s="46"/>
      <c r="D452" s="34" t="e">
        <f>INDEX('Equipment list'!$B$227:$B$256, (MATCH(C452,'Equipment list'!$D$227:$D$256,0)),1)</f>
        <v>#N/A</v>
      </c>
      <c r="E452" s="34" t="e">
        <f>INDEX('Equipment list'!$C$227:$C$256, (MATCH(C452,'Equipment list'!$D$227:$D$256,0)),1)</f>
        <v>#N/A</v>
      </c>
      <c r="F452" s="34">
        <f t="shared" si="35"/>
        <v>0</v>
      </c>
      <c r="G452" s="34">
        <f t="shared" si="36"/>
        <v>0</v>
      </c>
      <c r="H452" s="34" t="e">
        <f t="shared" si="37"/>
        <v>#N/A</v>
      </c>
      <c r="I452" s="34" t="e">
        <f t="shared" si="38"/>
        <v>#N/A</v>
      </c>
      <c r="J452" s="45"/>
      <c r="K452" s="46"/>
      <c r="L452" s="49"/>
      <c r="M452" s="39"/>
      <c r="N452" s="39"/>
      <c r="O452" s="37">
        <f t="shared" si="39"/>
        <v>0</v>
      </c>
      <c r="P452" s="44"/>
      <c r="Q452" s="44"/>
    </row>
    <row r="453" spans="1:17" x14ac:dyDescent="0.4">
      <c r="A453" s="70"/>
      <c r="B453" s="46"/>
      <c r="C453" s="46"/>
      <c r="D453" s="34" t="e">
        <f>INDEX('Equipment list'!$B$227:$B$256, (MATCH(C453,'Equipment list'!$D$227:$D$256,0)),1)</f>
        <v>#N/A</v>
      </c>
      <c r="E453" s="34" t="e">
        <f>INDEX('Equipment list'!$C$227:$C$256, (MATCH(C453,'Equipment list'!$D$227:$D$256,0)),1)</f>
        <v>#N/A</v>
      </c>
      <c r="F453" s="34">
        <f t="shared" si="35"/>
        <v>0</v>
      </c>
      <c r="G453" s="34">
        <f t="shared" si="36"/>
        <v>0</v>
      </c>
      <c r="H453" s="34" t="e">
        <f t="shared" si="37"/>
        <v>#N/A</v>
      </c>
      <c r="I453" s="34" t="e">
        <f t="shared" si="38"/>
        <v>#N/A</v>
      </c>
      <c r="J453" s="45"/>
      <c r="K453" s="46"/>
      <c r="L453" s="49"/>
      <c r="M453" s="39"/>
      <c r="N453" s="39"/>
      <c r="O453" s="37">
        <f t="shared" si="39"/>
        <v>0</v>
      </c>
      <c r="P453" s="44"/>
      <c r="Q453" s="44"/>
    </row>
    <row r="454" spans="1:17" x14ac:dyDescent="0.4">
      <c r="A454" s="70"/>
      <c r="B454" s="46"/>
      <c r="C454" s="46"/>
      <c r="D454" s="34" t="e">
        <f>INDEX('Equipment list'!$B$227:$B$256, (MATCH(C454,'Equipment list'!$D$227:$D$256,0)),1)</f>
        <v>#N/A</v>
      </c>
      <c r="E454" s="34" t="e">
        <f>INDEX('Equipment list'!$C$227:$C$256, (MATCH(C454,'Equipment list'!$D$227:$D$256,0)),1)</f>
        <v>#N/A</v>
      </c>
      <c r="F454" s="34">
        <f t="shared" ref="F454:F517" si="40">P454*4</f>
        <v>0</v>
      </c>
      <c r="G454" s="34">
        <f t="shared" ref="G454:G517" si="41">Q454*4</f>
        <v>0</v>
      </c>
      <c r="H454" s="34" t="e">
        <f t="shared" ref="H454:H517" si="42">(F454-D454)/D454*100</f>
        <v>#N/A</v>
      </c>
      <c r="I454" s="34" t="e">
        <f t="shared" ref="I454:I517" si="43">(G454-E454)/E454*100</f>
        <v>#N/A</v>
      </c>
      <c r="J454" s="45"/>
      <c r="K454" s="46"/>
      <c r="L454" s="49"/>
      <c r="M454" s="39"/>
      <c r="N454" s="39"/>
      <c r="O454" s="37">
        <f t="shared" ref="O454:O517" si="44">C454</f>
        <v>0</v>
      </c>
      <c r="P454" s="44"/>
      <c r="Q454" s="44"/>
    </row>
    <row r="455" spans="1:17" x14ac:dyDescent="0.4">
      <c r="A455" s="70"/>
      <c r="B455" s="46"/>
      <c r="C455" s="46"/>
      <c r="D455" s="34" t="e">
        <f>INDEX('Equipment list'!$B$227:$B$256, (MATCH(C455,'Equipment list'!$D$227:$D$256,0)),1)</f>
        <v>#N/A</v>
      </c>
      <c r="E455" s="34" t="e">
        <f>INDEX('Equipment list'!$C$227:$C$256, (MATCH(C455,'Equipment list'!$D$227:$D$256,0)),1)</f>
        <v>#N/A</v>
      </c>
      <c r="F455" s="34">
        <f t="shared" si="40"/>
        <v>0</v>
      </c>
      <c r="G455" s="34">
        <f t="shared" si="41"/>
        <v>0</v>
      </c>
      <c r="H455" s="34" t="e">
        <f t="shared" si="42"/>
        <v>#N/A</v>
      </c>
      <c r="I455" s="34" t="e">
        <f t="shared" si="43"/>
        <v>#N/A</v>
      </c>
      <c r="J455" s="45"/>
      <c r="K455" s="46"/>
      <c r="L455" s="49"/>
      <c r="M455" s="39"/>
      <c r="N455" s="39"/>
      <c r="O455" s="37">
        <f t="shared" si="44"/>
        <v>0</v>
      </c>
      <c r="P455" s="44"/>
      <c r="Q455" s="44"/>
    </row>
    <row r="456" spans="1:17" x14ac:dyDescent="0.4">
      <c r="A456" s="70"/>
      <c r="B456" s="46"/>
      <c r="C456" s="46"/>
      <c r="D456" s="34" t="e">
        <f>INDEX('Equipment list'!$B$227:$B$256, (MATCH(C456,'Equipment list'!$D$227:$D$256,0)),1)</f>
        <v>#N/A</v>
      </c>
      <c r="E456" s="34" t="e">
        <f>INDEX('Equipment list'!$C$227:$C$256, (MATCH(C456,'Equipment list'!$D$227:$D$256,0)),1)</f>
        <v>#N/A</v>
      </c>
      <c r="F456" s="34">
        <f t="shared" si="40"/>
        <v>0</v>
      </c>
      <c r="G456" s="34">
        <f t="shared" si="41"/>
        <v>0</v>
      </c>
      <c r="H456" s="34" t="e">
        <f t="shared" si="42"/>
        <v>#N/A</v>
      </c>
      <c r="I456" s="34" t="e">
        <f t="shared" si="43"/>
        <v>#N/A</v>
      </c>
      <c r="J456" s="45"/>
      <c r="K456" s="46"/>
      <c r="L456" s="49"/>
      <c r="M456" s="39"/>
      <c r="N456" s="39"/>
      <c r="O456" s="37">
        <f t="shared" si="44"/>
        <v>0</v>
      </c>
      <c r="P456" s="44"/>
      <c r="Q456" s="44"/>
    </row>
    <row r="457" spans="1:17" x14ac:dyDescent="0.4">
      <c r="A457" s="70"/>
      <c r="B457" s="46"/>
      <c r="C457" s="46"/>
      <c r="D457" s="34" t="e">
        <f>INDEX('Equipment list'!$B$227:$B$256, (MATCH(C457,'Equipment list'!$D$227:$D$256,0)),1)</f>
        <v>#N/A</v>
      </c>
      <c r="E457" s="34" t="e">
        <f>INDEX('Equipment list'!$C$227:$C$256, (MATCH(C457,'Equipment list'!$D$227:$D$256,0)),1)</f>
        <v>#N/A</v>
      </c>
      <c r="F457" s="34">
        <f t="shared" si="40"/>
        <v>0</v>
      </c>
      <c r="G457" s="34">
        <f t="shared" si="41"/>
        <v>0</v>
      </c>
      <c r="H457" s="34" t="e">
        <f t="shared" si="42"/>
        <v>#N/A</v>
      </c>
      <c r="I457" s="34" t="e">
        <f t="shared" si="43"/>
        <v>#N/A</v>
      </c>
      <c r="J457" s="45"/>
      <c r="K457" s="46"/>
      <c r="L457" s="49"/>
      <c r="M457" s="39"/>
      <c r="N457" s="39"/>
      <c r="O457" s="37">
        <f t="shared" si="44"/>
        <v>0</v>
      </c>
      <c r="P457" s="44"/>
      <c r="Q457" s="44"/>
    </row>
    <row r="458" spans="1:17" x14ac:dyDescent="0.4">
      <c r="A458" s="70"/>
      <c r="B458" s="46"/>
      <c r="C458" s="46"/>
      <c r="D458" s="34" t="e">
        <f>INDEX('Equipment list'!$B$227:$B$256, (MATCH(C458,'Equipment list'!$D$227:$D$256,0)),1)</f>
        <v>#N/A</v>
      </c>
      <c r="E458" s="34" t="e">
        <f>INDEX('Equipment list'!$C$227:$C$256, (MATCH(C458,'Equipment list'!$D$227:$D$256,0)),1)</f>
        <v>#N/A</v>
      </c>
      <c r="F458" s="34">
        <f t="shared" si="40"/>
        <v>0</v>
      </c>
      <c r="G458" s="34">
        <f t="shared" si="41"/>
        <v>0</v>
      </c>
      <c r="H458" s="34" t="e">
        <f t="shared" si="42"/>
        <v>#N/A</v>
      </c>
      <c r="I458" s="34" t="e">
        <f t="shared" si="43"/>
        <v>#N/A</v>
      </c>
      <c r="J458" s="45"/>
      <c r="K458" s="46"/>
      <c r="L458" s="49"/>
      <c r="M458" s="39"/>
      <c r="N458" s="39"/>
      <c r="O458" s="37">
        <f t="shared" si="44"/>
        <v>0</v>
      </c>
      <c r="P458" s="44"/>
      <c r="Q458" s="44"/>
    </row>
    <row r="459" spans="1:17" x14ac:dyDescent="0.4">
      <c r="A459" s="70"/>
      <c r="B459" s="46"/>
      <c r="C459" s="46"/>
      <c r="D459" s="34" t="e">
        <f>INDEX('Equipment list'!$B$227:$B$256, (MATCH(C459,'Equipment list'!$D$227:$D$256,0)),1)</f>
        <v>#N/A</v>
      </c>
      <c r="E459" s="34" t="e">
        <f>INDEX('Equipment list'!$C$227:$C$256, (MATCH(C459,'Equipment list'!$D$227:$D$256,0)),1)</f>
        <v>#N/A</v>
      </c>
      <c r="F459" s="34">
        <f t="shared" si="40"/>
        <v>0</v>
      </c>
      <c r="G459" s="34">
        <f t="shared" si="41"/>
        <v>0</v>
      </c>
      <c r="H459" s="34" t="e">
        <f t="shared" si="42"/>
        <v>#N/A</v>
      </c>
      <c r="I459" s="34" t="e">
        <f t="shared" si="43"/>
        <v>#N/A</v>
      </c>
      <c r="J459" s="45"/>
      <c r="K459" s="46"/>
      <c r="L459" s="49"/>
      <c r="M459" s="39"/>
      <c r="N459" s="39"/>
      <c r="O459" s="37">
        <f t="shared" si="44"/>
        <v>0</v>
      </c>
      <c r="P459" s="44"/>
      <c r="Q459" s="44"/>
    </row>
    <row r="460" spans="1:17" x14ac:dyDescent="0.4">
      <c r="A460" s="70"/>
      <c r="B460" s="46"/>
      <c r="C460" s="46"/>
      <c r="D460" s="34" t="e">
        <f>INDEX('Equipment list'!$B$227:$B$256, (MATCH(C460,'Equipment list'!$D$227:$D$256,0)),1)</f>
        <v>#N/A</v>
      </c>
      <c r="E460" s="34" t="e">
        <f>INDEX('Equipment list'!$C$227:$C$256, (MATCH(C460,'Equipment list'!$D$227:$D$256,0)),1)</f>
        <v>#N/A</v>
      </c>
      <c r="F460" s="34">
        <f t="shared" si="40"/>
        <v>0</v>
      </c>
      <c r="G460" s="34">
        <f t="shared" si="41"/>
        <v>0</v>
      </c>
      <c r="H460" s="34" t="e">
        <f t="shared" si="42"/>
        <v>#N/A</v>
      </c>
      <c r="I460" s="34" t="e">
        <f t="shared" si="43"/>
        <v>#N/A</v>
      </c>
      <c r="J460" s="45"/>
      <c r="K460" s="46"/>
      <c r="L460" s="49"/>
      <c r="M460" s="39"/>
      <c r="N460" s="39"/>
      <c r="O460" s="37">
        <f t="shared" si="44"/>
        <v>0</v>
      </c>
      <c r="P460" s="44"/>
      <c r="Q460" s="44"/>
    </row>
    <row r="461" spans="1:17" x14ac:dyDescent="0.4">
      <c r="A461" s="70"/>
      <c r="B461" s="46"/>
      <c r="C461" s="46"/>
      <c r="D461" s="34" t="e">
        <f>INDEX('Equipment list'!$B$227:$B$256, (MATCH(C461,'Equipment list'!$D$227:$D$256,0)),1)</f>
        <v>#N/A</v>
      </c>
      <c r="E461" s="34" t="e">
        <f>INDEX('Equipment list'!$C$227:$C$256, (MATCH(C461,'Equipment list'!$D$227:$D$256,0)),1)</f>
        <v>#N/A</v>
      </c>
      <c r="F461" s="34">
        <f t="shared" si="40"/>
        <v>0</v>
      </c>
      <c r="G461" s="34">
        <f t="shared" si="41"/>
        <v>0</v>
      </c>
      <c r="H461" s="34" t="e">
        <f t="shared" si="42"/>
        <v>#N/A</v>
      </c>
      <c r="I461" s="34" t="e">
        <f t="shared" si="43"/>
        <v>#N/A</v>
      </c>
      <c r="J461" s="45"/>
      <c r="K461" s="46"/>
      <c r="L461" s="49"/>
      <c r="M461" s="39"/>
      <c r="N461" s="39"/>
      <c r="O461" s="37">
        <f t="shared" si="44"/>
        <v>0</v>
      </c>
      <c r="P461" s="44"/>
      <c r="Q461" s="44"/>
    </row>
    <row r="462" spans="1:17" x14ac:dyDescent="0.4">
      <c r="A462" s="70"/>
      <c r="B462" s="46"/>
      <c r="C462" s="46"/>
      <c r="D462" s="34" t="e">
        <f>INDEX('Equipment list'!$B$227:$B$256, (MATCH(C462,'Equipment list'!$D$227:$D$256,0)),1)</f>
        <v>#N/A</v>
      </c>
      <c r="E462" s="34" t="e">
        <f>INDEX('Equipment list'!$C$227:$C$256, (MATCH(C462,'Equipment list'!$D$227:$D$256,0)),1)</f>
        <v>#N/A</v>
      </c>
      <c r="F462" s="34">
        <f t="shared" si="40"/>
        <v>0</v>
      </c>
      <c r="G462" s="34">
        <f t="shared" si="41"/>
        <v>0</v>
      </c>
      <c r="H462" s="34" t="e">
        <f t="shared" si="42"/>
        <v>#N/A</v>
      </c>
      <c r="I462" s="34" t="e">
        <f t="shared" si="43"/>
        <v>#N/A</v>
      </c>
      <c r="J462" s="45"/>
      <c r="K462" s="46"/>
      <c r="L462" s="49"/>
      <c r="M462" s="39"/>
      <c r="N462" s="39"/>
      <c r="O462" s="37">
        <f t="shared" si="44"/>
        <v>0</v>
      </c>
      <c r="P462" s="44"/>
      <c r="Q462" s="44"/>
    </row>
    <row r="463" spans="1:17" x14ac:dyDescent="0.4">
      <c r="A463" s="70"/>
      <c r="B463" s="46"/>
      <c r="C463" s="46"/>
      <c r="D463" s="34" t="e">
        <f>INDEX('Equipment list'!$B$227:$B$256, (MATCH(C463,'Equipment list'!$D$227:$D$256,0)),1)</f>
        <v>#N/A</v>
      </c>
      <c r="E463" s="34" t="e">
        <f>INDEX('Equipment list'!$C$227:$C$256, (MATCH(C463,'Equipment list'!$D$227:$D$256,0)),1)</f>
        <v>#N/A</v>
      </c>
      <c r="F463" s="34">
        <f t="shared" si="40"/>
        <v>0</v>
      </c>
      <c r="G463" s="34">
        <f t="shared" si="41"/>
        <v>0</v>
      </c>
      <c r="H463" s="34" t="e">
        <f t="shared" si="42"/>
        <v>#N/A</v>
      </c>
      <c r="I463" s="34" t="e">
        <f t="shared" si="43"/>
        <v>#N/A</v>
      </c>
      <c r="J463" s="45"/>
      <c r="K463" s="46"/>
      <c r="L463" s="49"/>
      <c r="M463" s="39"/>
      <c r="N463" s="39"/>
      <c r="O463" s="37">
        <f t="shared" si="44"/>
        <v>0</v>
      </c>
      <c r="P463" s="44"/>
      <c r="Q463" s="44"/>
    </row>
    <row r="464" spans="1:17" x14ac:dyDescent="0.4">
      <c r="A464" s="70"/>
      <c r="B464" s="46"/>
      <c r="C464" s="46"/>
      <c r="D464" s="34" t="e">
        <f>INDEX('Equipment list'!$B$227:$B$256, (MATCH(C464,'Equipment list'!$D$227:$D$256,0)),1)</f>
        <v>#N/A</v>
      </c>
      <c r="E464" s="34" t="e">
        <f>INDEX('Equipment list'!$C$227:$C$256, (MATCH(C464,'Equipment list'!$D$227:$D$256,0)),1)</f>
        <v>#N/A</v>
      </c>
      <c r="F464" s="34">
        <f t="shared" si="40"/>
        <v>0</v>
      </c>
      <c r="G464" s="34">
        <f t="shared" si="41"/>
        <v>0</v>
      </c>
      <c r="H464" s="34" t="e">
        <f t="shared" si="42"/>
        <v>#N/A</v>
      </c>
      <c r="I464" s="34" t="e">
        <f t="shared" si="43"/>
        <v>#N/A</v>
      </c>
      <c r="J464" s="45"/>
      <c r="K464" s="46"/>
      <c r="L464" s="49"/>
      <c r="M464" s="39"/>
      <c r="N464" s="39"/>
      <c r="O464" s="37">
        <f t="shared" si="44"/>
        <v>0</v>
      </c>
      <c r="P464" s="44"/>
      <c r="Q464" s="44"/>
    </row>
    <row r="465" spans="1:17" x14ac:dyDescent="0.4">
      <c r="A465" s="70"/>
      <c r="B465" s="46"/>
      <c r="C465" s="46"/>
      <c r="D465" s="34" t="e">
        <f>INDEX('Equipment list'!$B$227:$B$256, (MATCH(C465,'Equipment list'!$D$227:$D$256,0)),1)</f>
        <v>#N/A</v>
      </c>
      <c r="E465" s="34" t="e">
        <f>INDEX('Equipment list'!$C$227:$C$256, (MATCH(C465,'Equipment list'!$D$227:$D$256,0)),1)</f>
        <v>#N/A</v>
      </c>
      <c r="F465" s="34">
        <f t="shared" si="40"/>
        <v>0</v>
      </c>
      <c r="G465" s="34">
        <f t="shared" si="41"/>
        <v>0</v>
      </c>
      <c r="H465" s="34" t="e">
        <f t="shared" si="42"/>
        <v>#N/A</v>
      </c>
      <c r="I465" s="34" t="e">
        <f t="shared" si="43"/>
        <v>#N/A</v>
      </c>
      <c r="J465" s="45"/>
      <c r="K465" s="46"/>
      <c r="L465" s="49"/>
      <c r="M465" s="39"/>
      <c r="N465" s="39"/>
      <c r="O465" s="37">
        <f t="shared" si="44"/>
        <v>0</v>
      </c>
      <c r="P465" s="44"/>
      <c r="Q465" s="44"/>
    </row>
    <row r="466" spans="1:17" x14ac:dyDescent="0.4">
      <c r="A466" s="70"/>
      <c r="B466" s="46"/>
      <c r="C466" s="46"/>
      <c r="D466" s="34" t="e">
        <f>INDEX('Equipment list'!$B$227:$B$256, (MATCH(C466,'Equipment list'!$D$227:$D$256,0)),1)</f>
        <v>#N/A</v>
      </c>
      <c r="E466" s="34" t="e">
        <f>INDEX('Equipment list'!$C$227:$C$256, (MATCH(C466,'Equipment list'!$D$227:$D$256,0)),1)</f>
        <v>#N/A</v>
      </c>
      <c r="F466" s="34">
        <f t="shared" si="40"/>
        <v>0</v>
      </c>
      <c r="G466" s="34">
        <f t="shared" si="41"/>
        <v>0</v>
      </c>
      <c r="H466" s="34" t="e">
        <f t="shared" si="42"/>
        <v>#N/A</v>
      </c>
      <c r="I466" s="34" t="e">
        <f t="shared" si="43"/>
        <v>#N/A</v>
      </c>
      <c r="J466" s="45"/>
      <c r="K466" s="46"/>
      <c r="L466" s="49"/>
      <c r="M466" s="39"/>
      <c r="N466" s="39"/>
      <c r="O466" s="37">
        <f t="shared" si="44"/>
        <v>0</v>
      </c>
      <c r="P466" s="44"/>
      <c r="Q466" s="44"/>
    </row>
    <row r="467" spans="1:17" x14ac:dyDescent="0.4">
      <c r="A467" s="70"/>
      <c r="B467" s="46"/>
      <c r="C467" s="46"/>
      <c r="D467" s="34" t="e">
        <f>INDEX('Equipment list'!$B$227:$B$256, (MATCH(C467,'Equipment list'!$D$227:$D$256,0)),1)</f>
        <v>#N/A</v>
      </c>
      <c r="E467" s="34" t="e">
        <f>INDEX('Equipment list'!$C$227:$C$256, (MATCH(C467,'Equipment list'!$D$227:$D$256,0)),1)</f>
        <v>#N/A</v>
      </c>
      <c r="F467" s="34">
        <f t="shared" si="40"/>
        <v>0</v>
      </c>
      <c r="G467" s="34">
        <f t="shared" si="41"/>
        <v>0</v>
      </c>
      <c r="H467" s="34" t="e">
        <f t="shared" si="42"/>
        <v>#N/A</v>
      </c>
      <c r="I467" s="34" t="e">
        <f t="shared" si="43"/>
        <v>#N/A</v>
      </c>
      <c r="J467" s="45"/>
      <c r="K467" s="46"/>
      <c r="L467" s="49"/>
      <c r="M467" s="39"/>
      <c r="N467" s="39"/>
      <c r="O467" s="37">
        <f t="shared" si="44"/>
        <v>0</v>
      </c>
      <c r="P467" s="44"/>
      <c r="Q467" s="44"/>
    </row>
    <row r="468" spans="1:17" x14ac:dyDescent="0.4">
      <c r="A468" s="70"/>
      <c r="B468" s="46"/>
      <c r="C468" s="46"/>
      <c r="D468" s="34" t="e">
        <f>INDEX('Equipment list'!$B$227:$B$256, (MATCH(C468,'Equipment list'!$D$227:$D$256,0)),1)</f>
        <v>#N/A</v>
      </c>
      <c r="E468" s="34" t="e">
        <f>INDEX('Equipment list'!$C$227:$C$256, (MATCH(C468,'Equipment list'!$D$227:$D$256,0)),1)</f>
        <v>#N/A</v>
      </c>
      <c r="F468" s="34">
        <f t="shared" si="40"/>
        <v>0</v>
      </c>
      <c r="G468" s="34">
        <f t="shared" si="41"/>
        <v>0</v>
      </c>
      <c r="H468" s="34" t="e">
        <f t="shared" si="42"/>
        <v>#N/A</v>
      </c>
      <c r="I468" s="34" t="e">
        <f t="shared" si="43"/>
        <v>#N/A</v>
      </c>
      <c r="J468" s="45"/>
      <c r="K468" s="46"/>
      <c r="L468" s="49"/>
      <c r="M468" s="39"/>
      <c r="N468" s="39"/>
      <c r="O468" s="37">
        <f t="shared" si="44"/>
        <v>0</v>
      </c>
      <c r="P468" s="44"/>
      <c r="Q468" s="44"/>
    </row>
    <row r="469" spans="1:17" x14ac:dyDescent="0.4">
      <c r="A469" s="70"/>
      <c r="B469" s="46"/>
      <c r="C469" s="46"/>
      <c r="D469" s="34" t="e">
        <f>INDEX('Equipment list'!$B$227:$B$256, (MATCH(C469,'Equipment list'!$D$227:$D$256,0)),1)</f>
        <v>#N/A</v>
      </c>
      <c r="E469" s="34" t="e">
        <f>INDEX('Equipment list'!$C$227:$C$256, (MATCH(C469,'Equipment list'!$D$227:$D$256,0)),1)</f>
        <v>#N/A</v>
      </c>
      <c r="F469" s="34">
        <f t="shared" si="40"/>
        <v>0</v>
      </c>
      <c r="G469" s="34">
        <f t="shared" si="41"/>
        <v>0</v>
      </c>
      <c r="H469" s="34" t="e">
        <f t="shared" si="42"/>
        <v>#N/A</v>
      </c>
      <c r="I469" s="34" t="e">
        <f t="shared" si="43"/>
        <v>#N/A</v>
      </c>
      <c r="J469" s="45"/>
      <c r="K469" s="46"/>
      <c r="L469" s="49"/>
      <c r="M469" s="39"/>
      <c r="N469" s="39"/>
      <c r="O469" s="37">
        <f t="shared" si="44"/>
        <v>0</v>
      </c>
      <c r="P469" s="44"/>
      <c r="Q469" s="44"/>
    </row>
    <row r="470" spans="1:17" x14ac:dyDescent="0.4">
      <c r="A470" s="70"/>
      <c r="B470" s="46"/>
      <c r="C470" s="46"/>
      <c r="D470" s="34" t="e">
        <f>INDEX('Equipment list'!$B$227:$B$256, (MATCH(C470,'Equipment list'!$D$227:$D$256,0)),1)</f>
        <v>#N/A</v>
      </c>
      <c r="E470" s="34" t="e">
        <f>INDEX('Equipment list'!$C$227:$C$256, (MATCH(C470,'Equipment list'!$D$227:$D$256,0)),1)</f>
        <v>#N/A</v>
      </c>
      <c r="F470" s="34">
        <f t="shared" si="40"/>
        <v>0</v>
      </c>
      <c r="G470" s="34">
        <f t="shared" si="41"/>
        <v>0</v>
      </c>
      <c r="H470" s="34" t="e">
        <f t="shared" si="42"/>
        <v>#N/A</v>
      </c>
      <c r="I470" s="34" t="e">
        <f t="shared" si="43"/>
        <v>#N/A</v>
      </c>
      <c r="J470" s="45"/>
      <c r="K470" s="46"/>
      <c r="L470" s="49"/>
      <c r="M470" s="39"/>
      <c r="N470" s="39"/>
      <c r="O470" s="37">
        <f t="shared" si="44"/>
        <v>0</v>
      </c>
      <c r="P470" s="44"/>
      <c r="Q470" s="44"/>
    </row>
    <row r="471" spans="1:17" x14ac:dyDescent="0.4">
      <c r="A471" s="70"/>
      <c r="B471" s="46"/>
      <c r="C471" s="46"/>
      <c r="D471" s="34" t="e">
        <f>INDEX('Equipment list'!$B$227:$B$256, (MATCH(C471,'Equipment list'!$D$227:$D$256,0)),1)</f>
        <v>#N/A</v>
      </c>
      <c r="E471" s="34" t="e">
        <f>INDEX('Equipment list'!$C$227:$C$256, (MATCH(C471,'Equipment list'!$D$227:$D$256,0)),1)</f>
        <v>#N/A</v>
      </c>
      <c r="F471" s="34">
        <f t="shared" si="40"/>
        <v>0</v>
      </c>
      <c r="G471" s="34">
        <f t="shared" si="41"/>
        <v>0</v>
      </c>
      <c r="H471" s="34" t="e">
        <f t="shared" si="42"/>
        <v>#N/A</v>
      </c>
      <c r="I471" s="34" t="e">
        <f t="shared" si="43"/>
        <v>#N/A</v>
      </c>
      <c r="J471" s="45"/>
      <c r="K471" s="46"/>
      <c r="L471" s="49"/>
      <c r="M471" s="39"/>
      <c r="N471" s="39"/>
      <c r="O471" s="37">
        <f t="shared" si="44"/>
        <v>0</v>
      </c>
      <c r="P471" s="44"/>
      <c r="Q471" s="44"/>
    </row>
    <row r="472" spans="1:17" x14ac:dyDescent="0.4">
      <c r="A472" s="70"/>
      <c r="B472" s="46"/>
      <c r="C472" s="46"/>
      <c r="D472" s="34" t="e">
        <f>INDEX('Equipment list'!$B$227:$B$256, (MATCH(C472,'Equipment list'!$D$227:$D$256,0)),1)</f>
        <v>#N/A</v>
      </c>
      <c r="E472" s="34" t="e">
        <f>INDEX('Equipment list'!$C$227:$C$256, (MATCH(C472,'Equipment list'!$D$227:$D$256,0)),1)</f>
        <v>#N/A</v>
      </c>
      <c r="F472" s="34">
        <f t="shared" si="40"/>
        <v>0</v>
      </c>
      <c r="G472" s="34">
        <f t="shared" si="41"/>
        <v>0</v>
      </c>
      <c r="H472" s="34" t="e">
        <f t="shared" si="42"/>
        <v>#N/A</v>
      </c>
      <c r="I472" s="34" t="e">
        <f t="shared" si="43"/>
        <v>#N/A</v>
      </c>
      <c r="J472" s="45"/>
      <c r="K472" s="46"/>
      <c r="L472" s="49"/>
      <c r="M472" s="39"/>
      <c r="N472" s="39"/>
      <c r="O472" s="37">
        <f t="shared" si="44"/>
        <v>0</v>
      </c>
      <c r="P472" s="44"/>
      <c r="Q472" s="44"/>
    </row>
    <row r="473" spans="1:17" x14ac:dyDescent="0.4">
      <c r="A473" s="70"/>
      <c r="B473" s="46"/>
      <c r="C473" s="46"/>
      <c r="D473" s="34" t="e">
        <f>INDEX('Equipment list'!$B$227:$B$256, (MATCH(C473,'Equipment list'!$D$227:$D$256,0)),1)</f>
        <v>#N/A</v>
      </c>
      <c r="E473" s="34" t="e">
        <f>INDEX('Equipment list'!$C$227:$C$256, (MATCH(C473,'Equipment list'!$D$227:$D$256,0)),1)</f>
        <v>#N/A</v>
      </c>
      <c r="F473" s="34">
        <f t="shared" si="40"/>
        <v>0</v>
      </c>
      <c r="G473" s="34">
        <f t="shared" si="41"/>
        <v>0</v>
      </c>
      <c r="H473" s="34" t="e">
        <f t="shared" si="42"/>
        <v>#N/A</v>
      </c>
      <c r="I473" s="34" t="e">
        <f t="shared" si="43"/>
        <v>#N/A</v>
      </c>
      <c r="J473" s="45"/>
      <c r="K473" s="46"/>
      <c r="L473" s="49"/>
      <c r="M473" s="39"/>
      <c r="N473" s="39"/>
      <c r="O473" s="37">
        <f t="shared" si="44"/>
        <v>0</v>
      </c>
      <c r="P473" s="44"/>
      <c r="Q473" s="44"/>
    </row>
    <row r="474" spans="1:17" x14ac:dyDescent="0.4">
      <c r="A474" s="70"/>
      <c r="B474" s="46"/>
      <c r="C474" s="46"/>
      <c r="D474" s="34" t="e">
        <f>INDEX('Equipment list'!$B$227:$B$256, (MATCH(C474,'Equipment list'!$D$227:$D$256,0)),1)</f>
        <v>#N/A</v>
      </c>
      <c r="E474" s="34" t="e">
        <f>INDEX('Equipment list'!$C$227:$C$256, (MATCH(C474,'Equipment list'!$D$227:$D$256,0)),1)</f>
        <v>#N/A</v>
      </c>
      <c r="F474" s="34">
        <f t="shared" si="40"/>
        <v>0</v>
      </c>
      <c r="G474" s="34">
        <f t="shared" si="41"/>
        <v>0</v>
      </c>
      <c r="H474" s="34" t="e">
        <f t="shared" si="42"/>
        <v>#N/A</v>
      </c>
      <c r="I474" s="34" t="e">
        <f t="shared" si="43"/>
        <v>#N/A</v>
      </c>
      <c r="J474" s="45"/>
      <c r="K474" s="46"/>
      <c r="L474" s="49"/>
      <c r="M474" s="39"/>
      <c r="N474" s="39"/>
      <c r="O474" s="37">
        <f t="shared" si="44"/>
        <v>0</v>
      </c>
      <c r="P474" s="44"/>
      <c r="Q474" s="44"/>
    </row>
    <row r="475" spans="1:17" x14ac:dyDescent="0.4">
      <c r="A475" s="70"/>
      <c r="B475" s="46"/>
      <c r="C475" s="46"/>
      <c r="D475" s="34" t="e">
        <f>INDEX('Equipment list'!$B$227:$B$256, (MATCH(C475,'Equipment list'!$D$227:$D$256,0)),1)</f>
        <v>#N/A</v>
      </c>
      <c r="E475" s="34" t="e">
        <f>INDEX('Equipment list'!$C$227:$C$256, (MATCH(C475,'Equipment list'!$D$227:$D$256,0)),1)</f>
        <v>#N/A</v>
      </c>
      <c r="F475" s="34">
        <f t="shared" si="40"/>
        <v>0</v>
      </c>
      <c r="G475" s="34">
        <f t="shared" si="41"/>
        <v>0</v>
      </c>
      <c r="H475" s="34" t="e">
        <f t="shared" si="42"/>
        <v>#N/A</v>
      </c>
      <c r="I475" s="34" t="e">
        <f t="shared" si="43"/>
        <v>#N/A</v>
      </c>
      <c r="J475" s="45"/>
      <c r="K475" s="46"/>
      <c r="L475" s="49"/>
      <c r="M475" s="39"/>
      <c r="N475" s="39"/>
      <c r="O475" s="37">
        <f t="shared" si="44"/>
        <v>0</v>
      </c>
      <c r="P475" s="44"/>
      <c r="Q475" s="44"/>
    </row>
    <row r="476" spans="1:17" x14ac:dyDescent="0.4">
      <c r="A476" s="70"/>
      <c r="B476" s="46"/>
      <c r="C476" s="46"/>
      <c r="D476" s="34" t="e">
        <f>INDEX('Equipment list'!$B$227:$B$256, (MATCH(C476,'Equipment list'!$D$227:$D$256,0)),1)</f>
        <v>#N/A</v>
      </c>
      <c r="E476" s="34" t="e">
        <f>INDEX('Equipment list'!$C$227:$C$256, (MATCH(C476,'Equipment list'!$D$227:$D$256,0)),1)</f>
        <v>#N/A</v>
      </c>
      <c r="F476" s="34">
        <f t="shared" si="40"/>
        <v>0</v>
      </c>
      <c r="G476" s="34">
        <f t="shared" si="41"/>
        <v>0</v>
      </c>
      <c r="H476" s="34" t="e">
        <f t="shared" si="42"/>
        <v>#N/A</v>
      </c>
      <c r="I476" s="34" t="e">
        <f t="shared" si="43"/>
        <v>#N/A</v>
      </c>
      <c r="J476" s="45"/>
      <c r="K476" s="46"/>
      <c r="L476" s="49"/>
      <c r="M476" s="39"/>
      <c r="N476" s="39"/>
      <c r="O476" s="37">
        <f t="shared" si="44"/>
        <v>0</v>
      </c>
      <c r="P476" s="44"/>
      <c r="Q476" s="44"/>
    </row>
    <row r="477" spans="1:17" x14ac:dyDescent="0.4">
      <c r="A477" s="70"/>
      <c r="B477" s="46"/>
      <c r="C477" s="46"/>
      <c r="D477" s="34" t="e">
        <f>INDEX('Equipment list'!$B$227:$B$256, (MATCH(C477,'Equipment list'!$D$227:$D$256,0)),1)</f>
        <v>#N/A</v>
      </c>
      <c r="E477" s="34" t="e">
        <f>INDEX('Equipment list'!$C$227:$C$256, (MATCH(C477,'Equipment list'!$D$227:$D$256,0)),1)</f>
        <v>#N/A</v>
      </c>
      <c r="F477" s="34">
        <f t="shared" si="40"/>
        <v>0</v>
      </c>
      <c r="G477" s="34">
        <f t="shared" si="41"/>
        <v>0</v>
      </c>
      <c r="H477" s="34" t="e">
        <f t="shared" si="42"/>
        <v>#N/A</v>
      </c>
      <c r="I477" s="34" t="e">
        <f t="shared" si="43"/>
        <v>#N/A</v>
      </c>
      <c r="J477" s="45"/>
      <c r="K477" s="46"/>
      <c r="L477" s="49"/>
      <c r="M477" s="39"/>
      <c r="N477" s="39"/>
      <c r="O477" s="37">
        <f t="shared" si="44"/>
        <v>0</v>
      </c>
      <c r="P477" s="44"/>
      <c r="Q477" s="44"/>
    </row>
    <row r="478" spans="1:17" x14ac:dyDescent="0.4">
      <c r="A478" s="70"/>
      <c r="B478" s="46"/>
      <c r="C478" s="46"/>
      <c r="D478" s="34" t="e">
        <f>INDEX('Equipment list'!$B$227:$B$256, (MATCH(C478,'Equipment list'!$D$227:$D$256,0)),1)</f>
        <v>#N/A</v>
      </c>
      <c r="E478" s="34" t="e">
        <f>INDEX('Equipment list'!$C$227:$C$256, (MATCH(C478,'Equipment list'!$D$227:$D$256,0)),1)</f>
        <v>#N/A</v>
      </c>
      <c r="F478" s="34">
        <f t="shared" si="40"/>
        <v>0</v>
      </c>
      <c r="G478" s="34">
        <f t="shared" si="41"/>
        <v>0</v>
      </c>
      <c r="H478" s="34" t="e">
        <f t="shared" si="42"/>
        <v>#N/A</v>
      </c>
      <c r="I478" s="34" t="e">
        <f t="shared" si="43"/>
        <v>#N/A</v>
      </c>
      <c r="J478" s="45"/>
      <c r="K478" s="46"/>
      <c r="L478" s="49"/>
      <c r="M478" s="39"/>
      <c r="N478" s="39"/>
      <c r="O478" s="37">
        <f t="shared" si="44"/>
        <v>0</v>
      </c>
      <c r="P478" s="44"/>
      <c r="Q478" s="44"/>
    </row>
    <row r="479" spans="1:17" x14ac:dyDescent="0.4">
      <c r="A479" s="70"/>
      <c r="B479" s="46"/>
      <c r="C479" s="46"/>
      <c r="D479" s="34" t="e">
        <f>INDEX('Equipment list'!$B$227:$B$256, (MATCH(C479,'Equipment list'!$D$227:$D$256,0)),1)</f>
        <v>#N/A</v>
      </c>
      <c r="E479" s="34" t="e">
        <f>INDEX('Equipment list'!$C$227:$C$256, (MATCH(C479,'Equipment list'!$D$227:$D$256,0)),1)</f>
        <v>#N/A</v>
      </c>
      <c r="F479" s="34">
        <f t="shared" si="40"/>
        <v>0</v>
      </c>
      <c r="G479" s="34">
        <f t="shared" si="41"/>
        <v>0</v>
      </c>
      <c r="H479" s="34" t="e">
        <f t="shared" si="42"/>
        <v>#N/A</v>
      </c>
      <c r="I479" s="34" t="e">
        <f t="shared" si="43"/>
        <v>#N/A</v>
      </c>
      <c r="J479" s="45"/>
      <c r="K479" s="46"/>
      <c r="L479" s="49"/>
      <c r="M479" s="39"/>
      <c r="N479" s="39"/>
      <c r="O479" s="37">
        <f t="shared" si="44"/>
        <v>0</v>
      </c>
      <c r="P479" s="44"/>
      <c r="Q479" s="44"/>
    </row>
    <row r="480" spans="1:17" x14ac:dyDescent="0.4">
      <c r="A480" s="70"/>
      <c r="B480" s="46"/>
      <c r="C480" s="46"/>
      <c r="D480" s="34" t="e">
        <f>INDEX('Equipment list'!$B$227:$B$256, (MATCH(C480,'Equipment list'!$D$227:$D$256,0)),1)</f>
        <v>#N/A</v>
      </c>
      <c r="E480" s="34" t="e">
        <f>INDEX('Equipment list'!$C$227:$C$256, (MATCH(C480,'Equipment list'!$D$227:$D$256,0)),1)</f>
        <v>#N/A</v>
      </c>
      <c r="F480" s="34">
        <f t="shared" si="40"/>
        <v>0</v>
      </c>
      <c r="G480" s="34">
        <f t="shared" si="41"/>
        <v>0</v>
      </c>
      <c r="H480" s="34" t="e">
        <f t="shared" si="42"/>
        <v>#N/A</v>
      </c>
      <c r="I480" s="34" t="e">
        <f t="shared" si="43"/>
        <v>#N/A</v>
      </c>
      <c r="J480" s="45"/>
      <c r="K480" s="46"/>
      <c r="L480" s="49"/>
      <c r="M480" s="39"/>
      <c r="N480" s="39"/>
      <c r="O480" s="37">
        <f t="shared" si="44"/>
        <v>0</v>
      </c>
      <c r="P480" s="44"/>
      <c r="Q480" s="44"/>
    </row>
    <row r="481" spans="1:17" x14ac:dyDescent="0.4">
      <c r="A481" s="70"/>
      <c r="B481" s="46"/>
      <c r="C481" s="46"/>
      <c r="D481" s="34" t="e">
        <f>INDEX('Equipment list'!$B$227:$B$256, (MATCH(C481,'Equipment list'!$D$227:$D$256,0)),1)</f>
        <v>#N/A</v>
      </c>
      <c r="E481" s="34" t="e">
        <f>INDEX('Equipment list'!$C$227:$C$256, (MATCH(C481,'Equipment list'!$D$227:$D$256,0)),1)</f>
        <v>#N/A</v>
      </c>
      <c r="F481" s="34">
        <f t="shared" si="40"/>
        <v>0</v>
      </c>
      <c r="G481" s="34">
        <f t="shared" si="41"/>
        <v>0</v>
      </c>
      <c r="H481" s="34" t="e">
        <f t="shared" si="42"/>
        <v>#N/A</v>
      </c>
      <c r="I481" s="34" t="e">
        <f t="shared" si="43"/>
        <v>#N/A</v>
      </c>
      <c r="J481" s="45"/>
      <c r="K481" s="46"/>
      <c r="L481" s="49"/>
      <c r="M481" s="39"/>
      <c r="N481" s="39"/>
      <c r="O481" s="37">
        <f t="shared" si="44"/>
        <v>0</v>
      </c>
      <c r="P481" s="44"/>
      <c r="Q481" s="44"/>
    </row>
    <row r="482" spans="1:17" x14ac:dyDescent="0.4">
      <c r="A482" s="70"/>
      <c r="B482" s="46"/>
      <c r="C482" s="46"/>
      <c r="D482" s="34" t="e">
        <f>INDEX('Equipment list'!$B$227:$B$256, (MATCH(C482,'Equipment list'!$D$227:$D$256,0)),1)</f>
        <v>#N/A</v>
      </c>
      <c r="E482" s="34" t="e">
        <f>INDEX('Equipment list'!$C$227:$C$256, (MATCH(C482,'Equipment list'!$D$227:$D$256,0)),1)</f>
        <v>#N/A</v>
      </c>
      <c r="F482" s="34">
        <f t="shared" si="40"/>
        <v>0</v>
      </c>
      <c r="G482" s="34">
        <f t="shared" si="41"/>
        <v>0</v>
      </c>
      <c r="H482" s="34" t="e">
        <f t="shared" si="42"/>
        <v>#N/A</v>
      </c>
      <c r="I482" s="34" t="e">
        <f t="shared" si="43"/>
        <v>#N/A</v>
      </c>
      <c r="J482" s="45"/>
      <c r="K482" s="46"/>
      <c r="L482" s="49"/>
      <c r="M482" s="39"/>
      <c r="N482" s="39"/>
      <c r="O482" s="37">
        <f t="shared" si="44"/>
        <v>0</v>
      </c>
      <c r="P482" s="44"/>
      <c r="Q482" s="44"/>
    </row>
    <row r="483" spans="1:17" x14ac:dyDescent="0.4">
      <c r="A483" s="70"/>
      <c r="B483" s="46"/>
      <c r="C483" s="46"/>
      <c r="D483" s="34" t="e">
        <f>INDEX('Equipment list'!$B$227:$B$256, (MATCH(C483,'Equipment list'!$D$227:$D$256,0)),1)</f>
        <v>#N/A</v>
      </c>
      <c r="E483" s="34" t="e">
        <f>INDEX('Equipment list'!$C$227:$C$256, (MATCH(C483,'Equipment list'!$D$227:$D$256,0)),1)</f>
        <v>#N/A</v>
      </c>
      <c r="F483" s="34">
        <f t="shared" si="40"/>
        <v>0</v>
      </c>
      <c r="G483" s="34">
        <f t="shared" si="41"/>
        <v>0</v>
      </c>
      <c r="H483" s="34" t="e">
        <f t="shared" si="42"/>
        <v>#N/A</v>
      </c>
      <c r="I483" s="34" t="e">
        <f t="shared" si="43"/>
        <v>#N/A</v>
      </c>
      <c r="J483" s="45"/>
      <c r="K483" s="46"/>
      <c r="L483" s="49"/>
      <c r="M483" s="39"/>
      <c r="N483" s="39"/>
      <c r="O483" s="37">
        <f t="shared" si="44"/>
        <v>0</v>
      </c>
      <c r="P483" s="44"/>
      <c r="Q483" s="44"/>
    </row>
    <row r="484" spans="1:17" x14ac:dyDescent="0.4">
      <c r="A484" s="70"/>
      <c r="B484" s="46"/>
      <c r="C484" s="46"/>
      <c r="D484" s="34" t="e">
        <f>INDEX('Equipment list'!$B$227:$B$256, (MATCH(C484,'Equipment list'!$D$227:$D$256,0)),1)</f>
        <v>#N/A</v>
      </c>
      <c r="E484" s="34" t="e">
        <f>INDEX('Equipment list'!$C$227:$C$256, (MATCH(C484,'Equipment list'!$D$227:$D$256,0)),1)</f>
        <v>#N/A</v>
      </c>
      <c r="F484" s="34">
        <f t="shared" si="40"/>
        <v>0</v>
      </c>
      <c r="G484" s="34">
        <f t="shared" si="41"/>
        <v>0</v>
      </c>
      <c r="H484" s="34" t="e">
        <f t="shared" si="42"/>
        <v>#N/A</v>
      </c>
      <c r="I484" s="34" t="e">
        <f t="shared" si="43"/>
        <v>#N/A</v>
      </c>
      <c r="J484" s="45"/>
      <c r="K484" s="46"/>
      <c r="L484" s="49"/>
      <c r="M484" s="39"/>
      <c r="N484" s="39"/>
      <c r="O484" s="37">
        <f t="shared" si="44"/>
        <v>0</v>
      </c>
      <c r="P484" s="44"/>
      <c r="Q484" s="44"/>
    </row>
    <row r="485" spans="1:17" x14ac:dyDescent="0.4">
      <c r="A485" s="70"/>
      <c r="B485" s="46"/>
      <c r="C485" s="46"/>
      <c r="D485" s="34" t="e">
        <f>INDEX('Equipment list'!$B$227:$B$256, (MATCH(C485,'Equipment list'!$D$227:$D$256,0)),1)</f>
        <v>#N/A</v>
      </c>
      <c r="E485" s="34" t="e">
        <f>INDEX('Equipment list'!$C$227:$C$256, (MATCH(C485,'Equipment list'!$D$227:$D$256,0)),1)</f>
        <v>#N/A</v>
      </c>
      <c r="F485" s="34">
        <f t="shared" si="40"/>
        <v>0</v>
      </c>
      <c r="G485" s="34">
        <f t="shared" si="41"/>
        <v>0</v>
      </c>
      <c r="H485" s="34" t="e">
        <f t="shared" si="42"/>
        <v>#N/A</v>
      </c>
      <c r="I485" s="34" t="e">
        <f t="shared" si="43"/>
        <v>#N/A</v>
      </c>
      <c r="J485" s="45"/>
      <c r="K485" s="46"/>
      <c r="L485" s="49"/>
      <c r="M485" s="39"/>
      <c r="N485" s="39"/>
      <c r="O485" s="37">
        <f t="shared" si="44"/>
        <v>0</v>
      </c>
      <c r="P485" s="44"/>
      <c r="Q485" s="44"/>
    </row>
    <row r="486" spans="1:17" x14ac:dyDescent="0.4">
      <c r="A486" s="70"/>
      <c r="B486" s="46"/>
      <c r="C486" s="46"/>
      <c r="D486" s="34" t="e">
        <f>INDEX('Equipment list'!$B$227:$B$256, (MATCH(C486,'Equipment list'!$D$227:$D$256,0)),1)</f>
        <v>#N/A</v>
      </c>
      <c r="E486" s="34" t="e">
        <f>INDEX('Equipment list'!$C$227:$C$256, (MATCH(C486,'Equipment list'!$D$227:$D$256,0)),1)</f>
        <v>#N/A</v>
      </c>
      <c r="F486" s="34">
        <f t="shared" si="40"/>
        <v>0</v>
      </c>
      <c r="G486" s="34">
        <f t="shared" si="41"/>
        <v>0</v>
      </c>
      <c r="H486" s="34" t="e">
        <f t="shared" si="42"/>
        <v>#N/A</v>
      </c>
      <c r="I486" s="34" t="e">
        <f t="shared" si="43"/>
        <v>#N/A</v>
      </c>
      <c r="J486" s="45"/>
      <c r="K486" s="46"/>
      <c r="L486" s="49"/>
      <c r="M486" s="39"/>
      <c r="N486" s="39"/>
      <c r="O486" s="37">
        <f t="shared" si="44"/>
        <v>0</v>
      </c>
      <c r="P486" s="44"/>
      <c r="Q486" s="44"/>
    </row>
    <row r="487" spans="1:17" x14ac:dyDescent="0.4">
      <c r="A487" s="70"/>
      <c r="B487" s="46"/>
      <c r="C487" s="46"/>
      <c r="D487" s="34" t="e">
        <f>INDEX('Equipment list'!$B$227:$B$256, (MATCH(C487,'Equipment list'!$D$227:$D$256,0)),1)</f>
        <v>#N/A</v>
      </c>
      <c r="E487" s="34" t="e">
        <f>INDEX('Equipment list'!$C$227:$C$256, (MATCH(C487,'Equipment list'!$D$227:$D$256,0)),1)</f>
        <v>#N/A</v>
      </c>
      <c r="F487" s="34">
        <f t="shared" si="40"/>
        <v>0</v>
      </c>
      <c r="G487" s="34">
        <f t="shared" si="41"/>
        <v>0</v>
      </c>
      <c r="H487" s="34" t="e">
        <f t="shared" si="42"/>
        <v>#N/A</v>
      </c>
      <c r="I487" s="34" t="e">
        <f t="shared" si="43"/>
        <v>#N/A</v>
      </c>
      <c r="J487" s="45"/>
      <c r="K487" s="46"/>
      <c r="L487" s="49"/>
      <c r="M487" s="39"/>
      <c r="N487" s="39"/>
      <c r="O487" s="37">
        <f t="shared" si="44"/>
        <v>0</v>
      </c>
      <c r="P487" s="44"/>
      <c r="Q487" s="44"/>
    </row>
    <row r="488" spans="1:17" x14ac:dyDescent="0.4">
      <c r="A488" s="70"/>
      <c r="B488" s="46"/>
      <c r="C488" s="46"/>
      <c r="D488" s="34" t="e">
        <f>INDEX('Equipment list'!$B$227:$B$256, (MATCH(C488,'Equipment list'!$D$227:$D$256,0)),1)</f>
        <v>#N/A</v>
      </c>
      <c r="E488" s="34" t="e">
        <f>INDEX('Equipment list'!$C$227:$C$256, (MATCH(C488,'Equipment list'!$D$227:$D$256,0)),1)</f>
        <v>#N/A</v>
      </c>
      <c r="F488" s="34">
        <f t="shared" si="40"/>
        <v>0</v>
      </c>
      <c r="G488" s="34">
        <f t="shared" si="41"/>
        <v>0</v>
      </c>
      <c r="H488" s="34" t="e">
        <f t="shared" si="42"/>
        <v>#N/A</v>
      </c>
      <c r="I488" s="34" t="e">
        <f t="shared" si="43"/>
        <v>#N/A</v>
      </c>
      <c r="J488" s="45"/>
      <c r="K488" s="46"/>
      <c r="L488" s="49"/>
      <c r="M488" s="39"/>
      <c r="N488" s="39"/>
      <c r="O488" s="37">
        <f t="shared" si="44"/>
        <v>0</v>
      </c>
      <c r="P488" s="44"/>
      <c r="Q488" s="44"/>
    </row>
    <row r="489" spans="1:17" x14ac:dyDescent="0.4">
      <c r="A489" s="70"/>
      <c r="B489" s="46"/>
      <c r="C489" s="46"/>
      <c r="D489" s="34" t="e">
        <f>INDEX('Equipment list'!$B$227:$B$256, (MATCH(C489,'Equipment list'!$D$227:$D$256,0)),1)</f>
        <v>#N/A</v>
      </c>
      <c r="E489" s="34" t="e">
        <f>INDEX('Equipment list'!$C$227:$C$256, (MATCH(C489,'Equipment list'!$D$227:$D$256,0)),1)</f>
        <v>#N/A</v>
      </c>
      <c r="F489" s="34">
        <f t="shared" si="40"/>
        <v>0</v>
      </c>
      <c r="G489" s="34">
        <f t="shared" si="41"/>
        <v>0</v>
      </c>
      <c r="H489" s="34" t="e">
        <f t="shared" si="42"/>
        <v>#N/A</v>
      </c>
      <c r="I489" s="34" t="e">
        <f t="shared" si="43"/>
        <v>#N/A</v>
      </c>
      <c r="J489" s="45"/>
      <c r="K489" s="46"/>
      <c r="L489" s="49"/>
      <c r="M489" s="39"/>
      <c r="N489" s="39"/>
      <c r="O489" s="37">
        <f t="shared" si="44"/>
        <v>0</v>
      </c>
      <c r="P489" s="44"/>
      <c r="Q489" s="44"/>
    </row>
    <row r="490" spans="1:17" x14ac:dyDescent="0.4">
      <c r="A490" s="70"/>
      <c r="B490" s="46"/>
      <c r="C490" s="46"/>
      <c r="D490" s="34" t="e">
        <f>INDEX('Equipment list'!$B$227:$B$256, (MATCH(C490,'Equipment list'!$D$227:$D$256,0)),1)</f>
        <v>#N/A</v>
      </c>
      <c r="E490" s="34" t="e">
        <f>INDEX('Equipment list'!$C$227:$C$256, (MATCH(C490,'Equipment list'!$D$227:$D$256,0)),1)</f>
        <v>#N/A</v>
      </c>
      <c r="F490" s="34">
        <f t="shared" si="40"/>
        <v>0</v>
      </c>
      <c r="G490" s="34">
        <f t="shared" si="41"/>
        <v>0</v>
      </c>
      <c r="H490" s="34" t="e">
        <f t="shared" si="42"/>
        <v>#N/A</v>
      </c>
      <c r="I490" s="34" t="e">
        <f t="shared" si="43"/>
        <v>#N/A</v>
      </c>
      <c r="J490" s="45"/>
      <c r="K490" s="46"/>
      <c r="L490" s="49"/>
      <c r="M490" s="39"/>
      <c r="N490" s="39"/>
      <c r="O490" s="37">
        <f t="shared" si="44"/>
        <v>0</v>
      </c>
      <c r="P490" s="44"/>
      <c r="Q490" s="44"/>
    </row>
    <row r="491" spans="1:17" x14ac:dyDescent="0.4">
      <c r="A491" s="70"/>
      <c r="B491" s="46"/>
      <c r="C491" s="46"/>
      <c r="D491" s="34" t="e">
        <f>INDEX('Equipment list'!$B$227:$B$256, (MATCH(C491,'Equipment list'!$D$227:$D$256,0)),1)</f>
        <v>#N/A</v>
      </c>
      <c r="E491" s="34" t="e">
        <f>INDEX('Equipment list'!$C$227:$C$256, (MATCH(C491,'Equipment list'!$D$227:$D$256,0)),1)</f>
        <v>#N/A</v>
      </c>
      <c r="F491" s="34">
        <f t="shared" si="40"/>
        <v>0</v>
      </c>
      <c r="G491" s="34">
        <f t="shared" si="41"/>
        <v>0</v>
      </c>
      <c r="H491" s="34" t="e">
        <f t="shared" si="42"/>
        <v>#N/A</v>
      </c>
      <c r="I491" s="34" t="e">
        <f t="shared" si="43"/>
        <v>#N/A</v>
      </c>
      <c r="J491" s="45"/>
      <c r="K491" s="46"/>
      <c r="L491" s="49"/>
      <c r="M491" s="39"/>
      <c r="N491" s="39"/>
      <c r="O491" s="37">
        <f t="shared" si="44"/>
        <v>0</v>
      </c>
      <c r="P491" s="44"/>
      <c r="Q491" s="44"/>
    </row>
    <row r="492" spans="1:17" x14ac:dyDescent="0.4">
      <c r="A492" s="70"/>
      <c r="B492" s="46"/>
      <c r="C492" s="46"/>
      <c r="D492" s="34" t="e">
        <f>INDEX('Equipment list'!$B$227:$B$256, (MATCH(C492,'Equipment list'!$D$227:$D$256,0)),1)</f>
        <v>#N/A</v>
      </c>
      <c r="E492" s="34" t="e">
        <f>INDEX('Equipment list'!$C$227:$C$256, (MATCH(C492,'Equipment list'!$D$227:$D$256,0)),1)</f>
        <v>#N/A</v>
      </c>
      <c r="F492" s="34">
        <f t="shared" si="40"/>
        <v>0</v>
      </c>
      <c r="G492" s="34">
        <f t="shared" si="41"/>
        <v>0</v>
      </c>
      <c r="H492" s="34" t="e">
        <f t="shared" si="42"/>
        <v>#N/A</v>
      </c>
      <c r="I492" s="34" t="e">
        <f t="shared" si="43"/>
        <v>#N/A</v>
      </c>
      <c r="J492" s="45"/>
      <c r="K492" s="46"/>
      <c r="L492" s="49"/>
      <c r="M492" s="39"/>
      <c r="N492" s="39"/>
      <c r="O492" s="37">
        <f t="shared" si="44"/>
        <v>0</v>
      </c>
      <c r="P492" s="44"/>
      <c r="Q492" s="44"/>
    </row>
    <row r="493" spans="1:17" x14ac:dyDescent="0.4">
      <c r="A493" s="70"/>
      <c r="B493" s="46"/>
      <c r="C493" s="46"/>
      <c r="D493" s="34" t="e">
        <f>INDEX('Equipment list'!$B$227:$B$256, (MATCH(C493,'Equipment list'!$D$227:$D$256,0)),1)</f>
        <v>#N/A</v>
      </c>
      <c r="E493" s="34" t="e">
        <f>INDEX('Equipment list'!$C$227:$C$256, (MATCH(C493,'Equipment list'!$D$227:$D$256,0)),1)</f>
        <v>#N/A</v>
      </c>
      <c r="F493" s="34">
        <f t="shared" si="40"/>
        <v>0</v>
      </c>
      <c r="G493" s="34">
        <f t="shared" si="41"/>
        <v>0</v>
      </c>
      <c r="H493" s="34" t="e">
        <f t="shared" si="42"/>
        <v>#N/A</v>
      </c>
      <c r="I493" s="34" t="e">
        <f t="shared" si="43"/>
        <v>#N/A</v>
      </c>
      <c r="J493" s="45"/>
      <c r="K493" s="46"/>
      <c r="L493" s="49"/>
      <c r="M493" s="39"/>
      <c r="N493" s="39"/>
      <c r="O493" s="37">
        <f t="shared" si="44"/>
        <v>0</v>
      </c>
      <c r="P493" s="44"/>
      <c r="Q493" s="44"/>
    </row>
    <row r="494" spans="1:17" x14ac:dyDescent="0.4">
      <c r="A494" s="70"/>
      <c r="B494" s="46"/>
      <c r="C494" s="46"/>
      <c r="D494" s="34" t="e">
        <f>INDEX('Equipment list'!$B$227:$B$256, (MATCH(C494,'Equipment list'!$D$227:$D$256,0)),1)</f>
        <v>#N/A</v>
      </c>
      <c r="E494" s="34" t="e">
        <f>INDEX('Equipment list'!$C$227:$C$256, (MATCH(C494,'Equipment list'!$D$227:$D$256,0)),1)</f>
        <v>#N/A</v>
      </c>
      <c r="F494" s="34">
        <f t="shared" si="40"/>
        <v>0</v>
      </c>
      <c r="G494" s="34">
        <f t="shared" si="41"/>
        <v>0</v>
      </c>
      <c r="H494" s="34" t="e">
        <f t="shared" si="42"/>
        <v>#N/A</v>
      </c>
      <c r="I494" s="34" t="e">
        <f t="shared" si="43"/>
        <v>#N/A</v>
      </c>
      <c r="J494" s="45"/>
      <c r="K494" s="46"/>
      <c r="L494" s="49"/>
      <c r="M494" s="39"/>
      <c r="N494" s="39"/>
      <c r="O494" s="37">
        <f t="shared" si="44"/>
        <v>0</v>
      </c>
      <c r="P494" s="44"/>
      <c r="Q494" s="44"/>
    </row>
    <row r="495" spans="1:17" x14ac:dyDescent="0.4">
      <c r="A495" s="70"/>
      <c r="B495" s="46"/>
      <c r="C495" s="46"/>
      <c r="D495" s="34" t="e">
        <f>INDEX('Equipment list'!$B$227:$B$256, (MATCH(C495,'Equipment list'!$D$227:$D$256,0)),1)</f>
        <v>#N/A</v>
      </c>
      <c r="E495" s="34" t="e">
        <f>INDEX('Equipment list'!$C$227:$C$256, (MATCH(C495,'Equipment list'!$D$227:$D$256,0)),1)</f>
        <v>#N/A</v>
      </c>
      <c r="F495" s="34">
        <f t="shared" si="40"/>
        <v>0</v>
      </c>
      <c r="G495" s="34">
        <f t="shared" si="41"/>
        <v>0</v>
      </c>
      <c r="H495" s="34" t="e">
        <f t="shared" si="42"/>
        <v>#N/A</v>
      </c>
      <c r="I495" s="34" t="e">
        <f t="shared" si="43"/>
        <v>#N/A</v>
      </c>
      <c r="J495" s="45"/>
      <c r="K495" s="46"/>
      <c r="L495" s="49"/>
      <c r="M495" s="39"/>
      <c r="N495" s="39"/>
      <c r="O495" s="37">
        <f t="shared" si="44"/>
        <v>0</v>
      </c>
      <c r="P495" s="44"/>
      <c r="Q495" s="44"/>
    </row>
    <row r="496" spans="1:17" x14ac:dyDescent="0.4">
      <c r="A496" s="70"/>
      <c r="B496" s="46"/>
      <c r="C496" s="46"/>
      <c r="D496" s="34" t="e">
        <f>INDEX('Equipment list'!$B$227:$B$256, (MATCH(C496,'Equipment list'!$D$227:$D$256,0)),1)</f>
        <v>#N/A</v>
      </c>
      <c r="E496" s="34" t="e">
        <f>INDEX('Equipment list'!$C$227:$C$256, (MATCH(C496,'Equipment list'!$D$227:$D$256,0)),1)</f>
        <v>#N/A</v>
      </c>
      <c r="F496" s="34">
        <f t="shared" si="40"/>
        <v>0</v>
      </c>
      <c r="G496" s="34">
        <f t="shared" si="41"/>
        <v>0</v>
      </c>
      <c r="H496" s="34" t="e">
        <f t="shared" si="42"/>
        <v>#N/A</v>
      </c>
      <c r="I496" s="34" t="e">
        <f t="shared" si="43"/>
        <v>#N/A</v>
      </c>
      <c r="J496" s="45"/>
      <c r="K496" s="46"/>
      <c r="L496" s="49"/>
      <c r="M496" s="39"/>
      <c r="N496" s="39"/>
      <c r="O496" s="37">
        <f t="shared" si="44"/>
        <v>0</v>
      </c>
      <c r="P496" s="44"/>
      <c r="Q496" s="44"/>
    </row>
    <row r="497" spans="1:17" x14ac:dyDescent="0.4">
      <c r="A497" s="70"/>
      <c r="B497" s="46"/>
      <c r="C497" s="46"/>
      <c r="D497" s="34" t="e">
        <f>INDEX('Equipment list'!$B$227:$B$256, (MATCH(C497,'Equipment list'!$D$227:$D$256,0)),1)</f>
        <v>#N/A</v>
      </c>
      <c r="E497" s="34" t="e">
        <f>INDEX('Equipment list'!$C$227:$C$256, (MATCH(C497,'Equipment list'!$D$227:$D$256,0)),1)</f>
        <v>#N/A</v>
      </c>
      <c r="F497" s="34">
        <f t="shared" si="40"/>
        <v>0</v>
      </c>
      <c r="G497" s="34">
        <f t="shared" si="41"/>
        <v>0</v>
      </c>
      <c r="H497" s="34" t="e">
        <f t="shared" si="42"/>
        <v>#N/A</v>
      </c>
      <c r="I497" s="34" t="e">
        <f t="shared" si="43"/>
        <v>#N/A</v>
      </c>
      <c r="J497" s="45"/>
      <c r="K497" s="46"/>
      <c r="L497" s="49"/>
      <c r="M497" s="39"/>
      <c r="N497" s="39"/>
      <c r="O497" s="37">
        <f t="shared" si="44"/>
        <v>0</v>
      </c>
      <c r="P497" s="44"/>
      <c r="Q497" s="44"/>
    </row>
    <row r="498" spans="1:17" x14ac:dyDescent="0.4">
      <c r="A498" s="70"/>
      <c r="B498" s="46"/>
      <c r="C498" s="46"/>
      <c r="D498" s="34" t="e">
        <f>INDEX('Equipment list'!$B$227:$B$256, (MATCH(C498,'Equipment list'!$D$227:$D$256,0)),1)</f>
        <v>#N/A</v>
      </c>
      <c r="E498" s="34" t="e">
        <f>INDEX('Equipment list'!$C$227:$C$256, (MATCH(C498,'Equipment list'!$D$227:$D$256,0)),1)</f>
        <v>#N/A</v>
      </c>
      <c r="F498" s="34">
        <f t="shared" si="40"/>
        <v>0</v>
      </c>
      <c r="G498" s="34">
        <f t="shared" si="41"/>
        <v>0</v>
      </c>
      <c r="H498" s="34" t="e">
        <f t="shared" si="42"/>
        <v>#N/A</v>
      </c>
      <c r="I498" s="34" t="e">
        <f t="shared" si="43"/>
        <v>#N/A</v>
      </c>
      <c r="J498" s="45"/>
      <c r="K498" s="46"/>
      <c r="L498" s="49"/>
      <c r="M498" s="39"/>
      <c r="N498" s="39"/>
      <c r="O498" s="37">
        <f t="shared" si="44"/>
        <v>0</v>
      </c>
      <c r="P498" s="44"/>
      <c r="Q498" s="44"/>
    </row>
    <row r="499" spans="1:17" x14ac:dyDescent="0.4">
      <c r="A499" s="70"/>
      <c r="B499" s="46"/>
      <c r="C499" s="46"/>
      <c r="D499" s="34" t="e">
        <f>INDEX('Equipment list'!$B$227:$B$256, (MATCH(C499,'Equipment list'!$D$227:$D$256,0)),1)</f>
        <v>#N/A</v>
      </c>
      <c r="E499" s="34" t="e">
        <f>INDEX('Equipment list'!$C$227:$C$256, (MATCH(C499,'Equipment list'!$D$227:$D$256,0)),1)</f>
        <v>#N/A</v>
      </c>
      <c r="F499" s="34">
        <f t="shared" si="40"/>
        <v>0</v>
      </c>
      <c r="G499" s="34">
        <f t="shared" si="41"/>
        <v>0</v>
      </c>
      <c r="H499" s="34" t="e">
        <f t="shared" si="42"/>
        <v>#N/A</v>
      </c>
      <c r="I499" s="34" t="e">
        <f t="shared" si="43"/>
        <v>#N/A</v>
      </c>
      <c r="J499" s="45"/>
      <c r="K499" s="46"/>
      <c r="L499" s="49"/>
      <c r="M499" s="39"/>
      <c r="N499" s="39"/>
      <c r="O499" s="37">
        <f t="shared" si="44"/>
        <v>0</v>
      </c>
      <c r="P499" s="44"/>
      <c r="Q499" s="44"/>
    </row>
    <row r="500" spans="1:17" x14ac:dyDescent="0.4">
      <c r="A500" s="70"/>
      <c r="B500" s="46"/>
      <c r="C500" s="46"/>
      <c r="D500" s="34" t="e">
        <f>INDEX('Equipment list'!$B$227:$B$256, (MATCH(C500,'Equipment list'!$D$227:$D$256,0)),1)</f>
        <v>#N/A</v>
      </c>
      <c r="E500" s="34" t="e">
        <f>INDEX('Equipment list'!$C$227:$C$256, (MATCH(C500,'Equipment list'!$D$227:$D$256,0)),1)</f>
        <v>#N/A</v>
      </c>
      <c r="F500" s="34">
        <f t="shared" si="40"/>
        <v>0</v>
      </c>
      <c r="G500" s="34">
        <f t="shared" si="41"/>
        <v>0</v>
      </c>
      <c r="H500" s="34" t="e">
        <f t="shared" si="42"/>
        <v>#N/A</v>
      </c>
      <c r="I500" s="34" t="e">
        <f t="shared" si="43"/>
        <v>#N/A</v>
      </c>
      <c r="J500" s="45"/>
      <c r="K500" s="46"/>
      <c r="L500" s="49"/>
      <c r="M500" s="39"/>
      <c r="N500" s="39"/>
      <c r="O500" s="37">
        <f t="shared" si="44"/>
        <v>0</v>
      </c>
      <c r="P500" s="44"/>
      <c r="Q500" s="44"/>
    </row>
    <row r="501" spans="1:17" x14ac:dyDescent="0.4">
      <c r="A501" s="70"/>
      <c r="B501" s="46"/>
      <c r="C501" s="46"/>
      <c r="D501" s="34" t="e">
        <f>INDEX('Equipment list'!$B$227:$B$256, (MATCH(C501,'Equipment list'!$D$227:$D$256,0)),1)</f>
        <v>#N/A</v>
      </c>
      <c r="E501" s="34" t="e">
        <f>INDEX('Equipment list'!$C$227:$C$256, (MATCH(C501,'Equipment list'!$D$227:$D$256,0)),1)</f>
        <v>#N/A</v>
      </c>
      <c r="F501" s="34">
        <f t="shared" si="40"/>
        <v>0</v>
      </c>
      <c r="G501" s="34">
        <f t="shared" si="41"/>
        <v>0</v>
      </c>
      <c r="H501" s="34" t="e">
        <f t="shared" si="42"/>
        <v>#N/A</v>
      </c>
      <c r="I501" s="34" t="e">
        <f t="shared" si="43"/>
        <v>#N/A</v>
      </c>
      <c r="J501" s="45"/>
      <c r="K501" s="46"/>
      <c r="L501" s="49"/>
      <c r="M501" s="39"/>
      <c r="N501" s="39"/>
      <c r="O501" s="37">
        <f t="shared" si="44"/>
        <v>0</v>
      </c>
      <c r="P501" s="44"/>
      <c r="Q501" s="44"/>
    </row>
    <row r="502" spans="1:17" x14ac:dyDescent="0.4">
      <c r="A502" s="70"/>
      <c r="B502" s="46"/>
      <c r="C502" s="46"/>
      <c r="D502" s="34" t="e">
        <f>INDEX('Equipment list'!$B$227:$B$256, (MATCH(C502,'Equipment list'!$D$227:$D$256,0)),1)</f>
        <v>#N/A</v>
      </c>
      <c r="E502" s="34" t="e">
        <f>INDEX('Equipment list'!$C$227:$C$256, (MATCH(C502,'Equipment list'!$D$227:$D$256,0)),1)</f>
        <v>#N/A</v>
      </c>
      <c r="F502" s="34">
        <f t="shared" si="40"/>
        <v>0</v>
      </c>
      <c r="G502" s="34">
        <f t="shared" si="41"/>
        <v>0</v>
      </c>
      <c r="H502" s="34" t="e">
        <f t="shared" si="42"/>
        <v>#N/A</v>
      </c>
      <c r="I502" s="34" t="e">
        <f t="shared" si="43"/>
        <v>#N/A</v>
      </c>
      <c r="J502" s="45"/>
      <c r="K502" s="46"/>
      <c r="L502" s="49"/>
      <c r="M502" s="39"/>
      <c r="N502" s="39"/>
      <c r="O502" s="37">
        <f t="shared" si="44"/>
        <v>0</v>
      </c>
      <c r="P502" s="44"/>
      <c r="Q502" s="44"/>
    </row>
    <row r="503" spans="1:17" x14ac:dyDescent="0.4">
      <c r="A503" s="70"/>
      <c r="B503" s="46"/>
      <c r="C503" s="46"/>
      <c r="D503" s="34" t="e">
        <f>INDEX('Equipment list'!$B$227:$B$256, (MATCH(C503,'Equipment list'!$D$227:$D$256,0)),1)</f>
        <v>#N/A</v>
      </c>
      <c r="E503" s="34" t="e">
        <f>INDEX('Equipment list'!$C$227:$C$256, (MATCH(C503,'Equipment list'!$D$227:$D$256,0)),1)</f>
        <v>#N/A</v>
      </c>
      <c r="F503" s="34">
        <f t="shared" si="40"/>
        <v>0</v>
      </c>
      <c r="G503" s="34">
        <f t="shared" si="41"/>
        <v>0</v>
      </c>
      <c r="H503" s="34" t="e">
        <f t="shared" si="42"/>
        <v>#N/A</v>
      </c>
      <c r="I503" s="34" t="e">
        <f t="shared" si="43"/>
        <v>#N/A</v>
      </c>
      <c r="J503" s="45"/>
      <c r="K503" s="46"/>
      <c r="L503" s="49"/>
      <c r="M503" s="39"/>
      <c r="N503" s="39"/>
      <c r="O503" s="37">
        <f t="shared" si="44"/>
        <v>0</v>
      </c>
      <c r="P503" s="44"/>
      <c r="Q503" s="44"/>
    </row>
    <row r="504" spans="1:17" x14ac:dyDescent="0.4">
      <c r="A504" s="70"/>
      <c r="B504" s="46"/>
      <c r="C504" s="46"/>
      <c r="D504" s="34" t="e">
        <f>INDEX('Equipment list'!$B$227:$B$256, (MATCH(C504,'Equipment list'!$D$227:$D$256,0)),1)</f>
        <v>#N/A</v>
      </c>
      <c r="E504" s="34" t="e">
        <f>INDEX('Equipment list'!$C$227:$C$256, (MATCH(C504,'Equipment list'!$D$227:$D$256,0)),1)</f>
        <v>#N/A</v>
      </c>
      <c r="F504" s="34">
        <f t="shared" si="40"/>
        <v>0</v>
      </c>
      <c r="G504" s="34">
        <f t="shared" si="41"/>
        <v>0</v>
      </c>
      <c r="H504" s="34" t="e">
        <f t="shared" si="42"/>
        <v>#N/A</v>
      </c>
      <c r="I504" s="34" t="e">
        <f t="shared" si="43"/>
        <v>#N/A</v>
      </c>
      <c r="J504" s="45"/>
      <c r="K504" s="46"/>
      <c r="L504" s="49"/>
      <c r="M504" s="39"/>
      <c r="N504" s="39"/>
      <c r="O504" s="37">
        <f t="shared" si="44"/>
        <v>0</v>
      </c>
      <c r="P504" s="44"/>
      <c r="Q504" s="44"/>
    </row>
    <row r="505" spans="1:17" x14ac:dyDescent="0.4">
      <c r="A505" s="70"/>
      <c r="B505" s="46"/>
      <c r="C505" s="46"/>
      <c r="D505" s="34" t="e">
        <f>INDEX('Equipment list'!$B$227:$B$256, (MATCH(C505,'Equipment list'!$D$227:$D$256,0)),1)</f>
        <v>#N/A</v>
      </c>
      <c r="E505" s="34" t="e">
        <f>INDEX('Equipment list'!$C$227:$C$256, (MATCH(C505,'Equipment list'!$D$227:$D$256,0)),1)</f>
        <v>#N/A</v>
      </c>
      <c r="F505" s="34">
        <f t="shared" si="40"/>
        <v>0</v>
      </c>
      <c r="G505" s="34">
        <f t="shared" si="41"/>
        <v>0</v>
      </c>
      <c r="H505" s="34" t="e">
        <f t="shared" si="42"/>
        <v>#N/A</v>
      </c>
      <c r="I505" s="34" t="e">
        <f t="shared" si="43"/>
        <v>#N/A</v>
      </c>
      <c r="J505" s="45"/>
      <c r="K505" s="46"/>
      <c r="L505" s="49"/>
      <c r="M505" s="39"/>
      <c r="N505" s="39"/>
      <c r="O505" s="37">
        <f t="shared" si="44"/>
        <v>0</v>
      </c>
      <c r="P505" s="44"/>
      <c r="Q505" s="44"/>
    </row>
    <row r="506" spans="1:17" x14ac:dyDescent="0.4">
      <c r="A506" s="70"/>
      <c r="B506" s="46"/>
      <c r="C506" s="46"/>
      <c r="D506" s="34" t="e">
        <f>INDEX('Equipment list'!$B$227:$B$256, (MATCH(C506,'Equipment list'!$D$227:$D$256,0)),1)</f>
        <v>#N/A</v>
      </c>
      <c r="E506" s="34" t="e">
        <f>INDEX('Equipment list'!$C$227:$C$256, (MATCH(C506,'Equipment list'!$D$227:$D$256,0)),1)</f>
        <v>#N/A</v>
      </c>
      <c r="F506" s="34">
        <f t="shared" si="40"/>
        <v>0</v>
      </c>
      <c r="G506" s="34">
        <f t="shared" si="41"/>
        <v>0</v>
      </c>
      <c r="H506" s="34" t="e">
        <f t="shared" si="42"/>
        <v>#N/A</v>
      </c>
      <c r="I506" s="34" t="e">
        <f t="shared" si="43"/>
        <v>#N/A</v>
      </c>
      <c r="J506" s="45"/>
      <c r="K506" s="46"/>
      <c r="L506" s="49"/>
      <c r="M506" s="39"/>
      <c r="N506" s="39"/>
      <c r="O506" s="37">
        <f t="shared" si="44"/>
        <v>0</v>
      </c>
      <c r="P506" s="44"/>
      <c r="Q506" s="44"/>
    </row>
    <row r="507" spans="1:17" x14ac:dyDescent="0.4">
      <c r="A507" s="70"/>
      <c r="B507" s="46"/>
      <c r="C507" s="46"/>
      <c r="D507" s="34" t="e">
        <f>INDEX('Equipment list'!$B$227:$B$256, (MATCH(C507,'Equipment list'!$D$227:$D$256,0)),1)</f>
        <v>#N/A</v>
      </c>
      <c r="E507" s="34" t="e">
        <f>INDEX('Equipment list'!$C$227:$C$256, (MATCH(C507,'Equipment list'!$D$227:$D$256,0)),1)</f>
        <v>#N/A</v>
      </c>
      <c r="F507" s="34">
        <f t="shared" si="40"/>
        <v>0</v>
      </c>
      <c r="G507" s="34">
        <f t="shared" si="41"/>
        <v>0</v>
      </c>
      <c r="H507" s="34" t="e">
        <f t="shared" si="42"/>
        <v>#N/A</v>
      </c>
      <c r="I507" s="34" t="e">
        <f t="shared" si="43"/>
        <v>#N/A</v>
      </c>
      <c r="J507" s="45"/>
      <c r="K507" s="46"/>
      <c r="L507" s="49"/>
      <c r="M507" s="39"/>
      <c r="N507" s="39"/>
      <c r="O507" s="37">
        <f t="shared" si="44"/>
        <v>0</v>
      </c>
      <c r="P507" s="44"/>
      <c r="Q507" s="44"/>
    </row>
    <row r="508" spans="1:17" x14ac:dyDescent="0.4">
      <c r="A508" s="70"/>
      <c r="B508" s="46"/>
      <c r="C508" s="46"/>
      <c r="D508" s="34" t="e">
        <f>INDEX('Equipment list'!$B$227:$B$256, (MATCH(C508,'Equipment list'!$D$227:$D$256,0)),1)</f>
        <v>#N/A</v>
      </c>
      <c r="E508" s="34" t="e">
        <f>INDEX('Equipment list'!$C$227:$C$256, (MATCH(C508,'Equipment list'!$D$227:$D$256,0)),1)</f>
        <v>#N/A</v>
      </c>
      <c r="F508" s="34">
        <f t="shared" si="40"/>
        <v>0</v>
      </c>
      <c r="G508" s="34">
        <f t="shared" si="41"/>
        <v>0</v>
      </c>
      <c r="H508" s="34" t="e">
        <f t="shared" si="42"/>
        <v>#N/A</v>
      </c>
      <c r="I508" s="34" t="e">
        <f t="shared" si="43"/>
        <v>#N/A</v>
      </c>
      <c r="J508" s="45"/>
      <c r="K508" s="46"/>
      <c r="L508" s="49"/>
      <c r="M508" s="39"/>
      <c r="N508" s="39"/>
      <c r="O508" s="37">
        <f t="shared" si="44"/>
        <v>0</v>
      </c>
      <c r="P508" s="44"/>
      <c r="Q508" s="44"/>
    </row>
    <row r="509" spans="1:17" x14ac:dyDescent="0.4">
      <c r="A509" s="70"/>
      <c r="B509" s="46"/>
      <c r="C509" s="46"/>
      <c r="D509" s="34" t="e">
        <f>INDEX('Equipment list'!$B$227:$B$256, (MATCH(C509,'Equipment list'!$D$227:$D$256,0)),1)</f>
        <v>#N/A</v>
      </c>
      <c r="E509" s="34" t="e">
        <f>INDEX('Equipment list'!$C$227:$C$256, (MATCH(C509,'Equipment list'!$D$227:$D$256,0)),1)</f>
        <v>#N/A</v>
      </c>
      <c r="F509" s="34">
        <f t="shared" si="40"/>
        <v>0</v>
      </c>
      <c r="G509" s="34">
        <f t="shared" si="41"/>
        <v>0</v>
      </c>
      <c r="H509" s="34" t="e">
        <f t="shared" si="42"/>
        <v>#N/A</v>
      </c>
      <c r="I509" s="34" t="e">
        <f t="shared" si="43"/>
        <v>#N/A</v>
      </c>
      <c r="J509" s="45"/>
      <c r="K509" s="46"/>
      <c r="L509" s="49"/>
      <c r="M509" s="39"/>
      <c r="N509" s="39"/>
      <c r="O509" s="37">
        <f t="shared" si="44"/>
        <v>0</v>
      </c>
      <c r="P509" s="44"/>
      <c r="Q509" s="44"/>
    </row>
    <row r="510" spans="1:17" x14ac:dyDescent="0.4">
      <c r="A510" s="70"/>
      <c r="B510" s="46"/>
      <c r="C510" s="46"/>
      <c r="D510" s="34" t="e">
        <f>INDEX('Equipment list'!$B$227:$B$256, (MATCH(C510,'Equipment list'!$D$227:$D$256,0)),1)</f>
        <v>#N/A</v>
      </c>
      <c r="E510" s="34" t="e">
        <f>INDEX('Equipment list'!$C$227:$C$256, (MATCH(C510,'Equipment list'!$D$227:$D$256,0)),1)</f>
        <v>#N/A</v>
      </c>
      <c r="F510" s="34">
        <f t="shared" si="40"/>
        <v>0</v>
      </c>
      <c r="G510" s="34">
        <f t="shared" si="41"/>
        <v>0</v>
      </c>
      <c r="H510" s="34" t="e">
        <f t="shared" si="42"/>
        <v>#N/A</v>
      </c>
      <c r="I510" s="34" t="e">
        <f t="shared" si="43"/>
        <v>#N/A</v>
      </c>
      <c r="J510" s="45"/>
      <c r="K510" s="46"/>
      <c r="L510" s="49"/>
      <c r="M510" s="39"/>
      <c r="N510" s="39"/>
      <c r="O510" s="37">
        <f t="shared" si="44"/>
        <v>0</v>
      </c>
      <c r="P510" s="44"/>
      <c r="Q510" s="44"/>
    </row>
    <row r="511" spans="1:17" x14ac:dyDescent="0.4">
      <c r="A511" s="70"/>
      <c r="B511" s="46"/>
      <c r="C511" s="46"/>
      <c r="D511" s="34" t="e">
        <f>INDEX('Equipment list'!$B$227:$B$256, (MATCH(C511,'Equipment list'!$D$227:$D$256,0)),1)</f>
        <v>#N/A</v>
      </c>
      <c r="E511" s="34" t="e">
        <f>INDEX('Equipment list'!$C$227:$C$256, (MATCH(C511,'Equipment list'!$D$227:$D$256,0)),1)</f>
        <v>#N/A</v>
      </c>
      <c r="F511" s="34">
        <f t="shared" si="40"/>
        <v>0</v>
      </c>
      <c r="G511" s="34">
        <f t="shared" si="41"/>
        <v>0</v>
      </c>
      <c r="H511" s="34" t="e">
        <f t="shared" si="42"/>
        <v>#N/A</v>
      </c>
      <c r="I511" s="34" t="e">
        <f t="shared" si="43"/>
        <v>#N/A</v>
      </c>
      <c r="J511" s="45"/>
      <c r="K511" s="46"/>
      <c r="L511" s="49"/>
      <c r="M511" s="39"/>
      <c r="N511" s="39"/>
      <c r="O511" s="37">
        <f t="shared" si="44"/>
        <v>0</v>
      </c>
      <c r="P511" s="44"/>
      <c r="Q511" s="44"/>
    </row>
    <row r="512" spans="1:17" x14ac:dyDescent="0.4">
      <c r="A512" s="70"/>
      <c r="B512" s="46"/>
      <c r="C512" s="46"/>
      <c r="D512" s="34" t="e">
        <f>INDEX('Equipment list'!$B$227:$B$256, (MATCH(C512,'Equipment list'!$D$227:$D$256,0)),1)</f>
        <v>#N/A</v>
      </c>
      <c r="E512" s="34" t="e">
        <f>INDEX('Equipment list'!$C$227:$C$256, (MATCH(C512,'Equipment list'!$D$227:$D$256,0)),1)</f>
        <v>#N/A</v>
      </c>
      <c r="F512" s="34">
        <f t="shared" si="40"/>
        <v>0</v>
      </c>
      <c r="G512" s="34">
        <f t="shared" si="41"/>
        <v>0</v>
      </c>
      <c r="H512" s="34" t="e">
        <f t="shared" si="42"/>
        <v>#N/A</v>
      </c>
      <c r="I512" s="34" t="e">
        <f t="shared" si="43"/>
        <v>#N/A</v>
      </c>
      <c r="J512" s="45"/>
      <c r="K512" s="46"/>
      <c r="L512" s="49"/>
      <c r="M512" s="39"/>
      <c r="N512" s="39"/>
      <c r="O512" s="37">
        <f t="shared" si="44"/>
        <v>0</v>
      </c>
      <c r="P512" s="44"/>
      <c r="Q512" s="44"/>
    </row>
    <row r="513" spans="1:17" x14ac:dyDescent="0.4">
      <c r="A513" s="70"/>
      <c r="B513" s="46"/>
      <c r="C513" s="46"/>
      <c r="D513" s="34" t="e">
        <f>INDEX('Equipment list'!$B$227:$B$256, (MATCH(C513,'Equipment list'!$D$227:$D$256,0)),1)</f>
        <v>#N/A</v>
      </c>
      <c r="E513" s="34" t="e">
        <f>INDEX('Equipment list'!$C$227:$C$256, (MATCH(C513,'Equipment list'!$D$227:$D$256,0)),1)</f>
        <v>#N/A</v>
      </c>
      <c r="F513" s="34">
        <f t="shared" si="40"/>
        <v>0</v>
      </c>
      <c r="G513" s="34">
        <f t="shared" si="41"/>
        <v>0</v>
      </c>
      <c r="H513" s="34" t="e">
        <f t="shared" si="42"/>
        <v>#N/A</v>
      </c>
      <c r="I513" s="34" t="e">
        <f t="shared" si="43"/>
        <v>#N/A</v>
      </c>
      <c r="J513" s="45"/>
      <c r="K513" s="46"/>
      <c r="L513" s="49"/>
      <c r="M513" s="39"/>
      <c r="N513" s="39"/>
      <c r="O513" s="37">
        <f t="shared" si="44"/>
        <v>0</v>
      </c>
      <c r="P513" s="44"/>
      <c r="Q513" s="44"/>
    </row>
    <row r="514" spans="1:17" x14ac:dyDescent="0.4">
      <c r="A514" s="70"/>
      <c r="B514" s="46"/>
      <c r="C514" s="46"/>
      <c r="D514" s="34" t="e">
        <f>INDEX('Equipment list'!$B$227:$B$256, (MATCH(C514,'Equipment list'!$D$227:$D$256,0)),1)</f>
        <v>#N/A</v>
      </c>
      <c r="E514" s="34" t="e">
        <f>INDEX('Equipment list'!$C$227:$C$256, (MATCH(C514,'Equipment list'!$D$227:$D$256,0)),1)</f>
        <v>#N/A</v>
      </c>
      <c r="F514" s="34">
        <f t="shared" si="40"/>
        <v>0</v>
      </c>
      <c r="G514" s="34">
        <f t="shared" si="41"/>
        <v>0</v>
      </c>
      <c r="H514" s="34" t="e">
        <f t="shared" si="42"/>
        <v>#N/A</v>
      </c>
      <c r="I514" s="34" t="e">
        <f t="shared" si="43"/>
        <v>#N/A</v>
      </c>
      <c r="J514" s="45"/>
      <c r="K514" s="46"/>
      <c r="L514" s="49"/>
      <c r="M514" s="39"/>
      <c r="N514" s="39"/>
      <c r="O514" s="37">
        <f t="shared" si="44"/>
        <v>0</v>
      </c>
      <c r="P514" s="44"/>
      <c r="Q514" s="44"/>
    </row>
    <row r="515" spans="1:17" x14ac:dyDescent="0.4">
      <c r="A515" s="70"/>
      <c r="B515" s="46"/>
      <c r="C515" s="46"/>
      <c r="D515" s="34" t="e">
        <f>INDEX('Equipment list'!$B$227:$B$256, (MATCH(C515,'Equipment list'!$D$227:$D$256,0)),1)</f>
        <v>#N/A</v>
      </c>
      <c r="E515" s="34" t="e">
        <f>INDEX('Equipment list'!$C$227:$C$256, (MATCH(C515,'Equipment list'!$D$227:$D$256,0)),1)</f>
        <v>#N/A</v>
      </c>
      <c r="F515" s="34">
        <f t="shared" si="40"/>
        <v>0</v>
      </c>
      <c r="G515" s="34">
        <f t="shared" si="41"/>
        <v>0</v>
      </c>
      <c r="H515" s="34" t="e">
        <f t="shared" si="42"/>
        <v>#N/A</v>
      </c>
      <c r="I515" s="34" t="e">
        <f t="shared" si="43"/>
        <v>#N/A</v>
      </c>
      <c r="J515" s="45"/>
      <c r="K515" s="46"/>
      <c r="L515" s="49"/>
      <c r="M515" s="39"/>
      <c r="N515" s="39"/>
      <c r="O515" s="37">
        <f t="shared" si="44"/>
        <v>0</v>
      </c>
      <c r="P515" s="44"/>
      <c r="Q515" s="44"/>
    </row>
    <row r="516" spans="1:17" x14ac:dyDescent="0.4">
      <c r="A516" s="70"/>
      <c r="B516" s="46"/>
      <c r="C516" s="46"/>
      <c r="D516" s="34" t="e">
        <f>INDEX('Equipment list'!$B$227:$B$256, (MATCH(C516,'Equipment list'!$D$227:$D$256,0)),1)</f>
        <v>#N/A</v>
      </c>
      <c r="E516" s="34" t="e">
        <f>INDEX('Equipment list'!$C$227:$C$256, (MATCH(C516,'Equipment list'!$D$227:$D$256,0)),1)</f>
        <v>#N/A</v>
      </c>
      <c r="F516" s="34">
        <f t="shared" si="40"/>
        <v>0</v>
      </c>
      <c r="G516" s="34">
        <f t="shared" si="41"/>
        <v>0</v>
      </c>
      <c r="H516" s="34" t="e">
        <f t="shared" si="42"/>
        <v>#N/A</v>
      </c>
      <c r="I516" s="34" t="e">
        <f t="shared" si="43"/>
        <v>#N/A</v>
      </c>
      <c r="J516" s="45"/>
      <c r="K516" s="46"/>
      <c r="L516" s="49"/>
      <c r="M516" s="39"/>
      <c r="N516" s="39"/>
      <c r="O516" s="37">
        <f t="shared" si="44"/>
        <v>0</v>
      </c>
      <c r="P516" s="44"/>
      <c r="Q516" s="44"/>
    </row>
    <row r="517" spans="1:17" x14ac:dyDescent="0.4">
      <c r="A517" s="70"/>
      <c r="B517" s="46"/>
      <c r="C517" s="46"/>
      <c r="D517" s="34" t="e">
        <f>INDEX('Equipment list'!$B$227:$B$256, (MATCH(C517,'Equipment list'!$D$227:$D$256,0)),1)</f>
        <v>#N/A</v>
      </c>
      <c r="E517" s="34" t="e">
        <f>INDEX('Equipment list'!$C$227:$C$256, (MATCH(C517,'Equipment list'!$D$227:$D$256,0)),1)</f>
        <v>#N/A</v>
      </c>
      <c r="F517" s="34">
        <f t="shared" si="40"/>
        <v>0</v>
      </c>
      <c r="G517" s="34">
        <f t="shared" si="41"/>
        <v>0</v>
      </c>
      <c r="H517" s="34" t="e">
        <f t="shared" si="42"/>
        <v>#N/A</v>
      </c>
      <c r="I517" s="34" t="e">
        <f t="shared" si="43"/>
        <v>#N/A</v>
      </c>
      <c r="J517" s="45"/>
      <c r="K517" s="46"/>
      <c r="L517" s="49"/>
      <c r="M517" s="39"/>
      <c r="N517" s="39"/>
      <c r="O517" s="37">
        <f t="shared" si="44"/>
        <v>0</v>
      </c>
      <c r="P517" s="44"/>
      <c r="Q517" s="44"/>
    </row>
    <row r="518" spans="1:17" x14ac:dyDescent="0.4">
      <c r="A518" s="70"/>
      <c r="B518" s="46"/>
      <c r="C518" s="46"/>
      <c r="D518" s="34" t="e">
        <f>INDEX('Equipment list'!$B$227:$B$256, (MATCH(C518,'Equipment list'!$D$227:$D$256,0)),1)</f>
        <v>#N/A</v>
      </c>
      <c r="E518" s="34" t="e">
        <f>INDEX('Equipment list'!$C$227:$C$256, (MATCH(C518,'Equipment list'!$D$227:$D$256,0)),1)</f>
        <v>#N/A</v>
      </c>
      <c r="F518" s="34">
        <f t="shared" ref="F518:F581" si="45">P518*4</f>
        <v>0</v>
      </c>
      <c r="G518" s="34">
        <f t="shared" ref="G518:G581" si="46">Q518*4</f>
        <v>0</v>
      </c>
      <c r="H518" s="34" t="e">
        <f t="shared" ref="H518:H581" si="47">(F518-D518)/D518*100</f>
        <v>#N/A</v>
      </c>
      <c r="I518" s="34" t="e">
        <f t="shared" ref="I518:I581" si="48">(G518-E518)/E518*100</f>
        <v>#N/A</v>
      </c>
      <c r="J518" s="45"/>
      <c r="K518" s="46"/>
      <c r="L518" s="49"/>
      <c r="M518" s="39"/>
      <c r="N518" s="39"/>
      <c r="O518" s="37">
        <f t="shared" ref="O518:O581" si="49">C518</f>
        <v>0</v>
      </c>
      <c r="P518" s="44"/>
      <c r="Q518" s="44"/>
    </row>
    <row r="519" spans="1:17" x14ac:dyDescent="0.4">
      <c r="A519" s="70"/>
      <c r="B519" s="46"/>
      <c r="C519" s="46"/>
      <c r="D519" s="34" t="e">
        <f>INDEX('Equipment list'!$B$227:$B$256, (MATCH(C519,'Equipment list'!$D$227:$D$256,0)),1)</f>
        <v>#N/A</v>
      </c>
      <c r="E519" s="34" t="e">
        <f>INDEX('Equipment list'!$C$227:$C$256, (MATCH(C519,'Equipment list'!$D$227:$D$256,0)),1)</f>
        <v>#N/A</v>
      </c>
      <c r="F519" s="34">
        <f t="shared" si="45"/>
        <v>0</v>
      </c>
      <c r="G519" s="34">
        <f t="shared" si="46"/>
        <v>0</v>
      </c>
      <c r="H519" s="34" t="e">
        <f t="shared" si="47"/>
        <v>#N/A</v>
      </c>
      <c r="I519" s="34" t="e">
        <f t="shared" si="48"/>
        <v>#N/A</v>
      </c>
      <c r="J519" s="45"/>
      <c r="K519" s="46"/>
      <c r="L519" s="49"/>
      <c r="M519" s="39"/>
      <c r="N519" s="39"/>
      <c r="O519" s="37">
        <f t="shared" si="49"/>
        <v>0</v>
      </c>
      <c r="P519" s="44"/>
      <c r="Q519" s="44"/>
    </row>
    <row r="520" spans="1:17" x14ac:dyDescent="0.4">
      <c r="A520" s="70"/>
      <c r="B520" s="46"/>
      <c r="C520" s="46"/>
      <c r="D520" s="34" t="e">
        <f>INDEX('Equipment list'!$B$227:$B$256, (MATCH(C520,'Equipment list'!$D$227:$D$256,0)),1)</f>
        <v>#N/A</v>
      </c>
      <c r="E520" s="34" t="e">
        <f>INDEX('Equipment list'!$C$227:$C$256, (MATCH(C520,'Equipment list'!$D$227:$D$256,0)),1)</f>
        <v>#N/A</v>
      </c>
      <c r="F520" s="34">
        <f t="shared" si="45"/>
        <v>0</v>
      </c>
      <c r="G520" s="34">
        <f t="shared" si="46"/>
        <v>0</v>
      </c>
      <c r="H520" s="34" t="e">
        <f t="shared" si="47"/>
        <v>#N/A</v>
      </c>
      <c r="I520" s="34" t="e">
        <f t="shared" si="48"/>
        <v>#N/A</v>
      </c>
      <c r="J520" s="45"/>
      <c r="K520" s="46"/>
      <c r="L520" s="49"/>
      <c r="M520" s="39"/>
      <c r="N520" s="39"/>
      <c r="O520" s="37">
        <f t="shared" si="49"/>
        <v>0</v>
      </c>
      <c r="P520" s="44"/>
      <c r="Q520" s="44"/>
    </row>
    <row r="521" spans="1:17" x14ac:dyDescent="0.4">
      <c r="A521" s="70"/>
      <c r="B521" s="46"/>
      <c r="C521" s="46"/>
      <c r="D521" s="34" t="e">
        <f>INDEX('Equipment list'!$B$227:$B$256, (MATCH(C521,'Equipment list'!$D$227:$D$256,0)),1)</f>
        <v>#N/A</v>
      </c>
      <c r="E521" s="34" t="e">
        <f>INDEX('Equipment list'!$C$227:$C$256, (MATCH(C521,'Equipment list'!$D$227:$D$256,0)),1)</f>
        <v>#N/A</v>
      </c>
      <c r="F521" s="34">
        <f t="shared" si="45"/>
        <v>0</v>
      </c>
      <c r="G521" s="34">
        <f t="shared" si="46"/>
        <v>0</v>
      </c>
      <c r="H521" s="34" t="e">
        <f t="shared" si="47"/>
        <v>#N/A</v>
      </c>
      <c r="I521" s="34" t="e">
        <f t="shared" si="48"/>
        <v>#N/A</v>
      </c>
      <c r="J521" s="45"/>
      <c r="K521" s="46"/>
      <c r="L521" s="49"/>
      <c r="M521" s="39"/>
      <c r="N521" s="39"/>
      <c r="O521" s="37">
        <f t="shared" si="49"/>
        <v>0</v>
      </c>
      <c r="P521" s="44"/>
      <c r="Q521" s="44"/>
    </row>
    <row r="522" spans="1:17" x14ac:dyDescent="0.4">
      <c r="A522" s="70"/>
      <c r="B522" s="46"/>
      <c r="C522" s="46"/>
      <c r="D522" s="34" t="e">
        <f>INDEX('Equipment list'!$B$227:$B$256, (MATCH(C522,'Equipment list'!$D$227:$D$256,0)),1)</f>
        <v>#N/A</v>
      </c>
      <c r="E522" s="34" t="e">
        <f>INDEX('Equipment list'!$C$227:$C$256, (MATCH(C522,'Equipment list'!$D$227:$D$256,0)),1)</f>
        <v>#N/A</v>
      </c>
      <c r="F522" s="34">
        <f t="shared" si="45"/>
        <v>0</v>
      </c>
      <c r="G522" s="34">
        <f t="shared" si="46"/>
        <v>0</v>
      </c>
      <c r="H522" s="34" t="e">
        <f t="shared" si="47"/>
        <v>#N/A</v>
      </c>
      <c r="I522" s="34" t="e">
        <f t="shared" si="48"/>
        <v>#N/A</v>
      </c>
      <c r="J522" s="45"/>
      <c r="K522" s="46"/>
      <c r="L522" s="49"/>
      <c r="M522" s="39"/>
      <c r="N522" s="39"/>
      <c r="O522" s="37">
        <f t="shared" si="49"/>
        <v>0</v>
      </c>
      <c r="P522" s="44"/>
      <c r="Q522" s="44"/>
    </row>
    <row r="523" spans="1:17" x14ac:dyDescent="0.4">
      <c r="A523" s="70"/>
      <c r="B523" s="46"/>
      <c r="C523" s="46"/>
      <c r="D523" s="34" t="e">
        <f>INDEX('Equipment list'!$B$227:$B$256, (MATCH(C523,'Equipment list'!$D$227:$D$256,0)),1)</f>
        <v>#N/A</v>
      </c>
      <c r="E523" s="34" t="e">
        <f>INDEX('Equipment list'!$C$227:$C$256, (MATCH(C523,'Equipment list'!$D$227:$D$256,0)),1)</f>
        <v>#N/A</v>
      </c>
      <c r="F523" s="34">
        <f t="shared" si="45"/>
        <v>0</v>
      </c>
      <c r="G523" s="34">
        <f t="shared" si="46"/>
        <v>0</v>
      </c>
      <c r="H523" s="34" t="e">
        <f t="shared" si="47"/>
        <v>#N/A</v>
      </c>
      <c r="I523" s="34" t="e">
        <f t="shared" si="48"/>
        <v>#N/A</v>
      </c>
      <c r="J523" s="45"/>
      <c r="K523" s="46"/>
      <c r="L523" s="49"/>
      <c r="M523" s="39"/>
      <c r="N523" s="39"/>
      <c r="O523" s="37">
        <f t="shared" si="49"/>
        <v>0</v>
      </c>
      <c r="P523" s="44"/>
      <c r="Q523" s="44"/>
    </row>
    <row r="524" spans="1:17" x14ac:dyDescent="0.4">
      <c r="A524" s="70"/>
      <c r="B524" s="46"/>
      <c r="C524" s="46"/>
      <c r="D524" s="34" t="e">
        <f>INDEX('Equipment list'!$B$227:$B$256, (MATCH(C524,'Equipment list'!$D$227:$D$256,0)),1)</f>
        <v>#N/A</v>
      </c>
      <c r="E524" s="34" t="e">
        <f>INDEX('Equipment list'!$C$227:$C$256, (MATCH(C524,'Equipment list'!$D$227:$D$256,0)),1)</f>
        <v>#N/A</v>
      </c>
      <c r="F524" s="34">
        <f t="shared" si="45"/>
        <v>0</v>
      </c>
      <c r="G524" s="34">
        <f t="shared" si="46"/>
        <v>0</v>
      </c>
      <c r="H524" s="34" t="e">
        <f t="shared" si="47"/>
        <v>#N/A</v>
      </c>
      <c r="I524" s="34" t="e">
        <f t="shared" si="48"/>
        <v>#N/A</v>
      </c>
      <c r="J524" s="45"/>
      <c r="K524" s="46"/>
      <c r="L524" s="49"/>
      <c r="M524" s="39"/>
      <c r="N524" s="39"/>
      <c r="O524" s="37">
        <f t="shared" si="49"/>
        <v>0</v>
      </c>
      <c r="P524" s="44"/>
      <c r="Q524" s="44"/>
    </row>
    <row r="525" spans="1:17" x14ac:dyDescent="0.4">
      <c r="A525" s="70"/>
      <c r="B525" s="46"/>
      <c r="C525" s="46"/>
      <c r="D525" s="34" t="e">
        <f>INDEX('Equipment list'!$B$227:$B$256, (MATCH(C525,'Equipment list'!$D$227:$D$256,0)),1)</f>
        <v>#N/A</v>
      </c>
      <c r="E525" s="34" t="e">
        <f>INDEX('Equipment list'!$C$227:$C$256, (MATCH(C525,'Equipment list'!$D$227:$D$256,0)),1)</f>
        <v>#N/A</v>
      </c>
      <c r="F525" s="34">
        <f t="shared" si="45"/>
        <v>0</v>
      </c>
      <c r="G525" s="34">
        <f t="shared" si="46"/>
        <v>0</v>
      </c>
      <c r="H525" s="34" t="e">
        <f t="shared" si="47"/>
        <v>#N/A</v>
      </c>
      <c r="I525" s="34" t="e">
        <f t="shared" si="48"/>
        <v>#N/A</v>
      </c>
      <c r="J525" s="45"/>
      <c r="K525" s="46"/>
      <c r="L525" s="49"/>
      <c r="M525" s="39"/>
      <c r="N525" s="39"/>
      <c r="O525" s="37">
        <f t="shared" si="49"/>
        <v>0</v>
      </c>
      <c r="P525" s="44"/>
      <c r="Q525" s="44"/>
    </row>
    <row r="526" spans="1:17" x14ac:dyDescent="0.4">
      <c r="A526" s="70"/>
      <c r="B526" s="46"/>
      <c r="C526" s="46"/>
      <c r="D526" s="34" t="e">
        <f>INDEX('Equipment list'!$B$227:$B$256, (MATCH(C526,'Equipment list'!$D$227:$D$256,0)),1)</f>
        <v>#N/A</v>
      </c>
      <c r="E526" s="34" t="e">
        <f>INDEX('Equipment list'!$C$227:$C$256, (MATCH(C526,'Equipment list'!$D$227:$D$256,0)),1)</f>
        <v>#N/A</v>
      </c>
      <c r="F526" s="34">
        <f t="shared" si="45"/>
        <v>0</v>
      </c>
      <c r="G526" s="34">
        <f t="shared" si="46"/>
        <v>0</v>
      </c>
      <c r="H526" s="34" t="e">
        <f t="shared" si="47"/>
        <v>#N/A</v>
      </c>
      <c r="I526" s="34" t="e">
        <f t="shared" si="48"/>
        <v>#N/A</v>
      </c>
      <c r="J526" s="45"/>
      <c r="K526" s="46"/>
      <c r="L526" s="49"/>
      <c r="M526" s="39"/>
      <c r="N526" s="39"/>
      <c r="O526" s="37">
        <f t="shared" si="49"/>
        <v>0</v>
      </c>
      <c r="P526" s="44"/>
      <c r="Q526" s="44"/>
    </row>
    <row r="527" spans="1:17" x14ac:dyDescent="0.4">
      <c r="A527" s="70"/>
      <c r="B527" s="46"/>
      <c r="C527" s="46"/>
      <c r="D527" s="34" t="e">
        <f>INDEX('Equipment list'!$B$227:$B$256, (MATCH(C527,'Equipment list'!$D$227:$D$256,0)),1)</f>
        <v>#N/A</v>
      </c>
      <c r="E527" s="34" t="e">
        <f>INDEX('Equipment list'!$C$227:$C$256, (MATCH(C527,'Equipment list'!$D$227:$D$256,0)),1)</f>
        <v>#N/A</v>
      </c>
      <c r="F527" s="34">
        <f t="shared" si="45"/>
        <v>0</v>
      </c>
      <c r="G527" s="34">
        <f t="shared" si="46"/>
        <v>0</v>
      </c>
      <c r="H527" s="34" t="e">
        <f t="shared" si="47"/>
        <v>#N/A</v>
      </c>
      <c r="I527" s="34" t="e">
        <f t="shared" si="48"/>
        <v>#N/A</v>
      </c>
      <c r="J527" s="45"/>
      <c r="K527" s="46"/>
      <c r="L527" s="49"/>
      <c r="M527" s="39"/>
      <c r="N527" s="39"/>
      <c r="O527" s="37">
        <f t="shared" si="49"/>
        <v>0</v>
      </c>
      <c r="P527" s="44"/>
      <c r="Q527" s="44"/>
    </row>
    <row r="528" spans="1:17" x14ac:dyDescent="0.4">
      <c r="A528" s="70"/>
      <c r="B528" s="46"/>
      <c r="C528" s="46"/>
      <c r="D528" s="34" t="e">
        <f>INDEX('Equipment list'!$B$227:$B$256, (MATCH(C528,'Equipment list'!$D$227:$D$256,0)),1)</f>
        <v>#N/A</v>
      </c>
      <c r="E528" s="34" t="e">
        <f>INDEX('Equipment list'!$C$227:$C$256, (MATCH(C528,'Equipment list'!$D$227:$D$256,0)),1)</f>
        <v>#N/A</v>
      </c>
      <c r="F528" s="34">
        <f t="shared" si="45"/>
        <v>0</v>
      </c>
      <c r="G528" s="34">
        <f t="shared" si="46"/>
        <v>0</v>
      </c>
      <c r="H528" s="34" t="e">
        <f t="shared" si="47"/>
        <v>#N/A</v>
      </c>
      <c r="I528" s="34" t="e">
        <f t="shared" si="48"/>
        <v>#N/A</v>
      </c>
      <c r="J528" s="45"/>
      <c r="K528" s="46"/>
      <c r="L528" s="49"/>
      <c r="M528" s="39"/>
      <c r="N528" s="39"/>
      <c r="O528" s="37">
        <f t="shared" si="49"/>
        <v>0</v>
      </c>
      <c r="P528" s="44"/>
      <c r="Q528" s="44"/>
    </row>
    <row r="529" spans="1:17" x14ac:dyDescent="0.4">
      <c r="A529" s="70"/>
      <c r="B529" s="46"/>
      <c r="C529" s="46"/>
      <c r="D529" s="34" t="e">
        <f>INDEX('Equipment list'!$B$227:$B$256, (MATCH(C529,'Equipment list'!$D$227:$D$256,0)),1)</f>
        <v>#N/A</v>
      </c>
      <c r="E529" s="34" t="e">
        <f>INDEX('Equipment list'!$C$227:$C$256, (MATCH(C529,'Equipment list'!$D$227:$D$256,0)),1)</f>
        <v>#N/A</v>
      </c>
      <c r="F529" s="34">
        <f t="shared" si="45"/>
        <v>0</v>
      </c>
      <c r="G529" s="34">
        <f t="shared" si="46"/>
        <v>0</v>
      </c>
      <c r="H529" s="34" t="e">
        <f t="shared" si="47"/>
        <v>#N/A</v>
      </c>
      <c r="I529" s="34" t="e">
        <f t="shared" si="48"/>
        <v>#N/A</v>
      </c>
      <c r="J529" s="45"/>
      <c r="K529" s="46"/>
      <c r="L529" s="49"/>
      <c r="M529" s="39"/>
      <c r="N529" s="39"/>
      <c r="O529" s="37">
        <f t="shared" si="49"/>
        <v>0</v>
      </c>
      <c r="P529" s="44"/>
      <c r="Q529" s="44"/>
    </row>
    <row r="530" spans="1:17" x14ac:dyDescent="0.4">
      <c r="A530" s="70"/>
      <c r="B530" s="46"/>
      <c r="C530" s="46"/>
      <c r="D530" s="34" t="e">
        <f>INDEX('Equipment list'!$B$227:$B$256, (MATCH(C530,'Equipment list'!$D$227:$D$256,0)),1)</f>
        <v>#N/A</v>
      </c>
      <c r="E530" s="34" t="e">
        <f>INDEX('Equipment list'!$C$227:$C$256, (MATCH(C530,'Equipment list'!$D$227:$D$256,0)),1)</f>
        <v>#N/A</v>
      </c>
      <c r="F530" s="34">
        <f t="shared" si="45"/>
        <v>0</v>
      </c>
      <c r="G530" s="34">
        <f t="shared" si="46"/>
        <v>0</v>
      </c>
      <c r="H530" s="34" t="e">
        <f t="shared" si="47"/>
        <v>#N/A</v>
      </c>
      <c r="I530" s="34" t="e">
        <f t="shared" si="48"/>
        <v>#N/A</v>
      </c>
      <c r="J530" s="45"/>
      <c r="K530" s="46"/>
      <c r="L530" s="49"/>
      <c r="M530" s="39"/>
      <c r="N530" s="39"/>
      <c r="O530" s="37">
        <f t="shared" si="49"/>
        <v>0</v>
      </c>
      <c r="P530" s="44"/>
      <c r="Q530" s="44"/>
    </row>
    <row r="531" spans="1:17" x14ac:dyDescent="0.4">
      <c r="A531" s="70"/>
      <c r="B531" s="46"/>
      <c r="C531" s="46"/>
      <c r="D531" s="34" t="e">
        <f>INDEX('Equipment list'!$B$227:$B$256, (MATCH(C531,'Equipment list'!$D$227:$D$256,0)),1)</f>
        <v>#N/A</v>
      </c>
      <c r="E531" s="34" t="e">
        <f>INDEX('Equipment list'!$C$227:$C$256, (MATCH(C531,'Equipment list'!$D$227:$D$256,0)),1)</f>
        <v>#N/A</v>
      </c>
      <c r="F531" s="34">
        <f t="shared" si="45"/>
        <v>0</v>
      </c>
      <c r="G531" s="34">
        <f t="shared" si="46"/>
        <v>0</v>
      </c>
      <c r="H531" s="34" t="e">
        <f t="shared" si="47"/>
        <v>#N/A</v>
      </c>
      <c r="I531" s="34" t="e">
        <f t="shared" si="48"/>
        <v>#N/A</v>
      </c>
      <c r="J531" s="45"/>
      <c r="K531" s="46"/>
      <c r="L531" s="49"/>
      <c r="M531" s="39"/>
      <c r="N531" s="39"/>
      <c r="O531" s="37">
        <f t="shared" si="49"/>
        <v>0</v>
      </c>
      <c r="P531" s="44"/>
      <c r="Q531" s="44"/>
    </row>
    <row r="532" spans="1:17" x14ac:dyDescent="0.4">
      <c r="A532" s="70"/>
      <c r="B532" s="46"/>
      <c r="C532" s="46"/>
      <c r="D532" s="34" t="e">
        <f>INDEX('Equipment list'!$B$227:$B$256, (MATCH(C532,'Equipment list'!$D$227:$D$256,0)),1)</f>
        <v>#N/A</v>
      </c>
      <c r="E532" s="34" t="e">
        <f>INDEX('Equipment list'!$C$227:$C$256, (MATCH(C532,'Equipment list'!$D$227:$D$256,0)),1)</f>
        <v>#N/A</v>
      </c>
      <c r="F532" s="34">
        <f t="shared" si="45"/>
        <v>0</v>
      </c>
      <c r="G532" s="34">
        <f t="shared" si="46"/>
        <v>0</v>
      </c>
      <c r="H532" s="34" t="e">
        <f t="shared" si="47"/>
        <v>#N/A</v>
      </c>
      <c r="I532" s="34" t="e">
        <f t="shared" si="48"/>
        <v>#N/A</v>
      </c>
      <c r="J532" s="45"/>
      <c r="K532" s="46"/>
      <c r="L532" s="49"/>
      <c r="M532" s="39"/>
      <c r="N532" s="39"/>
      <c r="O532" s="37">
        <f t="shared" si="49"/>
        <v>0</v>
      </c>
      <c r="P532" s="44"/>
      <c r="Q532" s="44"/>
    </row>
    <row r="533" spans="1:17" x14ac:dyDescent="0.4">
      <c r="A533" s="70"/>
      <c r="B533" s="46"/>
      <c r="C533" s="46"/>
      <c r="D533" s="34" t="e">
        <f>INDEX('Equipment list'!$B$227:$B$256, (MATCH(C533,'Equipment list'!$D$227:$D$256,0)),1)</f>
        <v>#N/A</v>
      </c>
      <c r="E533" s="34" t="e">
        <f>INDEX('Equipment list'!$C$227:$C$256, (MATCH(C533,'Equipment list'!$D$227:$D$256,0)),1)</f>
        <v>#N/A</v>
      </c>
      <c r="F533" s="34">
        <f t="shared" si="45"/>
        <v>0</v>
      </c>
      <c r="G533" s="34">
        <f t="shared" si="46"/>
        <v>0</v>
      </c>
      <c r="H533" s="34" t="e">
        <f t="shared" si="47"/>
        <v>#N/A</v>
      </c>
      <c r="I533" s="34" t="e">
        <f t="shared" si="48"/>
        <v>#N/A</v>
      </c>
      <c r="J533" s="45"/>
      <c r="K533" s="46"/>
      <c r="L533" s="49"/>
      <c r="M533" s="39"/>
      <c r="N533" s="39"/>
      <c r="O533" s="37">
        <f t="shared" si="49"/>
        <v>0</v>
      </c>
      <c r="P533" s="44"/>
      <c r="Q533" s="44"/>
    </row>
    <row r="534" spans="1:17" x14ac:dyDescent="0.4">
      <c r="A534" s="70"/>
      <c r="B534" s="46"/>
      <c r="C534" s="46"/>
      <c r="D534" s="34" t="e">
        <f>INDEX('Equipment list'!$B$227:$B$256, (MATCH(C534,'Equipment list'!$D$227:$D$256,0)),1)</f>
        <v>#N/A</v>
      </c>
      <c r="E534" s="34" t="e">
        <f>INDEX('Equipment list'!$C$227:$C$256, (MATCH(C534,'Equipment list'!$D$227:$D$256,0)),1)</f>
        <v>#N/A</v>
      </c>
      <c r="F534" s="34">
        <f t="shared" si="45"/>
        <v>0</v>
      </c>
      <c r="G534" s="34">
        <f t="shared" si="46"/>
        <v>0</v>
      </c>
      <c r="H534" s="34" t="e">
        <f t="shared" si="47"/>
        <v>#N/A</v>
      </c>
      <c r="I534" s="34" t="e">
        <f t="shared" si="48"/>
        <v>#N/A</v>
      </c>
      <c r="J534" s="45"/>
      <c r="K534" s="46"/>
      <c r="L534" s="49"/>
      <c r="M534" s="39"/>
      <c r="N534" s="39"/>
      <c r="O534" s="37">
        <f t="shared" si="49"/>
        <v>0</v>
      </c>
      <c r="P534" s="44"/>
      <c r="Q534" s="44"/>
    </row>
    <row r="535" spans="1:17" x14ac:dyDescent="0.4">
      <c r="A535" s="70"/>
      <c r="B535" s="46"/>
      <c r="C535" s="46"/>
      <c r="D535" s="34" t="e">
        <f>INDEX('Equipment list'!$B$227:$B$256, (MATCH(C535,'Equipment list'!$D$227:$D$256,0)),1)</f>
        <v>#N/A</v>
      </c>
      <c r="E535" s="34" t="e">
        <f>INDEX('Equipment list'!$C$227:$C$256, (MATCH(C535,'Equipment list'!$D$227:$D$256,0)),1)</f>
        <v>#N/A</v>
      </c>
      <c r="F535" s="34">
        <f t="shared" si="45"/>
        <v>0</v>
      </c>
      <c r="G535" s="34">
        <f t="shared" si="46"/>
        <v>0</v>
      </c>
      <c r="H535" s="34" t="e">
        <f t="shared" si="47"/>
        <v>#N/A</v>
      </c>
      <c r="I535" s="34" t="e">
        <f t="shared" si="48"/>
        <v>#N/A</v>
      </c>
      <c r="J535" s="45"/>
      <c r="K535" s="46"/>
      <c r="L535" s="49"/>
      <c r="M535" s="39"/>
      <c r="N535" s="39"/>
      <c r="O535" s="37">
        <f t="shared" si="49"/>
        <v>0</v>
      </c>
      <c r="P535" s="44"/>
      <c r="Q535" s="44"/>
    </row>
    <row r="536" spans="1:17" x14ac:dyDescent="0.4">
      <c r="A536" s="70"/>
      <c r="B536" s="46"/>
      <c r="C536" s="46"/>
      <c r="D536" s="34" t="e">
        <f>INDEX('Equipment list'!$B$227:$B$256, (MATCH(C536,'Equipment list'!$D$227:$D$256,0)),1)</f>
        <v>#N/A</v>
      </c>
      <c r="E536" s="34" t="e">
        <f>INDEX('Equipment list'!$C$227:$C$256, (MATCH(C536,'Equipment list'!$D$227:$D$256,0)),1)</f>
        <v>#N/A</v>
      </c>
      <c r="F536" s="34">
        <f t="shared" si="45"/>
        <v>0</v>
      </c>
      <c r="G536" s="34">
        <f t="shared" si="46"/>
        <v>0</v>
      </c>
      <c r="H536" s="34" t="e">
        <f t="shared" si="47"/>
        <v>#N/A</v>
      </c>
      <c r="I536" s="34" t="e">
        <f t="shared" si="48"/>
        <v>#N/A</v>
      </c>
      <c r="J536" s="45"/>
      <c r="K536" s="46"/>
      <c r="L536" s="49"/>
      <c r="M536" s="39"/>
      <c r="N536" s="39"/>
      <c r="O536" s="37">
        <f t="shared" si="49"/>
        <v>0</v>
      </c>
      <c r="P536" s="44"/>
      <c r="Q536" s="44"/>
    </row>
    <row r="537" spans="1:17" x14ac:dyDescent="0.4">
      <c r="A537" s="70"/>
      <c r="B537" s="46"/>
      <c r="C537" s="46"/>
      <c r="D537" s="34" t="e">
        <f>INDEX('Equipment list'!$B$227:$B$256, (MATCH(C537,'Equipment list'!$D$227:$D$256,0)),1)</f>
        <v>#N/A</v>
      </c>
      <c r="E537" s="34" t="e">
        <f>INDEX('Equipment list'!$C$227:$C$256, (MATCH(C537,'Equipment list'!$D$227:$D$256,0)),1)</f>
        <v>#N/A</v>
      </c>
      <c r="F537" s="34">
        <f t="shared" si="45"/>
        <v>0</v>
      </c>
      <c r="G537" s="34">
        <f t="shared" si="46"/>
        <v>0</v>
      </c>
      <c r="H537" s="34" t="e">
        <f t="shared" si="47"/>
        <v>#N/A</v>
      </c>
      <c r="I537" s="34" t="e">
        <f t="shared" si="48"/>
        <v>#N/A</v>
      </c>
      <c r="J537" s="45"/>
      <c r="K537" s="46"/>
      <c r="L537" s="49"/>
      <c r="M537" s="39"/>
      <c r="N537" s="39"/>
      <c r="O537" s="37">
        <f t="shared" si="49"/>
        <v>0</v>
      </c>
      <c r="P537" s="44"/>
      <c r="Q537" s="44"/>
    </row>
    <row r="538" spans="1:17" x14ac:dyDescent="0.4">
      <c r="A538" s="70"/>
      <c r="B538" s="46"/>
      <c r="C538" s="46"/>
      <c r="D538" s="34" t="e">
        <f>INDEX('Equipment list'!$B$227:$B$256, (MATCH(C538,'Equipment list'!$D$227:$D$256,0)),1)</f>
        <v>#N/A</v>
      </c>
      <c r="E538" s="34" t="e">
        <f>INDEX('Equipment list'!$C$227:$C$256, (MATCH(C538,'Equipment list'!$D$227:$D$256,0)),1)</f>
        <v>#N/A</v>
      </c>
      <c r="F538" s="34">
        <f t="shared" si="45"/>
        <v>0</v>
      </c>
      <c r="G538" s="34">
        <f t="shared" si="46"/>
        <v>0</v>
      </c>
      <c r="H538" s="34" t="e">
        <f t="shared" si="47"/>
        <v>#N/A</v>
      </c>
      <c r="I538" s="34" t="e">
        <f t="shared" si="48"/>
        <v>#N/A</v>
      </c>
      <c r="J538" s="45"/>
      <c r="K538" s="46"/>
      <c r="L538" s="49"/>
      <c r="M538" s="39"/>
      <c r="N538" s="39"/>
      <c r="O538" s="37">
        <f t="shared" si="49"/>
        <v>0</v>
      </c>
      <c r="P538" s="44"/>
      <c r="Q538" s="44"/>
    </row>
    <row r="539" spans="1:17" x14ac:dyDescent="0.4">
      <c r="A539" s="70"/>
      <c r="B539" s="46"/>
      <c r="C539" s="46"/>
      <c r="D539" s="34" t="e">
        <f>INDEX('Equipment list'!$B$227:$B$256, (MATCH(C539,'Equipment list'!$D$227:$D$256,0)),1)</f>
        <v>#N/A</v>
      </c>
      <c r="E539" s="34" t="e">
        <f>INDEX('Equipment list'!$C$227:$C$256, (MATCH(C539,'Equipment list'!$D$227:$D$256,0)),1)</f>
        <v>#N/A</v>
      </c>
      <c r="F539" s="34">
        <f t="shared" si="45"/>
        <v>0</v>
      </c>
      <c r="G539" s="34">
        <f t="shared" si="46"/>
        <v>0</v>
      </c>
      <c r="H539" s="34" t="e">
        <f t="shared" si="47"/>
        <v>#N/A</v>
      </c>
      <c r="I539" s="34" t="e">
        <f t="shared" si="48"/>
        <v>#N/A</v>
      </c>
      <c r="J539" s="45"/>
      <c r="K539" s="46"/>
      <c r="L539" s="49"/>
      <c r="M539" s="39"/>
      <c r="N539" s="39"/>
      <c r="O539" s="37">
        <f t="shared" si="49"/>
        <v>0</v>
      </c>
      <c r="P539" s="44"/>
      <c r="Q539" s="44"/>
    </row>
    <row r="540" spans="1:17" x14ac:dyDescent="0.4">
      <c r="A540" s="70"/>
      <c r="B540" s="46"/>
      <c r="C540" s="46"/>
      <c r="D540" s="34" t="e">
        <f>INDEX('Equipment list'!$B$227:$B$256, (MATCH(C540,'Equipment list'!$D$227:$D$256,0)),1)</f>
        <v>#N/A</v>
      </c>
      <c r="E540" s="34" t="e">
        <f>INDEX('Equipment list'!$C$227:$C$256, (MATCH(C540,'Equipment list'!$D$227:$D$256,0)),1)</f>
        <v>#N/A</v>
      </c>
      <c r="F540" s="34">
        <f t="shared" si="45"/>
        <v>0</v>
      </c>
      <c r="G540" s="34">
        <f t="shared" si="46"/>
        <v>0</v>
      </c>
      <c r="H540" s="34" t="e">
        <f t="shared" si="47"/>
        <v>#N/A</v>
      </c>
      <c r="I540" s="34" t="e">
        <f t="shared" si="48"/>
        <v>#N/A</v>
      </c>
      <c r="J540" s="45"/>
      <c r="K540" s="46"/>
      <c r="L540" s="49"/>
      <c r="M540" s="39"/>
      <c r="N540" s="39"/>
      <c r="O540" s="37">
        <f t="shared" si="49"/>
        <v>0</v>
      </c>
      <c r="P540" s="44"/>
      <c r="Q540" s="44"/>
    </row>
    <row r="541" spans="1:17" x14ac:dyDescent="0.4">
      <c r="A541" s="70"/>
      <c r="B541" s="46"/>
      <c r="C541" s="46"/>
      <c r="D541" s="34" t="e">
        <f>INDEX('Equipment list'!$B$227:$B$256, (MATCH(C541,'Equipment list'!$D$227:$D$256,0)),1)</f>
        <v>#N/A</v>
      </c>
      <c r="E541" s="34" t="e">
        <f>INDEX('Equipment list'!$C$227:$C$256, (MATCH(C541,'Equipment list'!$D$227:$D$256,0)),1)</f>
        <v>#N/A</v>
      </c>
      <c r="F541" s="34">
        <f t="shared" si="45"/>
        <v>0</v>
      </c>
      <c r="G541" s="34">
        <f t="shared" si="46"/>
        <v>0</v>
      </c>
      <c r="H541" s="34" t="e">
        <f t="shared" si="47"/>
        <v>#N/A</v>
      </c>
      <c r="I541" s="34" t="e">
        <f t="shared" si="48"/>
        <v>#N/A</v>
      </c>
      <c r="J541" s="45"/>
      <c r="K541" s="46"/>
      <c r="L541" s="49"/>
      <c r="M541" s="39"/>
      <c r="N541" s="39"/>
      <c r="O541" s="37">
        <f t="shared" si="49"/>
        <v>0</v>
      </c>
      <c r="P541" s="44"/>
      <c r="Q541" s="44"/>
    </row>
    <row r="542" spans="1:17" x14ac:dyDescent="0.4">
      <c r="A542" s="70"/>
      <c r="B542" s="46"/>
      <c r="C542" s="46"/>
      <c r="D542" s="34" t="e">
        <f>INDEX('Equipment list'!$B$227:$B$256, (MATCH(C542,'Equipment list'!$D$227:$D$256,0)),1)</f>
        <v>#N/A</v>
      </c>
      <c r="E542" s="34" t="e">
        <f>INDEX('Equipment list'!$C$227:$C$256, (MATCH(C542,'Equipment list'!$D$227:$D$256,0)),1)</f>
        <v>#N/A</v>
      </c>
      <c r="F542" s="34">
        <f t="shared" si="45"/>
        <v>0</v>
      </c>
      <c r="G542" s="34">
        <f t="shared" si="46"/>
        <v>0</v>
      </c>
      <c r="H542" s="34" t="e">
        <f t="shared" si="47"/>
        <v>#N/A</v>
      </c>
      <c r="I542" s="34" t="e">
        <f t="shared" si="48"/>
        <v>#N/A</v>
      </c>
      <c r="J542" s="45"/>
      <c r="K542" s="46"/>
      <c r="L542" s="49"/>
      <c r="M542" s="39"/>
      <c r="N542" s="39"/>
      <c r="O542" s="37">
        <f t="shared" si="49"/>
        <v>0</v>
      </c>
      <c r="P542" s="44"/>
      <c r="Q542" s="44"/>
    </row>
    <row r="543" spans="1:17" x14ac:dyDescent="0.4">
      <c r="A543" s="70"/>
      <c r="B543" s="46"/>
      <c r="C543" s="46"/>
      <c r="D543" s="34" t="e">
        <f>INDEX('Equipment list'!$B$227:$B$256, (MATCH(C543,'Equipment list'!$D$227:$D$256,0)),1)</f>
        <v>#N/A</v>
      </c>
      <c r="E543" s="34" t="e">
        <f>INDEX('Equipment list'!$C$227:$C$256, (MATCH(C543,'Equipment list'!$D$227:$D$256,0)),1)</f>
        <v>#N/A</v>
      </c>
      <c r="F543" s="34">
        <f t="shared" si="45"/>
        <v>0</v>
      </c>
      <c r="G543" s="34">
        <f t="shared" si="46"/>
        <v>0</v>
      </c>
      <c r="H543" s="34" t="e">
        <f t="shared" si="47"/>
        <v>#N/A</v>
      </c>
      <c r="I543" s="34" t="e">
        <f t="shared" si="48"/>
        <v>#N/A</v>
      </c>
      <c r="J543" s="45"/>
      <c r="K543" s="46"/>
      <c r="L543" s="49"/>
      <c r="M543" s="39"/>
      <c r="N543" s="39"/>
      <c r="O543" s="37">
        <f t="shared" si="49"/>
        <v>0</v>
      </c>
      <c r="P543" s="44"/>
      <c r="Q543" s="44"/>
    </row>
    <row r="544" spans="1:17" x14ac:dyDescent="0.4">
      <c r="A544" s="70"/>
      <c r="B544" s="46"/>
      <c r="C544" s="46"/>
      <c r="D544" s="34" t="e">
        <f>INDEX('Equipment list'!$B$227:$B$256, (MATCH(C544,'Equipment list'!$D$227:$D$256,0)),1)</f>
        <v>#N/A</v>
      </c>
      <c r="E544" s="34" t="e">
        <f>INDEX('Equipment list'!$C$227:$C$256, (MATCH(C544,'Equipment list'!$D$227:$D$256,0)),1)</f>
        <v>#N/A</v>
      </c>
      <c r="F544" s="34">
        <f t="shared" si="45"/>
        <v>0</v>
      </c>
      <c r="G544" s="34">
        <f t="shared" si="46"/>
        <v>0</v>
      </c>
      <c r="H544" s="34" t="e">
        <f t="shared" si="47"/>
        <v>#N/A</v>
      </c>
      <c r="I544" s="34" t="e">
        <f t="shared" si="48"/>
        <v>#N/A</v>
      </c>
      <c r="J544" s="45"/>
      <c r="K544" s="46"/>
      <c r="L544" s="49"/>
      <c r="M544" s="39"/>
      <c r="N544" s="39"/>
      <c r="O544" s="37">
        <f t="shared" si="49"/>
        <v>0</v>
      </c>
      <c r="P544" s="44"/>
      <c r="Q544" s="44"/>
    </row>
    <row r="545" spans="1:17" x14ac:dyDescent="0.4">
      <c r="A545" s="70"/>
      <c r="B545" s="46"/>
      <c r="C545" s="46"/>
      <c r="D545" s="34" t="e">
        <f>INDEX('Equipment list'!$B$227:$B$256, (MATCH(C545,'Equipment list'!$D$227:$D$256,0)),1)</f>
        <v>#N/A</v>
      </c>
      <c r="E545" s="34" t="e">
        <f>INDEX('Equipment list'!$C$227:$C$256, (MATCH(C545,'Equipment list'!$D$227:$D$256,0)),1)</f>
        <v>#N/A</v>
      </c>
      <c r="F545" s="34">
        <f t="shared" si="45"/>
        <v>0</v>
      </c>
      <c r="G545" s="34">
        <f t="shared" si="46"/>
        <v>0</v>
      </c>
      <c r="H545" s="34" t="e">
        <f t="shared" si="47"/>
        <v>#N/A</v>
      </c>
      <c r="I545" s="34" t="e">
        <f t="shared" si="48"/>
        <v>#N/A</v>
      </c>
      <c r="J545" s="45"/>
      <c r="K545" s="46"/>
      <c r="L545" s="49"/>
      <c r="M545" s="39"/>
      <c r="N545" s="39"/>
      <c r="O545" s="37">
        <f t="shared" si="49"/>
        <v>0</v>
      </c>
      <c r="P545" s="44"/>
      <c r="Q545" s="44"/>
    </row>
    <row r="546" spans="1:17" x14ac:dyDescent="0.4">
      <c r="A546" s="70"/>
      <c r="B546" s="46"/>
      <c r="C546" s="46"/>
      <c r="D546" s="34" t="e">
        <f>INDEX('Equipment list'!$B$227:$B$256, (MATCH(C546,'Equipment list'!$D$227:$D$256,0)),1)</f>
        <v>#N/A</v>
      </c>
      <c r="E546" s="34" t="e">
        <f>INDEX('Equipment list'!$C$227:$C$256, (MATCH(C546,'Equipment list'!$D$227:$D$256,0)),1)</f>
        <v>#N/A</v>
      </c>
      <c r="F546" s="34">
        <f t="shared" si="45"/>
        <v>0</v>
      </c>
      <c r="G546" s="34">
        <f t="shared" si="46"/>
        <v>0</v>
      </c>
      <c r="H546" s="34" t="e">
        <f t="shared" si="47"/>
        <v>#N/A</v>
      </c>
      <c r="I546" s="34" t="e">
        <f t="shared" si="48"/>
        <v>#N/A</v>
      </c>
      <c r="J546" s="45"/>
      <c r="K546" s="46"/>
      <c r="L546" s="49"/>
      <c r="M546" s="39"/>
      <c r="N546" s="39"/>
      <c r="O546" s="37">
        <f t="shared" si="49"/>
        <v>0</v>
      </c>
      <c r="P546" s="44"/>
      <c r="Q546" s="44"/>
    </row>
    <row r="547" spans="1:17" x14ac:dyDescent="0.4">
      <c r="A547" s="70"/>
      <c r="B547" s="46"/>
      <c r="C547" s="46"/>
      <c r="D547" s="34" t="e">
        <f>INDEX('Equipment list'!$B$227:$B$256, (MATCH(C547,'Equipment list'!$D$227:$D$256,0)),1)</f>
        <v>#N/A</v>
      </c>
      <c r="E547" s="34" t="e">
        <f>INDEX('Equipment list'!$C$227:$C$256, (MATCH(C547,'Equipment list'!$D$227:$D$256,0)),1)</f>
        <v>#N/A</v>
      </c>
      <c r="F547" s="34">
        <f t="shared" si="45"/>
        <v>0</v>
      </c>
      <c r="G547" s="34">
        <f t="shared" si="46"/>
        <v>0</v>
      </c>
      <c r="H547" s="34" t="e">
        <f t="shared" si="47"/>
        <v>#N/A</v>
      </c>
      <c r="I547" s="34" t="e">
        <f t="shared" si="48"/>
        <v>#N/A</v>
      </c>
      <c r="J547" s="45"/>
      <c r="K547" s="46"/>
      <c r="L547" s="49"/>
      <c r="M547" s="39"/>
      <c r="N547" s="39"/>
      <c r="O547" s="37">
        <f t="shared" si="49"/>
        <v>0</v>
      </c>
      <c r="P547" s="44"/>
      <c r="Q547" s="44"/>
    </row>
    <row r="548" spans="1:17" x14ac:dyDescent="0.4">
      <c r="A548" s="70"/>
      <c r="B548" s="46"/>
      <c r="C548" s="46"/>
      <c r="D548" s="34" t="e">
        <f>INDEX('Equipment list'!$B$227:$B$256, (MATCH(C548,'Equipment list'!$D$227:$D$256,0)),1)</f>
        <v>#N/A</v>
      </c>
      <c r="E548" s="34" t="e">
        <f>INDEX('Equipment list'!$C$227:$C$256, (MATCH(C548,'Equipment list'!$D$227:$D$256,0)),1)</f>
        <v>#N/A</v>
      </c>
      <c r="F548" s="34">
        <f t="shared" si="45"/>
        <v>0</v>
      </c>
      <c r="G548" s="34">
        <f t="shared" si="46"/>
        <v>0</v>
      </c>
      <c r="H548" s="34" t="e">
        <f t="shared" si="47"/>
        <v>#N/A</v>
      </c>
      <c r="I548" s="34" t="e">
        <f t="shared" si="48"/>
        <v>#N/A</v>
      </c>
      <c r="J548" s="45"/>
      <c r="K548" s="46"/>
      <c r="L548" s="49"/>
      <c r="M548" s="39"/>
      <c r="N548" s="39"/>
      <c r="O548" s="37">
        <f t="shared" si="49"/>
        <v>0</v>
      </c>
      <c r="P548" s="44"/>
      <c r="Q548" s="44"/>
    </row>
    <row r="549" spans="1:17" x14ac:dyDescent="0.4">
      <c r="A549" s="70"/>
      <c r="B549" s="46"/>
      <c r="C549" s="46"/>
      <c r="D549" s="34" t="e">
        <f>INDEX('Equipment list'!$B$227:$B$256, (MATCH(C549,'Equipment list'!$D$227:$D$256,0)),1)</f>
        <v>#N/A</v>
      </c>
      <c r="E549" s="34" t="e">
        <f>INDEX('Equipment list'!$C$227:$C$256, (MATCH(C549,'Equipment list'!$D$227:$D$256,0)),1)</f>
        <v>#N/A</v>
      </c>
      <c r="F549" s="34">
        <f t="shared" si="45"/>
        <v>0</v>
      </c>
      <c r="G549" s="34">
        <f t="shared" si="46"/>
        <v>0</v>
      </c>
      <c r="H549" s="34" t="e">
        <f t="shared" si="47"/>
        <v>#N/A</v>
      </c>
      <c r="I549" s="34" t="e">
        <f t="shared" si="48"/>
        <v>#N/A</v>
      </c>
      <c r="J549" s="45"/>
      <c r="K549" s="46"/>
      <c r="L549" s="49"/>
      <c r="M549" s="39"/>
      <c r="N549" s="39"/>
      <c r="O549" s="37">
        <f t="shared" si="49"/>
        <v>0</v>
      </c>
      <c r="P549" s="44"/>
      <c r="Q549" s="44"/>
    </row>
    <row r="550" spans="1:17" x14ac:dyDescent="0.4">
      <c r="A550" s="70"/>
      <c r="B550" s="46"/>
      <c r="C550" s="46"/>
      <c r="D550" s="34" t="e">
        <f>INDEX('Equipment list'!$B$227:$B$256, (MATCH(C550,'Equipment list'!$D$227:$D$256,0)),1)</f>
        <v>#N/A</v>
      </c>
      <c r="E550" s="34" t="e">
        <f>INDEX('Equipment list'!$C$227:$C$256, (MATCH(C550,'Equipment list'!$D$227:$D$256,0)),1)</f>
        <v>#N/A</v>
      </c>
      <c r="F550" s="34">
        <f t="shared" si="45"/>
        <v>0</v>
      </c>
      <c r="G550" s="34">
        <f t="shared" si="46"/>
        <v>0</v>
      </c>
      <c r="H550" s="34" t="e">
        <f t="shared" si="47"/>
        <v>#N/A</v>
      </c>
      <c r="I550" s="34" t="e">
        <f t="shared" si="48"/>
        <v>#N/A</v>
      </c>
      <c r="J550" s="45"/>
      <c r="K550" s="46"/>
      <c r="L550" s="49"/>
      <c r="M550" s="39"/>
      <c r="N550" s="39"/>
      <c r="O550" s="37">
        <f t="shared" si="49"/>
        <v>0</v>
      </c>
      <c r="P550" s="44"/>
      <c r="Q550" s="44"/>
    </row>
    <row r="551" spans="1:17" x14ac:dyDescent="0.4">
      <c r="A551" s="70"/>
      <c r="B551" s="46"/>
      <c r="C551" s="46"/>
      <c r="D551" s="34" t="e">
        <f>INDEX('Equipment list'!$B$227:$B$256, (MATCH(C551,'Equipment list'!$D$227:$D$256,0)),1)</f>
        <v>#N/A</v>
      </c>
      <c r="E551" s="34" t="e">
        <f>INDEX('Equipment list'!$C$227:$C$256, (MATCH(C551,'Equipment list'!$D$227:$D$256,0)),1)</f>
        <v>#N/A</v>
      </c>
      <c r="F551" s="34">
        <f t="shared" si="45"/>
        <v>0</v>
      </c>
      <c r="G551" s="34">
        <f t="shared" si="46"/>
        <v>0</v>
      </c>
      <c r="H551" s="34" t="e">
        <f t="shared" si="47"/>
        <v>#N/A</v>
      </c>
      <c r="I551" s="34" t="e">
        <f t="shared" si="48"/>
        <v>#N/A</v>
      </c>
      <c r="J551" s="45"/>
      <c r="K551" s="46"/>
      <c r="L551" s="49"/>
      <c r="M551" s="39"/>
      <c r="N551" s="39"/>
      <c r="O551" s="37">
        <f t="shared" si="49"/>
        <v>0</v>
      </c>
      <c r="P551" s="44"/>
      <c r="Q551" s="44"/>
    </row>
    <row r="552" spans="1:17" x14ac:dyDescent="0.4">
      <c r="A552" s="70"/>
      <c r="B552" s="46"/>
      <c r="C552" s="46"/>
      <c r="D552" s="34" t="e">
        <f>INDEX('Equipment list'!$B$227:$B$256, (MATCH(C552,'Equipment list'!$D$227:$D$256,0)),1)</f>
        <v>#N/A</v>
      </c>
      <c r="E552" s="34" t="e">
        <f>INDEX('Equipment list'!$C$227:$C$256, (MATCH(C552,'Equipment list'!$D$227:$D$256,0)),1)</f>
        <v>#N/A</v>
      </c>
      <c r="F552" s="34">
        <f t="shared" si="45"/>
        <v>0</v>
      </c>
      <c r="G552" s="34">
        <f t="shared" si="46"/>
        <v>0</v>
      </c>
      <c r="H552" s="34" t="e">
        <f t="shared" si="47"/>
        <v>#N/A</v>
      </c>
      <c r="I552" s="34" t="e">
        <f t="shared" si="48"/>
        <v>#N/A</v>
      </c>
      <c r="J552" s="45"/>
      <c r="K552" s="46"/>
      <c r="L552" s="49"/>
      <c r="M552" s="39"/>
      <c r="N552" s="39"/>
      <c r="O552" s="37">
        <f t="shared" si="49"/>
        <v>0</v>
      </c>
      <c r="P552" s="44"/>
      <c r="Q552" s="44"/>
    </row>
    <row r="553" spans="1:17" x14ac:dyDescent="0.4">
      <c r="A553" s="70"/>
      <c r="B553" s="46"/>
      <c r="C553" s="46"/>
      <c r="D553" s="34" t="e">
        <f>INDEX('Equipment list'!$B$227:$B$256, (MATCH(C553,'Equipment list'!$D$227:$D$256,0)),1)</f>
        <v>#N/A</v>
      </c>
      <c r="E553" s="34" t="e">
        <f>INDEX('Equipment list'!$C$227:$C$256, (MATCH(C553,'Equipment list'!$D$227:$D$256,0)),1)</f>
        <v>#N/A</v>
      </c>
      <c r="F553" s="34">
        <f t="shared" si="45"/>
        <v>0</v>
      </c>
      <c r="G553" s="34">
        <f t="shared" si="46"/>
        <v>0</v>
      </c>
      <c r="H553" s="34" t="e">
        <f t="shared" si="47"/>
        <v>#N/A</v>
      </c>
      <c r="I553" s="34" t="e">
        <f t="shared" si="48"/>
        <v>#N/A</v>
      </c>
      <c r="J553" s="45"/>
      <c r="K553" s="46"/>
      <c r="L553" s="49"/>
      <c r="M553" s="39"/>
      <c r="N553" s="39"/>
      <c r="O553" s="37">
        <f t="shared" si="49"/>
        <v>0</v>
      </c>
      <c r="P553" s="44"/>
      <c r="Q553" s="44"/>
    </row>
    <row r="554" spans="1:17" x14ac:dyDescent="0.4">
      <c r="A554" s="70"/>
      <c r="B554" s="46"/>
      <c r="C554" s="46"/>
      <c r="D554" s="34" t="e">
        <f>INDEX('Equipment list'!$B$227:$B$256, (MATCH(C554,'Equipment list'!$D$227:$D$256,0)),1)</f>
        <v>#N/A</v>
      </c>
      <c r="E554" s="34" t="e">
        <f>INDEX('Equipment list'!$C$227:$C$256, (MATCH(C554,'Equipment list'!$D$227:$D$256,0)),1)</f>
        <v>#N/A</v>
      </c>
      <c r="F554" s="34">
        <f t="shared" si="45"/>
        <v>0</v>
      </c>
      <c r="G554" s="34">
        <f t="shared" si="46"/>
        <v>0</v>
      </c>
      <c r="H554" s="34" t="e">
        <f t="shared" si="47"/>
        <v>#N/A</v>
      </c>
      <c r="I554" s="34" t="e">
        <f t="shared" si="48"/>
        <v>#N/A</v>
      </c>
      <c r="J554" s="45"/>
      <c r="K554" s="46"/>
      <c r="L554" s="49"/>
      <c r="M554" s="39"/>
      <c r="N554" s="39"/>
      <c r="O554" s="37">
        <f t="shared" si="49"/>
        <v>0</v>
      </c>
      <c r="P554" s="44"/>
      <c r="Q554" s="44"/>
    </row>
    <row r="555" spans="1:17" x14ac:dyDescent="0.4">
      <c r="A555" s="70"/>
      <c r="B555" s="46"/>
      <c r="C555" s="46"/>
      <c r="D555" s="34" t="e">
        <f>INDEX('Equipment list'!$B$227:$B$256, (MATCH(C555,'Equipment list'!$D$227:$D$256,0)),1)</f>
        <v>#N/A</v>
      </c>
      <c r="E555" s="34" t="e">
        <f>INDEX('Equipment list'!$C$227:$C$256, (MATCH(C555,'Equipment list'!$D$227:$D$256,0)),1)</f>
        <v>#N/A</v>
      </c>
      <c r="F555" s="34">
        <f t="shared" si="45"/>
        <v>0</v>
      </c>
      <c r="G555" s="34">
        <f t="shared" si="46"/>
        <v>0</v>
      </c>
      <c r="H555" s="34" t="e">
        <f t="shared" si="47"/>
        <v>#N/A</v>
      </c>
      <c r="I555" s="34" t="e">
        <f t="shared" si="48"/>
        <v>#N/A</v>
      </c>
      <c r="J555" s="45"/>
      <c r="K555" s="46"/>
      <c r="L555" s="49"/>
      <c r="M555" s="39"/>
      <c r="N555" s="39"/>
      <c r="O555" s="37">
        <f t="shared" si="49"/>
        <v>0</v>
      </c>
      <c r="P555" s="44"/>
      <c r="Q555" s="44"/>
    </row>
    <row r="556" spans="1:17" x14ac:dyDescent="0.4">
      <c r="A556" s="70"/>
      <c r="B556" s="46"/>
      <c r="C556" s="46"/>
      <c r="D556" s="34" t="e">
        <f>INDEX('Equipment list'!$B$227:$B$256, (MATCH(C556,'Equipment list'!$D$227:$D$256,0)),1)</f>
        <v>#N/A</v>
      </c>
      <c r="E556" s="34" t="e">
        <f>INDEX('Equipment list'!$C$227:$C$256, (MATCH(C556,'Equipment list'!$D$227:$D$256,0)),1)</f>
        <v>#N/A</v>
      </c>
      <c r="F556" s="34">
        <f t="shared" si="45"/>
        <v>0</v>
      </c>
      <c r="G556" s="34">
        <f t="shared" si="46"/>
        <v>0</v>
      </c>
      <c r="H556" s="34" t="e">
        <f t="shared" si="47"/>
        <v>#N/A</v>
      </c>
      <c r="I556" s="34" t="e">
        <f t="shared" si="48"/>
        <v>#N/A</v>
      </c>
      <c r="J556" s="45"/>
      <c r="K556" s="46"/>
      <c r="L556" s="49"/>
      <c r="M556" s="39"/>
      <c r="N556" s="39"/>
      <c r="O556" s="37">
        <f t="shared" si="49"/>
        <v>0</v>
      </c>
      <c r="P556" s="44"/>
      <c r="Q556" s="44"/>
    </row>
    <row r="557" spans="1:17" x14ac:dyDescent="0.4">
      <c r="A557" s="70"/>
      <c r="B557" s="46"/>
      <c r="C557" s="46"/>
      <c r="D557" s="34" t="e">
        <f>INDEX('Equipment list'!$B$227:$B$256, (MATCH(C557,'Equipment list'!$D$227:$D$256,0)),1)</f>
        <v>#N/A</v>
      </c>
      <c r="E557" s="34" t="e">
        <f>INDEX('Equipment list'!$C$227:$C$256, (MATCH(C557,'Equipment list'!$D$227:$D$256,0)),1)</f>
        <v>#N/A</v>
      </c>
      <c r="F557" s="34">
        <f t="shared" si="45"/>
        <v>0</v>
      </c>
      <c r="G557" s="34">
        <f t="shared" si="46"/>
        <v>0</v>
      </c>
      <c r="H557" s="34" t="e">
        <f t="shared" si="47"/>
        <v>#N/A</v>
      </c>
      <c r="I557" s="34" t="e">
        <f t="shared" si="48"/>
        <v>#N/A</v>
      </c>
      <c r="J557" s="45"/>
      <c r="K557" s="46"/>
      <c r="L557" s="49"/>
      <c r="M557" s="39"/>
      <c r="N557" s="39"/>
      <c r="O557" s="37">
        <f t="shared" si="49"/>
        <v>0</v>
      </c>
      <c r="P557" s="44"/>
      <c r="Q557" s="44"/>
    </row>
    <row r="558" spans="1:17" x14ac:dyDescent="0.4">
      <c r="A558" s="70"/>
      <c r="B558" s="46"/>
      <c r="C558" s="46"/>
      <c r="D558" s="34" t="e">
        <f>INDEX('Equipment list'!$B$227:$B$256, (MATCH(C558,'Equipment list'!$D$227:$D$256,0)),1)</f>
        <v>#N/A</v>
      </c>
      <c r="E558" s="34" t="e">
        <f>INDEX('Equipment list'!$C$227:$C$256, (MATCH(C558,'Equipment list'!$D$227:$D$256,0)),1)</f>
        <v>#N/A</v>
      </c>
      <c r="F558" s="34">
        <f t="shared" si="45"/>
        <v>0</v>
      </c>
      <c r="G558" s="34">
        <f t="shared" si="46"/>
        <v>0</v>
      </c>
      <c r="H558" s="34" t="e">
        <f t="shared" si="47"/>
        <v>#N/A</v>
      </c>
      <c r="I558" s="34" t="e">
        <f t="shared" si="48"/>
        <v>#N/A</v>
      </c>
      <c r="J558" s="45"/>
      <c r="K558" s="46"/>
      <c r="L558" s="49"/>
      <c r="M558" s="39"/>
      <c r="N558" s="39"/>
      <c r="O558" s="37">
        <f t="shared" si="49"/>
        <v>0</v>
      </c>
      <c r="P558" s="44"/>
      <c r="Q558" s="44"/>
    </row>
    <row r="559" spans="1:17" x14ac:dyDescent="0.4">
      <c r="A559" s="70"/>
      <c r="B559" s="46"/>
      <c r="C559" s="46"/>
      <c r="D559" s="34" t="e">
        <f>INDEX('Equipment list'!$B$227:$B$256, (MATCH(C559,'Equipment list'!$D$227:$D$256,0)),1)</f>
        <v>#N/A</v>
      </c>
      <c r="E559" s="34" t="e">
        <f>INDEX('Equipment list'!$C$227:$C$256, (MATCH(C559,'Equipment list'!$D$227:$D$256,0)),1)</f>
        <v>#N/A</v>
      </c>
      <c r="F559" s="34">
        <f t="shared" si="45"/>
        <v>0</v>
      </c>
      <c r="G559" s="34">
        <f t="shared" si="46"/>
        <v>0</v>
      </c>
      <c r="H559" s="34" t="e">
        <f t="shared" si="47"/>
        <v>#N/A</v>
      </c>
      <c r="I559" s="34" t="e">
        <f t="shared" si="48"/>
        <v>#N/A</v>
      </c>
      <c r="J559" s="45"/>
      <c r="K559" s="46"/>
      <c r="L559" s="49"/>
      <c r="M559" s="39"/>
      <c r="N559" s="39"/>
      <c r="O559" s="37">
        <f t="shared" si="49"/>
        <v>0</v>
      </c>
      <c r="P559" s="44"/>
      <c r="Q559" s="44"/>
    </row>
    <row r="560" spans="1:17" x14ac:dyDescent="0.4">
      <c r="A560" s="70"/>
      <c r="B560" s="46"/>
      <c r="C560" s="46"/>
      <c r="D560" s="34" t="e">
        <f>INDEX('Equipment list'!$B$227:$B$256, (MATCH(C560,'Equipment list'!$D$227:$D$256,0)),1)</f>
        <v>#N/A</v>
      </c>
      <c r="E560" s="34" t="e">
        <f>INDEX('Equipment list'!$C$227:$C$256, (MATCH(C560,'Equipment list'!$D$227:$D$256,0)),1)</f>
        <v>#N/A</v>
      </c>
      <c r="F560" s="34">
        <f t="shared" si="45"/>
        <v>0</v>
      </c>
      <c r="G560" s="34">
        <f t="shared" si="46"/>
        <v>0</v>
      </c>
      <c r="H560" s="34" t="e">
        <f t="shared" si="47"/>
        <v>#N/A</v>
      </c>
      <c r="I560" s="34" t="e">
        <f t="shared" si="48"/>
        <v>#N/A</v>
      </c>
      <c r="J560" s="45"/>
      <c r="K560" s="46"/>
      <c r="L560" s="49"/>
      <c r="M560" s="39"/>
      <c r="N560" s="39"/>
      <c r="O560" s="37">
        <f t="shared" si="49"/>
        <v>0</v>
      </c>
      <c r="P560" s="44"/>
      <c r="Q560" s="44"/>
    </row>
    <row r="561" spans="1:17" x14ac:dyDescent="0.4">
      <c r="A561" s="70"/>
      <c r="B561" s="46"/>
      <c r="C561" s="46"/>
      <c r="D561" s="34" t="e">
        <f>INDEX('Equipment list'!$B$227:$B$256, (MATCH(C561,'Equipment list'!$D$227:$D$256,0)),1)</f>
        <v>#N/A</v>
      </c>
      <c r="E561" s="34" t="e">
        <f>INDEX('Equipment list'!$C$227:$C$256, (MATCH(C561,'Equipment list'!$D$227:$D$256,0)),1)</f>
        <v>#N/A</v>
      </c>
      <c r="F561" s="34">
        <f t="shared" si="45"/>
        <v>0</v>
      </c>
      <c r="G561" s="34">
        <f t="shared" si="46"/>
        <v>0</v>
      </c>
      <c r="H561" s="34" t="e">
        <f t="shared" si="47"/>
        <v>#N/A</v>
      </c>
      <c r="I561" s="34" t="e">
        <f t="shared" si="48"/>
        <v>#N/A</v>
      </c>
      <c r="J561" s="45"/>
      <c r="K561" s="46"/>
      <c r="L561" s="49"/>
      <c r="M561" s="39"/>
      <c r="N561" s="39"/>
      <c r="O561" s="37">
        <f t="shared" si="49"/>
        <v>0</v>
      </c>
      <c r="P561" s="44"/>
      <c r="Q561" s="44"/>
    </row>
    <row r="562" spans="1:17" x14ac:dyDescent="0.4">
      <c r="A562" s="70"/>
      <c r="B562" s="46"/>
      <c r="C562" s="46"/>
      <c r="D562" s="34" t="e">
        <f>INDEX('Equipment list'!$B$227:$B$256, (MATCH(C562,'Equipment list'!$D$227:$D$256,0)),1)</f>
        <v>#N/A</v>
      </c>
      <c r="E562" s="34" t="e">
        <f>INDEX('Equipment list'!$C$227:$C$256, (MATCH(C562,'Equipment list'!$D$227:$D$256,0)),1)</f>
        <v>#N/A</v>
      </c>
      <c r="F562" s="34">
        <f t="shared" si="45"/>
        <v>0</v>
      </c>
      <c r="G562" s="34">
        <f t="shared" si="46"/>
        <v>0</v>
      </c>
      <c r="H562" s="34" t="e">
        <f t="shared" si="47"/>
        <v>#N/A</v>
      </c>
      <c r="I562" s="34" t="e">
        <f t="shared" si="48"/>
        <v>#N/A</v>
      </c>
      <c r="J562" s="45"/>
      <c r="K562" s="46"/>
      <c r="L562" s="49"/>
      <c r="M562" s="39"/>
      <c r="N562" s="39"/>
      <c r="O562" s="37">
        <f t="shared" si="49"/>
        <v>0</v>
      </c>
      <c r="P562" s="44"/>
      <c r="Q562" s="44"/>
    </row>
    <row r="563" spans="1:17" x14ac:dyDescent="0.4">
      <c r="A563" s="70"/>
      <c r="B563" s="46"/>
      <c r="C563" s="46"/>
      <c r="D563" s="34" t="e">
        <f>INDEX('Equipment list'!$B$227:$B$256, (MATCH(C563,'Equipment list'!$D$227:$D$256,0)),1)</f>
        <v>#N/A</v>
      </c>
      <c r="E563" s="34" t="e">
        <f>INDEX('Equipment list'!$C$227:$C$256, (MATCH(C563,'Equipment list'!$D$227:$D$256,0)),1)</f>
        <v>#N/A</v>
      </c>
      <c r="F563" s="34">
        <f t="shared" si="45"/>
        <v>0</v>
      </c>
      <c r="G563" s="34">
        <f t="shared" si="46"/>
        <v>0</v>
      </c>
      <c r="H563" s="34" t="e">
        <f t="shared" si="47"/>
        <v>#N/A</v>
      </c>
      <c r="I563" s="34" t="e">
        <f t="shared" si="48"/>
        <v>#N/A</v>
      </c>
      <c r="J563" s="45"/>
      <c r="K563" s="46"/>
      <c r="L563" s="49"/>
      <c r="M563" s="39"/>
      <c r="N563" s="39"/>
      <c r="O563" s="37">
        <f t="shared" si="49"/>
        <v>0</v>
      </c>
      <c r="P563" s="44"/>
      <c r="Q563" s="44"/>
    </row>
    <row r="564" spans="1:17" x14ac:dyDescent="0.4">
      <c r="A564" s="70"/>
      <c r="B564" s="46"/>
      <c r="C564" s="46"/>
      <c r="D564" s="34" t="e">
        <f>INDEX('Equipment list'!$B$227:$B$256, (MATCH(C564,'Equipment list'!$D$227:$D$256,0)),1)</f>
        <v>#N/A</v>
      </c>
      <c r="E564" s="34" t="e">
        <f>INDEX('Equipment list'!$C$227:$C$256, (MATCH(C564,'Equipment list'!$D$227:$D$256,0)),1)</f>
        <v>#N/A</v>
      </c>
      <c r="F564" s="34">
        <f t="shared" si="45"/>
        <v>0</v>
      </c>
      <c r="G564" s="34">
        <f t="shared" si="46"/>
        <v>0</v>
      </c>
      <c r="H564" s="34" t="e">
        <f t="shared" si="47"/>
        <v>#N/A</v>
      </c>
      <c r="I564" s="34" t="e">
        <f t="shared" si="48"/>
        <v>#N/A</v>
      </c>
      <c r="J564" s="45"/>
      <c r="K564" s="46"/>
      <c r="L564" s="49"/>
      <c r="M564" s="39"/>
      <c r="N564" s="39"/>
      <c r="O564" s="37">
        <f t="shared" si="49"/>
        <v>0</v>
      </c>
      <c r="P564" s="44"/>
      <c r="Q564" s="44"/>
    </row>
    <row r="565" spans="1:17" x14ac:dyDescent="0.4">
      <c r="A565" s="70"/>
      <c r="B565" s="46"/>
      <c r="C565" s="46"/>
      <c r="D565" s="34" t="e">
        <f>INDEX('Equipment list'!$B$227:$B$256, (MATCH(C565,'Equipment list'!$D$227:$D$256,0)),1)</f>
        <v>#N/A</v>
      </c>
      <c r="E565" s="34" t="e">
        <f>INDEX('Equipment list'!$C$227:$C$256, (MATCH(C565,'Equipment list'!$D$227:$D$256,0)),1)</f>
        <v>#N/A</v>
      </c>
      <c r="F565" s="34">
        <f t="shared" si="45"/>
        <v>0</v>
      </c>
      <c r="G565" s="34">
        <f t="shared" si="46"/>
        <v>0</v>
      </c>
      <c r="H565" s="34" t="e">
        <f t="shared" si="47"/>
        <v>#N/A</v>
      </c>
      <c r="I565" s="34" t="e">
        <f t="shared" si="48"/>
        <v>#N/A</v>
      </c>
      <c r="J565" s="45"/>
      <c r="K565" s="46"/>
      <c r="L565" s="49"/>
      <c r="M565" s="39"/>
      <c r="N565" s="39"/>
      <c r="O565" s="37">
        <f t="shared" si="49"/>
        <v>0</v>
      </c>
      <c r="P565" s="44"/>
      <c r="Q565" s="44"/>
    </row>
    <row r="566" spans="1:17" x14ac:dyDescent="0.4">
      <c r="A566" s="70"/>
      <c r="B566" s="46"/>
      <c r="C566" s="46"/>
      <c r="D566" s="34" t="e">
        <f>INDEX('Equipment list'!$B$227:$B$256, (MATCH(C566,'Equipment list'!$D$227:$D$256,0)),1)</f>
        <v>#N/A</v>
      </c>
      <c r="E566" s="34" t="e">
        <f>INDEX('Equipment list'!$C$227:$C$256, (MATCH(C566,'Equipment list'!$D$227:$D$256,0)),1)</f>
        <v>#N/A</v>
      </c>
      <c r="F566" s="34">
        <f t="shared" si="45"/>
        <v>0</v>
      </c>
      <c r="G566" s="34">
        <f t="shared" si="46"/>
        <v>0</v>
      </c>
      <c r="H566" s="34" t="e">
        <f t="shared" si="47"/>
        <v>#N/A</v>
      </c>
      <c r="I566" s="34" t="e">
        <f t="shared" si="48"/>
        <v>#N/A</v>
      </c>
      <c r="J566" s="45"/>
      <c r="K566" s="46"/>
      <c r="L566" s="49"/>
      <c r="M566" s="39"/>
      <c r="N566" s="39"/>
      <c r="O566" s="37">
        <f t="shared" si="49"/>
        <v>0</v>
      </c>
      <c r="P566" s="44"/>
      <c r="Q566" s="44"/>
    </row>
    <row r="567" spans="1:17" x14ac:dyDescent="0.4">
      <c r="A567" s="70"/>
      <c r="B567" s="46"/>
      <c r="C567" s="46"/>
      <c r="D567" s="34" t="e">
        <f>INDEX('Equipment list'!$B$227:$B$256, (MATCH(C567,'Equipment list'!$D$227:$D$256,0)),1)</f>
        <v>#N/A</v>
      </c>
      <c r="E567" s="34" t="e">
        <f>INDEX('Equipment list'!$C$227:$C$256, (MATCH(C567,'Equipment list'!$D$227:$D$256,0)),1)</f>
        <v>#N/A</v>
      </c>
      <c r="F567" s="34">
        <f t="shared" si="45"/>
        <v>0</v>
      </c>
      <c r="G567" s="34">
        <f t="shared" si="46"/>
        <v>0</v>
      </c>
      <c r="H567" s="34" t="e">
        <f t="shared" si="47"/>
        <v>#N/A</v>
      </c>
      <c r="I567" s="34" t="e">
        <f t="shared" si="48"/>
        <v>#N/A</v>
      </c>
      <c r="J567" s="45"/>
      <c r="K567" s="46"/>
      <c r="L567" s="49"/>
      <c r="M567" s="39"/>
      <c r="N567" s="39"/>
      <c r="O567" s="37">
        <f t="shared" si="49"/>
        <v>0</v>
      </c>
      <c r="P567" s="44"/>
      <c r="Q567" s="44"/>
    </row>
    <row r="568" spans="1:17" x14ac:dyDescent="0.4">
      <c r="A568" s="70"/>
      <c r="B568" s="46"/>
      <c r="C568" s="46"/>
      <c r="D568" s="34" t="e">
        <f>INDEX('Equipment list'!$B$227:$B$256, (MATCH(C568,'Equipment list'!$D$227:$D$256,0)),1)</f>
        <v>#N/A</v>
      </c>
      <c r="E568" s="34" t="e">
        <f>INDEX('Equipment list'!$C$227:$C$256, (MATCH(C568,'Equipment list'!$D$227:$D$256,0)),1)</f>
        <v>#N/A</v>
      </c>
      <c r="F568" s="34">
        <f t="shared" si="45"/>
        <v>0</v>
      </c>
      <c r="G568" s="34">
        <f t="shared" si="46"/>
        <v>0</v>
      </c>
      <c r="H568" s="34" t="e">
        <f t="shared" si="47"/>
        <v>#N/A</v>
      </c>
      <c r="I568" s="34" t="e">
        <f t="shared" si="48"/>
        <v>#N/A</v>
      </c>
      <c r="J568" s="45"/>
      <c r="K568" s="46"/>
      <c r="L568" s="49"/>
      <c r="M568" s="39"/>
      <c r="N568" s="39"/>
      <c r="O568" s="37">
        <f t="shared" si="49"/>
        <v>0</v>
      </c>
      <c r="P568" s="44"/>
      <c r="Q568" s="44"/>
    </row>
    <row r="569" spans="1:17" x14ac:dyDescent="0.4">
      <c r="A569" s="70"/>
      <c r="B569" s="46"/>
      <c r="C569" s="46"/>
      <c r="D569" s="34" t="e">
        <f>INDEX('Equipment list'!$B$227:$B$256, (MATCH(C569,'Equipment list'!$D$227:$D$256,0)),1)</f>
        <v>#N/A</v>
      </c>
      <c r="E569" s="34" t="e">
        <f>INDEX('Equipment list'!$C$227:$C$256, (MATCH(C569,'Equipment list'!$D$227:$D$256,0)),1)</f>
        <v>#N/A</v>
      </c>
      <c r="F569" s="34">
        <f t="shared" si="45"/>
        <v>0</v>
      </c>
      <c r="G569" s="34">
        <f t="shared" si="46"/>
        <v>0</v>
      </c>
      <c r="H569" s="34" t="e">
        <f t="shared" si="47"/>
        <v>#N/A</v>
      </c>
      <c r="I569" s="34" t="e">
        <f t="shared" si="48"/>
        <v>#N/A</v>
      </c>
      <c r="J569" s="45"/>
      <c r="K569" s="46"/>
      <c r="L569" s="49"/>
      <c r="M569" s="39"/>
      <c r="N569" s="39"/>
      <c r="O569" s="37">
        <f t="shared" si="49"/>
        <v>0</v>
      </c>
      <c r="P569" s="44"/>
      <c r="Q569" s="44"/>
    </row>
    <row r="570" spans="1:17" x14ac:dyDescent="0.4">
      <c r="A570" s="70"/>
      <c r="B570" s="46"/>
      <c r="C570" s="46"/>
      <c r="D570" s="34" t="e">
        <f>INDEX('Equipment list'!$B$227:$B$256, (MATCH(C570,'Equipment list'!$D$227:$D$256,0)),1)</f>
        <v>#N/A</v>
      </c>
      <c r="E570" s="34" t="e">
        <f>INDEX('Equipment list'!$C$227:$C$256, (MATCH(C570,'Equipment list'!$D$227:$D$256,0)),1)</f>
        <v>#N/A</v>
      </c>
      <c r="F570" s="34">
        <f t="shared" si="45"/>
        <v>0</v>
      </c>
      <c r="G570" s="34">
        <f t="shared" si="46"/>
        <v>0</v>
      </c>
      <c r="H570" s="34" t="e">
        <f t="shared" si="47"/>
        <v>#N/A</v>
      </c>
      <c r="I570" s="34" t="e">
        <f t="shared" si="48"/>
        <v>#N/A</v>
      </c>
      <c r="J570" s="45"/>
      <c r="K570" s="46"/>
      <c r="L570" s="49"/>
      <c r="M570" s="39"/>
      <c r="N570" s="39"/>
      <c r="O570" s="37">
        <f t="shared" si="49"/>
        <v>0</v>
      </c>
      <c r="P570" s="44"/>
      <c r="Q570" s="44"/>
    </row>
    <row r="571" spans="1:17" x14ac:dyDescent="0.4">
      <c r="A571" s="70"/>
      <c r="B571" s="46"/>
      <c r="C571" s="46"/>
      <c r="D571" s="34" t="e">
        <f>INDEX('Equipment list'!$B$227:$B$256, (MATCH(C571,'Equipment list'!$D$227:$D$256,0)),1)</f>
        <v>#N/A</v>
      </c>
      <c r="E571" s="34" t="e">
        <f>INDEX('Equipment list'!$C$227:$C$256, (MATCH(C571,'Equipment list'!$D$227:$D$256,0)),1)</f>
        <v>#N/A</v>
      </c>
      <c r="F571" s="34">
        <f t="shared" si="45"/>
        <v>0</v>
      </c>
      <c r="G571" s="34">
        <f t="shared" si="46"/>
        <v>0</v>
      </c>
      <c r="H571" s="34" t="e">
        <f t="shared" si="47"/>
        <v>#N/A</v>
      </c>
      <c r="I571" s="34" t="e">
        <f t="shared" si="48"/>
        <v>#N/A</v>
      </c>
      <c r="J571" s="45"/>
      <c r="K571" s="46"/>
      <c r="L571" s="49"/>
      <c r="M571" s="39"/>
      <c r="N571" s="39"/>
      <c r="O571" s="37">
        <f t="shared" si="49"/>
        <v>0</v>
      </c>
      <c r="P571" s="44"/>
      <c r="Q571" s="44"/>
    </row>
    <row r="572" spans="1:17" x14ac:dyDescent="0.4">
      <c r="A572" s="70"/>
      <c r="B572" s="46"/>
      <c r="C572" s="46"/>
      <c r="D572" s="34" t="e">
        <f>INDEX('Equipment list'!$B$227:$B$256, (MATCH(C572,'Equipment list'!$D$227:$D$256,0)),1)</f>
        <v>#N/A</v>
      </c>
      <c r="E572" s="34" t="e">
        <f>INDEX('Equipment list'!$C$227:$C$256, (MATCH(C572,'Equipment list'!$D$227:$D$256,0)),1)</f>
        <v>#N/A</v>
      </c>
      <c r="F572" s="34">
        <f t="shared" si="45"/>
        <v>0</v>
      </c>
      <c r="G572" s="34">
        <f t="shared" si="46"/>
        <v>0</v>
      </c>
      <c r="H572" s="34" t="e">
        <f t="shared" si="47"/>
        <v>#N/A</v>
      </c>
      <c r="I572" s="34" t="e">
        <f t="shared" si="48"/>
        <v>#N/A</v>
      </c>
      <c r="J572" s="45"/>
      <c r="K572" s="46"/>
      <c r="L572" s="49"/>
      <c r="M572" s="39"/>
      <c r="N572" s="39"/>
      <c r="O572" s="37">
        <f t="shared" si="49"/>
        <v>0</v>
      </c>
      <c r="P572" s="44"/>
      <c r="Q572" s="44"/>
    </row>
    <row r="573" spans="1:17" x14ac:dyDescent="0.4">
      <c r="A573" s="70"/>
      <c r="B573" s="46"/>
      <c r="C573" s="46"/>
      <c r="D573" s="34" t="e">
        <f>INDEX('Equipment list'!$B$227:$B$256, (MATCH(C573,'Equipment list'!$D$227:$D$256,0)),1)</f>
        <v>#N/A</v>
      </c>
      <c r="E573" s="34" t="e">
        <f>INDEX('Equipment list'!$C$227:$C$256, (MATCH(C573,'Equipment list'!$D$227:$D$256,0)),1)</f>
        <v>#N/A</v>
      </c>
      <c r="F573" s="34">
        <f t="shared" si="45"/>
        <v>0</v>
      </c>
      <c r="G573" s="34">
        <f t="shared" si="46"/>
        <v>0</v>
      </c>
      <c r="H573" s="34" t="e">
        <f t="shared" si="47"/>
        <v>#N/A</v>
      </c>
      <c r="I573" s="34" t="e">
        <f t="shared" si="48"/>
        <v>#N/A</v>
      </c>
      <c r="J573" s="45"/>
      <c r="K573" s="46"/>
      <c r="L573" s="49"/>
      <c r="M573" s="39"/>
      <c r="N573" s="39"/>
      <c r="O573" s="37">
        <f t="shared" si="49"/>
        <v>0</v>
      </c>
      <c r="P573" s="44"/>
      <c r="Q573" s="44"/>
    </row>
    <row r="574" spans="1:17" x14ac:dyDescent="0.4">
      <c r="A574" s="70"/>
      <c r="B574" s="46"/>
      <c r="C574" s="46"/>
      <c r="D574" s="34" t="e">
        <f>INDEX('Equipment list'!$B$227:$B$256, (MATCH(C574,'Equipment list'!$D$227:$D$256,0)),1)</f>
        <v>#N/A</v>
      </c>
      <c r="E574" s="34" t="e">
        <f>INDEX('Equipment list'!$C$227:$C$256, (MATCH(C574,'Equipment list'!$D$227:$D$256,0)),1)</f>
        <v>#N/A</v>
      </c>
      <c r="F574" s="34">
        <f t="shared" si="45"/>
        <v>0</v>
      </c>
      <c r="G574" s="34">
        <f t="shared" si="46"/>
        <v>0</v>
      </c>
      <c r="H574" s="34" t="e">
        <f t="shared" si="47"/>
        <v>#N/A</v>
      </c>
      <c r="I574" s="34" t="e">
        <f t="shared" si="48"/>
        <v>#N/A</v>
      </c>
      <c r="J574" s="45"/>
      <c r="K574" s="46"/>
      <c r="L574" s="49"/>
      <c r="M574" s="39"/>
      <c r="N574" s="39"/>
      <c r="O574" s="37">
        <f t="shared" si="49"/>
        <v>0</v>
      </c>
      <c r="P574" s="44"/>
      <c r="Q574" s="44"/>
    </row>
    <row r="575" spans="1:17" x14ac:dyDescent="0.4">
      <c r="A575" s="70"/>
      <c r="B575" s="46"/>
      <c r="C575" s="46"/>
      <c r="D575" s="34" t="e">
        <f>INDEX('Equipment list'!$B$227:$B$256, (MATCH(C575,'Equipment list'!$D$227:$D$256,0)),1)</f>
        <v>#N/A</v>
      </c>
      <c r="E575" s="34" t="e">
        <f>INDEX('Equipment list'!$C$227:$C$256, (MATCH(C575,'Equipment list'!$D$227:$D$256,0)),1)</f>
        <v>#N/A</v>
      </c>
      <c r="F575" s="34">
        <f t="shared" si="45"/>
        <v>0</v>
      </c>
      <c r="G575" s="34">
        <f t="shared" si="46"/>
        <v>0</v>
      </c>
      <c r="H575" s="34" t="e">
        <f t="shared" si="47"/>
        <v>#N/A</v>
      </c>
      <c r="I575" s="34" t="e">
        <f t="shared" si="48"/>
        <v>#N/A</v>
      </c>
      <c r="J575" s="45"/>
      <c r="K575" s="46"/>
      <c r="L575" s="49"/>
      <c r="M575" s="39"/>
      <c r="N575" s="39"/>
      <c r="O575" s="37">
        <f t="shared" si="49"/>
        <v>0</v>
      </c>
      <c r="P575" s="44"/>
      <c r="Q575" s="44"/>
    </row>
    <row r="576" spans="1:17" x14ac:dyDescent="0.4">
      <c r="A576" s="70"/>
      <c r="B576" s="46"/>
      <c r="C576" s="46"/>
      <c r="D576" s="34" t="e">
        <f>INDEX('Equipment list'!$B$227:$B$256, (MATCH(C576,'Equipment list'!$D$227:$D$256,0)),1)</f>
        <v>#N/A</v>
      </c>
      <c r="E576" s="34" t="e">
        <f>INDEX('Equipment list'!$C$227:$C$256, (MATCH(C576,'Equipment list'!$D$227:$D$256,0)),1)</f>
        <v>#N/A</v>
      </c>
      <c r="F576" s="34">
        <f t="shared" si="45"/>
        <v>0</v>
      </c>
      <c r="G576" s="34">
        <f t="shared" si="46"/>
        <v>0</v>
      </c>
      <c r="H576" s="34" t="e">
        <f t="shared" si="47"/>
        <v>#N/A</v>
      </c>
      <c r="I576" s="34" t="e">
        <f t="shared" si="48"/>
        <v>#N/A</v>
      </c>
      <c r="J576" s="45"/>
      <c r="K576" s="46"/>
      <c r="L576" s="49"/>
      <c r="M576" s="39"/>
      <c r="N576" s="39"/>
      <c r="O576" s="37">
        <f t="shared" si="49"/>
        <v>0</v>
      </c>
      <c r="P576" s="44"/>
      <c r="Q576" s="44"/>
    </row>
    <row r="577" spans="1:17" x14ac:dyDescent="0.4">
      <c r="A577" s="70"/>
      <c r="B577" s="46"/>
      <c r="C577" s="46"/>
      <c r="D577" s="34" t="e">
        <f>INDEX('Equipment list'!$B$227:$B$256, (MATCH(C577,'Equipment list'!$D$227:$D$256,0)),1)</f>
        <v>#N/A</v>
      </c>
      <c r="E577" s="34" t="e">
        <f>INDEX('Equipment list'!$C$227:$C$256, (MATCH(C577,'Equipment list'!$D$227:$D$256,0)),1)</f>
        <v>#N/A</v>
      </c>
      <c r="F577" s="34">
        <f t="shared" si="45"/>
        <v>0</v>
      </c>
      <c r="G577" s="34">
        <f t="shared" si="46"/>
        <v>0</v>
      </c>
      <c r="H577" s="34" t="e">
        <f t="shared" si="47"/>
        <v>#N/A</v>
      </c>
      <c r="I577" s="34" t="e">
        <f t="shared" si="48"/>
        <v>#N/A</v>
      </c>
      <c r="J577" s="45"/>
      <c r="K577" s="46"/>
      <c r="L577" s="49"/>
      <c r="M577" s="39"/>
      <c r="N577" s="39"/>
      <c r="O577" s="37">
        <f t="shared" si="49"/>
        <v>0</v>
      </c>
      <c r="P577" s="44"/>
      <c r="Q577" s="44"/>
    </row>
    <row r="578" spans="1:17" x14ac:dyDescent="0.4">
      <c r="A578" s="70"/>
      <c r="B578" s="46"/>
      <c r="C578" s="46"/>
      <c r="D578" s="34" t="e">
        <f>INDEX('Equipment list'!$B$227:$B$256, (MATCH(C578,'Equipment list'!$D$227:$D$256,0)),1)</f>
        <v>#N/A</v>
      </c>
      <c r="E578" s="34" t="e">
        <f>INDEX('Equipment list'!$C$227:$C$256, (MATCH(C578,'Equipment list'!$D$227:$D$256,0)),1)</f>
        <v>#N/A</v>
      </c>
      <c r="F578" s="34">
        <f t="shared" si="45"/>
        <v>0</v>
      </c>
      <c r="G578" s="34">
        <f t="shared" si="46"/>
        <v>0</v>
      </c>
      <c r="H578" s="34" t="e">
        <f t="shared" si="47"/>
        <v>#N/A</v>
      </c>
      <c r="I578" s="34" t="e">
        <f t="shared" si="48"/>
        <v>#N/A</v>
      </c>
      <c r="J578" s="45"/>
      <c r="K578" s="46"/>
      <c r="L578" s="49"/>
      <c r="M578" s="39"/>
      <c r="N578" s="39"/>
      <c r="O578" s="37">
        <f t="shared" si="49"/>
        <v>0</v>
      </c>
      <c r="P578" s="44"/>
      <c r="Q578" s="44"/>
    </row>
    <row r="579" spans="1:17" x14ac:dyDescent="0.4">
      <c r="A579" s="70"/>
      <c r="B579" s="46"/>
      <c r="C579" s="46"/>
      <c r="D579" s="34" t="e">
        <f>INDEX('Equipment list'!$B$227:$B$256, (MATCH(C579,'Equipment list'!$D$227:$D$256,0)),1)</f>
        <v>#N/A</v>
      </c>
      <c r="E579" s="34" t="e">
        <f>INDEX('Equipment list'!$C$227:$C$256, (MATCH(C579,'Equipment list'!$D$227:$D$256,0)),1)</f>
        <v>#N/A</v>
      </c>
      <c r="F579" s="34">
        <f t="shared" si="45"/>
        <v>0</v>
      </c>
      <c r="G579" s="34">
        <f t="shared" si="46"/>
        <v>0</v>
      </c>
      <c r="H579" s="34" t="e">
        <f t="shared" si="47"/>
        <v>#N/A</v>
      </c>
      <c r="I579" s="34" t="e">
        <f t="shared" si="48"/>
        <v>#N/A</v>
      </c>
      <c r="J579" s="45"/>
      <c r="K579" s="46"/>
      <c r="L579" s="49"/>
      <c r="M579" s="39"/>
      <c r="N579" s="39"/>
      <c r="O579" s="37">
        <f t="shared" si="49"/>
        <v>0</v>
      </c>
      <c r="P579" s="44"/>
      <c r="Q579" s="44"/>
    </row>
    <row r="580" spans="1:17" x14ac:dyDescent="0.4">
      <c r="A580" s="70"/>
      <c r="B580" s="46"/>
      <c r="C580" s="46"/>
      <c r="D580" s="34" t="e">
        <f>INDEX('Equipment list'!$B$227:$B$256, (MATCH(C580,'Equipment list'!$D$227:$D$256,0)),1)</f>
        <v>#N/A</v>
      </c>
      <c r="E580" s="34" t="e">
        <f>INDEX('Equipment list'!$C$227:$C$256, (MATCH(C580,'Equipment list'!$D$227:$D$256,0)),1)</f>
        <v>#N/A</v>
      </c>
      <c r="F580" s="34">
        <f t="shared" si="45"/>
        <v>0</v>
      </c>
      <c r="G580" s="34">
        <f t="shared" si="46"/>
        <v>0</v>
      </c>
      <c r="H580" s="34" t="e">
        <f t="shared" si="47"/>
        <v>#N/A</v>
      </c>
      <c r="I580" s="34" t="e">
        <f t="shared" si="48"/>
        <v>#N/A</v>
      </c>
      <c r="J580" s="45"/>
      <c r="K580" s="46"/>
      <c r="L580" s="49"/>
      <c r="M580" s="39"/>
      <c r="N580" s="39"/>
      <c r="O580" s="37">
        <f t="shared" si="49"/>
        <v>0</v>
      </c>
      <c r="P580" s="44"/>
      <c r="Q580" s="44"/>
    </row>
    <row r="581" spans="1:17" x14ac:dyDescent="0.4">
      <c r="A581" s="70"/>
      <c r="B581" s="46"/>
      <c r="C581" s="46"/>
      <c r="D581" s="34" t="e">
        <f>INDEX('Equipment list'!$B$227:$B$256, (MATCH(C581,'Equipment list'!$D$227:$D$256,0)),1)</f>
        <v>#N/A</v>
      </c>
      <c r="E581" s="34" t="e">
        <f>INDEX('Equipment list'!$C$227:$C$256, (MATCH(C581,'Equipment list'!$D$227:$D$256,0)),1)</f>
        <v>#N/A</v>
      </c>
      <c r="F581" s="34">
        <f t="shared" si="45"/>
        <v>0</v>
      </c>
      <c r="G581" s="34">
        <f t="shared" si="46"/>
        <v>0</v>
      </c>
      <c r="H581" s="34" t="e">
        <f t="shared" si="47"/>
        <v>#N/A</v>
      </c>
      <c r="I581" s="34" t="e">
        <f t="shared" si="48"/>
        <v>#N/A</v>
      </c>
      <c r="J581" s="45"/>
      <c r="K581" s="46"/>
      <c r="L581" s="49"/>
      <c r="M581" s="39"/>
      <c r="N581" s="39"/>
      <c r="O581" s="37">
        <f t="shared" si="49"/>
        <v>0</v>
      </c>
      <c r="P581" s="44"/>
      <c r="Q581" s="44"/>
    </row>
    <row r="582" spans="1:17" x14ac:dyDescent="0.4">
      <c r="A582" s="70"/>
      <c r="B582" s="46"/>
      <c r="C582" s="46"/>
      <c r="D582" s="34" t="e">
        <f>INDEX('Equipment list'!$B$227:$B$256, (MATCH(C582,'Equipment list'!$D$227:$D$256,0)),1)</f>
        <v>#N/A</v>
      </c>
      <c r="E582" s="34" t="e">
        <f>INDEX('Equipment list'!$C$227:$C$256, (MATCH(C582,'Equipment list'!$D$227:$D$256,0)),1)</f>
        <v>#N/A</v>
      </c>
      <c r="F582" s="34">
        <f t="shared" ref="F582:F645" si="50">P582*4</f>
        <v>0</v>
      </c>
      <c r="G582" s="34">
        <f t="shared" ref="G582:G645" si="51">Q582*4</f>
        <v>0</v>
      </c>
      <c r="H582" s="34" t="e">
        <f t="shared" ref="H582:H645" si="52">(F582-D582)/D582*100</f>
        <v>#N/A</v>
      </c>
      <c r="I582" s="34" t="e">
        <f t="shared" ref="I582:I645" si="53">(G582-E582)/E582*100</f>
        <v>#N/A</v>
      </c>
      <c r="J582" s="45"/>
      <c r="K582" s="46"/>
      <c r="L582" s="49"/>
      <c r="M582" s="39"/>
      <c r="N582" s="39"/>
      <c r="O582" s="37">
        <f t="shared" ref="O582:O645" si="54">C582</f>
        <v>0</v>
      </c>
      <c r="P582" s="44"/>
      <c r="Q582" s="44"/>
    </row>
    <row r="583" spans="1:17" x14ac:dyDescent="0.4">
      <c r="A583" s="70"/>
      <c r="B583" s="46"/>
      <c r="C583" s="46"/>
      <c r="D583" s="34" t="e">
        <f>INDEX('Equipment list'!$B$227:$B$256, (MATCH(C583,'Equipment list'!$D$227:$D$256,0)),1)</f>
        <v>#N/A</v>
      </c>
      <c r="E583" s="34" t="e">
        <f>INDEX('Equipment list'!$C$227:$C$256, (MATCH(C583,'Equipment list'!$D$227:$D$256,0)),1)</f>
        <v>#N/A</v>
      </c>
      <c r="F583" s="34">
        <f t="shared" si="50"/>
        <v>0</v>
      </c>
      <c r="G583" s="34">
        <f t="shared" si="51"/>
        <v>0</v>
      </c>
      <c r="H583" s="34" t="e">
        <f t="shared" si="52"/>
        <v>#N/A</v>
      </c>
      <c r="I583" s="34" t="e">
        <f t="shared" si="53"/>
        <v>#N/A</v>
      </c>
      <c r="J583" s="45"/>
      <c r="K583" s="46"/>
      <c r="L583" s="49"/>
      <c r="M583" s="39"/>
      <c r="N583" s="39"/>
      <c r="O583" s="37">
        <f t="shared" si="54"/>
        <v>0</v>
      </c>
      <c r="P583" s="44"/>
      <c r="Q583" s="44"/>
    </row>
    <row r="584" spans="1:17" x14ac:dyDescent="0.4">
      <c r="A584" s="70"/>
      <c r="B584" s="46"/>
      <c r="C584" s="46"/>
      <c r="D584" s="34" t="e">
        <f>INDEX('Equipment list'!$B$227:$B$256, (MATCH(C584,'Equipment list'!$D$227:$D$256,0)),1)</f>
        <v>#N/A</v>
      </c>
      <c r="E584" s="34" t="e">
        <f>INDEX('Equipment list'!$C$227:$C$256, (MATCH(C584,'Equipment list'!$D$227:$D$256,0)),1)</f>
        <v>#N/A</v>
      </c>
      <c r="F584" s="34">
        <f t="shared" si="50"/>
        <v>0</v>
      </c>
      <c r="G584" s="34">
        <f t="shared" si="51"/>
        <v>0</v>
      </c>
      <c r="H584" s="34" t="e">
        <f t="shared" si="52"/>
        <v>#N/A</v>
      </c>
      <c r="I584" s="34" t="e">
        <f t="shared" si="53"/>
        <v>#N/A</v>
      </c>
      <c r="J584" s="45"/>
      <c r="K584" s="46"/>
      <c r="L584" s="49"/>
      <c r="M584" s="39"/>
      <c r="N584" s="39"/>
      <c r="O584" s="37">
        <f t="shared" si="54"/>
        <v>0</v>
      </c>
      <c r="P584" s="44"/>
      <c r="Q584" s="44"/>
    </row>
    <row r="585" spans="1:17" x14ac:dyDescent="0.4">
      <c r="A585" s="70"/>
      <c r="B585" s="46"/>
      <c r="C585" s="46"/>
      <c r="D585" s="34" t="e">
        <f>INDEX('Equipment list'!$B$227:$B$256, (MATCH(C585,'Equipment list'!$D$227:$D$256,0)),1)</f>
        <v>#N/A</v>
      </c>
      <c r="E585" s="34" t="e">
        <f>INDEX('Equipment list'!$C$227:$C$256, (MATCH(C585,'Equipment list'!$D$227:$D$256,0)),1)</f>
        <v>#N/A</v>
      </c>
      <c r="F585" s="34">
        <f t="shared" si="50"/>
        <v>0</v>
      </c>
      <c r="G585" s="34">
        <f t="shared" si="51"/>
        <v>0</v>
      </c>
      <c r="H585" s="34" t="e">
        <f t="shared" si="52"/>
        <v>#N/A</v>
      </c>
      <c r="I585" s="34" t="e">
        <f t="shared" si="53"/>
        <v>#N/A</v>
      </c>
      <c r="J585" s="45"/>
      <c r="K585" s="46"/>
      <c r="L585" s="49"/>
      <c r="M585" s="39"/>
      <c r="N585" s="39"/>
      <c r="O585" s="37">
        <f t="shared" si="54"/>
        <v>0</v>
      </c>
      <c r="P585" s="44"/>
      <c r="Q585" s="44"/>
    </row>
    <row r="586" spans="1:17" x14ac:dyDescent="0.4">
      <c r="A586" s="70"/>
      <c r="B586" s="46"/>
      <c r="C586" s="46"/>
      <c r="D586" s="34" t="e">
        <f>INDEX('Equipment list'!$B$227:$B$256, (MATCH(C586,'Equipment list'!$D$227:$D$256,0)),1)</f>
        <v>#N/A</v>
      </c>
      <c r="E586" s="34" t="e">
        <f>INDEX('Equipment list'!$C$227:$C$256, (MATCH(C586,'Equipment list'!$D$227:$D$256,0)),1)</f>
        <v>#N/A</v>
      </c>
      <c r="F586" s="34">
        <f t="shared" si="50"/>
        <v>0</v>
      </c>
      <c r="G586" s="34">
        <f t="shared" si="51"/>
        <v>0</v>
      </c>
      <c r="H586" s="34" t="e">
        <f t="shared" si="52"/>
        <v>#N/A</v>
      </c>
      <c r="I586" s="34" t="e">
        <f t="shared" si="53"/>
        <v>#N/A</v>
      </c>
      <c r="J586" s="45"/>
      <c r="K586" s="46"/>
      <c r="L586" s="49"/>
      <c r="M586" s="39"/>
      <c r="N586" s="39"/>
      <c r="O586" s="37">
        <f t="shared" si="54"/>
        <v>0</v>
      </c>
      <c r="P586" s="44"/>
      <c r="Q586" s="44"/>
    </row>
    <row r="587" spans="1:17" x14ac:dyDescent="0.4">
      <c r="A587" s="70"/>
      <c r="B587" s="46"/>
      <c r="C587" s="46"/>
      <c r="D587" s="34" t="e">
        <f>INDEX('Equipment list'!$B$227:$B$256, (MATCH(C587,'Equipment list'!$D$227:$D$256,0)),1)</f>
        <v>#N/A</v>
      </c>
      <c r="E587" s="34" t="e">
        <f>INDEX('Equipment list'!$C$227:$C$256, (MATCH(C587,'Equipment list'!$D$227:$D$256,0)),1)</f>
        <v>#N/A</v>
      </c>
      <c r="F587" s="34">
        <f t="shared" si="50"/>
        <v>0</v>
      </c>
      <c r="G587" s="34">
        <f t="shared" si="51"/>
        <v>0</v>
      </c>
      <c r="H587" s="34" t="e">
        <f t="shared" si="52"/>
        <v>#N/A</v>
      </c>
      <c r="I587" s="34" t="e">
        <f t="shared" si="53"/>
        <v>#N/A</v>
      </c>
      <c r="J587" s="45"/>
      <c r="K587" s="46"/>
      <c r="L587" s="49"/>
      <c r="M587" s="39"/>
      <c r="N587" s="39"/>
      <c r="O587" s="37">
        <f t="shared" si="54"/>
        <v>0</v>
      </c>
      <c r="P587" s="44"/>
      <c r="Q587" s="44"/>
    </row>
    <row r="588" spans="1:17" x14ac:dyDescent="0.4">
      <c r="A588" s="70"/>
      <c r="B588" s="46"/>
      <c r="C588" s="46"/>
      <c r="D588" s="34" t="e">
        <f>INDEX('Equipment list'!$B$227:$B$256, (MATCH(C588,'Equipment list'!$D$227:$D$256,0)),1)</f>
        <v>#N/A</v>
      </c>
      <c r="E588" s="34" t="e">
        <f>INDEX('Equipment list'!$C$227:$C$256, (MATCH(C588,'Equipment list'!$D$227:$D$256,0)),1)</f>
        <v>#N/A</v>
      </c>
      <c r="F588" s="34">
        <f t="shared" si="50"/>
        <v>0</v>
      </c>
      <c r="G588" s="34">
        <f t="shared" si="51"/>
        <v>0</v>
      </c>
      <c r="H588" s="34" t="e">
        <f t="shared" si="52"/>
        <v>#N/A</v>
      </c>
      <c r="I588" s="34" t="e">
        <f t="shared" si="53"/>
        <v>#N/A</v>
      </c>
      <c r="J588" s="45"/>
      <c r="K588" s="46"/>
      <c r="L588" s="49"/>
      <c r="M588" s="39"/>
      <c r="N588" s="39"/>
      <c r="O588" s="37">
        <f t="shared" si="54"/>
        <v>0</v>
      </c>
      <c r="P588" s="44"/>
      <c r="Q588" s="44"/>
    </row>
    <row r="589" spans="1:17" x14ac:dyDescent="0.4">
      <c r="A589" s="70"/>
      <c r="B589" s="46"/>
      <c r="C589" s="46"/>
      <c r="D589" s="34" t="e">
        <f>INDEX('Equipment list'!$B$227:$B$256, (MATCH(C589,'Equipment list'!$D$227:$D$256,0)),1)</f>
        <v>#N/A</v>
      </c>
      <c r="E589" s="34" t="e">
        <f>INDEX('Equipment list'!$C$227:$C$256, (MATCH(C589,'Equipment list'!$D$227:$D$256,0)),1)</f>
        <v>#N/A</v>
      </c>
      <c r="F589" s="34">
        <f t="shared" si="50"/>
        <v>0</v>
      </c>
      <c r="G589" s="34">
        <f t="shared" si="51"/>
        <v>0</v>
      </c>
      <c r="H589" s="34" t="e">
        <f t="shared" si="52"/>
        <v>#N/A</v>
      </c>
      <c r="I589" s="34" t="e">
        <f t="shared" si="53"/>
        <v>#N/A</v>
      </c>
      <c r="J589" s="45"/>
      <c r="K589" s="46"/>
      <c r="L589" s="49"/>
      <c r="M589" s="39"/>
      <c r="N589" s="39"/>
      <c r="O589" s="37">
        <f t="shared" si="54"/>
        <v>0</v>
      </c>
      <c r="P589" s="44"/>
      <c r="Q589" s="44"/>
    </row>
    <row r="590" spans="1:17" x14ac:dyDescent="0.4">
      <c r="A590" s="70"/>
      <c r="B590" s="46"/>
      <c r="C590" s="46"/>
      <c r="D590" s="34" t="e">
        <f>INDEX('Equipment list'!$B$227:$B$256, (MATCH(C590,'Equipment list'!$D$227:$D$256,0)),1)</f>
        <v>#N/A</v>
      </c>
      <c r="E590" s="34" t="e">
        <f>INDEX('Equipment list'!$C$227:$C$256, (MATCH(C590,'Equipment list'!$D$227:$D$256,0)),1)</f>
        <v>#N/A</v>
      </c>
      <c r="F590" s="34">
        <f t="shared" si="50"/>
        <v>0</v>
      </c>
      <c r="G590" s="34">
        <f t="shared" si="51"/>
        <v>0</v>
      </c>
      <c r="H590" s="34" t="e">
        <f t="shared" si="52"/>
        <v>#N/A</v>
      </c>
      <c r="I590" s="34" t="e">
        <f t="shared" si="53"/>
        <v>#N/A</v>
      </c>
      <c r="J590" s="45"/>
      <c r="K590" s="46"/>
      <c r="L590" s="49"/>
      <c r="M590" s="39"/>
      <c r="N590" s="39"/>
      <c r="O590" s="37">
        <f t="shared" si="54"/>
        <v>0</v>
      </c>
      <c r="P590" s="44"/>
      <c r="Q590" s="44"/>
    </row>
    <row r="591" spans="1:17" x14ac:dyDescent="0.4">
      <c r="A591" s="70"/>
      <c r="B591" s="46"/>
      <c r="C591" s="46"/>
      <c r="D591" s="34" t="e">
        <f>INDEX('Equipment list'!$B$227:$B$256, (MATCH(C591,'Equipment list'!$D$227:$D$256,0)),1)</f>
        <v>#N/A</v>
      </c>
      <c r="E591" s="34" t="e">
        <f>INDEX('Equipment list'!$C$227:$C$256, (MATCH(C591,'Equipment list'!$D$227:$D$256,0)),1)</f>
        <v>#N/A</v>
      </c>
      <c r="F591" s="34">
        <f t="shared" si="50"/>
        <v>0</v>
      </c>
      <c r="G591" s="34">
        <f t="shared" si="51"/>
        <v>0</v>
      </c>
      <c r="H591" s="34" t="e">
        <f t="shared" si="52"/>
        <v>#N/A</v>
      </c>
      <c r="I591" s="34" t="e">
        <f t="shared" si="53"/>
        <v>#N/A</v>
      </c>
      <c r="J591" s="45"/>
      <c r="K591" s="46"/>
      <c r="L591" s="49"/>
      <c r="M591" s="39"/>
      <c r="N591" s="39"/>
      <c r="O591" s="37">
        <f t="shared" si="54"/>
        <v>0</v>
      </c>
      <c r="P591" s="44"/>
      <c r="Q591" s="44"/>
    </row>
    <row r="592" spans="1:17" x14ac:dyDescent="0.4">
      <c r="A592" s="70"/>
      <c r="B592" s="46"/>
      <c r="C592" s="46"/>
      <c r="D592" s="34" t="e">
        <f>INDEX('Equipment list'!$B$227:$B$256, (MATCH(C592,'Equipment list'!$D$227:$D$256,0)),1)</f>
        <v>#N/A</v>
      </c>
      <c r="E592" s="34" t="e">
        <f>INDEX('Equipment list'!$C$227:$C$256, (MATCH(C592,'Equipment list'!$D$227:$D$256,0)),1)</f>
        <v>#N/A</v>
      </c>
      <c r="F592" s="34">
        <f t="shared" si="50"/>
        <v>0</v>
      </c>
      <c r="G592" s="34">
        <f t="shared" si="51"/>
        <v>0</v>
      </c>
      <c r="H592" s="34" t="e">
        <f t="shared" si="52"/>
        <v>#N/A</v>
      </c>
      <c r="I592" s="34" t="e">
        <f t="shared" si="53"/>
        <v>#N/A</v>
      </c>
      <c r="J592" s="45"/>
      <c r="K592" s="46"/>
      <c r="L592" s="49"/>
      <c r="M592" s="39"/>
      <c r="N592" s="39"/>
      <c r="O592" s="37">
        <f t="shared" si="54"/>
        <v>0</v>
      </c>
      <c r="P592" s="44"/>
      <c r="Q592" s="44"/>
    </row>
    <row r="593" spans="1:17" x14ac:dyDescent="0.4">
      <c r="A593" s="70"/>
      <c r="B593" s="46"/>
      <c r="C593" s="46"/>
      <c r="D593" s="34" t="e">
        <f>INDEX('Equipment list'!$B$227:$B$256, (MATCH(C593,'Equipment list'!$D$227:$D$256,0)),1)</f>
        <v>#N/A</v>
      </c>
      <c r="E593" s="34" t="e">
        <f>INDEX('Equipment list'!$C$227:$C$256, (MATCH(C593,'Equipment list'!$D$227:$D$256,0)),1)</f>
        <v>#N/A</v>
      </c>
      <c r="F593" s="34">
        <f t="shared" si="50"/>
        <v>0</v>
      </c>
      <c r="G593" s="34">
        <f t="shared" si="51"/>
        <v>0</v>
      </c>
      <c r="H593" s="34" t="e">
        <f t="shared" si="52"/>
        <v>#N/A</v>
      </c>
      <c r="I593" s="34" t="e">
        <f t="shared" si="53"/>
        <v>#N/A</v>
      </c>
      <c r="J593" s="45"/>
      <c r="K593" s="46"/>
      <c r="L593" s="49"/>
      <c r="M593" s="39"/>
      <c r="N593" s="39"/>
      <c r="O593" s="37">
        <f t="shared" si="54"/>
        <v>0</v>
      </c>
      <c r="P593" s="44"/>
      <c r="Q593" s="44"/>
    </row>
    <row r="594" spans="1:17" x14ac:dyDescent="0.4">
      <c r="A594" s="70"/>
      <c r="B594" s="46"/>
      <c r="C594" s="46"/>
      <c r="D594" s="34" t="e">
        <f>INDEX('Equipment list'!$B$227:$B$256, (MATCH(C594,'Equipment list'!$D$227:$D$256,0)),1)</f>
        <v>#N/A</v>
      </c>
      <c r="E594" s="34" t="e">
        <f>INDEX('Equipment list'!$C$227:$C$256, (MATCH(C594,'Equipment list'!$D$227:$D$256,0)),1)</f>
        <v>#N/A</v>
      </c>
      <c r="F594" s="34">
        <f t="shared" si="50"/>
        <v>0</v>
      </c>
      <c r="G594" s="34">
        <f t="shared" si="51"/>
        <v>0</v>
      </c>
      <c r="H594" s="34" t="e">
        <f t="shared" si="52"/>
        <v>#N/A</v>
      </c>
      <c r="I594" s="34" t="e">
        <f t="shared" si="53"/>
        <v>#N/A</v>
      </c>
      <c r="J594" s="45"/>
      <c r="K594" s="46"/>
      <c r="L594" s="49"/>
      <c r="M594" s="39"/>
      <c r="N594" s="39"/>
      <c r="O594" s="37">
        <f t="shared" si="54"/>
        <v>0</v>
      </c>
      <c r="P594" s="44"/>
      <c r="Q594" s="44"/>
    </row>
    <row r="595" spans="1:17" x14ac:dyDescent="0.4">
      <c r="A595" s="70"/>
      <c r="B595" s="46"/>
      <c r="C595" s="46"/>
      <c r="D595" s="34" t="e">
        <f>INDEX('Equipment list'!$B$227:$B$256, (MATCH(C595,'Equipment list'!$D$227:$D$256,0)),1)</f>
        <v>#N/A</v>
      </c>
      <c r="E595" s="34" t="e">
        <f>INDEX('Equipment list'!$C$227:$C$256, (MATCH(C595,'Equipment list'!$D$227:$D$256,0)),1)</f>
        <v>#N/A</v>
      </c>
      <c r="F595" s="34">
        <f t="shared" si="50"/>
        <v>0</v>
      </c>
      <c r="G595" s="34">
        <f t="shared" si="51"/>
        <v>0</v>
      </c>
      <c r="H595" s="34" t="e">
        <f t="shared" si="52"/>
        <v>#N/A</v>
      </c>
      <c r="I595" s="34" t="e">
        <f t="shared" si="53"/>
        <v>#N/A</v>
      </c>
      <c r="J595" s="45"/>
      <c r="K595" s="46"/>
      <c r="L595" s="49"/>
      <c r="M595" s="39"/>
      <c r="N595" s="39"/>
      <c r="O595" s="37">
        <f t="shared" si="54"/>
        <v>0</v>
      </c>
      <c r="P595" s="44"/>
      <c r="Q595" s="44"/>
    </row>
    <row r="596" spans="1:17" x14ac:dyDescent="0.4">
      <c r="A596" s="70"/>
      <c r="B596" s="46"/>
      <c r="C596" s="46"/>
      <c r="D596" s="34" t="e">
        <f>INDEX('Equipment list'!$B$227:$B$256, (MATCH(C596,'Equipment list'!$D$227:$D$256,0)),1)</f>
        <v>#N/A</v>
      </c>
      <c r="E596" s="34" t="e">
        <f>INDEX('Equipment list'!$C$227:$C$256, (MATCH(C596,'Equipment list'!$D$227:$D$256,0)),1)</f>
        <v>#N/A</v>
      </c>
      <c r="F596" s="34">
        <f t="shared" si="50"/>
        <v>0</v>
      </c>
      <c r="G596" s="34">
        <f t="shared" si="51"/>
        <v>0</v>
      </c>
      <c r="H596" s="34" t="e">
        <f t="shared" si="52"/>
        <v>#N/A</v>
      </c>
      <c r="I596" s="34" t="e">
        <f t="shared" si="53"/>
        <v>#N/A</v>
      </c>
      <c r="J596" s="45"/>
      <c r="K596" s="46"/>
      <c r="L596" s="49"/>
      <c r="M596" s="39"/>
      <c r="N596" s="39"/>
      <c r="O596" s="37">
        <f t="shared" si="54"/>
        <v>0</v>
      </c>
      <c r="P596" s="44"/>
      <c r="Q596" s="44"/>
    </row>
    <row r="597" spans="1:17" x14ac:dyDescent="0.4">
      <c r="A597" s="70"/>
      <c r="B597" s="46"/>
      <c r="C597" s="46"/>
      <c r="D597" s="34" t="e">
        <f>INDEX('Equipment list'!$B$227:$B$256, (MATCH(C597,'Equipment list'!$D$227:$D$256,0)),1)</f>
        <v>#N/A</v>
      </c>
      <c r="E597" s="34" t="e">
        <f>INDEX('Equipment list'!$C$227:$C$256, (MATCH(C597,'Equipment list'!$D$227:$D$256,0)),1)</f>
        <v>#N/A</v>
      </c>
      <c r="F597" s="34">
        <f t="shared" si="50"/>
        <v>0</v>
      </c>
      <c r="G597" s="34">
        <f t="shared" si="51"/>
        <v>0</v>
      </c>
      <c r="H597" s="34" t="e">
        <f t="shared" si="52"/>
        <v>#N/A</v>
      </c>
      <c r="I597" s="34" t="e">
        <f t="shared" si="53"/>
        <v>#N/A</v>
      </c>
      <c r="J597" s="45"/>
      <c r="K597" s="46"/>
      <c r="L597" s="49"/>
      <c r="M597" s="39"/>
      <c r="N597" s="39"/>
      <c r="O597" s="37">
        <f t="shared" si="54"/>
        <v>0</v>
      </c>
      <c r="P597" s="44"/>
      <c r="Q597" s="44"/>
    </row>
    <row r="598" spans="1:17" x14ac:dyDescent="0.4">
      <c r="A598" s="70"/>
      <c r="B598" s="46"/>
      <c r="C598" s="46"/>
      <c r="D598" s="34" t="e">
        <f>INDEX('Equipment list'!$B$227:$B$256, (MATCH(C598,'Equipment list'!$D$227:$D$256,0)),1)</f>
        <v>#N/A</v>
      </c>
      <c r="E598" s="34" t="e">
        <f>INDEX('Equipment list'!$C$227:$C$256, (MATCH(C598,'Equipment list'!$D$227:$D$256,0)),1)</f>
        <v>#N/A</v>
      </c>
      <c r="F598" s="34">
        <f t="shared" si="50"/>
        <v>0</v>
      </c>
      <c r="G598" s="34">
        <f t="shared" si="51"/>
        <v>0</v>
      </c>
      <c r="H598" s="34" t="e">
        <f t="shared" si="52"/>
        <v>#N/A</v>
      </c>
      <c r="I598" s="34" t="e">
        <f t="shared" si="53"/>
        <v>#N/A</v>
      </c>
      <c r="J598" s="45"/>
      <c r="K598" s="46"/>
      <c r="L598" s="49"/>
      <c r="M598" s="39"/>
      <c r="N598" s="39"/>
      <c r="O598" s="37">
        <f t="shared" si="54"/>
        <v>0</v>
      </c>
      <c r="P598" s="44"/>
      <c r="Q598" s="44"/>
    </row>
    <row r="599" spans="1:17" x14ac:dyDescent="0.4">
      <c r="A599" s="70"/>
      <c r="B599" s="46"/>
      <c r="C599" s="46"/>
      <c r="D599" s="34" t="e">
        <f>INDEX('Equipment list'!$B$227:$B$256, (MATCH(C599,'Equipment list'!$D$227:$D$256,0)),1)</f>
        <v>#N/A</v>
      </c>
      <c r="E599" s="34" t="e">
        <f>INDEX('Equipment list'!$C$227:$C$256, (MATCH(C599,'Equipment list'!$D$227:$D$256,0)),1)</f>
        <v>#N/A</v>
      </c>
      <c r="F599" s="34">
        <f t="shared" si="50"/>
        <v>0</v>
      </c>
      <c r="G599" s="34">
        <f t="shared" si="51"/>
        <v>0</v>
      </c>
      <c r="H599" s="34" t="e">
        <f t="shared" si="52"/>
        <v>#N/A</v>
      </c>
      <c r="I599" s="34" t="e">
        <f t="shared" si="53"/>
        <v>#N/A</v>
      </c>
      <c r="J599" s="45"/>
      <c r="K599" s="46"/>
      <c r="L599" s="49"/>
      <c r="M599" s="39"/>
      <c r="N599" s="39"/>
      <c r="O599" s="37">
        <f t="shared" si="54"/>
        <v>0</v>
      </c>
      <c r="P599" s="44"/>
      <c r="Q599" s="44"/>
    </row>
    <row r="600" spans="1:17" x14ac:dyDescent="0.4">
      <c r="A600" s="70"/>
      <c r="B600" s="46"/>
      <c r="C600" s="46"/>
      <c r="D600" s="34" t="e">
        <f>INDEX('Equipment list'!$B$227:$B$256, (MATCH(C600,'Equipment list'!$D$227:$D$256,0)),1)</f>
        <v>#N/A</v>
      </c>
      <c r="E600" s="34" t="e">
        <f>INDEX('Equipment list'!$C$227:$C$256, (MATCH(C600,'Equipment list'!$D$227:$D$256,0)),1)</f>
        <v>#N/A</v>
      </c>
      <c r="F600" s="34">
        <f t="shared" si="50"/>
        <v>0</v>
      </c>
      <c r="G600" s="34">
        <f t="shared" si="51"/>
        <v>0</v>
      </c>
      <c r="H600" s="34" t="e">
        <f t="shared" si="52"/>
        <v>#N/A</v>
      </c>
      <c r="I600" s="34" t="e">
        <f t="shared" si="53"/>
        <v>#N/A</v>
      </c>
      <c r="J600" s="45"/>
      <c r="K600" s="46"/>
      <c r="L600" s="49"/>
      <c r="M600" s="39"/>
      <c r="N600" s="39"/>
      <c r="O600" s="37">
        <f t="shared" si="54"/>
        <v>0</v>
      </c>
      <c r="P600" s="44"/>
      <c r="Q600" s="44"/>
    </row>
    <row r="601" spans="1:17" x14ac:dyDescent="0.4">
      <c r="A601" s="70"/>
      <c r="B601" s="46"/>
      <c r="C601" s="46"/>
      <c r="D601" s="34" t="e">
        <f>INDEX('Equipment list'!$B$227:$B$256, (MATCH(C601,'Equipment list'!$D$227:$D$256,0)),1)</f>
        <v>#N/A</v>
      </c>
      <c r="E601" s="34" t="e">
        <f>INDEX('Equipment list'!$C$227:$C$256, (MATCH(C601,'Equipment list'!$D$227:$D$256,0)),1)</f>
        <v>#N/A</v>
      </c>
      <c r="F601" s="34">
        <f t="shared" si="50"/>
        <v>0</v>
      </c>
      <c r="G601" s="34">
        <f t="shared" si="51"/>
        <v>0</v>
      </c>
      <c r="H601" s="34" t="e">
        <f t="shared" si="52"/>
        <v>#N/A</v>
      </c>
      <c r="I601" s="34" t="e">
        <f t="shared" si="53"/>
        <v>#N/A</v>
      </c>
      <c r="J601" s="45"/>
      <c r="K601" s="46"/>
      <c r="L601" s="49"/>
      <c r="M601" s="39"/>
      <c r="N601" s="39"/>
      <c r="O601" s="37">
        <f t="shared" si="54"/>
        <v>0</v>
      </c>
      <c r="P601" s="44"/>
      <c r="Q601" s="44"/>
    </row>
    <row r="602" spans="1:17" x14ac:dyDescent="0.4">
      <c r="A602" s="70"/>
      <c r="B602" s="46"/>
      <c r="C602" s="46"/>
      <c r="D602" s="34" t="e">
        <f>INDEX('Equipment list'!$B$227:$B$256, (MATCH(C602,'Equipment list'!$D$227:$D$256,0)),1)</f>
        <v>#N/A</v>
      </c>
      <c r="E602" s="34" t="e">
        <f>INDEX('Equipment list'!$C$227:$C$256, (MATCH(C602,'Equipment list'!$D$227:$D$256,0)),1)</f>
        <v>#N/A</v>
      </c>
      <c r="F602" s="34">
        <f t="shared" si="50"/>
        <v>0</v>
      </c>
      <c r="G602" s="34">
        <f t="shared" si="51"/>
        <v>0</v>
      </c>
      <c r="H602" s="34" t="e">
        <f t="shared" si="52"/>
        <v>#N/A</v>
      </c>
      <c r="I602" s="34" t="e">
        <f t="shared" si="53"/>
        <v>#N/A</v>
      </c>
      <c r="J602" s="45"/>
      <c r="K602" s="46"/>
      <c r="L602" s="49"/>
      <c r="M602" s="39"/>
      <c r="N602" s="39"/>
      <c r="O602" s="37">
        <f t="shared" si="54"/>
        <v>0</v>
      </c>
      <c r="P602" s="44"/>
      <c r="Q602" s="44"/>
    </row>
    <row r="603" spans="1:17" x14ac:dyDescent="0.4">
      <c r="A603" s="70"/>
      <c r="B603" s="46"/>
      <c r="C603" s="46"/>
      <c r="D603" s="34" t="e">
        <f>INDEX('Equipment list'!$B$227:$B$256, (MATCH(C603,'Equipment list'!$D$227:$D$256,0)),1)</f>
        <v>#N/A</v>
      </c>
      <c r="E603" s="34" t="e">
        <f>INDEX('Equipment list'!$C$227:$C$256, (MATCH(C603,'Equipment list'!$D$227:$D$256,0)),1)</f>
        <v>#N/A</v>
      </c>
      <c r="F603" s="34">
        <f t="shared" si="50"/>
        <v>0</v>
      </c>
      <c r="G603" s="34">
        <f t="shared" si="51"/>
        <v>0</v>
      </c>
      <c r="H603" s="34" t="e">
        <f t="shared" si="52"/>
        <v>#N/A</v>
      </c>
      <c r="I603" s="34" t="e">
        <f t="shared" si="53"/>
        <v>#N/A</v>
      </c>
      <c r="J603" s="45"/>
      <c r="K603" s="46"/>
      <c r="L603" s="49"/>
      <c r="M603" s="39"/>
      <c r="N603" s="39"/>
      <c r="O603" s="37">
        <f t="shared" si="54"/>
        <v>0</v>
      </c>
      <c r="P603" s="44"/>
      <c r="Q603" s="44"/>
    </row>
    <row r="604" spans="1:17" x14ac:dyDescent="0.4">
      <c r="A604" s="70"/>
      <c r="B604" s="46"/>
      <c r="C604" s="46"/>
      <c r="D604" s="34" t="e">
        <f>INDEX('Equipment list'!$B$227:$B$256, (MATCH(C604,'Equipment list'!$D$227:$D$256,0)),1)</f>
        <v>#N/A</v>
      </c>
      <c r="E604" s="34" t="e">
        <f>INDEX('Equipment list'!$C$227:$C$256, (MATCH(C604,'Equipment list'!$D$227:$D$256,0)),1)</f>
        <v>#N/A</v>
      </c>
      <c r="F604" s="34">
        <f t="shared" si="50"/>
        <v>0</v>
      </c>
      <c r="G604" s="34">
        <f t="shared" si="51"/>
        <v>0</v>
      </c>
      <c r="H604" s="34" t="e">
        <f t="shared" si="52"/>
        <v>#N/A</v>
      </c>
      <c r="I604" s="34" t="e">
        <f t="shared" si="53"/>
        <v>#N/A</v>
      </c>
      <c r="J604" s="45"/>
      <c r="K604" s="46"/>
      <c r="L604" s="49"/>
      <c r="M604" s="39"/>
      <c r="N604" s="39"/>
      <c r="O604" s="37">
        <f t="shared" si="54"/>
        <v>0</v>
      </c>
      <c r="P604" s="44"/>
      <c r="Q604" s="44"/>
    </row>
    <row r="605" spans="1:17" x14ac:dyDescent="0.4">
      <c r="A605" s="70"/>
      <c r="B605" s="46"/>
      <c r="C605" s="46"/>
      <c r="D605" s="34" t="e">
        <f>INDEX('Equipment list'!$B$227:$B$256, (MATCH(C605,'Equipment list'!$D$227:$D$256,0)),1)</f>
        <v>#N/A</v>
      </c>
      <c r="E605" s="34" t="e">
        <f>INDEX('Equipment list'!$C$227:$C$256, (MATCH(C605,'Equipment list'!$D$227:$D$256,0)),1)</f>
        <v>#N/A</v>
      </c>
      <c r="F605" s="34">
        <f t="shared" si="50"/>
        <v>0</v>
      </c>
      <c r="G605" s="34">
        <f t="shared" si="51"/>
        <v>0</v>
      </c>
      <c r="H605" s="34" t="e">
        <f t="shared" si="52"/>
        <v>#N/A</v>
      </c>
      <c r="I605" s="34" t="e">
        <f t="shared" si="53"/>
        <v>#N/A</v>
      </c>
      <c r="J605" s="45"/>
      <c r="K605" s="46"/>
      <c r="L605" s="49"/>
      <c r="M605" s="39"/>
      <c r="N605" s="39"/>
      <c r="O605" s="37">
        <f t="shared" si="54"/>
        <v>0</v>
      </c>
      <c r="P605" s="44"/>
      <c r="Q605" s="44"/>
    </row>
    <row r="606" spans="1:17" x14ac:dyDescent="0.4">
      <c r="A606" s="70"/>
      <c r="B606" s="46"/>
      <c r="C606" s="46"/>
      <c r="D606" s="34" t="e">
        <f>INDEX('Equipment list'!$B$227:$B$256, (MATCH(C606,'Equipment list'!$D$227:$D$256,0)),1)</f>
        <v>#N/A</v>
      </c>
      <c r="E606" s="34" t="e">
        <f>INDEX('Equipment list'!$C$227:$C$256, (MATCH(C606,'Equipment list'!$D$227:$D$256,0)),1)</f>
        <v>#N/A</v>
      </c>
      <c r="F606" s="34">
        <f t="shared" si="50"/>
        <v>0</v>
      </c>
      <c r="G606" s="34">
        <f t="shared" si="51"/>
        <v>0</v>
      </c>
      <c r="H606" s="34" t="e">
        <f t="shared" si="52"/>
        <v>#N/A</v>
      </c>
      <c r="I606" s="34" t="e">
        <f t="shared" si="53"/>
        <v>#N/A</v>
      </c>
      <c r="J606" s="45"/>
      <c r="K606" s="46"/>
      <c r="L606" s="49"/>
      <c r="M606" s="39"/>
      <c r="N606" s="39"/>
      <c r="O606" s="37">
        <f t="shared" si="54"/>
        <v>0</v>
      </c>
      <c r="P606" s="44"/>
      <c r="Q606" s="44"/>
    </row>
    <row r="607" spans="1:17" x14ac:dyDescent="0.4">
      <c r="A607" s="70"/>
      <c r="B607" s="46"/>
      <c r="C607" s="46"/>
      <c r="D607" s="34" t="e">
        <f>INDEX('Equipment list'!$B$227:$B$256, (MATCH(C607,'Equipment list'!$D$227:$D$256,0)),1)</f>
        <v>#N/A</v>
      </c>
      <c r="E607" s="34" t="e">
        <f>INDEX('Equipment list'!$C$227:$C$256, (MATCH(C607,'Equipment list'!$D$227:$D$256,0)),1)</f>
        <v>#N/A</v>
      </c>
      <c r="F607" s="34">
        <f t="shared" si="50"/>
        <v>0</v>
      </c>
      <c r="G607" s="34">
        <f t="shared" si="51"/>
        <v>0</v>
      </c>
      <c r="H607" s="34" t="e">
        <f t="shared" si="52"/>
        <v>#N/A</v>
      </c>
      <c r="I607" s="34" t="e">
        <f t="shared" si="53"/>
        <v>#N/A</v>
      </c>
      <c r="J607" s="45"/>
      <c r="K607" s="46"/>
      <c r="L607" s="49"/>
      <c r="M607" s="39"/>
      <c r="N607" s="39"/>
      <c r="O607" s="37">
        <f t="shared" si="54"/>
        <v>0</v>
      </c>
      <c r="P607" s="44"/>
      <c r="Q607" s="44"/>
    </row>
    <row r="608" spans="1:17" x14ac:dyDescent="0.4">
      <c r="A608" s="70"/>
      <c r="B608" s="46"/>
      <c r="C608" s="46"/>
      <c r="D608" s="34" t="e">
        <f>INDEX('Equipment list'!$B$227:$B$256, (MATCH(C608,'Equipment list'!$D$227:$D$256,0)),1)</f>
        <v>#N/A</v>
      </c>
      <c r="E608" s="34" t="e">
        <f>INDEX('Equipment list'!$C$227:$C$256, (MATCH(C608,'Equipment list'!$D$227:$D$256,0)),1)</f>
        <v>#N/A</v>
      </c>
      <c r="F608" s="34">
        <f t="shared" si="50"/>
        <v>0</v>
      </c>
      <c r="G608" s="34">
        <f t="shared" si="51"/>
        <v>0</v>
      </c>
      <c r="H608" s="34" t="e">
        <f t="shared" si="52"/>
        <v>#N/A</v>
      </c>
      <c r="I608" s="34" t="e">
        <f t="shared" si="53"/>
        <v>#N/A</v>
      </c>
      <c r="J608" s="45"/>
      <c r="K608" s="46"/>
      <c r="L608" s="49"/>
      <c r="M608" s="39"/>
      <c r="N608" s="39"/>
      <c r="O608" s="37">
        <f t="shared" si="54"/>
        <v>0</v>
      </c>
      <c r="P608" s="44"/>
      <c r="Q608" s="44"/>
    </row>
    <row r="609" spans="1:17" x14ac:dyDescent="0.4">
      <c r="A609" s="70"/>
      <c r="B609" s="46"/>
      <c r="C609" s="46"/>
      <c r="D609" s="34" t="e">
        <f>INDEX('Equipment list'!$B$227:$B$256, (MATCH(C609,'Equipment list'!$D$227:$D$256,0)),1)</f>
        <v>#N/A</v>
      </c>
      <c r="E609" s="34" t="e">
        <f>INDEX('Equipment list'!$C$227:$C$256, (MATCH(C609,'Equipment list'!$D$227:$D$256,0)),1)</f>
        <v>#N/A</v>
      </c>
      <c r="F609" s="34">
        <f t="shared" si="50"/>
        <v>0</v>
      </c>
      <c r="G609" s="34">
        <f t="shared" si="51"/>
        <v>0</v>
      </c>
      <c r="H609" s="34" t="e">
        <f t="shared" si="52"/>
        <v>#N/A</v>
      </c>
      <c r="I609" s="34" t="e">
        <f t="shared" si="53"/>
        <v>#N/A</v>
      </c>
      <c r="J609" s="45"/>
      <c r="K609" s="46"/>
      <c r="L609" s="49"/>
      <c r="M609" s="39"/>
      <c r="N609" s="39"/>
      <c r="O609" s="37">
        <f t="shared" si="54"/>
        <v>0</v>
      </c>
      <c r="P609" s="44"/>
      <c r="Q609" s="44"/>
    </row>
    <row r="610" spans="1:17" x14ac:dyDescent="0.4">
      <c r="A610" s="70"/>
      <c r="B610" s="46"/>
      <c r="C610" s="46"/>
      <c r="D610" s="34" t="e">
        <f>INDEX('Equipment list'!$B$227:$B$256, (MATCH(C610,'Equipment list'!$D$227:$D$256,0)),1)</f>
        <v>#N/A</v>
      </c>
      <c r="E610" s="34" t="e">
        <f>INDEX('Equipment list'!$C$227:$C$256, (MATCH(C610,'Equipment list'!$D$227:$D$256,0)),1)</f>
        <v>#N/A</v>
      </c>
      <c r="F610" s="34">
        <f t="shared" si="50"/>
        <v>0</v>
      </c>
      <c r="G610" s="34">
        <f t="shared" si="51"/>
        <v>0</v>
      </c>
      <c r="H610" s="34" t="e">
        <f t="shared" si="52"/>
        <v>#N/A</v>
      </c>
      <c r="I610" s="34" t="e">
        <f t="shared" si="53"/>
        <v>#N/A</v>
      </c>
      <c r="J610" s="45"/>
      <c r="K610" s="46"/>
      <c r="L610" s="49"/>
      <c r="M610" s="39"/>
      <c r="N610" s="39"/>
      <c r="O610" s="37">
        <f t="shared" si="54"/>
        <v>0</v>
      </c>
      <c r="P610" s="44"/>
      <c r="Q610" s="44"/>
    </row>
    <row r="611" spans="1:17" x14ac:dyDescent="0.4">
      <c r="A611" s="70"/>
      <c r="B611" s="46"/>
      <c r="C611" s="46"/>
      <c r="D611" s="34" t="e">
        <f>INDEX('Equipment list'!$B$227:$B$256, (MATCH(C611,'Equipment list'!$D$227:$D$256,0)),1)</f>
        <v>#N/A</v>
      </c>
      <c r="E611" s="34" t="e">
        <f>INDEX('Equipment list'!$C$227:$C$256, (MATCH(C611,'Equipment list'!$D$227:$D$256,0)),1)</f>
        <v>#N/A</v>
      </c>
      <c r="F611" s="34">
        <f t="shared" si="50"/>
        <v>0</v>
      </c>
      <c r="G611" s="34">
        <f t="shared" si="51"/>
        <v>0</v>
      </c>
      <c r="H611" s="34" t="e">
        <f t="shared" si="52"/>
        <v>#N/A</v>
      </c>
      <c r="I611" s="34" t="e">
        <f t="shared" si="53"/>
        <v>#N/A</v>
      </c>
      <c r="J611" s="45"/>
      <c r="K611" s="46"/>
      <c r="L611" s="49"/>
      <c r="M611" s="39"/>
      <c r="N611" s="39"/>
      <c r="O611" s="37">
        <f t="shared" si="54"/>
        <v>0</v>
      </c>
      <c r="P611" s="44"/>
      <c r="Q611" s="44"/>
    </row>
    <row r="612" spans="1:17" x14ac:dyDescent="0.4">
      <c r="A612" s="70"/>
      <c r="B612" s="46"/>
      <c r="C612" s="46"/>
      <c r="D612" s="34" t="e">
        <f>INDEX('Equipment list'!$B$227:$B$256, (MATCH(C612,'Equipment list'!$D$227:$D$256,0)),1)</f>
        <v>#N/A</v>
      </c>
      <c r="E612" s="34" t="e">
        <f>INDEX('Equipment list'!$C$227:$C$256, (MATCH(C612,'Equipment list'!$D$227:$D$256,0)),1)</f>
        <v>#N/A</v>
      </c>
      <c r="F612" s="34">
        <f t="shared" si="50"/>
        <v>0</v>
      </c>
      <c r="G612" s="34">
        <f t="shared" si="51"/>
        <v>0</v>
      </c>
      <c r="H612" s="34" t="e">
        <f t="shared" si="52"/>
        <v>#N/A</v>
      </c>
      <c r="I612" s="34" t="e">
        <f t="shared" si="53"/>
        <v>#N/A</v>
      </c>
      <c r="J612" s="45"/>
      <c r="K612" s="46"/>
      <c r="L612" s="49"/>
      <c r="M612" s="39"/>
      <c r="N612" s="39"/>
      <c r="O612" s="37">
        <f t="shared" si="54"/>
        <v>0</v>
      </c>
      <c r="P612" s="44"/>
      <c r="Q612" s="44"/>
    </row>
    <row r="613" spans="1:17" x14ac:dyDescent="0.4">
      <c r="A613" s="70"/>
      <c r="B613" s="46"/>
      <c r="C613" s="46"/>
      <c r="D613" s="34" t="e">
        <f>INDEX('Equipment list'!$B$227:$B$256, (MATCH(C613,'Equipment list'!$D$227:$D$256,0)),1)</f>
        <v>#N/A</v>
      </c>
      <c r="E613" s="34" t="e">
        <f>INDEX('Equipment list'!$C$227:$C$256, (MATCH(C613,'Equipment list'!$D$227:$D$256,0)),1)</f>
        <v>#N/A</v>
      </c>
      <c r="F613" s="34">
        <f t="shared" si="50"/>
        <v>0</v>
      </c>
      <c r="G613" s="34">
        <f t="shared" si="51"/>
        <v>0</v>
      </c>
      <c r="H613" s="34" t="e">
        <f t="shared" si="52"/>
        <v>#N/A</v>
      </c>
      <c r="I613" s="34" t="e">
        <f t="shared" si="53"/>
        <v>#N/A</v>
      </c>
      <c r="J613" s="45"/>
      <c r="K613" s="46"/>
      <c r="L613" s="49"/>
      <c r="M613" s="39"/>
      <c r="N613" s="39"/>
      <c r="O613" s="37">
        <f t="shared" si="54"/>
        <v>0</v>
      </c>
      <c r="P613" s="44"/>
      <c r="Q613" s="44"/>
    </row>
    <row r="614" spans="1:17" x14ac:dyDescent="0.4">
      <c r="A614" s="70"/>
      <c r="B614" s="46"/>
      <c r="C614" s="46"/>
      <c r="D614" s="34" t="e">
        <f>INDEX('Equipment list'!$B$227:$B$256, (MATCH(C614,'Equipment list'!$D$227:$D$256,0)),1)</f>
        <v>#N/A</v>
      </c>
      <c r="E614" s="34" t="e">
        <f>INDEX('Equipment list'!$C$227:$C$256, (MATCH(C614,'Equipment list'!$D$227:$D$256,0)),1)</f>
        <v>#N/A</v>
      </c>
      <c r="F614" s="34">
        <f t="shared" si="50"/>
        <v>0</v>
      </c>
      <c r="G614" s="34">
        <f t="shared" si="51"/>
        <v>0</v>
      </c>
      <c r="H614" s="34" t="e">
        <f t="shared" si="52"/>
        <v>#N/A</v>
      </c>
      <c r="I614" s="34" t="e">
        <f t="shared" si="53"/>
        <v>#N/A</v>
      </c>
      <c r="J614" s="45"/>
      <c r="K614" s="46"/>
      <c r="L614" s="49"/>
      <c r="M614" s="39"/>
      <c r="N614" s="39"/>
      <c r="O614" s="37">
        <f t="shared" si="54"/>
        <v>0</v>
      </c>
      <c r="P614" s="44"/>
      <c r="Q614" s="44"/>
    </row>
    <row r="615" spans="1:17" x14ac:dyDescent="0.4">
      <c r="A615" s="70"/>
      <c r="B615" s="46"/>
      <c r="C615" s="46"/>
      <c r="D615" s="34" t="e">
        <f>INDEX('Equipment list'!$B$227:$B$256, (MATCH(C615,'Equipment list'!$D$227:$D$256,0)),1)</f>
        <v>#N/A</v>
      </c>
      <c r="E615" s="34" t="e">
        <f>INDEX('Equipment list'!$C$227:$C$256, (MATCH(C615,'Equipment list'!$D$227:$D$256,0)),1)</f>
        <v>#N/A</v>
      </c>
      <c r="F615" s="34">
        <f t="shared" si="50"/>
        <v>0</v>
      </c>
      <c r="G615" s="34">
        <f t="shared" si="51"/>
        <v>0</v>
      </c>
      <c r="H615" s="34" t="e">
        <f t="shared" si="52"/>
        <v>#N/A</v>
      </c>
      <c r="I615" s="34" t="e">
        <f t="shared" si="53"/>
        <v>#N/A</v>
      </c>
      <c r="J615" s="45"/>
      <c r="K615" s="46"/>
      <c r="L615" s="49"/>
      <c r="M615" s="39"/>
      <c r="N615" s="39"/>
      <c r="O615" s="37">
        <f t="shared" si="54"/>
        <v>0</v>
      </c>
      <c r="P615" s="44"/>
      <c r="Q615" s="44"/>
    </row>
    <row r="616" spans="1:17" x14ac:dyDescent="0.4">
      <c r="A616" s="70"/>
      <c r="B616" s="46"/>
      <c r="C616" s="46"/>
      <c r="D616" s="34" t="e">
        <f>INDEX('Equipment list'!$B$227:$B$256, (MATCH(C616,'Equipment list'!$D$227:$D$256,0)),1)</f>
        <v>#N/A</v>
      </c>
      <c r="E616" s="34" t="e">
        <f>INDEX('Equipment list'!$C$227:$C$256, (MATCH(C616,'Equipment list'!$D$227:$D$256,0)),1)</f>
        <v>#N/A</v>
      </c>
      <c r="F616" s="34">
        <f t="shared" si="50"/>
        <v>0</v>
      </c>
      <c r="G616" s="34">
        <f t="shared" si="51"/>
        <v>0</v>
      </c>
      <c r="H616" s="34" t="e">
        <f t="shared" si="52"/>
        <v>#N/A</v>
      </c>
      <c r="I616" s="34" t="e">
        <f t="shared" si="53"/>
        <v>#N/A</v>
      </c>
      <c r="J616" s="45"/>
      <c r="K616" s="46"/>
      <c r="L616" s="49"/>
      <c r="M616" s="39"/>
      <c r="N616" s="39"/>
      <c r="O616" s="37">
        <f t="shared" si="54"/>
        <v>0</v>
      </c>
      <c r="P616" s="44"/>
      <c r="Q616" s="44"/>
    </row>
    <row r="617" spans="1:17" x14ac:dyDescent="0.4">
      <c r="A617" s="70"/>
      <c r="B617" s="46"/>
      <c r="C617" s="46"/>
      <c r="D617" s="34" t="e">
        <f>INDEX('Equipment list'!$B$227:$B$256, (MATCH(C617,'Equipment list'!$D$227:$D$256,0)),1)</f>
        <v>#N/A</v>
      </c>
      <c r="E617" s="34" t="e">
        <f>INDEX('Equipment list'!$C$227:$C$256, (MATCH(C617,'Equipment list'!$D$227:$D$256,0)),1)</f>
        <v>#N/A</v>
      </c>
      <c r="F617" s="34">
        <f t="shared" si="50"/>
        <v>0</v>
      </c>
      <c r="G617" s="34">
        <f t="shared" si="51"/>
        <v>0</v>
      </c>
      <c r="H617" s="34" t="e">
        <f t="shared" si="52"/>
        <v>#N/A</v>
      </c>
      <c r="I617" s="34" t="e">
        <f t="shared" si="53"/>
        <v>#N/A</v>
      </c>
      <c r="J617" s="45"/>
      <c r="K617" s="46"/>
      <c r="L617" s="49"/>
      <c r="M617" s="39"/>
      <c r="N617" s="39"/>
      <c r="O617" s="37">
        <f t="shared" si="54"/>
        <v>0</v>
      </c>
      <c r="P617" s="44"/>
      <c r="Q617" s="44"/>
    </row>
    <row r="618" spans="1:17" x14ac:dyDescent="0.4">
      <c r="A618" s="70"/>
      <c r="B618" s="46"/>
      <c r="C618" s="46"/>
      <c r="D618" s="34" t="e">
        <f>INDEX('Equipment list'!$B$227:$B$256, (MATCH(C618,'Equipment list'!$D$227:$D$256,0)),1)</f>
        <v>#N/A</v>
      </c>
      <c r="E618" s="34" t="e">
        <f>INDEX('Equipment list'!$C$227:$C$256, (MATCH(C618,'Equipment list'!$D$227:$D$256,0)),1)</f>
        <v>#N/A</v>
      </c>
      <c r="F618" s="34">
        <f t="shared" si="50"/>
        <v>0</v>
      </c>
      <c r="G618" s="34">
        <f t="shared" si="51"/>
        <v>0</v>
      </c>
      <c r="H618" s="34" t="e">
        <f t="shared" si="52"/>
        <v>#N/A</v>
      </c>
      <c r="I618" s="34" t="e">
        <f t="shared" si="53"/>
        <v>#N/A</v>
      </c>
      <c r="J618" s="45"/>
      <c r="K618" s="46"/>
      <c r="L618" s="49"/>
      <c r="M618" s="39"/>
      <c r="N618" s="39"/>
      <c r="O618" s="37">
        <f t="shared" si="54"/>
        <v>0</v>
      </c>
      <c r="P618" s="44"/>
      <c r="Q618" s="44"/>
    </row>
    <row r="619" spans="1:17" x14ac:dyDescent="0.4">
      <c r="A619" s="70"/>
      <c r="B619" s="46"/>
      <c r="C619" s="46"/>
      <c r="D619" s="34" t="e">
        <f>INDEX('Equipment list'!$B$227:$B$256, (MATCH(C619,'Equipment list'!$D$227:$D$256,0)),1)</f>
        <v>#N/A</v>
      </c>
      <c r="E619" s="34" t="e">
        <f>INDEX('Equipment list'!$C$227:$C$256, (MATCH(C619,'Equipment list'!$D$227:$D$256,0)),1)</f>
        <v>#N/A</v>
      </c>
      <c r="F619" s="34">
        <f t="shared" si="50"/>
        <v>0</v>
      </c>
      <c r="G619" s="34">
        <f t="shared" si="51"/>
        <v>0</v>
      </c>
      <c r="H619" s="34" t="e">
        <f t="shared" si="52"/>
        <v>#N/A</v>
      </c>
      <c r="I619" s="34" t="e">
        <f t="shared" si="53"/>
        <v>#N/A</v>
      </c>
      <c r="J619" s="45"/>
      <c r="K619" s="46"/>
      <c r="L619" s="49"/>
      <c r="M619" s="39"/>
      <c r="N619" s="39"/>
      <c r="O619" s="37">
        <f t="shared" si="54"/>
        <v>0</v>
      </c>
      <c r="P619" s="44"/>
      <c r="Q619" s="44"/>
    </row>
    <row r="620" spans="1:17" x14ac:dyDescent="0.4">
      <c r="A620" s="70"/>
      <c r="B620" s="46"/>
      <c r="C620" s="46"/>
      <c r="D620" s="34" t="e">
        <f>INDEX('Equipment list'!$B$227:$B$256, (MATCH(C620,'Equipment list'!$D$227:$D$256,0)),1)</f>
        <v>#N/A</v>
      </c>
      <c r="E620" s="34" t="e">
        <f>INDEX('Equipment list'!$C$227:$C$256, (MATCH(C620,'Equipment list'!$D$227:$D$256,0)),1)</f>
        <v>#N/A</v>
      </c>
      <c r="F620" s="34">
        <f t="shared" si="50"/>
        <v>0</v>
      </c>
      <c r="G620" s="34">
        <f t="shared" si="51"/>
        <v>0</v>
      </c>
      <c r="H620" s="34" t="e">
        <f t="shared" si="52"/>
        <v>#N/A</v>
      </c>
      <c r="I620" s="34" t="e">
        <f t="shared" si="53"/>
        <v>#N/A</v>
      </c>
      <c r="J620" s="45"/>
      <c r="K620" s="46"/>
      <c r="L620" s="49"/>
      <c r="M620" s="39"/>
      <c r="N620" s="39"/>
      <c r="O620" s="37">
        <f t="shared" si="54"/>
        <v>0</v>
      </c>
      <c r="P620" s="44"/>
      <c r="Q620" s="44"/>
    </row>
    <row r="621" spans="1:17" x14ac:dyDescent="0.4">
      <c r="A621" s="70"/>
      <c r="B621" s="46"/>
      <c r="C621" s="46"/>
      <c r="D621" s="34" t="e">
        <f>INDEX('Equipment list'!$B$227:$B$256, (MATCH(C621,'Equipment list'!$D$227:$D$256,0)),1)</f>
        <v>#N/A</v>
      </c>
      <c r="E621" s="34" t="e">
        <f>INDEX('Equipment list'!$C$227:$C$256, (MATCH(C621,'Equipment list'!$D$227:$D$256,0)),1)</f>
        <v>#N/A</v>
      </c>
      <c r="F621" s="34">
        <f t="shared" si="50"/>
        <v>0</v>
      </c>
      <c r="G621" s="34">
        <f t="shared" si="51"/>
        <v>0</v>
      </c>
      <c r="H621" s="34" t="e">
        <f t="shared" si="52"/>
        <v>#N/A</v>
      </c>
      <c r="I621" s="34" t="e">
        <f t="shared" si="53"/>
        <v>#N/A</v>
      </c>
      <c r="J621" s="45"/>
      <c r="K621" s="46"/>
      <c r="L621" s="49"/>
      <c r="M621" s="39"/>
      <c r="N621" s="39"/>
      <c r="O621" s="37">
        <f t="shared" si="54"/>
        <v>0</v>
      </c>
      <c r="P621" s="44"/>
      <c r="Q621" s="44"/>
    </row>
    <row r="622" spans="1:17" x14ac:dyDescent="0.4">
      <c r="A622" s="70"/>
      <c r="B622" s="46"/>
      <c r="C622" s="46"/>
      <c r="D622" s="34" t="e">
        <f>INDEX('Equipment list'!$B$227:$B$256, (MATCH(C622,'Equipment list'!$D$227:$D$256,0)),1)</f>
        <v>#N/A</v>
      </c>
      <c r="E622" s="34" t="e">
        <f>INDEX('Equipment list'!$C$227:$C$256, (MATCH(C622,'Equipment list'!$D$227:$D$256,0)),1)</f>
        <v>#N/A</v>
      </c>
      <c r="F622" s="34">
        <f t="shared" si="50"/>
        <v>0</v>
      </c>
      <c r="G622" s="34">
        <f t="shared" si="51"/>
        <v>0</v>
      </c>
      <c r="H622" s="34" t="e">
        <f t="shared" si="52"/>
        <v>#N/A</v>
      </c>
      <c r="I622" s="34" t="e">
        <f t="shared" si="53"/>
        <v>#N/A</v>
      </c>
      <c r="J622" s="45"/>
      <c r="K622" s="46"/>
      <c r="L622" s="49"/>
      <c r="M622" s="39"/>
      <c r="N622" s="39"/>
      <c r="O622" s="37">
        <f t="shared" si="54"/>
        <v>0</v>
      </c>
      <c r="P622" s="44"/>
      <c r="Q622" s="44"/>
    </row>
    <row r="623" spans="1:17" x14ac:dyDescent="0.4">
      <c r="A623" s="70"/>
      <c r="B623" s="46"/>
      <c r="C623" s="46"/>
      <c r="D623" s="34" t="e">
        <f>INDEX('Equipment list'!$B$227:$B$256, (MATCH(C623,'Equipment list'!$D$227:$D$256,0)),1)</f>
        <v>#N/A</v>
      </c>
      <c r="E623" s="34" t="e">
        <f>INDEX('Equipment list'!$C$227:$C$256, (MATCH(C623,'Equipment list'!$D$227:$D$256,0)),1)</f>
        <v>#N/A</v>
      </c>
      <c r="F623" s="34">
        <f t="shared" si="50"/>
        <v>0</v>
      </c>
      <c r="G623" s="34">
        <f t="shared" si="51"/>
        <v>0</v>
      </c>
      <c r="H623" s="34" t="e">
        <f t="shared" si="52"/>
        <v>#N/A</v>
      </c>
      <c r="I623" s="34" t="e">
        <f t="shared" si="53"/>
        <v>#N/A</v>
      </c>
      <c r="J623" s="45"/>
      <c r="K623" s="46"/>
      <c r="L623" s="49"/>
      <c r="M623" s="39"/>
      <c r="N623" s="39"/>
      <c r="O623" s="37">
        <f t="shared" si="54"/>
        <v>0</v>
      </c>
      <c r="P623" s="44"/>
      <c r="Q623" s="44"/>
    </row>
    <row r="624" spans="1:17" x14ac:dyDescent="0.4">
      <c r="A624" s="70"/>
      <c r="B624" s="46"/>
      <c r="C624" s="46"/>
      <c r="D624" s="34" t="e">
        <f>INDEX('Equipment list'!$B$227:$B$256, (MATCH(C624,'Equipment list'!$D$227:$D$256,0)),1)</f>
        <v>#N/A</v>
      </c>
      <c r="E624" s="34" t="e">
        <f>INDEX('Equipment list'!$C$227:$C$256, (MATCH(C624,'Equipment list'!$D$227:$D$256,0)),1)</f>
        <v>#N/A</v>
      </c>
      <c r="F624" s="34">
        <f t="shared" si="50"/>
        <v>0</v>
      </c>
      <c r="G624" s="34">
        <f t="shared" si="51"/>
        <v>0</v>
      </c>
      <c r="H624" s="34" t="e">
        <f t="shared" si="52"/>
        <v>#N/A</v>
      </c>
      <c r="I624" s="34" t="e">
        <f t="shared" si="53"/>
        <v>#N/A</v>
      </c>
      <c r="J624" s="45"/>
      <c r="K624" s="46"/>
      <c r="L624" s="49"/>
      <c r="M624" s="39"/>
      <c r="N624" s="39"/>
      <c r="O624" s="37">
        <f t="shared" si="54"/>
        <v>0</v>
      </c>
      <c r="P624" s="44"/>
      <c r="Q624" s="44"/>
    </row>
    <row r="625" spans="1:17" x14ac:dyDescent="0.4">
      <c r="A625" s="70"/>
      <c r="B625" s="46"/>
      <c r="C625" s="46"/>
      <c r="D625" s="34" t="e">
        <f>INDEX('Equipment list'!$B$227:$B$256, (MATCH(C625,'Equipment list'!$D$227:$D$256,0)),1)</f>
        <v>#N/A</v>
      </c>
      <c r="E625" s="34" t="e">
        <f>INDEX('Equipment list'!$C$227:$C$256, (MATCH(C625,'Equipment list'!$D$227:$D$256,0)),1)</f>
        <v>#N/A</v>
      </c>
      <c r="F625" s="34">
        <f t="shared" si="50"/>
        <v>0</v>
      </c>
      <c r="G625" s="34">
        <f t="shared" si="51"/>
        <v>0</v>
      </c>
      <c r="H625" s="34" t="e">
        <f t="shared" si="52"/>
        <v>#N/A</v>
      </c>
      <c r="I625" s="34" t="e">
        <f t="shared" si="53"/>
        <v>#N/A</v>
      </c>
      <c r="J625" s="45"/>
      <c r="K625" s="46"/>
      <c r="L625" s="49"/>
      <c r="M625" s="39"/>
      <c r="N625" s="39"/>
      <c r="O625" s="37">
        <f t="shared" si="54"/>
        <v>0</v>
      </c>
      <c r="P625" s="44"/>
      <c r="Q625" s="44"/>
    </row>
    <row r="626" spans="1:17" x14ac:dyDescent="0.4">
      <c r="A626" s="70"/>
      <c r="B626" s="46"/>
      <c r="C626" s="46"/>
      <c r="D626" s="34" t="e">
        <f>INDEX('Equipment list'!$B$227:$B$256, (MATCH(C626,'Equipment list'!$D$227:$D$256,0)),1)</f>
        <v>#N/A</v>
      </c>
      <c r="E626" s="34" t="e">
        <f>INDEX('Equipment list'!$C$227:$C$256, (MATCH(C626,'Equipment list'!$D$227:$D$256,0)),1)</f>
        <v>#N/A</v>
      </c>
      <c r="F626" s="34">
        <f t="shared" si="50"/>
        <v>0</v>
      </c>
      <c r="G626" s="34">
        <f t="shared" si="51"/>
        <v>0</v>
      </c>
      <c r="H626" s="34" t="e">
        <f t="shared" si="52"/>
        <v>#N/A</v>
      </c>
      <c r="I626" s="34" t="e">
        <f t="shared" si="53"/>
        <v>#N/A</v>
      </c>
      <c r="J626" s="45"/>
      <c r="K626" s="46"/>
      <c r="L626" s="49"/>
      <c r="M626" s="39"/>
      <c r="N626" s="39"/>
      <c r="O626" s="37">
        <f t="shared" si="54"/>
        <v>0</v>
      </c>
      <c r="P626" s="44"/>
      <c r="Q626" s="44"/>
    </row>
    <row r="627" spans="1:17" x14ac:dyDescent="0.4">
      <c r="A627" s="70"/>
      <c r="B627" s="46"/>
      <c r="C627" s="46"/>
      <c r="D627" s="34" t="e">
        <f>INDEX('Equipment list'!$B$227:$B$256, (MATCH(C627,'Equipment list'!$D$227:$D$256,0)),1)</f>
        <v>#N/A</v>
      </c>
      <c r="E627" s="34" t="e">
        <f>INDEX('Equipment list'!$C$227:$C$256, (MATCH(C627,'Equipment list'!$D$227:$D$256,0)),1)</f>
        <v>#N/A</v>
      </c>
      <c r="F627" s="34">
        <f t="shared" si="50"/>
        <v>0</v>
      </c>
      <c r="G627" s="34">
        <f t="shared" si="51"/>
        <v>0</v>
      </c>
      <c r="H627" s="34" t="e">
        <f t="shared" si="52"/>
        <v>#N/A</v>
      </c>
      <c r="I627" s="34" t="e">
        <f t="shared" si="53"/>
        <v>#N/A</v>
      </c>
      <c r="J627" s="45"/>
      <c r="K627" s="46"/>
      <c r="L627" s="49"/>
      <c r="M627" s="39"/>
      <c r="N627" s="39"/>
      <c r="O627" s="37">
        <f t="shared" si="54"/>
        <v>0</v>
      </c>
      <c r="P627" s="44"/>
      <c r="Q627" s="44"/>
    </row>
    <row r="628" spans="1:17" x14ac:dyDescent="0.4">
      <c r="A628" s="70"/>
      <c r="B628" s="46"/>
      <c r="C628" s="46"/>
      <c r="D628" s="34" t="e">
        <f>INDEX('Equipment list'!$B$227:$B$256, (MATCH(C628,'Equipment list'!$D$227:$D$256,0)),1)</f>
        <v>#N/A</v>
      </c>
      <c r="E628" s="34" t="e">
        <f>INDEX('Equipment list'!$C$227:$C$256, (MATCH(C628,'Equipment list'!$D$227:$D$256,0)),1)</f>
        <v>#N/A</v>
      </c>
      <c r="F628" s="34">
        <f t="shared" si="50"/>
        <v>0</v>
      </c>
      <c r="G628" s="34">
        <f t="shared" si="51"/>
        <v>0</v>
      </c>
      <c r="H628" s="34" t="e">
        <f t="shared" si="52"/>
        <v>#N/A</v>
      </c>
      <c r="I628" s="34" t="e">
        <f t="shared" si="53"/>
        <v>#N/A</v>
      </c>
      <c r="J628" s="45"/>
      <c r="K628" s="46"/>
      <c r="L628" s="49"/>
      <c r="M628" s="39"/>
      <c r="N628" s="39"/>
      <c r="O628" s="37">
        <f t="shared" si="54"/>
        <v>0</v>
      </c>
      <c r="P628" s="44"/>
      <c r="Q628" s="44"/>
    </row>
    <row r="629" spans="1:17" x14ac:dyDescent="0.4">
      <c r="A629" s="70"/>
      <c r="B629" s="46"/>
      <c r="C629" s="46"/>
      <c r="D629" s="34" t="e">
        <f>INDEX('Equipment list'!$B$227:$B$256, (MATCH(C629,'Equipment list'!$D$227:$D$256,0)),1)</f>
        <v>#N/A</v>
      </c>
      <c r="E629" s="34" t="e">
        <f>INDEX('Equipment list'!$C$227:$C$256, (MATCH(C629,'Equipment list'!$D$227:$D$256,0)),1)</f>
        <v>#N/A</v>
      </c>
      <c r="F629" s="34">
        <f t="shared" si="50"/>
        <v>0</v>
      </c>
      <c r="G629" s="34">
        <f t="shared" si="51"/>
        <v>0</v>
      </c>
      <c r="H629" s="34" t="e">
        <f t="shared" si="52"/>
        <v>#N/A</v>
      </c>
      <c r="I629" s="34" t="e">
        <f t="shared" si="53"/>
        <v>#N/A</v>
      </c>
      <c r="J629" s="45"/>
      <c r="K629" s="46"/>
      <c r="L629" s="49"/>
      <c r="M629" s="39"/>
      <c r="N629" s="39"/>
      <c r="O629" s="37">
        <f t="shared" si="54"/>
        <v>0</v>
      </c>
      <c r="P629" s="44"/>
      <c r="Q629" s="44"/>
    </row>
    <row r="630" spans="1:17" x14ac:dyDescent="0.4">
      <c r="A630" s="70"/>
      <c r="B630" s="46"/>
      <c r="C630" s="46"/>
      <c r="D630" s="34" t="e">
        <f>INDEX('Equipment list'!$B$227:$B$256, (MATCH(C630,'Equipment list'!$D$227:$D$256,0)),1)</f>
        <v>#N/A</v>
      </c>
      <c r="E630" s="34" t="e">
        <f>INDEX('Equipment list'!$C$227:$C$256, (MATCH(C630,'Equipment list'!$D$227:$D$256,0)),1)</f>
        <v>#N/A</v>
      </c>
      <c r="F630" s="34">
        <f t="shared" si="50"/>
        <v>0</v>
      </c>
      <c r="G630" s="34">
        <f t="shared" si="51"/>
        <v>0</v>
      </c>
      <c r="H630" s="34" t="e">
        <f t="shared" si="52"/>
        <v>#N/A</v>
      </c>
      <c r="I630" s="34" t="e">
        <f t="shared" si="53"/>
        <v>#N/A</v>
      </c>
      <c r="J630" s="45"/>
      <c r="K630" s="46"/>
      <c r="L630" s="49"/>
      <c r="M630" s="39"/>
      <c r="N630" s="39"/>
      <c r="O630" s="37">
        <f t="shared" si="54"/>
        <v>0</v>
      </c>
      <c r="P630" s="44"/>
      <c r="Q630" s="44"/>
    </row>
    <row r="631" spans="1:17" x14ac:dyDescent="0.4">
      <c r="A631" s="70"/>
      <c r="B631" s="46"/>
      <c r="C631" s="46"/>
      <c r="D631" s="34" t="e">
        <f>INDEX('Equipment list'!$B$227:$B$256, (MATCH(C631,'Equipment list'!$D$227:$D$256,0)),1)</f>
        <v>#N/A</v>
      </c>
      <c r="E631" s="34" t="e">
        <f>INDEX('Equipment list'!$C$227:$C$256, (MATCH(C631,'Equipment list'!$D$227:$D$256,0)),1)</f>
        <v>#N/A</v>
      </c>
      <c r="F631" s="34">
        <f t="shared" si="50"/>
        <v>0</v>
      </c>
      <c r="G631" s="34">
        <f t="shared" si="51"/>
        <v>0</v>
      </c>
      <c r="H631" s="34" t="e">
        <f t="shared" si="52"/>
        <v>#N/A</v>
      </c>
      <c r="I631" s="34" t="e">
        <f t="shared" si="53"/>
        <v>#N/A</v>
      </c>
      <c r="J631" s="45"/>
      <c r="K631" s="46"/>
      <c r="L631" s="49"/>
      <c r="M631" s="39"/>
      <c r="N631" s="39"/>
      <c r="O631" s="37">
        <f t="shared" si="54"/>
        <v>0</v>
      </c>
      <c r="P631" s="44"/>
      <c r="Q631" s="44"/>
    </row>
    <row r="632" spans="1:17" x14ac:dyDescent="0.4">
      <c r="A632" s="70"/>
      <c r="B632" s="46"/>
      <c r="C632" s="46"/>
      <c r="D632" s="34" t="e">
        <f>INDEX('Equipment list'!$B$227:$B$256, (MATCH(C632,'Equipment list'!$D$227:$D$256,0)),1)</f>
        <v>#N/A</v>
      </c>
      <c r="E632" s="34" t="e">
        <f>INDEX('Equipment list'!$C$227:$C$256, (MATCH(C632,'Equipment list'!$D$227:$D$256,0)),1)</f>
        <v>#N/A</v>
      </c>
      <c r="F632" s="34">
        <f t="shared" si="50"/>
        <v>0</v>
      </c>
      <c r="G632" s="34">
        <f t="shared" si="51"/>
        <v>0</v>
      </c>
      <c r="H632" s="34" t="e">
        <f t="shared" si="52"/>
        <v>#N/A</v>
      </c>
      <c r="I632" s="34" t="e">
        <f t="shared" si="53"/>
        <v>#N/A</v>
      </c>
      <c r="J632" s="45"/>
      <c r="K632" s="46"/>
      <c r="L632" s="49"/>
      <c r="M632" s="39"/>
      <c r="N632" s="39"/>
      <c r="O632" s="37">
        <f t="shared" si="54"/>
        <v>0</v>
      </c>
      <c r="P632" s="44"/>
      <c r="Q632" s="44"/>
    </row>
    <row r="633" spans="1:17" x14ac:dyDescent="0.4">
      <c r="A633" s="70"/>
      <c r="B633" s="46"/>
      <c r="C633" s="46"/>
      <c r="D633" s="34" t="e">
        <f>INDEX('Equipment list'!$B$227:$B$256, (MATCH(C633,'Equipment list'!$D$227:$D$256,0)),1)</f>
        <v>#N/A</v>
      </c>
      <c r="E633" s="34" t="e">
        <f>INDEX('Equipment list'!$C$227:$C$256, (MATCH(C633,'Equipment list'!$D$227:$D$256,0)),1)</f>
        <v>#N/A</v>
      </c>
      <c r="F633" s="34">
        <f t="shared" si="50"/>
        <v>0</v>
      </c>
      <c r="G633" s="34">
        <f t="shared" si="51"/>
        <v>0</v>
      </c>
      <c r="H633" s="34" t="e">
        <f t="shared" si="52"/>
        <v>#N/A</v>
      </c>
      <c r="I633" s="34" t="e">
        <f t="shared" si="53"/>
        <v>#N/A</v>
      </c>
      <c r="J633" s="45"/>
      <c r="K633" s="46"/>
      <c r="L633" s="49"/>
      <c r="M633" s="39"/>
      <c r="N633" s="39"/>
      <c r="O633" s="37">
        <f t="shared" si="54"/>
        <v>0</v>
      </c>
      <c r="P633" s="44"/>
      <c r="Q633" s="44"/>
    </row>
    <row r="634" spans="1:17" x14ac:dyDescent="0.4">
      <c r="A634" s="70"/>
      <c r="B634" s="46"/>
      <c r="C634" s="46"/>
      <c r="D634" s="34" t="e">
        <f>INDEX('Equipment list'!$B$227:$B$256, (MATCH(C634,'Equipment list'!$D$227:$D$256,0)),1)</f>
        <v>#N/A</v>
      </c>
      <c r="E634" s="34" t="e">
        <f>INDEX('Equipment list'!$C$227:$C$256, (MATCH(C634,'Equipment list'!$D$227:$D$256,0)),1)</f>
        <v>#N/A</v>
      </c>
      <c r="F634" s="34">
        <f t="shared" si="50"/>
        <v>0</v>
      </c>
      <c r="G634" s="34">
        <f t="shared" si="51"/>
        <v>0</v>
      </c>
      <c r="H634" s="34" t="e">
        <f t="shared" si="52"/>
        <v>#N/A</v>
      </c>
      <c r="I634" s="34" t="e">
        <f t="shared" si="53"/>
        <v>#N/A</v>
      </c>
      <c r="J634" s="45"/>
      <c r="K634" s="46"/>
      <c r="L634" s="49"/>
      <c r="M634" s="39"/>
      <c r="N634" s="39"/>
      <c r="O634" s="37">
        <f t="shared" si="54"/>
        <v>0</v>
      </c>
      <c r="P634" s="44"/>
      <c r="Q634" s="44"/>
    </row>
    <row r="635" spans="1:17" x14ac:dyDescent="0.4">
      <c r="A635" s="70"/>
      <c r="B635" s="46"/>
      <c r="C635" s="46"/>
      <c r="D635" s="34" t="e">
        <f>INDEX('Equipment list'!$B$227:$B$256, (MATCH(C635,'Equipment list'!$D$227:$D$256,0)),1)</f>
        <v>#N/A</v>
      </c>
      <c r="E635" s="34" t="e">
        <f>INDEX('Equipment list'!$C$227:$C$256, (MATCH(C635,'Equipment list'!$D$227:$D$256,0)),1)</f>
        <v>#N/A</v>
      </c>
      <c r="F635" s="34">
        <f t="shared" si="50"/>
        <v>0</v>
      </c>
      <c r="G635" s="34">
        <f t="shared" si="51"/>
        <v>0</v>
      </c>
      <c r="H635" s="34" t="e">
        <f t="shared" si="52"/>
        <v>#N/A</v>
      </c>
      <c r="I635" s="34" t="e">
        <f t="shared" si="53"/>
        <v>#N/A</v>
      </c>
      <c r="J635" s="45"/>
      <c r="K635" s="46"/>
      <c r="L635" s="49"/>
      <c r="M635" s="39"/>
      <c r="N635" s="39"/>
      <c r="O635" s="37">
        <f t="shared" si="54"/>
        <v>0</v>
      </c>
      <c r="P635" s="44"/>
      <c r="Q635" s="44"/>
    </row>
    <row r="636" spans="1:17" x14ac:dyDescent="0.4">
      <c r="A636" s="70"/>
      <c r="B636" s="46"/>
      <c r="C636" s="46"/>
      <c r="D636" s="34" t="e">
        <f>INDEX('Equipment list'!$B$227:$B$256, (MATCH(C636,'Equipment list'!$D$227:$D$256,0)),1)</f>
        <v>#N/A</v>
      </c>
      <c r="E636" s="34" t="e">
        <f>INDEX('Equipment list'!$C$227:$C$256, (MATCH(C636,'Equipment list'!$D$227:$D$256,0)),1)</f>
        <v>#N/A</v>
      </c>
      <c r="F636" s="34">
        <f t="shared" si="50"/>
        <v>0</v>
      </c>
      <c r="G636" s="34">
        <f t="shared" si="51"/>
        <v>0</v>
      </c>
      <c r="H636" s="34" t="e">
        <f t="shared" si="52"/>
        <v>#N/A</v>
      </c>
      <c r="I636" s="34" t="e">
        <f t="shared" si="53"/>
        <v>#N/A</v>
      </c>
      <c r="J636" s="45"/>
      <c r="K636" s="46"/>
      <c r="L636" s="49"/>
      <c r="M636" s="39"/>
      <c r="N636" s="39"/>
      <c r="O636" s="37">
        <f t="shared" si="54"/>
        <v>0</v>
      </c>
      <c r="P636" s="44"/>
      <c r="Q636" s="44"/>
    </row>
    <row r="637" spans="1:17" x14ac:dyDescent="0.4">
      <c r="A637" s="70"/>
      <c r="B637" s="46"/>
      <c r="C637" s="46"/>
      <c r="D637" s="34" t="e">
        <f>INDEX('Equipment list'!$B$227:$B$256, (MATCH(C637,'Equipment list'!$D$227:$D$256,0)),1)</f>
        <v>#N/A</v>
      </c>
      <c r="E637" s="34" t="e">
        <f>INDEX('Equipment list'!$C$227:$C$256, (MATCH(C637,'Equipment list'!$D$227:$D$256,0)),1)</f>
        <v>#N/A</v>
      </c>
      <c r="F637" s="34">
        <f t="shared" si="50"/>
        <v>0</v>
      </c>
      <c r="G637" s="34">
        <f t="shared" si="51"/>
        <v>0</v>
      </c>
      <c r="H637" s="34" t="e">
        <f t="shared" si="52"/>
        <v>#N/A</v>
      </c>
      <c r="I637" s="34" t="e">
        <f t="shared" si="53"/>
        <v>#N/A</v>
      </c>
      <c r="J637" s="45"/>
      <c r="K637" s="46"/>
      <c r="L637" s="49"/>
      <c r="M637" s="39"/>
      <c r="N637" s="39"/>
      <c r="O637" s="37">
        <f t="shared" si="54"/>
        <v>0</v>
      </c>
      <c r="P637" s="44"/>
      <c r="Q637" s="44"/>
    </row>
    <row r="638" spans="1:17" x14ac:dyDescent="0.4">
      <c r="A638" s="70"/>
      <c r="B638" s="46"/>
      <c r="C638" s="46"/>
      <c r="D638" s="34" t="e">
        <f>INDEX('Equipment list'!$B$227:$B$256, (MATCH(C638,'Equipment list'!$D$227:$D$256,0)),1)</f>
        <v>#N/A</v>
      </c>
      <c r="E638" s="34" t="e">
        <f>INDEX('Equipment list'!$C$227:$C$256, (MATCH(C638,'Equipment list'!$D$227:$D$256,0)),1)</f>
        <v>#N/A</v>
      </c>
      <c r="F638" s="34">
        <f t="shared" si="50"/>
        <v>0</v>
      </c>
      <c r="G638" s="34">
        <f t="shared" si="51"/>
        <v>0</v>
      </c>
      <c r="H638" s="34" t="e">
        <f t="shared" si="52"/>
        <v>#N/A</v>
      </c>
      <c r="I638" s="34" t="e">
        <f t="shared" si="53"/>
        <v>#N/A</v>
      </c>
      <c r="J638" s="45"/>
      <c r="K638" s="46"/>
      <c r="L638" s="49"/>
      <c r="M638" s="39"/>
      <c r="N638" s="39"/>
      <c r="O638" s="37">
        <f t="shared" si="54"/>
        <v>0</v>
      </c>
      <c r="P638" s="44"/>
      <c r="Q638" s="44"/>
    </row>
    <row r="639" spans="1:17" x14ac:dyDescent="0.4">
      <c r="A639" s="70"/>
      <c r="B639" s="46"/>
      <c r="C639" s="46"/>
      <c r="D639" s="34" t="e">
        <f>INDEX('Equipment list'!$B$227:$B$256, (MATCH(C639,'Equipment list'!$D$227:$D$256,0)),1)</f>
        <v>#N/A</v>
      </c>
      <c r="E639" s="34" t="e">
        <f>INDEX('Equipment list'!$C$227:$C$256, (MATCH(C639,'Equipment list'!$D$227:$D$256,0)),1)</f>
        <v>#N/A</v>
      </c>
      <c r="F639" s="34">
        <f t="shared" si="50"/>
        <v>0</v>
      </c>
      <c r="G639" s="34">
        <f t="shared" si="51"/>
        <v>0</v>
      </c>
      <c r="H639" s="34" t="e">
        <f t="shared" si="52"/>
        <v>#N/A</v>
      </c>
      <c r="I639" s="34" t="e">
        <f t="shared" si="53"/>
        <v>#N/A</v>
      </c>
      <c r="J639" s="45"/>
      <c r="K639" s="46"/>
      <c r="L639" s="49"/>
      <c r="M639" s="39"/>
      <c r="N639" s="39"/>
      <c r="O639" s="37">
        <f t="shared" si="54"/>
        <v>0</v>
      </c>
      <c r="P639" s="44"/>
      <c r="Q639" s="44"/>
    </row>
    <row r="640" spans="1:17" x14ac:dyDescent="0.4">
      <c r="A640" s="70"/>
      <c r="B640" s="46"/>
      <c r="C640" s="46"/>
      <c r="D640" s="34" t="e">
        <f>INDEX('Equipment list'!$B$227:$B$256, (MATCH(C640,'Equipment list'!$D$227:$D$256,0)),1)</f>
        <v>#N/A</v>
      </c>
      <c r="E640" s="34" t="e">
        <f>INDEX('Equipment list'!$C$227:$C$256, (MATCH(C640,'Equipment list'!$D$227:$D$256,0)),1)</f>
        <v>#N/A</v>
      </c>
      <c r="F640" s="34">
        <f t="shared" si="50"/>
        <v>0</v>
      </c>
      <c r="G640" s="34">
        <f t="shared" si="51"/>
        <v>0</v>
      </c>
      <c r="H640" s="34" t="e">
        <f t="shared" si="52"/>
        <v>#N/A</v>
      </c>
      <c r="I640" s="34" t="e">
        <f t="shared" si="53"/>
        <v>#N/A</v>
      </c>
      <c r="J640" s="45"/>
      <c r="K640" s="46"/>
      <c r="L640" s="49"/>
      <c r="M640" s="39"/>
      <c r="N640" s="39"/>
      <c r="O640" s="37">
        <f t="shared" si="54"/>
        <v>0</v>
      </c>
      <c r="P640" s="44"/>
      <c r="Q640" s="44"/>
    </row>
    <row r="641" spans="1:17" x14ac:dyDescent="0.4">
      <c r="A641" s="70"/>
      <c r="B641" s="46"/>
      <c r="C641" s="46"/>
      <c r="D641" s="34" t="e">
        <f>INDEX('Equipment list'!$B$227:$B$256, (MATCH(C641,'Equipment list'!$D$227:$D$256,0)),1)</f>
        <v>#N/A</v>
      </c>
      <c r="E641" s="34" t="e">
        <f>INDEX('Equipment list'!$C$227:$C$256, (MATCH(C641,'Equipment list'!$D$227:$D$256,0)),1)</f>
        <v>#N/A</v>
      </c>
      <c r="F641" s="34">
        <f t="shared" si="50"/>
        <v>0</v>
      </c>
      <c r="G641" s="34">
        <f t="shared" si="51"/>
        <v>0</v>
      </c>
      <c r="H641" s="34" t="e">
        <f t="shared" si="52"/>
        <v>#N/A</v>
      </c>
      <c r="I641" s="34" t="e">
        <f t="shared" si="53"/>
        <v>#N/A</v>
      </c>
      <c r="J641" s="45"/>
      <c r="K641" s="46"/>
      <c r="L641" s="49"/>
      <c r="M641" s="39"/>
      <c r="N641" s="39"/>
      <c r="O641" s="37">
        <f t="shared" si="54"/>
        <v>0</v>
      </c>
      <c r="P641" s="44"/>
      <c r="Q641" s="44"/>
    </row>
    <row r="642" spans="1:17" x14ac:dyDescent="0.4">
      <c r="A642" s="70"/>
      <c r="B642" s="46"/>
      <c r="C642" s="46"/>
      <c r="D642" s="34" t="e">
        <f>INDEX('Equipment list'!$B$227:$B$256, (MATCH(C642,'Equipment list'!$D$227:$D$256,0)),1)</f>
        <v>#N/A</v>
      </c>
      <c r="E642" s="34" t="e">
        <f>INDEX('Equipment list'!$C$227:$C$256, (MATCH(C642,'Equipment list'!$D$227:$D$256,0)),1)</f>
        <v>#N/A</v>
      </c>
      <c r="F642" s="34">
        <f t="shared" si="50"/>
        <v>0</v>
      </c>
      <c r="G642" s="34">
        <f t="shared" si="51"/>
        <v>0</v>
      </c>
      <c r="H642" s="34" t="e">
        <f t="shared" si="52"/>
        <v>#N/A</v>
      </c>
      <c r="I642" s="34" t="e">
        <f t="shared" si="53"/>
        <v>#N/A</v>
      </c>
      <c r="J642" s="45"/>
      <c r="K642" s="46"/>
      <c r="L642" s="49"/>
      <c r="M642" s="39"/>
      <c r="N642" s="39"/>
      <c r="O642" s="37">
        <f t="shared" si="54"/>
        <v>0</v>
      </c>
      <c r="P642" s="44"/>
      <c r="Q642" s="44"/>
    </row>
    <row r="643" spans="1:17" x14ac:dyDescent="0.4">
      <c r="A643" s="70"/>
      <c r="B643" s="46"/>
      <c r="C643" s="46"/>
      <c r="D643" s="34" t="e">
        <f>INDEX('Equipment list'!$B$227:$B$256, (MATCH(C643,'Equipment list'!$D$227:$D$256,0)),1)</f>
        <v>#N/A</v>
      </c>
      <c r="E643" s="34" t="e">
        <f>INDEX('Equipment list'!$C$227:$C$256, (MATCH(C643,'Equipment list'!$D$227:$D$256,0)),1)</f>
        <v>#N/A</v>
      </c>
      <c r="F643" s="34">
        <f t="shared" si="50"/>
        <v>0</v>
      </c>
      <c r="G643" s="34">
        <f t="shared" si="51"/>
        <v>0</v>
      </c>
      <c r="H643" s="34" t="e">
        <f t="shared" si="52"/>
        <v>#N/A</v>
      </c>
      <c r="I643" s="34" t="e">
        <f t="shared" si="53"/>
        <v>#N/A</v>
      </c>
      <c r="J643" s="45"/>
      <c r="K643" s="46"/>
      <c r="L643" s="49"/>
      <c r="M643" s="39"/>
      <c r="N643" s="39"/>
      <c r="O643" s="37">
        <f t="shared" si="54"/>
        <v>0</v>
      </c>
      <c r="P643" s="44"/>
      <c r="Q643" s="44"/>
    </row>
    <row r="644" spans="1:17" x14ac:dyDescent="0.4">
      <c r="A644" s="70"/>
      <c r="B644" s="46"/>
      <c r="C644" s="46"/>
      <c r="D644" s="34" t="e">
        <f>INDEX('Equipment list'!$B$227:$B$256, (MATCH(C644,'Equipment list'!$D$227:$D$256,0)),1)</f>
        <v>#N/A</v>
      </c>
      <c r="E644" s="34" t="e">
        <f>INDEX('Equipment list'!$C$227:$C$256, (MATCH(C644,'Equipment list'!$D$227:$D$256,0)),1)</f>
        <v>#N/A</v>
      </c>
      <c r="F644" s="34">
        <f t="shared" si="50"/>
        <v>0</v>
      </c>
      <c r="G644" s="34">
        <f t="shared" si="51"/>
        <v>0</v>
      </c>
      <c r="H644" s="34" t="e">
        <f t="shared" si="52"/>
        <v>#N/A</v>
      </c>
      <c r="I644" s="34" t="e">
        <f t="shared" si="53"/>
        <v>#N/A</v>
      </c>
      <c r="J644" s="45"/>
      <c r="K644" s="46"/>
      <c r="L644" s="49"/>
      <c r="M644" s="39"/>
      <c r="N644" s="39"/>
      <c r="O644" s="37">
        <f t="shared" si="54"/>
        <v>0</v>
      </c>
      <c r="P644" s="44"/>
      <c r="Q644" s="44"/>
    </row>
    <row r="645" spans="1:17" x14ac:dyDescent="0.4">
      <c r="A645" s="70"/>
      <c r="B645" s="46"/>
      <c r="C645" s="46"/>
      <c r="D645" s="34" t="e">
        <f>INDEX('Equipment list'!$B$227:$B$256, (MATCH(C645,'Equipment list'!$D$227:$D$256,0)),1)</f>
        <v>#N/A</v>
      </c>
      <c r="E645" s="34" t="e">
        <f>INDEX('Equipment list'!$C$227:$C$256, (MATCH(C645,'Equipment list'!$D$227:$D$256,0)),1)</f>
        <v>#N/A</v>
      </c>
      <c r="F645" s="34">
        <f t="shared" si="50"/>
        <v>0</v>
      </c>
      <c r="G645" s="34">
        <f t="shared" si="51"/>
        <v>0</v>
      </c>
      <c r="H645" s="34" t="e">
        <f t="shared" si="52"/>
        <v>#N/A</v>
      </c>
      <c r="I645" s="34" t="e">
        <f t="shared" si="53"/>
        <v>#N/A</v>
      </c>
      <c r="J645" s="45"/>
      <c r="K645" s="46"/>
      <c r="L645" s="49"/>
      <c r="M645" s="39"/>
      <c r="N645" s="39"/>
      <c r="O645" s="37">
        <f t="shared" si="54"/>
        <v>0</v>
      </c>
      <c r="P645" s="44"/>
      <c r="Q645" s="44"/>
    </row>
    <row r="646" spans="1:17" x14ac:dyDescent="0.4">
      <c r="A646" s="70"/>
      <c r="B646" s="46"/>
      <c r="C646" s="46"/>
      <c r="D646" s="34" t="e">
        <f>INDEX('Equipment list'!$B$227:$B$256, (MATCH(C646,'Equipment list'!$D$227:$D$256,0)),1)</f>
        <v>#N/A</v>
      </c>
      <c r="E646" s="34" t="e">
        <f>INDEX('Equipment list'!$C$227:$C$256, (MATCH(C646,'Equipment list'!$D$227:$D$256,0)),1)</f>
        <v>#N/A</v>
      </c>
      <c r="F646" s="34">
        <f t="shared" ref="F646:F709" si="55">P646*4</f>
        <v>0</v>
      </c>
      <c r="G646" s="34">
        <f t="shared" ref="G646:G709" si="56">Q646*4</f>
        <v>0</v>
      </c>
      <c r="H646" s="34" t="e">
        <f t="shared" ref="H646:H709" si="57">(F646-D646)/D646*100</f>
        <v>#N/A</v>
      </c>
      <c r="I646" s="34" t="e">
        <f t="shared" ref="I646:I709" si="58">(G646-E646)/E646*100</f>
        <v>#N/A</v>
      </c>
      <c r="J646" s="45"/>
      <c r="K646" s="46"/>
      <c r="L646" s="49"/>
      <c r="M646" s="39"/>
      <c r="N646" s="39"/>
      <c r="O646" s="37">
        <f t="shared" ref="O646:O709" si="59">C646</f>
        <v>0</v>
      </c>
      <c r="P646" s="44"/>
      <c r="Q646" s="44"/>
    </row>
    <row r="647" spans="1:17" x14ac:dyDescent="0.4">
      <c r="A647" s="70"/>
      <c r="B647" s="46"/>
      <c r="C647" s="46"/>
      <c r="D647" s="34" t="e">
        <f>INDEX('Equipment list'!$B$227:$B$256, (MATCH(C647,'Equipment list'!$D$227:$D$256,0)),1)</f>
        <v>#N/A</v>
      </c>
      <c r="E647" s="34" t="e">
        <f>INDEX('Equipment list'!$C$227:$C$256, (MATCH(C647,'Equipment list'!$D$227:$D$256,0)),1)</f>
        <v>#N/A</v>
      </c>
      <c r="F647" s="34">
        <f t="shared" si="55"/>
        <v>0</v>
      </c>
      <c r="G647" s="34">
        <f t="shared" si="56"/>
        <v>0</v>
      </c>
      <c r="H647" s="34" t="e">
        <f t="shared" si="57"/>
        <v>#N/A</v>
      </c>
      <c r="I647" s="34" t="e">
        <f t="shared" si="58"/>
        <v>#N/A</v>
      </c>
      <c r="J647" s="45"/>
      <c r="K647" s="46"/>
      <c r="L647" s="49"/>
      <c r="M647" s="39"/>
      <c r="N647" s="39"/>
      <c r="O647" s="37">
        <f t="shared" si="59"/>
        <v>0</v>
      </c>
      <c r="P647" s="44"/>
      <c r="Q647" s="44"/>
    </row>
    <row r="648" spans="1:17" x14ac:dyDescent="0.4">
      <c r="A648" s="70"/>
      <c r="B648" s="46"/>
      <c r="C648" s="46"/>
      <c r="D648" s="34" t="e">
        <f>INDEX('Equipment list'!$B$227:$B$256, (MATCH(C648,'Equipment list'!$D$227:$D$256,0)),1)</f>
        <v>#N/A</v>
      </c>
      <c r="E648" s="34" t="e">
        <f>INDEX('Equipment list'!$C$227:$C$256, (MATCH(C648,'Equipment list'!$D$227:$D$256,0)),1)</f>
        <v>#N/A</v>
      </c>
      <c r="F648" s="34">
        <f t="shared" si="55"/>
        <v>0</v>
      </c>
      <c r="G648" s="34">
        <f t="shared" si="56"/>
        <v>0</v>
      </c>
      <c r="H648" s="34" t="e">
        <f t="shared" si="57"/>
        <v>#N/A</v>
      </c>
      <c r="I648" s="34" t="e">
        <f t="shared" si="58"/>
        <v>#N/A</v>
      </c>
      <c r="J648" s="45"/>
      <c r="K648" s="46"/>
      <c r="L648" s="49"/>
      <c r="M648" s="39"/>
      <c r="N648" s="39"/>
      <c r="O648" s="37">
        <f t="shared" si="59"/>
        <v>0</v>
      </c>
      <c r="P648" s="44"/>
      <c r="Q648" s="44"/>
    </row>
    <row r="649" spans="1:17" x14ac:dyDescent="0.4">
      <c r="A649" s="70"/>
      <c r="B649" s="46"/>
      <c r="C649" s="46"/>
      <c r="D649" s="34" t="e">
        <f>INDEX('Equipment list'!$B$227:$B$256, (MATCH(C649,'Equipment list'!$D$227:$D$256,0)),1)</f>
        <v>#N/A</v>
      </c>
      <c r="E649" s="34" t="e">
        <f>INDEX('Equipment list'!$C$227:$C$256, (MATCH(C649,'Equipment list'!$D$227:$D$256,0)),1)</f>
        <v>#N/A</v>
      </c>
      <c r="F649" s="34">
        <f t="shared" si="55"/>
        <v>0</v>
      </c>
      <c r="G649" s="34">
        <f t="shared" si="56"/>
        <v>0</v>
      </c>
      <c r="H649" s="34" t="e">
        <f t="shared" si="57"/>
        <v>#N/A</v>
      </c>
      <c r="I649" s="34" t="e">
        <f t="shared" si="58"/>
        <v>#N/A</v>
      </c>
      <c r="J649" s="45"/>
      <c r="K649" s="46"/>
      <c r="L649" s="49"/>
      <c r="M649" s="39"/>
      <c r="N649" s="39"/>
      <c r="O649" s="37">
        <f t="shared" si="59"/>
        <v>0</v>
      </c>
      <c r="P649" s="44"/>
      <c r="Q649" s="44"/>
    </row>
    <row r="650" spans="1:17" x14ac:dyDescent="0.4">
      <c r="A650" s="70"/>
      <c r="B650" s="46"/>
      <c r="C650" s="46"/>
      <c r="D650" s="34" t="e">
        <f>INDEX('Equipment list'!$B$227:$B$256, (MATCH(C650,'Equipment list'!$D$227:$D$256,0)),1)</f>
        <v>#N/A</v>
      </c>
      <c r="E650" s="34" t="e">
        <f>INDEX('Equipment list'!$C$227:$C$256, (MATCH(C650,'Equipment list'!$D$227:$D$256,0)),1)</f>
        <v>#N/A</v>
      </c>
      <c r="F650" s="34">
        <f t="shared" si="55"/>
        <v>0</v>
      </c>
      <c r="G650" s="34">
        <f t="shared" si="56"/>
        <v>0</v>
      </c>
      <c r="H650" s="34" t="e">
        <f t="shared" si="57"/>
        <v>#N/A</v>
      </c>
      <c r="I650" s="34" t="e">
        <f t="shared" si="58"/>
        <v>#N/A</v>
      </c>
      <c r="J650" s="45"/>
      <c r="K650" s="46"/>
      <c r="L650" s="49"/>
      <c r="M650" s="39"/>
      <c r="N650" s="39"/>
      <c r="O650" s="37">
        <f t="shared" si="59"/>
        <v>0</v>
      </c>
      <c r="P650" s="44"/>
      <c r="Q650" s="44"/>
    </row>
    <row r="651" spans="1:17" x14ac:dyDescent="0.4">
      <c r="A651" s="70"/>
      <c r="B651" s="46"/>
      <c r="C651" s="46"/>
      <c r="D651" s="34" t="e">
        <f>INDEX('Equipment list'!$B$227:$B$256, (MATCH(C651,'Equipment list'!$D$227:$D$256,0)),1)</f>
        <v>#N/A</v>
      </c>
      <c r="E651" s="34" t="e">
        <f>INDEX('Equipment list'!$C$227:$C$256, (MATCH(C651,'Equipment list'!$D$227:$D$256,0)),1)</f>
        <v>#N/A</v>
      </c>
      <c r="F651" s="34">
        <f t="shared" si="55"/>
        <v>0</v>
      </c>
      <c r="G651" s="34">
        <f t="shared" si="56"/>
        <v>0</v>
      </c>
      <c r="H651" s="34" t="e">
        <f t="shared" si="57"/>
        <v>#N/A</v>
      </c>
      <c r="I651" s="34" t="e">
        <f t="shared" si="58"/>
        <v>#N/A</v>
      </c>
      <c r="J651" s="45"/>
      <c r="K651" s="46"/>
      <c r="L651" s="49"/>
      <c r="M651" s="39"/>
      <c r="N651" s="39"/>
      <c r="O651" s="37">
        <f t="shared" si="59"/>
        <v>0</v>
      </c>
      <c r="P651" s="44"/>
      <c r="Q651" s="44"/>
    </row>
    <row r="652" spans="1:17" x14ac:dyDescent="0.4">
      <c r="A652" s="70"/>
      <c r="B652" s="46"/>
      <c r="C652" s="46"/>
      <c r="D652" s="34" t="e">
        <f>INDEX('Equipment list'!$B$227:$B$256, (MATCH(C652,'Equipment list'!$D$227:$D$256,0)),1)</f>
        <v>#N/A</v>
      </c>
      <c r="E652" s="34" t="e">
        <f>INDEX('Equipment list'!$C$227:$C$256, (MATCH(C652,'Equipment list'!$D$227:$D$256,0)),1)</f>
        <v>#N/A</v>
      </c>
      <c r="F652" s="34">
        <f t="shared" si="55"/>
        <v>0</v>
      </c>
      <c r="G652" s="34">
        <f t="shared" si="56"/>
        <v>0</v>
      </c>
      <c r="H652" s="34" t="e">
        <f t="shared" si="57"/>
        <v>#N/A</v>
      </c>
      <c r="I652" s="34" t="e">
        <f t="shared" si="58"/>
        <v>#N/A</v>
      </c>
      <c r="J652" s="45"/>
      <c r="K652" s="46"/>
      <c r="L652" s="49"/>
      <c r="M652" s="39"/>
      <c r="N652" s="39"/>
      <c r="O652" s="37">
        <f t="shared" si="59"/>
        <v>0</v>
      </c>
      <c r="P652" s="44"/>
      <c r="Q652" s="44"/>
    </row>
    <row r="653" spans="1:17" x14ac:dyDescent="0.4">
      <c r="A653" s="70"/>
      <c r="B653" s="46"/>
      <c r="C653" s="46"/>
      <c r="D653" s="34" t="e">
        <f>INDEX('Equipment list'!$B$227:$B$256, (MATCH(C653,'Equipment list'!$D$227:$D$256,0)),1)</f>
        <v>#N/A</v>
      </c>
      <c r="E653" s="34" t="e">
        <f>INDEX('Equipment list'!$C$227:$C$256, (MATCH(C653,'Equipment list'!$D$227:$D$256,0)),1)</f>
        <v>#N/A</v>
      </c>
      <c r="F653" s="34">
        <f t="shared" si="55"/>
        <v>0</v>
      </c>
      <c r="G653" s="34">
        <f t="shared" si="56"/>
        <v>0</v>
      </c>
      <c r="H653" s="34" t="e">
        <f t="shared" si="57"/>
        <v>#N/A</v>
      </c>
      <c r="I653" s="34" t="e">
        <f t="shared" si="58"/>
        <v>#N/A</v>
      </c>
      <c r="J653" s="45"/>
      <c r="K653" s="46"/>
      <c r="L653" s="49"/>
      <c r="M653" s="39"/>
      <c r="N653" s="39"/>
      <c r="O653" s="37">
        <f t="shared" si="59"/>
        <v>0</v>
      </c>
      <c r="P653" s="44"/>
      <c r="Q653" s="44"/>
    </row>
    <row r="654" spans="1:17" x14ac:dyDescent="0.4">
      <c r="A654" s="70"/>
      <c r="B654" s="46"/>
      <c r="C654" s="46"/>
      <c r="D654" s="34" t="e">
        <f>INDEX('Equipment list'!$B$227:$B$256, (MATCH(C654,'Equipment list'!$D$227:$D$256,0)),1)</f>
        <v>#N/A</v>
      </c>
      <c r="E654" s="34" t="e">
        <f>INDEX('Equipment list'!$C$227:$C$256, (MATCH(C654,'Equipment list'!$D$227:$D$256,0)),1)</f>
        <v>#N/A</v>
      </c>
      <c r="F654" s="34">
        <f t="shared" si="55"/>
        <v>0</v>
      </c>
      <c r="G654" s="34">
        <f t="shared" si="56"/>
        <v>0</v>
      </c>
      <c r="H654" s="34" t="e">
        <f t="shared" si="57"/>
        <v>#N/A</v>
      </c>
      <c r="I654" s="34" t="e">
        <f t="shared" si="58"/>
        <v>#N/A</v>
      </c>
      <c r="J654" s="45"/>
      <c r="K654" s="46"/>
      <c r="L654" s="49"/>
      <c r="M654" s="39"/>
      <c r="N654" s="39"/>
      <c r="O654" s="37">
        <f t="shared" si="59"/>
        <v>0</v>
      </c>
      <c r="P654" s="44"/>
      <c r="Q654" s="44"/>
    </row>
    <row r="655" spans="1:17" x14ac:dyDescent="0.4">
      <c r="A655" s="70"/>
      <c r="B655" s="46"/>
      <c r="C655" s="46"/>
      <c r="D655" s="34" t="e">
        <f>INDEX('Equipment list'!$B$227:$B$256, (MATCH(C655,'Equipment list'!$D$227:$D$256,0)),1)</f>
        <v>#N/A</v>
      </c>
      <c r="E655" s="34" t="e">
        <f>INDEX('Equipment list'!$C$227:$C$256, (MATCH(C655,'Equipment list'!$D$227:$D$256,0)),1)</f>
        <v>#N/A</v>
      </c>
      <c r="F655" s="34">
        <f t="shared" si="55"/>
        <v>0</v>
      </c>
      <c r="G655" s="34">
        <f t="shared" si="56"/>
        <v>0</v>
      </c>
      <c r="H655" s="34" t="e">
        <f t="shared" si="57"/>
        <v>#N/A</v>
      </c>
      <c r="I655" s="34" t="e">
        <f t="shared" si="58"/>
        <v>#N/A</v>
      </c>
      <c r="J655" s="45"/>
      <c r="K655" s="46"/>
      <c r="L655" s="49"/>
      <c r="M655" s="39"/>
      <c r="N655" s="39"/>
      <c r="O655" s="37">
        <f t="shared" si="59"/>
        <v>0</v>
      </c>
      <c r="P655" s="44"/>
      <c r="Q655" s="44"/>
    </row>
    <row r="656" spans="1:17" x14ac:dyDescent="0.4">
      <c r="A656" s="70"/>
      <c r="B656" s="46"/>
      <c r="C656" s="46"/>
      <c r="D656" s="34" t="e">
        <f>INDEX('Equipment list'!$B$227:$B$256, (MATCH(C656,'Equipment list'!$D$227:$D$256,0)),1)</f>
        <v>#N/A</v>
      </c>
      <c r="E656" s="34" t="e">
        <f>INDEX('Equipment list'!$C$227:$C$256, (MATCH(C656,'Equipment list'!$D$227:$D$256,0)),1)</f>
        <v>#N/A</v>
      </c>
      <c r="F656" s="34">
        <f t="shared" si="55"/>
        <v>0</v>
      </c>
      <c r="G656" s="34">
        <f t="shared" si="56"/>
        <v>0</v>
      </c>
      <c r="H656" s="34" t="e">
        <f t="shared" si="57"/>
        <v>#N/A</v>
      </c>
      <c r="I656" s="34" t="e">
        <f t="shared" si="58"/>
        <v>#N/A</v>
      </c>
      <c r="J656" s="45"/>
      <c r="K656" s="46"/>
      <c r="L656" s="49"/>
      <c r="M656" s="39"/>
      <c r="N656" s="39"/>
      <c r="O656" s="37">
        <f t="shared" si="59"/>
        <v>0</v>
      </c>
      <c r="P656" s="44"/>
      <c r="Q656" s="44"/>
    </row>
    <row r="657" spans="1:17" x14ac:dyDescent="0.4">
      <c r="A657" s="70"/>
      <c r="B657" s="46"/>
      <c r="C657" s="46"/>
      <c r="D657" s="34" t="e">
        <f>INDEX('Equipment list'!$B$227:$B$256, (MATCH(C657,'Equipment list'!$D$227:$D$256,0)),1)</f>
        <v>#N/A</v>
      </c>
      <c r="E657" s="34" t="e">
        <f>INDEX('Equipment list'!$C$227:$C$256, (MATCH(C657,'Equipment list'!$D$227:$D$256,0)),1)</f>
        <v>#N/A</v>
      </c>
      <c r="F657" s="34">
        <f t="shared" si="55"/>
        <v>0</v>
      </c>
      <c r="G657" s="34">
        <f t="shared" si="56"/>
        <v>0</v>
      </c>
      <c r="H657" s="34" t="e">
        <f t="shared" si="57"/>
        <v>#N/A</v>
      </c>
      <c r="I657" s="34" t="e">
        <f t="shared" si="58"/>
        <v>#N/A</v>
      </c>
      <c r="J657" s="45"/>
      <c r="K657" s="46"/>
      <c r="L657" s="49"/>
      <c r="M657" s="39"/>
      <c r="N657" s="39"/>
      <c r="O657" s="37">
        <f t="shared" si="59"/>
        <v>0</v>
      </c>
      <c r="P657" s="44"/>
      <c r="Q657" s="44"/>
    </row>
    <row r="658" spans="1:17" x14ac:dyDescent="0.4">
      <c r="A658" s="70"/>
      <c r="B658" s="46"/>
      <c r="C658" s="46"/>
      <c r="D658" s="34" t="e">
        <f>INDEX('Equipment list'!$B$227:$B$256, (MATCH(C658,'Equipment list'!$D$227:$D$256,0)),1)</f>
        <v>#N/A</v>
      </c>
      <c r="E658" s="34" t="e">
        <f>INDEX('Equipment list'!$C$227:$C$256, (MATCH(C658,'Equipment list'!$D$227:$D$256,0)),1)</f>
        <v>#N/A</v>
      </c>
      <c r="F658" s="34">
        <f t="shared" si="55"/>
        <v>0</v>
      </c>
      <c r="G658" s="34">
        <f t="shared" si="56"/>
        <v>0</v>
      </c>
      <c r="H658" s="34" t="e">
        <f t="shared" si="57"/>
        <v>#N/A</v>
      </c>
      <c r="I658" s="34" t="e">
        <f t="shared" si="58"/>
        <v>#N/A</v>
      </c>
      <c r="J658" s="45"/>
      <c r="K658" s="46"/>
      <c r="L658" s="49"/>
      <c r="M658" s="39"/>
      <c r="N658" s="39"/>
      <c r="O658" s="37">
        <f t="shared" si="59"/>
        <v>0</v>
      </c>
      <c r="P658" s="44"/>
      <c r="Q658" s="44"/>
    </row>
    <row r="659" spans="1:17" x14ac:dyDescent="0.4">
      <c r="A659" s="70"/>
      <c r="B659" s="46"/>
      <c r="C659" s="46"/>
      <c r="D659" s="34" t="e">
        <f>INDEX('Equipment list'!$B$227:$B$256, (MATCH(C659,'Equipment list'!$D$227:$D$256,0)),1)</f>
        <v>#N/A</v>
      </c>
      <c r="E659" s="34" t="e">
        <f>INDEX('Equipment list'!$C$227:$C$256, (MATCH(C659,'Equipment list'!$D$227:$D$256,0)),1)</f>
        <v>#N/A</v>
      </c>
      <c r="F659" s="34">
        <f t="shared" si="55"/>
        <v>0</v>
      </c>
      <c r="G659" s="34">
        <f t="shared" si="56"/>
        <v>0</v>
      </c>
      <c r="H659" s="34" t="e">
        <f t="shared" si="57"/>
        <v>#N/A</v>
      </c>
      <c r="I659" s="34" t="e">
        <f t="shared" si="58"/>
        <v>#N/A</v>
      </c>
      <c r="J659" s="45"/>
      <c r="K659" s="46"/>
      <c r="L659" s="49"/>
      <c r="M659" s="39"/>
      <c r="N659" s="39"/>
      <c r="O659" s="37">
        <f t="shared" si="59"/>
        <v>0</v>
      </c>
      <c r="P659" s="44"/>
      <c r="Q659" s="44"/>
    </row>
    <row r="660" spans="1:17" x14ac:dyDescent="0.4">
      <c r="A660" s="70"/>
      <c r="B660" s="46"/>
      <c r="C660" s="46"/>
      <c r="D660" s="34" t="e">
        <f>INDEX('Equipment list'!$B$227:$B$256, (MATCH(C660,'Equipment list'!$D$227:$D$256,0)),1)</f>
        <v>#N/A</v>
      </c>
      <c r="E660" s="34" t="e">
        <f>INDEX('Equipment list'!$C$227:$C$256, (MATCH(C660,'Equipment list'!$D$227:$D$256,0)),1)</f>
        <v>#N/A</v>
      </c>
      <c r="F660" s="34">
        <f t="shared" si="55"/>
        <v>0</v>
      </c>
      <c r="G660" s="34">
        <f t="shared" si="56"/>
        <v>0</v>
      </c>
      <c r="H660" s="34" t="e">
        <f t="shared" si="57"/>
        <v>#N/A</v>
      </c>
      <c r="I660" s="34" t="e">
        <f t="shared" si="58"/>
        <v>#N/A</v>
      </c>
      <c r="J660" s="45"/>
      <c r="K660" s="46"/>
      <c r="L660" s="49"/>
      <c r="M660" s="39"/>
      <c r="N660" s="39"/>
      <c r="O660" s="37">
        <f t="shared" si="59"/>
        <v>0</v>
      </c>
      <c r="P660" s="44"/>
      <c r="Q660" s="44"/>
    </row>
    <row r="661" spans="1:17" x14ac:dyDescent="0.4">
      <c r="A661" s="70"/>
      <c r="B661" s="46"/>
      <c r="C661" s="46"/>
      <c r="D661" s="34" t="e">
        <f>INDEX('Equipment list'!$B$227:$B$256, (MATCH(C661,'Equipment list'!$D$227:$D$256,0)),1)</f>
        <v>#N/A</v>
      </c>
      <c r="E661" s="34" t="e">
        <f>INDEX('Equipment list'!$C$227:$C$256, (MATCH(C661,'Equipment list'!$D$227:$D$256,0)),1)</f>
        <v>#N/A</v>
      </c>
      <c r="F661" s="34">
        <f t="shared" si="55"/>
        <v>0</v>
      </c>
      <c r="G661" s="34">
        <f t="shared" si="56"/>
        <v>0</v>
      </c>
      <c r="H661" s="34" t="e">
        <f t="shared" si="57"/>
        <v>#N/A</v>
      </c>
      <c r="I661" s="34" t="e">
        <f t="shared" si="58"/>
        <v>#N/A</v>
      </c>
      <c r="J661" s="45"/>
      <c r="K661" s="46"/>
      <c r="L661" s="49"/>
      <c r="M661" s="39"/>
      <c r="N661" s="39"/>
      <c r="O661" s="37">
        <f t="shared" si="59"/>
        <v>0</v>
      </c>
      <c r="P661" s="44"/>
      <c r="Q661" s="44"/>
    </row>
    <row r="662" spans="1:17" x14ac:dyDescent="0.4">
      <c r="A662" s="70"/>
      <c r="B662" s="46"/>
      <c r="C662" s="46"/>
      <c r="D662" s="34" t="e">
        <f>INDEX('Equipment list'!$B$227:$B$256, (MATCH(C662,'Equipment list'!$D$227:$D$256,0)),1)</f>
        <v>#N/A</v>
      </c>
      <c r="E662" s="34" t="e">
        <f>INDEX('Equipment list'!$C$227:$C$256, (MATCH(C662,'Equipment list'!$D$227:$D$256,0)),1)</f>
        <v>#N/A</v>
      </c>
      <c r="F662" s="34">
        <f t="shared" si="55"/>
        <v>0</v>
      </c>
      <c r="G662" s="34">
        <f t="shared" si="56"/>
        <v>0</v>
      </c>
      <c r="H662" s="34" t="e">
        <f t="shared" si="57"/>
        <v>#N/A</v>
      </c>
      <c r="I662" s="34" t="e">
        <f t="shared" si="58"/>
        <v>#N/A</v>
      </c>
      <c r="J662" s="45"/>
      <c r="K662" s="46"/>
      <c r="L662" s="49"/>
      <c r="M662" s="39"/>
      <c r="N662" s="39"/>
      <c r="O662" s="37">
        <f t="shared" si="59"/>
        <v>0</v>
      </c>
      <c r="P662" s="44"/>
      <c r="Q662" s="44"/>
    </row>
    <row r="663" spans="1:17" x14ac:dyDescent="0.4">
      <c r="A663" s="70"/>
      <c r="B663" s="46"/>
      <c r="C663" s="46"/>
      <c r="D663" s="34" t="e">
        <f>INDEX('Equipment list'!$B$227:$B$256, (MATCH(C663,'Equipment list'!$D$227:$D$256,0)),1)</f>
        <v>#N/A</v>
      </c>
      <c r="E663" s="34" t="e">
        <f>INDEX('Equipment list'!$C$227:$C$256, (MATCH(C663,'Equipment list'!$D$227:$D$256,0)),1)</f>
        <v>#N/A</v>
      </c>
      <c r="F663" s="34">
        <f t="shared" si="55"/>
        <v>0</v>
      </c>
      <c r="G663" s="34">
        <f t="shared" si="56"/>
        <v>0</v>
      </c>
      <c r="H663" s="34" t="e">
        <f t="shared" si="57"/>
        <v>#N/A</v>
      </c>
      <c r="I663" s="34" t="e">
        <f t="shared" si="58"/>
        <v>#N/A</v>
      </c>
      <c r="J663" s="45"/>
      <c r="K663" s="46"/>
      <c r="L663" s="49"/>
      <c r="M663" s="39"/>
      <c r="N663" s="39"/>
      <c r="O663" s="37">
        <f t="shared" si="59"/>
        <v>0</v>
      </c>
      <c r="P663" s="44"/>
      <c r="Q663" s="44"/>
    </row>
    <row r="664" spans="1:17" x14ac:dyDescent="0.4">
      <c r="A664" s="70"/>
      <c r="B664" s="46"/>
      <c r="C664" s="46"/>
      <c r="D664" s="34" t="e">
        <f>INDEX('Equipment list'!$B$227:$B$256, (MATCH(C664,'Equipment list'!$D$227:$D$256,0)),1)</f>
        <v>#N/A</v>
      </c>
      <c r="E664" s="34" t="e">
        <f>INDEX('Equipment list'!$C$227:$C$256, (MATCH(C664,'Equipment list'!$D$227:$D$256,0)),1)</f>
        <v>#N/A</v>
      </c>
      <c r="F664" s="34">
        <f t="shared" si="55"/>
        <v>0</v>
      </c>
      <c r="G664" s="34">
        <f t="shared" si="56"/>
        <v>0</v>
      </c>
      <c r="H664" s="34" t="e">
        <f t="shared" si="57"/>
        <v>#N/A</v>
      </c>
      <c r="I664" s="34" t="e">
        <f t="shared" si="58"/>
        <v>#N/A</v>
      </c>
      <c r="J664" s="45"/>
      <c r="K664" s="46"/>
      <c r="L664" s="49"/>
      <c r="M664" s="39"/>
      <c r="N664" s="39"/>
      <c r="O664" s="37">
        <f t="shared" si="59"/>
        <v>0</v>
      </c>
      <c r="P664" s="44"/>
      <c r="Q664" s="44"/>
    </row>
    <row r="665" spans="1:17" x14ac:dyDescent="0.4">
      <c r="A665" s="70"/>
      <c r="B665" s="46"/>
      <c r="C665" s="46"/>
      <c r="D665" s="34" t="e">
        <f>INDEX('Equipment list'!$B$227:$B$256, (MATCH(C665,'Equipment list'!$D$227:$D$256,0)),1)</f>
        <v>#N/A</v>
      </c>
      <c r="E665" s="34" t="e">
        <f>INDEX('Equipment list'!$C$227:$C$256, (MATCH(C665,'Equipment list'!$D$227:$D$256,0)),1)</f>
        <v>#N/A</v>
      </c>
      <c r="F665" s="34">
        <f t="shared" si="55"/>
        <v>0</v>
      </c>
      <c r="G665" s="34">
        <f t="shared" si="56"/>
        <v>0</v>
      </c>
      <c r="H665" s="34" t="e">
        <f t="shared" si="57"/>
        <v>#N/A</v>
      </c>
      <c r="I665" s="34" t="e">
        <f t="shared" si="58"/>
        <v>#N/A</v>
      </c>
      <c r="J665" s="45"/>
      <c r="K665" s="46"/>
      <c r="L665" s="49"/>
      <c r="M665" s="39"/>
      <c r="N665" s="39"/>
      <c r="O665" s="37">
        <f t="shared" si="59"/>
        <v>0</v>
      </c>
      <c r="P665" s="44"/>
      <c r="Q665" s="44"/>
    </row>
    <row r="666" spans="1:17" x14ac:dyDescent="0.4">
      <c r="A666" s="70"/>
      <c r="B666" s="46"/>
      <c r="C666" s="46"/>
      <c r="D666" s="34" t="e">
        <f>INDEX('Equipment list'!$B$227:$B$256, (MATCH(C666,'Equipment list'!$D$227:$D$256,0)),1)</f>
        <v>#N/A</v>
      </c>
      <c r="E666" s="34" t="e">
        <f>INDEX('Equipment list'!$C$227:$C$256, (MATCH(C666,'Equipment list'!$D$227:$D$256,0)),1)</f>
        <v>#N/A</v>
      </c>
      <c r="F666" s="34">
        <f t="shared" si="55"/>
        <v>0</v>
      </c>
      <c r="G666" s="34">
        <f t="shared" si="56"/>
        <v>0</v>
      </c>
      <c r="H666" s="34" t="e">
        <f t="shared" si="57"/>
        <v>#N/A</v>
      </c>
      <c r="I666" s="34" t="e">
        <f t="shared" si="58"/>
        <v>#N/A</v>
      </c>
      <c r="J666" s="45"/>
      <c r="K666" s="46"/>
      <c r="L666" s="49"/>
      <c r="M666" s="39"/>
      <c r="N666" s="39"/>
      <c r="O666" s="37">
        <f t="shared" si="59"/>
        <v>0</v>
      </c>
      <c r="P666" s="44"/>
      <c r="Q666" s="44"/>
    </row>
    <row r="667" spans="1:17" x14ac:dyDescent="0.4">
      <c r="A667" s="70"/>
      <c r="B667" s="46"/>
      <c r="C667" s="46"/>
      <c r="D667" s="34" t="e">
        <f>INDEX('Equipment list'!$B$227:$B$256, (MATCH(C667,'Equipment list'!$D$227:$D$256,0)),1)</f>
        <v>#N/A</v>
      </c>
      <c r="E667" s="34" t="e">
        <f>INDEX('Equipment list'!$C$227:$C$256, (MATCH(C667,'Equipment list'!$D$227:$D$256,0)),1)</f>
        <v>#N/A</v>
      </c>
      <c r="F667" s="34">
        <f t="shared" si="55"/>
        <v>0</v>
      </c>
      <c r="G667" s="34">
        <f t="shared" si="56"/>
        <v>0</v>
      </c>
      <c r="H667" s="34" t="e">
        <f t="shared" si="57"/>
        <v>#N/A</v>
      </c>
      <c r="I667" s="34" t="e">
        <f t="shared" si="58"/>
        <v>#N/A</v>
      </c>
      <c r="J667" s="45"/>
      <c r="K667" s="46"/>
      <c r="L667" s="49"/>
      <c r="M667" s="39"/>
      <c r="N667" s="39"/>
      <c r="O667" s="37">
        <f t="shared" si="59"/>
        <v>0</v>
      </c>
      <c r="P667" s="44"/>
      <c r="Q667" s="44"/>
    </row>
    <row r="668" spans="1:17" x14ac:dyDescent="0.4">
      <c r="A668" s="70"/>
      <c r="B668" s="46"/>
      <c r="C668" s="46"/>
      <c r="D668" s="34" t="e">
        <f>INDEX('Equipment list'!$B$227:$B$256, (MATCH(C668,'Equipment list'!$D$227:$D$256,0)),1)</f>
        <v>#N/A</v>
      </c>
      <c r="E668" s="34" t="e">
        <f>INDEX('Equipment list'!$C$227:$C$256, (MATCH(C668,'Equipment list'!$D$227:$D$256,0)),1)</f>
        <v>#N/A</v>
      </c>
      <c r="F668" s="34">
        <f t="shared" si="55"/>
        <v>0</v>
      </c>
      <c r="G668" s="34">
        <f t="shared" si="56"/>
        <v>0</v>
      </c>
      <c r="H668" s="34" t="e">
        <f t="shared" si="57"/>
        <v>#N/A</v>
      </c>
      <c r="I668" s="34" t="e">
        <f t="shared" si="58"/>
        <v>#N/A</v>
      </c>
      <c r="J668" s="45"/>
      <c r="K668" s="46"/>
      <c r="L668" s="49"/>
      <c r="M668" s="39"/>
      <c r="N668" s="39"/>
      <c r="O668" s="37">
        <f t="shared" si="59"/>
        <v>0</v>
      </c>
      <c r="P668" s="44"/>
      <c r="Q668" s="44"/>
    </row>
    <row r="669" spans="1:17" x14ac:dyDescent="0.4">
      <c r="A669" s="70"/>
      <c r="B669" s="46"/>
      <c r="C669" s="46"/>
      <c r="D669" s="34" t="e">
        <f>INDEX('Equipment list'!$B$227:$B$256, (MATCH(C669,'Equipment list'!$D$227:$D$256,0)),1)</f>
        <v>#N/A</v>
      </c>
      <c r="E669" s="34" t="e">
        <f>INDEX('Equipment list'!$C$227:$C$256, (MATCH(C669,'Equipment list'!$D$227:$D$256,0)),1)</f>
        <v>#N/A</v>
      </c>
      <c r="F669" s="34">
        <f t="shared" si="55"/>
        <v>0</v>
      </c>
      <c r="G669" s="34">
        <f t="shared" si="56"/>
        <v>0</v>
      </c>
      <c r="H669" s="34" t="e">
        <f t="shared" si="57"/>
        <v>#N/A</v>
      </c>
      <c r="I669" s="34" t="e">
        <f t="shared" si="58"/>
        <v>#N/A</v>
      </c>
      <c r="J669" s="45"/>
      <c r="K669" s="46"/>
      <c r="L669" s="49"/>
      <c r="M669" s="39"/>
      <c r="N669" s="39"/>
      <c r="O669" s="37">
        <f t="shared" si="59"/>
        <v>0</v>
      </c>
      <c r="P669" s="44"/>
      <c r="Q669" s="44"/>
    </row>
    <row r="670" spans="1:17" x14ac:dyDescent="0.4">
      <c r="A670" s="70"/>
      <c r="B670" s="46"/>
      <c r="C670" s="46"/>
      <c r="D670" s="34" t="e">
        <f>INDEX('Equipment list'!$B$227:$B$256, (MATCH(C670,'Equipment list'!$D$227:$D$256,0)),1)</f>
        <v>#N/A</v>
      </c>
      <c r="E670" s="34" t="e">
        <f>INDEX('Equipment list'!$C$227:$C$256, (MATCH(C670,'Equipment list'!$D$227:$D$256,0)),1)</f>
        <v>#N/A</v>
      </c>
      <c r="F670" s="34">
        <f t="shared" si="55"/>
        <v>0</v>
      </c>
      <c r="G670" s="34">
        <f t="shared" si="56"/>
        <v>0</v>
      </c>
      <c r="H670" s="34" t="e">
        <f t="shared" si="57"/>
        <v>#N/A</v>
      </c>
      <c r="I670" s="34" t="e">
        <f t="shared" si="58"/>
        <v>#N/A</v>
      </c>
      <c r="J670" s="45"/>
      <c r="K670" s="46"/>
      <c r="L670" s="49"/>
      <c r="M670" s="39"/>
      <c r="N670" s="39"/>
      <c r="O670" s="37">
        <f t="shared" si="59"/>
        <v>0</v>
      </c>
      <c r="P670" s="44"/>
      <c r="Q670" s="44"/>
    </row>
    <row r="671" spans="1:17" x14ac:dyDescent="0.4">
      <c r="A671" s="70"/>
      <c r="B671" s="46"/>
      <c r="C671" s="46"/>
      <c r="D671" s="34" t="e">
        <f>INDEX('Equipment list'!$B$227:$B$256, (MATCH(C671,'Equipment list'!$D$227:$D$256,0)),1)</f>
        <v>#N/A</v>
      </c>
      <c r="E671" s="34" t="e">
        <f>INDEX('Equipment list'!$C$227:$C$256, (MATCH(C671,'Equipment list'!$D$227:$D$256,0)),1)</f>
        <v>#N/A</v>
      </c>
      <c r="F671" s="34">
        <f t="shared" si="55"/>
        <v>0</v>
      </c>
      <c r="G671" s="34">
        <f t="shared" si="56"/>
        <v>0</v>
      </c>
      <c r="H671" s="34" t="e">
        <f t="shared" si="57"/>
        <v>#N/A</v>
      </c>
      <c r="I671" s="34" t="e">
        <f t="shared" si="58"/>
        <v>#N/A</v>
      </c>
      <c r="J671" s="45"/>
      <c r="K671" s="46"/>
      <c r="L671" s="49"/>
      <c r="M671" s="39"/>
      <c r="N671" s="39"/>
      <c r="O671" s="37">
        <f t="shared" si="59"/>
        <v>0</v>
      </c>
      <c r="P671" s="44"/>
      <c r="Q671" s="44"/>
    </row>
    <row r="672" spans="1:17" x14ac:dyDescent="0.4">
      <c r="A672" s="70"/>
      <c r="B672" s="46"/>
      <c r="C672" s="46"/>
      <c r="D672" s="34" t="e">
        <f>INDEX('Equipment list'!$B$227:$B$256, (MATCH(C672,'Equipment list'!$D$227:$D$256,0)),1)</f>
        <v>#N/A</v>
      </c>
      <c r="E672" s="34" t="e">
        <f>INDEX('Equipment list'!$C$227:$C$256, (MATCH(C672,'Equipment list'!$D$227:$D$256,0)),1)</f>
        <v>#N/A</v>
      </c>
      <c r="F672" s="34">
        <f t="shared" si="55"/>
        <v>0</v>
      </c>
      <c r="G672" s="34">
        <f t="shared" si="56"/>
        <v>0</v>
      </c>
      <c r="H672" s="34" t="e">
        <f t="shared" si="57"/>
        <v>#N/A</v>
      </c>
      <c r="I672" s="34" t="e">
        <f t="shared" si="58"/>
        <v>#N/A</v>
      </c>
      <c r="J672" s="45"/>
      <c r="K672" s="46"/>
      <c r="L672" s="49"/>
      <c r="M672" s="39"/>
      <c r="N672" s="39"/>
      <c r="O672" s="37">
        <f t="shared" si="59"/>
        <v>0</v>
      </c>
      <c r="P672" s="44"/>
      <c r="Q672" s="44"/>
    </row>
    <row r="673" spans="1:17" x14ac:dyDescent="0.4">
      <c r="A673" s="70"/>
      <c r="B673" s="46"/>
      <c r="C673" s="46"/>
      <c r="D673" s="34" t="e">
        <f>INDEX('Equipment list'!$B$227:$B$256, (MATCH(C673,'Equipment list'!$D$227:$D$256,0)),1)</f>
        <v>#N/A</v>
      </c>
      <c r="E673" s="34" t="e">
        <f>INDEX('Equipment list'!$C$227:$C$256, (MATCH(C673,'Equipment list'!$D$227:$D$256,0)),1)</f>
        <v>#N/A</v>
      </c>
      <c r="F673" s="34">
        <f t="shared" si="55"/>
        <v>0</v>
      </c>
      <c r="G673" s="34">
        <f t="shared" si="56"/>
        <v>0</v>
      </c>
      <c r="H673" s="34" t="e">
        <f t="shared" si="57"/>
        <v>#N/A</v>
      </c>
      <c r="I673" s="34" t="e">
        <f t="shared" si="58"/>
        <v>#N/A</v>
      </c>
      <c r="J673" s="45"/>
      <c r="K673" s="46"/>
      <c r="L673" s="49"/>
      <c r="M673" s="39"/>
      <c r="N673" s="39"/>
      <c r="O673" s="37">
        <f t="shared" si="59"/>
        <v>0</v>
      </c>
      <c r="P673" s="44"/>
      <c r="Q673" s="44"/>
    </row>
    <row r="674" spans="1:17" x14ac:dyDescent="0.4">
      <c r="A674" s="70"/>
      <c r="B674" s="46"/>
      <c r="C674" s="46"/>
      <c r="D674" s="34" t="e">
        <f>INDEX('Equipment list'!$B$227:$B$256, (MATCH(C674,'Equipment list'!$D$227:$D$256,0)),1)</f>
        <v>#N/A</v>
      </c>
      <c r="E674" s="34" t="e">
        <f>INDEX('Equipment list'!$C$227:$C$256, (MATCH(C674,'Equipment list'!$D$227:$D$256,0)),1)</f>
        <v>#N/A</v>
      </c>
      <c r="F674" s="34">
        <f t="shared" si="55"/>
        <v>0</v>
      </c>
      <c r="G674" s="34">
        <f t="shared" si="56"/>
        <v>0</v>
      </c>
      <c r="H674" s="34" t="e">
        <f t="shared" si="57"/>
        <v>#N/A</v>
      </c>
      <c r="I674" s="34" t="e">
        <f t="shared" si="58"/>
        <v>#N/A</v>
      </c>
      <c r="J674" s="45"/>
      <c r="K674" s="46"/>
      <c r="L674" s="49"/>
      <c r="M674" s="39"/>
      <c r="N674" s="39"/>
      <c r="O674" s="37">
        <f t="shared" si="59"/>
        <v>0</v>
      </c>
      <c r="P674" s="44"/>
      <c r="Q674" s="44"/>
    </row>
    <row r="675" spans="1:17" x14ac:dyDescent="0.4">
      <c r="A675" s="70"/>
      <c r="B675" s="46"/>
      <c r="C675" s="46"/>
      <c r="D675" s="34" t="e">
        <f>INDEX('Equipment list'!$B$227:$B$256, (MATCH(C675,'Equipment list'!$D$227:$D$256,0)),1)</f>
        <v>#N/A</v>
      </c>
      <c r="E675" s="34" t="e">
        <f>INDEX('Equipment list'!$C$227:$C$256, (MATCH(C675,'Equipment list'!$D$227:$D$256,0)),1)</f>
        <v>#N/A</v>
      </c>
      <c r="F675" s="34">
        <f t="shared" si="55"/>
        <v>0</v>
      </c>
      <c r="G675" s="34">
        <f t="shared" si="56"/>
        <v>0</v>
      </c>
      <c r="H675" s="34" t="e">
        <f t="shared" si="57"/>
        <v>#N/A</v>
      </c>
      <c r="I675" s="34" t="e">
        <f t="shared" si="58"/>
        <v>#N/A</v>
      </c>
      <c r="J675" s="45"/>
      <c r="K675" s="46"/>
      <c r="L675" s="49"/>
      <c r="M675" s="39"/>
      <c r="N675" s="39"/>
      <c r="O675" s="37">
        <f t="shared" si="59"/>
        <v>0</v>
      </c>
      <c r="P675" s="44"/>
      <c r="Q675" s="44"/>
    </row>
    <row r="676" spans="1:17" x14ac:dyDescent="0.4">
      <c r="A676" s="70"/>
      <c r="B676" s="46"/>
      <c r="C676" s="46"/>
      <c r="D676" s="34" t="e">
        <f>INDEX('Equipment list'!$B$227:$B$256, (MATCH(C676,'Equipment list'!$D$227:$D$256,0)),1)</f>
        <v>#N/A</v>
      </c>
      <c r="E676" s="34" t="e">
        <f>INDEX('Equipment list'!$C$227:$C$256, (MATCH(C676,'Equipment list'!$D$227:$D$256,0)),1)</f>
        <v>#N/A</v>
      </c>
      <c r="F676" s="34">
        <f t="shared" si="55"/>
        <v>0</v>
      </c>
      <c r="G676" s="34">
        <f t="shared" si="56"/>
        <v>0</v>
      </c>
      <c r="H676" s="34" t="e">
        <f t="shared" si="57"/>
        <v>#N/A</v>
      </c>
      <c r="I676" s="34" t="e">
        <f t="shared" si="58"/>
        <v>#N/A</v>
      </c>
      <c r="J676" s="45"/>
      <c r="K676" s="46"/>
      <c r="L676" s="49"/>
      <c r="M676" s="39"/>
      <c r="N676" s="39"/>
      <c r="O676" s="37">
        <f t="shared" si="59"/>
        <v>0</v>
      </c>
      <c r="P676" s="44"/>
      <c r="Q676" s="44"/>
    </row>
    <row r="677" spans="1:17" x14ac:dyDescent="0.4">
      <c r="A677" s="70"/>
      <c r="B677" s="46"/>
      <c r="C677" s="46"/>
      <c r="D677" s="34" t="e">
        <f>INDEX('Equipment list'!$B$227:$B$256, (MATCH(C677,'Equipment list'!$D$227:$D$256,0)),1)</f>
        <v>#N/A</v>
      </c>
      <c r="E677" s="34" t="e">
        <f>INDEX('Equipment list'!$C$227:$C$256, (MATCH(C677,'Equipment list'!$D$227:$D$256,0)),1)</f>
        <v>#N/A</v>
      </c>
      <c r="F677" s="34">
        <f t="shared" si="55"/>
        <v>0</v>
      </c>
      <c r="G677" s="34">
        <f t="shared" si="56"/>
        <v>0</v>
      </c>
      <c r="H677" s="34" t="e">
        <f t="shared" si="57"/>
        <v>#N/A</v>
      </c>
      <c r="I677" s="34" t="e">
        <f t="shared" si="58"/>
        <v>#N/A</v>
      </c>
      <c r="J677" s="45"/>
      <c r="K677" s="46"/>
      <c r="L677" s="49"/>
      <c r="M677" s="39"/>
      <c r="N677" s="39"/>
      <c r="O677" s="37">
        <f t="shared" si="59"/>
        <v>0</v>
      </c>
      <c r="P677" s="44"/>
      <c r="Q677" s="44"/>
    </row>
    <row r="678" spans="1:17" x14ac:dyDescent="0.4">
      <c r="A678" s="70"/>
      <c r="B678" s="46"/>
      <c r="C678" s="46"/>
      <c r="D678" s="34" t="e">
        <f>INDEX('Equipment list'!$B$227:$B$256, (MATCH(C678,'Equipment list'!$D$227:$D$256,0)),1)</f>
        <v>#N/A</v>
      </c>
      <c r="E678" s="34" t="e">
        <f>INDEX('Equipment list'!$C$227:$C$256, (MATCH(C678,'Equipment list'!$D$227:$D$256,0)),1)</f>
        <v>#N/A</v>
      </c>
      <c r="F678" s="34">
        <f t="shared" si="55"/>
        <v>0</v>
      </c>
      <c r="G678" s="34">
        <f t="shared" si="56"/>
        <v>0</v>
      </c>
      <c r="H678" s="34" t="e">
        <f t="shared" si="57"/>
        <v>#N/A</v>
      </c>
      <c r="I678" s="34" t="e">
        <f t="shared" si="58"/>
        <v>#N/A</v>
      </c>
      <c r="J678" s="45"/>
      <c r="K678" s="46"/>
      <c r="L678" s="49"/>
      <c r="M678" s="39"/>
      <c r="N678" s="39"/>
      <c r="O678" s="37">
        <f t="shared" si="59"/>
        <v>0</v>
      </c>
      <c r="P678" s="44"/>
      <c r="Q678" s="44"/>
    </row>
    <row r="679" spans="1:17" x14ac:dyDescent="0.4">
      <c r="A679" s="70"/>
      <c r="B679" s="46"/>
      <c r="C679" s="46"/>
      <c r="D679" s="34" t="e">
        <f>INDEX('Equipment list'!$B$227:$B$256, (MATCH(C679,'Equipment list'!$D$227:$D$256,0)),1)</f>
        <v>#N/A</v>
      </c>
      <c r="E679" s="34" t="e">
        <f>INDEX('Equipment list'!$C$227:$C$256, (MATCH(C679,'Equipment list'!$D$227:$D$256,0)),1)</f>
        <v>#N/A</v>
      </c>
      <c r="F679" s="34">
        <f t="shared" si="55"/>
        <v>0</v>
      </c>
      <c r="G679" s="34">
        <f t="shared" si="56"/>
        <v>0</v>
      </c>
      <c r="H679" s="34" t="e">
        <f t="shared" si="57"/>
        <v>#N/A</v>
      </c>
      <c r="I679" s="34" t="e">
        <f t="shared" si="58"/>
        <v>#N/A</v>
      </c>
      <c r="J679" s="45"/>
      <c r="K679" s="46"/>
      <c r="L679" s="49"/>
      <c r="M679" s="39"/>
      <c r="N679" s="39"/>
      <c r="O679" s="37">
        <f t="shared" si="59"/>
        <v>0</v>
      </c>
      <c r="P679" s="44"/>
      <c r="Q679" s="44"/>
    </row>
    <row r="680" spans="1:17" x14ac:dyDescent="0.4">
      <c r="A680" s="70"/>
      <c r="B680" s="46"/>
      <c r="C680" s="46"/>
      <c r="D680" s="34" t="e">
        <f>INDEX('Equipment list'!$B$227:$B$256, (MATCH(C680,'Equipment list'!$D$227:$D$256,0)),1)</f>
        <v>#N/A</v>
      </c>
      <c r="E680" s="34" t="e">
        <f>INDEX('Equipment list'!$C$227:$C$256, (MATCH(C680,'Equipment list'!$D$227:$D$256,0)),1)</f>
        <v>#N/A</v>
      </c>
      <c r="F680" s="34">
        <f t="shared" si="55"/>
        <v>0</v>
      </c>
      <c r="G680" s="34">
        <f t="shared" si="56"/>
        <v>0</v>
      </c>
      <c r="H680" s="34" t="e">
        <f t="shared" si="57"/>
        <v>#N/A</v>
      </c>
      <c r="I680" s="34" t="e">
        <f t="shared" si="58"/>
        <v>#N/A</v>
      </c>
      <c r="J680" s="45"/>
      <c r="K680" s="46"/>
      <c r="L680" s="49"/>
      <c r="M680" s="39"/>
      <c r="N680" s="39"/>
      <c r="O680" s="37">
        <f t="shared" si="59"/>
        <v>0</v>
      </c>
      <c r="P680" s="44"/>
      <c r="Q680" s="44"/>
    </row>
    <row r="681" spans="1:17" x14ac:dyDescent="0.4">
      <c r="A681" s="70"/>
      <c r="B681" s="46"/>
      <c r="C681" s="46"/>
      <c r="D681" s="34" t="e">
        <f>INDEX('Equipment list'!$B$227:$B$256, (MATCH(C681,'Equipment list'!$D$227:$D$256,0)),1)</f>
        <v>#N/A</v>
      </c>
      <c r="E681" s="34" t="e">
        <f>INDEX('Equipment list'!$C$227:$C$256, (MATCH(C681,'Equipment list'!$D$227:$D$256,0)),1)</f>
        <v>#N/A</v>
      </c>
      <c r="F681" s="34">
        <f t="shared" si="55"/>
        <v>0</v>
      </c>
      <c r="G681" s="34">
        <f t="shared" si="56"/>
        <v>0</v>
      </c>
      <c r="H681" s="34" t="e">
        <f t="shared" si="57"/>
        <v>#N/A</v>
      </c>
      <c r="I681" s="34" t="e">
        <f t="shared" si="58"/>
        <v>#N/A</v>
      </c>
      <c r="J681" s="45"/>
      <c r="K681" s="46"/>
      <c r="L681" s="49"/>
      <c r="M681" s="39"/>
      <c r="N681" s="39"/>
      <c r="O681" s="37">
        <f t="shared" si="59"/>
        <v>0</v>
      </c>
      <c r="P681" s="44"/>
      <c r="Q681" s="44"/>
    </row>
    <row r="682" spans="1:17" x14ac:dyDescent="0.4">
      <c r="A682" s="70"/>
      <c r="B682" s="46"/>
      <c r="C682" s="46"/>
      <c r="D682" s="34" t="e">
        <f>INDEX('Equipment list'!$B$227:$B$256, (MATCH(C682,'Equipment list'!$D$227:$D$256,0)),1)</f>
        <v>#N/A</v>
      </c>
      <c r="E682" s="34" t="e">
        <f>INDEX('Equipment list'!$C$227:$C$256, (MATCH(C682,'Equipment list'!$D$227:$D$256,0)),1)</f>
        <v>#N/A</v>
      </c>
      <c r="F682" s="34">
        <f t="shared" si="55"/>
        <v>0</v>
      </c>
      <c r="G682" s="34">
        <f t="shared" si="56"/>
        <v>0</v>
      </c>
      <c r="H682" s="34" t="e">
        <f t="shared" si="57"/>
        <v>#N/A</v>
      </c>
      <c r="I682" s="34" t="e">
        <f t="shared" si="58"/>
        <v>#N/A</v>
      </c>
      <c r="J682" s="45"/>
      <c r="K682" s="46"/>
      <c r="L682" s="49"/>
      <c r="M682" s="39"/>
      <c r="N682" s="39"/>
      <c r="O682" s="37">
        <f t="shared" si="59"/>
        <v>0</v>
      </c>
      <c r="P682" s="44"/>
      <c r="Q682" s="44"/>
    </row>
    <row r="683" spans="1:17" x14ac:dyDescent="0.4">
      <c r="A683" s="70"/>
      <c r="B683" s="46"/>
      <c r="C683" s="46"/>
      <c r="D683" s="34" t="e">
        <f>INDEX('Equipment list'!$B$227:$B$256, (MATCH(C683,'Equipment list'!$D$227:$D$256,0)),1)</f>
        <v>#N/A</v>
      </c>
      <c r="E683" s="34" t="e">
        <f>INDEX('Equipment list'!$C$227:$C$256, (MATCH(C683,'Equipment list'!$D$227:$D$256,0)),1)</f>
        <v>#N/A</v>
      </c>
      <c r="F683" s="34">
        <f t="shared" si="55"/>
        <v>0</v>
      </c>
      <c r="G683" s="34">
        <f t="shared" si="56"/>
        <v>0</v>
      </c>
      <c r="H683" s="34" t="e">
        <f t="shared" si="57"/>
        <v>#N/A</v>
      </c>
      <c r="I683" s="34" t="e">
        <f t="shared" si="58"/>
        <v>#N/A</v>
      </c>
      <c r="J683" s="45"/>
      <c r="K683" s="46"/>
      <c r="L683" s="49"/>
      <c r="M683" s="39"/>
      <c r="N683" s="39"/>
      <c r="O683" s="37">
        <f t="shared" si="59"/>
        <v>0</v>
      </c>
      <c r="P683" s="44"/>
      <c r="Q683" s="44"/>
    </row>
    <row r="684" spans="1:17" x14ac:dyDescent="0.4">
      <c r="A684" s="70"/>
      <c r="B684" s="46"/>
      <c r="C684" s="46"/>
      <c r="D684" s="34" t="e">
        <f>INDEX('Equipment list'!$B$227:$B$256, (MATCH(C684,'Equipment list'!$D$227:$D$256,0)),1)</f>
        <v>#N/A</v>
      </c>
      <c r="E684" s="34" t="e">
        <f>INDEX('Equipment list'!$C$227:$C$256, (MATCH(C684,'Equipment list'!$D$227:$D$256,0)),1)</f>
        <v>#N/A</v>
      </c>
      <c r="F684" s="34">
        <f t="shared" si="55"/>
        <v>0</v>
      </c>
      <c r="G684" s="34">
        <f t="shared" si="56"/>
        <v>0</v>
      </c>
      <c r="H684" s="34" t="e">
        <f t="shared" si="57"/>
        <v>#N/A</v>
      </c>
      <c r="I684" s="34" t="e">
        <f t="shared" si="58"/>
        <v>#N/A</v>
      </c>
      <c r="J684" s="45"/>
      <c r="K684" s="46"/>
      <c r="L684" s="49"/>
      <c r="M684" s="39"/>
      <c r="N684" s="39"/>
      <c r="O684" s="37">
        <f t="shared" si="59"/>
        <v>0</v>
      </c>
      <c r="P684" s="44"/>
      <c r="Q684" s="44"/>
    </row>
    <row r="685" spans="1:17" x14ac:dyDescent="0.4">
      <c r="A685" s="70"/>
      <c r="B685" s="46"/>
      <c r="C685" s="46"/>
      <c r="D685" s="34" t="e">
        <f>INDEX('Equipment list'!$B$227:$B$256, (MATCH(C685,'Equipment list'!$D$227:$D$256,0)),1)</f>
        <v>#N/A</v>
      </c>
      <c r="E685" s="34" t="e">
        <f>INDEX('Equipment list'!$C$227:$C$256, (MATCH(C685,'Equipment list'!$D$227:$D$256,0)),1)</f>
        <v>#N/A</v>
      </c>
      <c r="F685" s="34">
        <f t="shared" si="55"/>
        <v>0</v>
      </c>
      <c r="G685" s="34">
        <f t="shared" si="56"/>
        <v>0</v>
      </c>
      <c r="H685" s="34" t="e">
        <f t="shared" si="57"/>
        <v>#N/A</v>
      </c>
      <c r="I685" s="34" t="e">
        <f t="shared" si="58"/>
        <v>#N/A</v>
      </c>
      <c r="J685" s="45"/>
      <c r="K685" s="46"/>
      <c r="L685" s="49"/>
      <c r="M685" s="39"/>
      <c r="N685" s="39"/>
      <c r="O685" s="37">
        <f t="shared" si="59"/>
        <v>0</v>
      </c>
      <c r="P685" s="44"/>
      <c r="Q685" s="44"/>
    </row>
    <row r="686" spans="1:17" x14ac:dyDescent="0.4">
      <c r="A686" s="70"/>
      <c r="B686" s="46"/>
      <c r="C686" s="46"/>
      <c r="D686" s="34" t="e">
        <f>INDEX('Equipment list'!$B$227:$B$256, (MATCH(C686,'Equipment list'!$D$227:$D$256,0)),1)</f>
        <v>#N/A</v>
      </c>
      <c r="E686" s="34" t="e">
        <f>INDEX('Equipment list'!$C$227:$C$256, (MATCH(C686,'Equipment list'!$D$227:$D$256,0)),1)</f>
        <v>#N/A</v>
      </c>
      <c r="F686" s="34">
        <f t="shared" si="55"/>
        <v>0</v>
      </c>
      <c r="G686" s="34">
        <f t="shared" si="56"/>
        <v>0</v>
      </c>
      <c r="H686" s="34" t="e">
        <f t="shared" si="57"/>
        <v>#N/A</v>
      </c>
      <c r="I686" s="34" t="e">
        <f t="shared" si="58"/>
        <v>#N/A</v>
      </c>
      <c r="J686" s="45"/>
      <c r="K686" s="46"/>
      <c r="L686" s="49"/>
      <c r="M686" s="39"/>
      <c r="N686" s="39"/>
      <c r="O686" s="37">
        <f t="shared" si="59"/>
        <v>0</v>
      </c>
      <c r="P686" s="44"/>
      <c r="Q686" s="44"/>
    </row>
    <row r="687" spans="1:17" x14ac:dyDescent="0.4">
      <c r="A687" s="70"/>
      <c r="B687" s="46"/>
      <c r="C687" s="46"/>
      <c r="D687" s="34" t="e">
        <f>INDEX('Equipment list'!$B$227:$B$256, (MATCH(C687,'Equipment list'!$D$227:$D$256,0)),1)</f>
        <v>#N/A</v>
      </c>
      <c r="E687" s="34" t="e">
        <f>INDEX('Equipment list'!$C$227:$C$256, (MATCH(C687,'Equipment list'!$D$227:$D$256,0)),1)</f>
        <v>#N/A</v>
      </c>
      <c r="F687" s="34">
        <f t="shared" si="55"/>
        <v>0</v>
      </c>
      <c r="G687" s="34">
        <f t="shared" si="56"/>
        <v>0</v>
      </c>
      <c r="H687" s="34" t="e">
        <f t="shared" si="57"/>
        <v>#N/A</v>
      </c>
      <c r="I687" s="34" t="e">
        <f t="shared" si="58"/>
        <v>#N/A</v>
      </c>
      <c r="J687" s="45"/>
      <c r="K687" s="46"/>
      <c r="L687" s="49"/>
      <c r="M687" s="39"/>
      <c r="N687" s="39"/>
      <c r="O687" s="37">
        <f t="shared" si="59"/>
        <v>0</v>
      </c>
      <c r="P687" s="44"/>
      <c r="Q687" s="44"/>
    </row>
    <row r="688" spans="1:17" x14ac:dyDescent="0.4">
      <c r="A688" s="70"/>
      <c r="B688" s="46"/>
      <c r="C688" s="46"/>
      <c r="D688" s="34" t="e">
        <f>INDEX('Equipment list'!$B$227:$B$256, (MATCH(C688,'Equipment list'!$D$227:$D$256,0)),1)</f>
        <v>#N/A</v>
      </c>
      <c r="E688" s="34" t="e">
        <f>INDEX('Equipment list'!$C$227:$C$256, (MATCH(C688,'Equipment list'!$D$227:$D$256,0)),1)</f>
        <v>#N/A</v>
      </c>
      <c r="F688" s="34">
        <f t="shared" si="55"/>
        <v>0</v>
      </c>
      <c r="G688" s="34">
        <f t="shared" si="56"/>
        <v>0</v>
      </c>
      <c r="H688" s="34" t="e">
        <f t="shared" si="57"/>
        <v>#N/A</v>
      </c>
      <c r="I688" s="34" t="e">
        <f t="shared" si="58"/>
        <v>#N/A</v>
      </c>
      <c r="J688" s="45"/>
      <c r="K688" s="46"/>
      <c r="L688" s="49"/>
      <c r="M688" s="39"/>
      <c r="N688" s="39"/>
      <c r="O688" s="37">
        <f t="shared" si="59"/>
        <v>0</v>
      </c>
      <c r="P688" s="44"/>
      <c r="Q688" s="44"/>
    </row>
    <row r="689" spans="1:17" x14ac:dyDescent="0.4">
      <c r="A689" s="70"/>
      <c r="B689" s="46"/>
      <c r="C689" s="46"/>
      <c r="D689" s="34" t="e">
        <f>INDEX('Equipment list'!$B$227:$B$256, (MATCH(C689,'Equipment list'!$D$227:$D$256,0)),1)</f>
        <v>#N/A</v>
      </c>
      <c r="E689" s="34" t="e">
        <f>INDEX('Equipment list'!$C$227:$C$256, (MATCH(C689,'Equipment list'!$D$227:$D$256,0)),1)</f>
        <v>#N/A</v>
      </c>
      <c r="F689" s="34">
        <f t="shared" si="55"/>
        <v>0</v>
      </c>
      <c r="G689" s="34">
        <f t="shared" si="56"/>
        <v>0</v>
      </c>
      <c r="H689" s="34" t="e">
        <f t="shared" si="57"/>
        <v>#N/A</v>
      </c>
      <c r="I689" s="34" t="e">
        <f t="shared" si="58"/>
        <v>#N/A</v>
      </c>
      <c r="J689" s="45"/>
      <c r="K689" s="46"/>
      <c r="L689" s="49"/>
      <c r="M689" s="39"/>
      <c r="N689" s="39"/>
      <c r="O689" s="37">
        <f t="shared" si="59"/>
        <v>0</v>
      </c>
      <c r="P689" s="44"/>
      <c r="Q689" s="44"/>
    </row>
    <row r="690" spans="1:17" x14ac:dyDescent="0.4">
      <c r="A690" s="70"/>
      <c r="B690" s="46"/>
      <c r="C690" s="46"/>
      <c r="D690" s="34" t="e">
        <f>INDEX('Equipment list'!$B$227:$B$256, (MATCH(C690,'Equipment list'!$D$227:$D$256,0)),1)</f>
        <v>#N/A</v>
      </c>
      <c r="E690" s="34" t="e">
        <f>INDEX('Equipment list'!$C$227:$C$256, (MATCH(C690,'Equipment list'!$D$227:$D$256,0)),1)</f>
        <v>#N/A</v>
      </c>
      <c r="F690" s="34">
        <f t="shared" si="55"/>
        <v>0</v>
      </c>
      <c r="G690" s="34">
        <f t="shared" si="56"/>
        <v>0</v>
      </c>
      <c r="H690" s="34" t="e">
        <f t="shared" si="57"/>
        <v>#N/A</v>
      </c>
      <c r="I690" s="34" t="e">
        <f t="shared" si="58"/>
        <v>#N/A</v>
      </c>
      <c r="J690" s="45"/>
      <c r="K690" s="46"/>
      <c r="L690" s="49"/>
      <c r="M690" s="39"/>
      <c r="N690" s="39"/>
      <c r="O690" s="37">
        <f t="shared" si="59"/>
        <v>0</v>
      </c>
      <c r="P690" s="44"/>
      <c r="Q690" s="44"/>
    </row>
    <row r="691" spans="1:17" x14ac:dyDescent="0.4">
      <c r="A691" s="70"/>
      <c r="B691" s="46"/>
      <c r="C691" s="46"/>
      <c r="D691" s="34" t="e">
        <f>INDEX('Equipment list'!$B$227:$B$256, (MATCH(C691,'Equipment list'!$D$227:$D$256,0)),1)</f>
        <v>#N/A</v>
      </c>
      <c r="E691" s="34" t="e">
        <f>INDEX('Equipment list'!$C$227:$C$256, (MATCH(C691,'Equipment list'!$D$227:$D$256,0)),1)</f>
        <v>#N/A</v>
      </c>
      <c r="F691" s="34">
        <f t="shared" si="55"/>
        <v>0</v>
      </c>
      <c r="G691" s="34">
        <f t="shared" si="56"/>
        <v>0</v>
      </c>
      <c r="H691" s="34" t="e">
        <f t="shared" si="57"/>
        <v>#N/A</v>
      </c>
      <c r="I691" s="34" t="e">
        <f t="shared" si="58"/>
        <v>#N/A</v>
      </c>
      <c r="J691" s="45"/>
      <c r="K691" s="46"/>
      <c r="L691" s="49"/>
      <c r="M691" s="39"/>
      <c r="N691" s="39"/>
      <c r="O691" s="37">
        <f t="shared" si="59"/>
        <v>0</v>
      </c>
      <c r="P691" s="44"/>
      <c r="Q691" s="44"/>
    </row>
    <row r="692" spans="1:17" x14ac:dyDescent="0.4">
      <c r="A692" s="70"/>
      <c r="B692" s="46"/>
      <c r="C692" s="46"/>
      <c r="D692" s="34" t="e">
        <f>INDEX('Equipment list'!$B$227:$B$256, (MATCH(C692,'Equipment list'!$D$227:$D$256,0)),1)</f>
        <v>#N/A</v>
      </c>
      <c r="E692" s="34" t="e">
        <f>INDEX('Equipment list'!$C$227:$C$256, (MATCH(C692,'Equipment list'!$D$227:$D$256,0)),1)</f>
        <v>#N/A</v>
      </c>
      <c r="F692" s="34">
        <f t="shared" si="55"/>
        <v>0</v>
      </c>
      <c r="G692" s="34">
        <f t="shared" si="56"/>
        <v>0</v>
      </c>
      <c r="H692" s="34" t="e">
        <f t="shared" si="57"/>
        <v>#N/A</v>
      </c>
      <c r="I692" s="34" t="e">
        <f t="shared" si="58"/>
        <v>#N/A</v>
      </c>
      <c r="J692" s="45"/>
      <c r="K692" s="46"/>
      <c r="L692" s="49"/>
      <c r="M692" s="39"/>
      <c r="N692" s="39"/>
      <c r="O692" s="37">
        <f t="shared" si="59"/>
        <v>0</v>
      </c>
      <c r="P692" s="44"/>
      <c r="Q692" s="44"/>
    </row>
    <row r="693" spans="1:17" x14ac:dyDescent="0.4">
      <c r="A693" s="70"/>
      <c r="B693" s="46"/>
      <c r="C693" s="46"/>
      <c r="D693" s="34" t="e">
        <f>INDEX('Equipment list'!$B$227:$B$256, (MATCH(C693,'Equipment list'!$D$227:$D$256,0)),1)</f>
        <v>#N/A</v>
      </c>
      <c r="E693" s="34" t="e">
        <f>INDEX('Equipment list'!$C$227:$C$256, (MATCH(C693,'Equipment list'!$D$227:$D$256,0)),1)</f>
        <v>#N/A</v>
      </c>
      <c r="F693" s="34">
        <f t="shared" si="55"/>
        <v>0</v>
      </c>
      <c r="G693" s="34">
        <f t="shared" si="56"/>
        <v>0</v>
      </c>
      <c r="H693" s="34" t="e">
        <f t="shared" si="57"/>
        <v>#N/A</v>
      </c>
      <c r="I693" s="34" t="e">
        <f t="shared" si="58"/>
        <v>#N/A</v>
      </c>
      <c r="J693" s="45"/>
      <c r="K693" s="46"/>
      <c r="L693" s="49"/>
      <c r="M693" s="39"/>
      <c r="N693" s="39"/>
      <c r="O693" s="37">
        <f t="shared" si="59"/>
        <v>0</v>
      </c>
      <c r="P693" s="44"/>
      <c r="Q693" s="44"/>
    </row>
    <row r="694" spans="1:17" x14ac:dyDescent="0.4">
      <c r="A694" s="70"/>
      <c r="B694" s="46"/>
      <c r="C694" s="46"/>
      <c r="D694" s="34" t="e">
        <f>INDEX('Equipment list'!$B$227:$B$256, (MATCH(C694,'Equipment list'!$D$227:$D$256,0)),1)</f>
        <v>#N/A</v>
      </c>
      <c r="E694" s="34" t="e">
        <f>INDEX('Equipment list'!$C$227:$C$256, (MATCH(C694,'Equipment list'!$D$227:$D$256,0)),1)</f>
        <v>#N/A</v>
      </c>
      <c r="F694" s="34">
        <f t="shared" si="55"/>
        <v>0</v>
      </c>
      <c r="G694" s="34">
        <f t="shared" si="56"/>
        <v>0</v>
      </c>
      <c r="H694" s="34" t="e">
        <f t="shared" si="57"/>
        <v>#N/A</v>
      </c>
      <c r="I694" s="34" t="e">
        <f t="shared" si="58"/>
        <v>#N/A</v>
      </c>
      <c r="J694" s="45"/>
      <c r="K694" s="46"/>
      <c r="L694" s="49"/>
      <c r="M694" s="39"/>
      <c r="N694" s="39"/>
      <c r="O694" s="37">
        <f t="shared" si="59"/>
        <v>0</v>
      </c>
      <c r="P694" s="44"/>
      <c r="Q694" s="44"/>
    </row>
    <row r="695" spans="1:17" x14ac:dyDescent="0.4">
      <c r="A695" s="70"/>
      <c r="B695" s="46"/>
      <c r="C695" s="46"/>
      <c r="D695" s="34" t="e">
        <f>INDEX('Equipment list'!$B$227:$B$256, (MATCH(C695,'Equipment list'!$D$227:$D$256,0)),1)</f>
        <v>#N/A</v>
      </c>
      <c r="E695" s="34" t="e">
        <f>INDEX('Equipment list'!$C$227:$C$256, (MATCH(C695,'Equipment list'!$D$227:$D$256,0)),1)</f>
        <v>#N/A</v>
      </c>
      <c r="F695" s="34">
        <f t="shared" si="55"/>
        <v>0</v>
      </c>
      <c r="G695" s="34">
        <f t="shared" si="56"/>
        <v>0</v>
      </c>
      <c r="H695" s="34" t="e">
        <f t="shared" si="57"/>
        <v>#N/A</v>
      </c>
      <c r="I695" s="34" t="e">
        <f t="shared" si="58"/>
        <v>#N/A</v>
      </c>
      <c r="J695" s="45"/>
      <c r="K695" s="46"/>
      <c r="L695" s="49"/>
      <c r="M695" s="39"/>
      <c r="N695" s="39"/>
      <c r="O695" s="37">
        <f t="shared" si="59"/>
        <v>0</v>
      </c>
      <c r="P695" s="44"/>
      <c r="Q695" s="44"/>
    </row>
    <row r="696" spans="1:17" x14ac:dyDescent="0.4">
      <c r="A696" s="70"/>
      <c r="B696" s="46"/>
      <c r="C696" s="46"/>
      <c r="D696" s="34" t="e">
        <f>INDEX('Equipment list'!$B$227:$B$256, (MATCH(C696,'Equipment list'!$D$227:$D$256,0)),1)</f>
        <v>#N/A</v>
      </c>
      <c r="E696" s="34" t="e">
        <f>INDEX('Equipment list'!$C$227:$C$256, (MATCH(C696,'Equipment list'!$D$227:$D$256,0)),1)</f>
        <v>#N/A</v>
      </c>
      <c r="F696" s="34">
        <f t="shared" si="55"/>
        <v>0</v>
      </c>
      <c r="G696" s="34">
        <f t="shared" si="56"/>
        <v>0</v>
      </c>
      <c r="H696" s="34" t="e">
        <f t="shared" si="57"/>
        <v>#N/A</v>
      </c>
      <c r="I696" s="34" t="e">
        <f t="shared" si="58"/>
        <v>#N/A</v>
      </c>
      <c r="J696" s="45"/>
      <c r="K696" s="46"/>
      <c r="L696" s="49"/>
      <c r="M696" s="39"/>
      <c r="N696" s="39"/>
      <c r="O696" s="37">
        <f t="shared" si="59"/>
        <v>0</v>
      </c>
      <c r="P696" s="44"/>
      <c r="Q696" s="44"/>
    </row>
    <row r="697" spans="1:17" x14ac:dyDescent="0.4">
      <c r="A697" s="70"/>
      <c r="B697" s="46"/>
      <c r="C697" s="46"/>
      <c r="D697" s="34" t="e">
        <f>INDEX('Equipment list'!$B$227:$B$256, (MATCH(C697,'Equipment list'!$D$227:$D$256,0)),1)</f>
        <v>#N/A</v>
      </c>
      <c r="E697" s="34" t="e">
        <f>INDEX('Equipment list'!$C$227:$C$256, (MATCH(C697,'Equipment list'!$D$227:$D$256,0)),1)</f>
        <v>#N/A</v>
      </c>
      <c r="F697" s="34">
        <f t="shared" si="55"/>
        <v>0</v>
      </c>
      <c r="G697" s="34">
        <f t="shared" si="56"/>
        <v>0</v>
      </c>
      <c r="H697" s="34" t="e">
        <f t="shared" si="57"/>
        <v>#N/A</v>
      </c>
      <c r="I697" s="34" t="e">
        <f t="shared" si="58"/>
        <v>#N/A</v>
      </c>
      <c r="J697" s="45"/>
      <c r="K697" s="46"/>
      <c r="L697" s="49"/>
      <c r="M697" s="39"/>
      <c r="N697" s="39"/>
      <c r="O697" s="37">
        <f t="shared" si="59"/>
        <v>0</v>
      </c>
      <c r="P697" s="44"/>
      <c r="Q697" s="44"/>
    </row>
    <row r="698" spans="1:17" x14ac:dyDescent="0.4">
      <c r="A698" s="70"/>
      <c r="B698" s="46"/>
      <c r="C698" s="46"/>
      <c r="D698" s="34" t="e">
        <f>INDEX('Equipment list'!$B$227:$B$256, (MATCH(C698,'Equipment list'!$D$227:$D$256,0)),1)</f>
        <v>#N/A</v>
      </c>
      <c r="E698" s="34" t="e">
        <f>INDEX('Equipment list'!$C$227:$C$256, (MATCH(C698,'Equipment list'!$D$227:$D$256,0)),1)</f>
        <v>#N/A</v>
      </c>
      <c r="F698" s="34">
        <f t="shared" si="55"/>
        <v>0</v>
      </c>
      <c r="G698" s="34">
        <f t="shared" si="56"/>
        <v>0</v>
      </c>
      <c r="H698" s="34" t="e">
        <f t="shared" si="57"/>
        <v>#N/A</v>
      </c>
      <c r="I698" s="34" t="e">
        <f t="shared" si="58"/>
        <v>#N/A</v>
      </c>
      <c r="J698" s="45"/>
      <c r="K698" s="46"/>
      <c r="L698" s="49"/>
      <c r="M698" s="39"/>
      <c r="N698" s="39"/>
      <c r="O698" s="37">
        <f t="shared" si="59"/>
        <v>0</v>
      </c>
      <c r="P698" s="44"/>
      <c r="Q698" s="44"/>
    </row>
    <row r="699" spans="1:17" x14ac:dyDescent="0.4">
      <c r="A699" s="70"/>
      <c r="B699" s="46"/>
      <c r="C699" s="46"/>
      <c r="D699" s="34" t="e">
        <f>INDEX('Equipment list'!$B$227:$B$256, (MATCH(C699,'Equipment list'!$D$227:$D$256,0)),1)</f>
        <v>#N/A</v>
      </c>
      <c r="E699" s="34" t="e">
        <f>INDEX('Equipment list'!$C$227:$C$256, (MATCH(C699,'Equipment list'!$D$227:$D$256,0)),1)</f>
        <v>#N/A</v>
      </c>
      <c r="F699" s="34">
        <f t="shared" si="55"/>
        <v>0</v>
      </c>
      <c r="G699" s="34">
        <f t="shared" si="56"/>
        <v>0</v>
      </c>
      <c r="H699" s="34" t="e">
        <f t="shared" si="57"/>
        <v>#N/A</v>
      </c>
      <c r="I699" s="34" t="e">
        <f t="shared" si="58"/>
        <v>#N/A</v>
      </c>
      <c r="J699" s="45"/>
      <c r="K699" s="46"/>
      <c r="L699" s="49"/>
      <c r="M699" s="39"/>
      <c r="N699" s="39"/>
      <c r="O699" s="37">
        <f t="shared" si="59"/>
        <v>0</v>
      </c>
      <c r="P699" s="44"/>
      <c r="Q699" s="44"/>
    </row>
    <row r="700" spans="1:17" x14ac:dyDescent="0.4">
      <c r="A700" s="70"/>
      <c r="B700" s="46"/>
      <c r="C700" s="46"/>
      <c r="D700" s="34" t="e">
        <f>INDEX('Equipment list'!$B$227:$B$256, (MATCH(C700,'Equipment list'!$D$227:$D$256,0)),1)</f>
        <v>#N/A</v>
      </c>
      <c r="E700" s="34" t="e">
        <f>INDEX('Equipment list'!$C$227:$C$256, (MATCH(C700,'Equipment list'!$D$227:$D$256,0)),1)</f>
        <v>#N/A</v>
      </c>
      <c r="F700" s="34">
        <f t="shared" si="55"/>
        <v>0</v>
      </c>
      <c r="G700" s="34">
        <f t="shared" si="56"/>
        <v>0</v>
      </c>
      <c r="H700" s="34" t="e">
        <f t="shared" si="57"/>
        <v>#N/A</v>
      </c>
      <c r="I700" s="34" t="e">
        <f t="shared" si="58"/>
        <v>#N/A</v>
      </c>
      <c r="J700" s="45"/>
      <c r="K700" s="46"/>
      <c r="L700" s="49"/>
      <c r="M700" s="39"/>
      <c r="N700" s="39"/>
      <c r="O700" s="37">
        <f t="shared" si="59"/>
        <v>0</v>
      </c>
      <c r="P700" s="44"/>
      <c r="Q700" s="44"/>
    </row>
    <row r="701" spans="1:17" x14ac:dyDescent="0.4">
      <c r="A701" s="70"/>
      <c r="B701" s="46"/>
      <c r="C701" s="46"/>
      <c r="D701" s="34" t="e">
        <f>INDEX('Equipment list'!$B$227:$B$256, (MATCH(C701,'Equipment list'!$D$227:$D$256,0)),1)</f>
        <v>#N/A</v>
      </c>
      <c r="E701" s="34" t="e">
        <f>INDEX('Equipment list'!$C$227:$C$256, (MATCH(C701,'Equipment list'!$D$227:$D$256,0)),1)</f>
        <v>#N/A</v>
      </c>
      <c r="F701" s="34">
        <f t="shared" si="55"/>
        <v>0</v>
      </c>
      <c r="G701" s="34">
        <f t="shared" si="56"/>
        <v>0</v>
      </c>
      <c r="H701" s="34" t="e">
        <f t="shared" si="57"/>
        <v>#N/A</v>
      </c>
      <c r="I701" s="34" t="e">
        <f t="shared" si="58"/>
        <v>#N/A</v>
      </c>
      <c r="J701" s="45"/>
      <c r="K701" s="46"/>
      <c r="L701" s="49"/>
      <c r="M701" s="39"/>
      <c r="N701" s="39"/>
      <c r="O701" s="37">
        <f t="shared" si="59"/>
        <v>0</v>
      </c>
      <c r="P701" s="44"/>
      <c r="Q701" s="44"/>
    </row>
    <row r="702" spans="1:17" x14ac:dyDescent="0.4">
      <c r="A702" s="70"/>
      <c r="B702" s="46"/>
      <c r="C702" s="46"/>
      <c r="D702" s="34" t="e">
        <f>INDEX('Equipment list'!$B$227:$B$256, (MATCH(C702,'Equipment list'!$D$227:$D$256,0)),1)</f>
        <v>#N/A</v>
      </c>
      <c r="E702" s="34" t="e">
        <f>INDEX('Equipment list'!$C$227:$C$256, (MATCH(C702,'Equipment list'!$D$227:$D$256,0)),1)</f>
        <v>#N/A</v>
      </c>
      <c r="F702" s="34">
        <f t="shared" si="55"/>
        <v>0</v>
      </c>
      <c r="G702" s="34">
        <f t="shared" si="56"/>
        <v>0</v>
      </c>
      <c r="H702" s="34" t="e">
        <f t="shared" si="57"/>
        <v>#N/A</v>
      </c>
      <c r="I702" s="34" t="e">
        <f t="shared" si="58"/>
        <v>#N/A</v>
      </c>
      <c r="J702" s="45"/>
      <c r="K702" s="46"/>
      <c r="L702" s="49"/>
      <c r="M702" s="39"/>
      <c r="N702" s="39"/>
      <c r="O702" s="37">
        <f t="shared" si="59"/>
        <v>0</v>
      </c>
      <c r="P702" s="44"/>
      <c r="Q702" s="44"/>
    </row>
    <row r="703" spans="1:17" x14ac:dyDescent="0.4">
      <c r="A703" s="70"/>
      <c r="B703" s="46"/>
      <c r="C703" s="46"/>
      <c r="D703" s="34" t="e">
        <f>INDEX('Equipment list'!$B$227:$B$256, (MATCH(C703,'Equipment list'!$D$227:$D$256,0)),1)</f>
        <v>#N/A</v>
      </c>
      <c r="E703" s="34" t="e">
        <f>INDEX('Equipment list'!$C$227:$C$256, (MATCH(C703,'Equipment list'!$D$227:$D$256,0)),1)</f>
        <v>#N/A</v>
      </c>
      <c r="F703" s="34">
        <f t="shared" si="55"/>
        <v>0</v>
      </c>
      <c r="G703" s="34">
        <f t="shared" si="56"/>
        <v>0</v>
      </c>
      <c r="H703" s="34" t="e">
        <f t="shared" si="57"/>
        <v>#N/A</v>
      </c>
      <c r="I703" s="34" t="e">
        <f t="shared" si="58"/>
        <v>#N/A</v>
      </c>
      <c r="J703" s="45"/>
      <c r="K703" s="46"/>
      <c r="L703" s="49"/>
      <c r="M703" s="39"/>
      <c r="N703" s="39"/>
      <c r="O703" s="37">
        <f t="shared" si="59"/>
        <v>0</v>
      </c>
      <c r="P703" s="44"/>
      <c r="Q703" s="44"/>
    </row>
    <row r="704" spans="1:17" x14ac:dyDescent="0.4">
      <c r="A704" s="70"/>
      <c r="B704" s="46"/>
      <c r="C704" s="46"/>
      <c r="D704" s="34" t="e">
        <f>INDEX('Equipment list'!$B$227:$B$256, (MATCH(C704,'Equipment list'!$D$227:$D$256,0)),1)</f>
        <v>#N/A</v>
      </c>
      <c r="E704" s="34" t="e">
        <f>INDEX('Equipment list'!$C$227:$C$256, (MATCH(C704,'Equipment list'!$D$227:$D$256,0)),1)</f>
        <v>#N/A</v>
      </c>
      <c r="F704" s="34">
        <f t="shared" si="55"/>
        <v>0</v>
      </c>
      <c r="G704" s="34">
        <f t="shared" si="56"/>
        <v>0</v>
      </c>
      <c r="H704" s="34" t="e">
        <f t="shared" si="57"/>
        <v>#N/A</v>
      </c>
      <c r="I704" s="34" t="e">
        <f t="shared" si="58"/>
        <v>#N/A</v>
      </c>
      <c r="J704" s="45"/>
      <c r="K704" s="46"/>
      <c r="L704" s="49"/>
      <c r="M704" s="39"/>
      <c r="N704" s="39"/>
      <c r="O704" s="37">
        <f t="shared" si="59"/>
        <v>0</v>
      </c>
      <c r="P704" s="44"/>
      <c r="Q704" s="44"/>
    </row>
    <row r="705" spans="1:17" x14ac:dyDescent="0.4">
      <c r="A705" s="70"/>
      <c r="B705" s="46"/>
      <c r="C705" s="46"/>
      <c r="D705" s="34" t="e">
        <f>INDEX('Equipment list'!$B$227:$B$256, (MATCH(C705,'Equipment list'!$D$227:$D$256,0)),1)</f>
        <v>#N/A</v>
      </c>
      <c r="E705" s="34" t="e">
        <f>INDEX('Equipment list'!$C$227:$C$256, (MATCH(C705,'Equipment list'!$D$227:$D$256,0)),1)</f>
        <v>#N/A</v>
      </c>
      <c r="F705" s="34">
        <f t="shared" si="55"/>
        <v>0</v>
      </c>
      <c r="G705" s="34">
        <f t="shared" si="56"/>
        <v>0</v>
      </c>
      <c r="H705" s="34" t="e">
        <f t="shared" si="57"/>
        <v>#N/A</v>
      </c>
      <c r="I705" s="34" t="e">
        <f t="shared" si="58"/>
        <v>#N/A</v>
      </c>
      <c r="J705" s="45"/>
      <c r="K705" s="46"/>
      <c r="L705" s="49"/>
      <c r="M705" s="39"/>
      <c r="N705" s="39"/>
      <c r="O705" s="37">
        <f t="shared" si="59"/>
        <v>0</v>
      </c>
      <c r="P705" s="44"/>
      <c r="Q705" s="44"/>
    </row>
    <row r="706" spans="1:17" x14ac:dyDescent="0.4">
      <c r="A706" s="70"/>
      <c r="B706" s="46"/>
      <c r="C706" s="46"/>
      <c r="D706" s="34" t="e">
        <f>INDEX('Equipment list'!$B$227:$B$256, (MATCH(C706,'Equipment list'!$D$227:$D$256,0)),1)</f>
        <v>#N/A</v>
      </c>
      <c r="E706" s="34" t="e">
        <f>INDEX('Equipment list'!$C$227:$C$256, (MATCH(C706,'Equipment list'!$D$227:$D$256,0)),1)</f>
        <v>#N/A</v>
      </c>
      <c r="F706" s="34">
        <f t="shared" si="55"/>
        <v>0</v>
      </c>
      <c r="G706" s="34">
        <f t="shared" si="56"/>
        <v>0</v>
      </c>
      <c r="H706" s="34" t="e">
        <f t="shared" si="57"/>
        <v>#N/A</v>
      </c>
      <c r="I706" s="34" t="e">
        <f t="shared" si="58"/>
        <v>#N/A</v>
      </c>
      <c r="J706" s="45"/>
      <c r="K706" s="46"/>
      <c r="L706" s="49"/>
      <c r="M706" s="39"/>
      <c r="N706" s="39"/>
      <c r="O706" s="37">
        <f t="shared" si="59"/>
        <v>0</v>
      </c>
      <c r="P706" s="44"/>
      <c r="Q706" s="44"/>
    </row>
    <row r="707" spans="1:17" x14ac:dyDescent="0.4">
      <c r="A707" s="70"/>
      <c r="B707" s="46"/>
      <c r="C707" s="46"/>
      <c r="D707" s="34" t="e">
        <f>INDEX('Equipment list'!$B$227:$B$256, (MATCH(C707,'Equipment list'!$D$227:$D$256,0)),1)</f>
        <v>#N/A</v>
      </c>
      <c r="E707" s="34" t="e">
        <f>INDEX('Equipment list'!$C$227:$C$256, (MATCH(C707,'Equipment list'!$D$227:$D$256,0)),1)</f>
        <v>#N/A</v>
      </c>
      <c r="F707" s="34">
        <f t="shared" si="55"/>
        <v>0</v>
      </c>
      <c r="G707" s="34">
        <f t="shared" si="56"/>
        <v>0</v>
      </c>
      <c r="H707" s="34" t="e">
        <f t="shared" si="57"/>
        <v>#N/A</v>
      </c>
      <c r="I707" s="34" t="e">
        <f t="shared" si="58"/>
        <v>#N/A</v>
      </c>
      <c r="J707" s="45"/>
      <c r="K707" s="46"/>
      <c r="L707" s="49"/>
      <c r="M707" s="39"/>
      <c r="N707" s="39"/>
      <c r="O707" s="37">
        <f t="shared" si="59"/>
        <v>0</v>
      </c>
      <c r="P707" s="44"/>
      <c r="Q707" s="44"/>
    </row>
    <row r="708" spans="1:17" x14ac:dyDescent="0.4">
      <c r="A708" s="70"/>
      <c r="B708" s="46"/>
      <c r="C708" s="46"/>
      <c r="D708" s="34" t="e">
        <f>INDEX('Equipment list'!$B$227:$B$256, (MATCH(C708,'Equipment list'!$D$227:$D$256,0)),1)</f>
        <v>#N/A</v>
      </c>
      <c r="E708" s="34" t="e">
        <f>INDEX('Equipment list'!$C$227:$C$256, (MATCH(C708,'Equipment list'!$D$227:$D$256,0)),1)</f>
        <v>#N/A</v>
      </c>
      <c r="F708" s="34">
        <f t="shared" si="55"/>
        <v>0</v>
      </c>
      <c r="G708" s="34">
        <f t="shared" si="56"/>
        <v>0</v>
      </c>
      <c r="H708" s="34" t="e">
        <f t="shared" si="57"/>
        <v>#N/A</v>
      </c>
      <c r="I708" s="34" t="e">
        <f t="shared" si="58"/>
        <v>#N/A</v>
      </c>
      <c r="J708" s="45"/>
      <c r="K708" s="46"/>
      <c r="L708" s="49"/>
      <c r="M708" s="39"/>
      <c r="N708" s="39"/>
      <c r="O708" s="37">
        <f t="shared" si="59"/>
        <v>0</v>
      </c>
      <c r="P708" s="44"/>
      <c r="Q708" s="44"/>
    </row>
    <row r="709" spans="1:17" x14ac:dyDescent="0.4">
      <c r="A709" s="70"/>
      <c r="B709" s="46"/>
      <c r="C709" s="46"/>
      <c r="D709" s="34" t="e">
        <f>INDEX('Equipment list'!$B$227:$B$256, (MATCH(C709,'Equipment list'!$D$227:$D$256,0)),1)</f>
        <v>#N/A</v>
      </c>
      <c r="E709" s="34" t="e">
        <f>INDEX('Equipment list'!$C$227:$C$256, (MATCH(C709,'Equipment list'!$D$227:$D$256,0)),1)</f>
        <v>#N/A</v>
      </c>
      <c r="F709" s="34">
        <f t="shared" si="55"/>
        <v>0</v>
      </c>
      <c r="G709" s="34">
        <f t="shared" si="56"/>
        <v>0</v>
      </c>
      <c r="H709" s="34" t="e">
        <f t="shared" si="57"/>
        <v>#N/A</v>
      </c>
      <c r="I709" s="34" t="e">
        <f t="shared" si="58"/>
        <v>#N/A</v>
      </c>
      <c r="J709" s="45"/>
      <c r="K709" s="46"/>
      <c r="L709" s="49"/>
      <c r="M709" s="39"/>
      <c r="N709" s="39"/>
      <c r="O709" s="37">
        <f t="shared" si="59"/>
        <v>0</v>
      </c>
      <c r="P709" s="44"/>
      <c r="Q709" s="44"/>
    </row>
    <row r="710" spans="1:17" x14ac:dyDescent="0.4">
      <c r="A710" s="70"/>
      <c r="B710" s="46"/>
      <c r="C710" s="46"/>
      <c r="D710" s="34" t="e">
        <f>INDEX('Equipment list'!$B$227:$B$256, (MATCH(C710,'Equipment list'!$D$227:$D$256,0)),1)</f>
        <v>#N/A</v>
      </c>
      <c r="E710" s="34" t="e">
        <f>INDEX('Equipment list'!$C$227:$C$256, (MATCH(C710,'Equipment list'!$D$227:$D$256,0)),1)</f>
        <v>#N/A</v>
      </c>
      <c r="F710" s="34">
        <f t="shared" ref="F710:F724" si="60">P710*4</f>
        <v>0</v>
      </c>
      <c r="G710" s="34">
        <f t="shared" ref="G710:G724" si="61">Q710*4</f>
        <v>0</v>
      </c>
      <c r="H710" s="34" t="e">
        <f t="shared" ref="H710:H724" si="62">(F710-D710)/D710*100</f>
        <v>#N/A</v>
      </c>
      <c r="I710" s="34" t="e">
        <f t="shared" ref="I710:I724" si="63">(G710-E710)/E710*100</f>
        <v>#N/A</v>
      </c>
      <c r="J710" s="45"/>
      <c r="K710" s="46"/>
      <c r="L710" s="49"/>
      <c r="M710" s="39"/>
      <c r="N710" s="39"/>
      <c r="O710" s="37">
        <f t="shared" ref="O710:O724" si="64">C710</f>
        <v>0</v>
      </c>
      <c r="P710" s="44"/>
      <c r="Q710" s="44"/>
    </row>
    <row r="711" spans="1:17" x14ac:dyDescent="0.4">
      <c r="A711" s="70"/>
      <c r="B711" s="46"/>
      <c r="C711" s="46"/>
      <c r="D711" s="34" t="e">
        <f>INDEX('Equipment list'!$B$227:$B$256, (MATCH(C711,'Equipment list'!$D$227:$D$256,0)),1)</f>
        <v>#N/A</v>
      </c>
      <c r="E711" s="34" t="e">
        <f>INDEX('Equipment list'!$C$227:$C$256, (MATCH(C711,'Equipment list'!$D$227:$D$256,0)),1)</f>
        <v>#N/A</v>
      </c>
      <c r="F711" s="34">
        <f t="shared" si="60"/>
        <v>0</v>
      </c>
      <c r="G711" s="34">
        <f t="shared" si="61"/>
        <v>0</v>
      </c>
      <c r="H711" s="34" t="e">
        <f t="shared" si="62"/>
        <v>#N/A</v>
      </c>
      <c r="I711" s="34" t="e">
        <f t="shared" si="63"/>
        <v>#N/A</v>
      </c>
      <c r="J711" s="45"/>
      <c r="K711" s="46"/>
      <c r="L711" s="49"/>
      <c r="M711" s="39"/>
      <c r="N711" s="39"/>
      <c r="O711" s="37">
        <f t="shared" si="64"/>
        <v>0</v>
      </c>
      <c r="P711" s="44"/>
      <c r="Q711" s="44"/>
    </row>
    <row r="712" spans="1:17" x14ac:dyDescent="0.4">
      <c r="A712" s="70"/>
      <c r="B712" s="46"/>
      <c r="C712" s="46"/>
      <c r="D712" s="34" t="e">
        <f>INDEX('Equipment list'!$B$227:$B$256, (MATCH(C712,'Equipment list'!$D$227:$D$256,0)),1)</f>
        <v>#N/A</v>
      </c>
      <c r="E712" s="34" t="e">
        <f>INDEX('Equipment list'!$C$227:$C$256, (MATCH(C712,'Equipment list'!$D$227:$D$256,0)),1)</f>
        <v>#N/A</v>
      </c>
      <c r="F712" s="34">
        <f t="shared" si="60"/>
        <v>0</v>
      </c>
      <c r="G712" s="34">
        <f t="shared" si="61"/>
        <v>0</v>
      </c>
      <c r="H712" s="34" t="e">
        <f t="shared" si="62"/>
        <v>#N/A</v>
      </c>
      <c r="I712" s="34" t="e">
        <f t="shared" si="63"/>
        <v>#N/A</v>
      </c>
      <c r="J712" s="45"/>
      <c r="K712" s="46"/>
      <c r="L712" s="49"/>
      <c r="M712" s="39"/>
      <c r="N712" s="39"/>
      <c r="O712" s="37">
        <f t="shared" si="64"/>
        <v>0</v>
      </c>
      <c r="P712" s="44"/>
      <c r="Q712" s="44"/>
    </row>
    <row r="713" spans="1:17" x14ac:dyDescent="0.4">
      <c r="A713" s="70"/>
      <c r="B713" s="46"/>
      <c r="C713" s="46"/>
      <c r="D713" s="34" t="e">
        <f>INDEX('Equipment list'!$B$227:$B$256, (MATCH(C713,'Equipment list'!$D$227:$D$256,0)),1)</f>
        <v>#N/A</v>
      </c>
      <c r="E713" s="34" t="e">
        <f>INDEX('Equipment list'!$C$227:$C$256, (MATCH(C713,'Equipment list'!$D$227:$D$256,0)),1)</f>
        <v>#N/A</v>
      </c>
      <c r="F713" s="34">
        <f t="shared" si="60"/>
        <v>0</v>
      </c>
      <c r="G713" s="34">
        <f t="shared" si="61"/>
        <v>0</v>
      </c>
      <c r="H713" s="34" t="e">
        <f t="shared" si="62"/>
        <v>#N/A</v>
      </c>
      <c r="I713" s="34" t="e">
        <f t="shared" si="63"/>
        <v>#N/A</v>
      </c>
      <c r="J713" s="45"/>
      <c r="K713" s="46"/>
      <c r="L713" s="49"/>
      <c r="M713" s="39"/>
      <c r="N713" s="39"/>
      <c r="O713" s="37">
        <f t="shared" si="64"/>
        <v>0</v>
      </c>
      <c r="P713" s="44"/>
      <c r="Q713" s="44"/>
    </row>
    <row r="714" spans="1:17" x14ac:dyDescent="0.4">
      <c r="A714" s="70"/>
      <c r="B714" s="46"/>
      <c r="C714" s="46"/>
      <c r="D714" s="34" t="e">
        <f>INDEX('Equipment list'!$B$227:$B$256, (MATCH(C714,'Equipment list'!$D$227:$D$256,0)),1)</f>
        <v>#N/A</v>
      </c>
      <c r="E714" s="34" t="e">
        <f>INDEX('Equipment list'!$C$227:$C$256, (MATCH(C714,'Equipment list'!$D$227:$D$256,0)),1)</f>
        <v>#N/A</v>
      </c>
      <c r="F714" s="34">
        <f t="shared" si="60"/>
        <v>0</v>
      </c>
      <c r="G714" s="34">
        <f t="shared" si="61"/>
        <v>0</v>
      </c>
      <c r="H714" s="34" t="e">
        <f t="shared" si="62"/>
        <v>#N/A</v>
      </c>
      <c r="I714" s="34" t="e">
        <f t="shared" si="63"/>
        <v>#N/A</v>
      </c>
      <c r="J714" s="45"/>
      <c r="K714" s="46"/>
      <c r="L714" s="49"/>
      <c r="M714" s="39"/>
      <c r="N714" s="39"/>
      <c r="O714" s="37">
        <f t="shared" si="64"/>
        <v>0</v>
      </c>
      <c r="P714" s="44"/>
      <c r="Q714" s="44"/>
    </row>
    <row r="715" spans="1:17" x14ac:dyDescent="0.4">
      <c r="A715" s="70"/>
      <c r="B715" s="46"/>
      <c r="C715" s="46"/>
      <c r="D715" s="34" t="e">
        <f>INDEX('Equipment list'!$B$227:$B$256, (MATCH(C715,'Equipment list'!$D$227:$D$256,0)),1)</f>
        <v>#N/A</v>
      </c>
      <c r="E715" s="34" t="e">
        <f>INDEX('Equipment list'!$C$227:$C$256, (MATCH(C715,'Equipment list'!$D$227:$D$256,0)),1)</f>
        <v>#N/A</v>
      </c>
      <c r="F715" s="34">
        <f t="shared" si="60"/>
        <v>0</v>
      </c>
      <c r="G715" s="34">
        <f t="shared" si="61"/>
        <v>0</v>
      </c>
      <c r="H715" s="34" t="e">
        <f t="shared" si="62"/>
        <v>#N/A</v>
      </c>
      <c r="I715" s="34" t="e">
        <f t="shared" si="63"/>
        <v>#N/A</v>
      </c>
      <c r="J715" s="45"/>
      <c r="K715" s="46"/>
      <c r="L715" s="49"/>
      <c r="M715" s="39"/>
      <c r="N715" s="39"/>
      <c r="O715" s="37">
        <f t="shared" si="64"/>
        <v>0</v>
      </c>
      <c r="P715" s="44"/>
      <c r="Q715" s="44"/>
    </row>
    <row r="716" spans="1:17" x14ac:dyDescent="0.4">
      <c r="A716" s="70"/>
      <c r="B716" s="46"/>
      <c r="C716" s="46"/>
      <c r="D716" s="34" t="e">
        <f>INDEX('Equipment list'!$B$227:$B$256, (MATCH(C716,'Equipment list'!$D$227:$D$256,0)),1)</f>
        <v>#N/A</v>
      </c>
      <c r="E716" s="34" t="e">
        <f>INDEX('Equipment list'!$C$227:$C$256, (MATCH(C716,'Equipment list'!$D$227:$D$256,0)),1)</f>
        <v>#N/A</v>
      </c>
      <c r="F716" s="34">
        <f t="shared" si="60"/>
        <v>0</v>
      </c>
      <c r="G716" s="34">
        <f t="shared" si="61"/>
        <v>0</v>
      </c>
      <c r="H716" s="34" t="e">
        <f t="shared" si="62"/>
        <v>#N/A</v>
      </c>
      <c r="I716" s="34" t="e">
        <f t="shared" si="63"/>
        <v>#N/A</v>
      </c>
      <c r="J716" s="45"/>
      <c r="K716" s="46"/>
      <c r="L716" s="49"/>
      <c r="M716" s="39"/>
      <c r="N716" s="39"/>
      <c r="O716" s="37">
        <f t="shared" si="64"/>
        <v>0</v>
      </c>
      <c r="P716" s="44"/>
      <c r="Q716" s="44"/>
    </row>
    <row r="717" spans="1:17" x14ac:dyDescent="0.4">
      <c r="A717" s="70"/>
      <c r="B717" s="46"/>
      <c r="C717" s="46"/>
      <c r="D717" s="34" t="e">
        <f>INDEX('Equipment list'!$B$227:$B$256, (MATCH(C717,'Equipment list'!$D$227:$D$256,0)),1)</f>
        <v>#N/A</v>
      </c>
      <c r="E717" s="34" t="e">
        <f>INDEX('Equipment list'!$C$227:$C$256, (MATCH(C717,'Equipment list'!$D$227:$D$256,0)),1)</f>
        <v>#N/A</v>
      </c>
      <c r="F717" s="34">
        <f t="shared" si="60"/>
        <v>0</v>
      </c>
      <c r="G717" s="34">
        <f t="shared" si="61"/>
        <v>0</v>
      </c>
      <c r="H717" s="34" t="e">
        <f t="shared" si="62"/>
        <v>#N/A</v>
      </c>
      <c r="I717" s="34" t="e">
        <f t="shared" si="63"/>
        <v>#N/A</v>
      </c>
      <c r="J717" s="45"/>
      <c r="K717" s="46"/>
      <c r="L717" s="49"/>
      <c r="M717" s="39"/>
      <c r="N717" s="39"/>
      <c r="O717" s="37">
        <f t="shared" si="64"/>
        <v>0</v>
      </c>
      <c r="P717" s="44"/>
      <c r="Q717" s="44"/>
    </row>
    <row r="718" spans="1:17" x14ac:dyDescent="0.4">
      <c r="A718" s="70"/>
      <c r="B718" s="46"/>
      <c r="C718" s="46"/>
      <c r="D718" s="34" t="e">
        <f>INDEX('Equipment list'!$B$227:$B$256, (MATCH(C718,'Equipment list'!$D$227:$D$256,0)),1)</f>
        <v>#N/A</v>
      </c>
      <c r="E718" s="34" t="e">
        <f>INDEX('Equipment list'!$C$227:$C$256, (MATCH(C718,'Equipment list'!$D$227:$D$256,0)),1)</f>
        <v>#N/A</v>
      </c>
      <c r="F718" s="34">
        <f t="shared" si="60"/>
        <v>0</v>
      </c>
      <c r="G718" s="34">
        <f t="shared" si="61"/>
        <v>0</v>
      </c>
      <c r="H718" s="34" t="e">
        <f t="shared" si="62"/>
        <v>#N/A</v>
      </c>
      <c r="I718" s="34" t="e">
        <f t="shared" si="63"/>
        <v>#N/A</v>
      </c>
      <c r="J718" s="45"/>
      <c r="K718" s="46"/>
      <c r="L718" s="49"/>
      <c r="M718" s="39"/>
      <c r="N718" s="39"/>
      <c r="O718" s="37">
        <f t="shared" si="64"/>
        <v>0</v>
      </c>
      <c r="P718" s="44"/>
      <c r="Q718" s="44"/>
    </row>
    <row r="719" spans="1:17" x14ac:dyDescent="0.4">
      <c r="A719" s="70"/>
      <c r="B719" s="46"/>
      <c r="C719" s="46"/>
      <c r="D719" s="34" t="e">
        <f>INDEX('Equipment list'!$B$227:$B$256, (MATCH(C719,'Equipment list'!$D$227:$D$256,0)),1)</f>
        <v>#N/A</v>
      </c>
      <c r="E719" s="34" t="e">
        <f>INDEX('Equipment list'!$C$227:$C$256, (MATCH(C719,'Equipment list'!$D$227:$D$256,0)),1)</f>
        <v>#N/A</v>
      </c>
      <c r="F719" s="34">
        <f t="shared" si="60"/>
        <v>0</v>
      </c>
      <c r="G719" s="34">
        <f t="shared" si="61"/>
        <v>0</v>
      </c>
      <c r="H719" s="34" t="e">
        <f t="shared" si="62"/>
        <v>#N/A</v>
      </c>
      <c r="I719" s="34" t="e">
        <f t="shared" si="63"/>
        <v>#N/A</v>
      </c>
      <c r="J719" s="45"/>
      <c r="K719" s="46"/>
      <c r="L719" s="49"/>
      <c r="M719" s="39"/>
      <c r="N719" s="39"/>
      <c r="O719" s="37">
        <f t="shared" si="64"/>
        <v>0</v>
      </c>
      <c r="P719" s="44"/>
      <c r="Q719" s="44"/>
    </row>
    <row r="720" spans="1:17" x14ac:dyDescent="0.4">
      <c r="A720" s="70"/>
      <c r="B720" s="46"/>
      <c r="C720" s="46"/>
      <c r="D720" s="34" t="e">
        <f>INDEX('Equipment list'!$B$227:$B$256, (MATCH(C720,'Equipment list'!$D$227:$D$256,0)),1)</f>
        <v>#N/A</v>
      </c>
      <c r="E720" s="34" t="e">
        <f>INDEX('Equipment list'!$C$227:$C$256, (MATCH(C720,'Equipment list'!$D$227:$D$256,0)),1)</f>
        <v>#N/A</v>
      </c>
      <c r="F720" s="34">
        <f t="shared" si="60"/>
        <v>0</v>
      </c>
      <c r="G720" s="34">
        <f t="shared" si="61"/>
        <v>0</v>
      </c>
      <c r="H720" s="34" t="e">
        <f t="shared" si="62"/>
        <v>#N/A</v>
      </c>
      <c r="I720" s="34" t="e">
        <f t="shared" si="63"/>
        <v>#N/A</v>
      </c>
      <c r="J720" s="45"/>
      <c r="K720" s="46"/>
      <c r="L720" s="49"/>
      <c r="M720" s="39"/>
      <c r="N720" s="39"/>
      <c r="O720" s="37">
        <f t="shared" si="64"/>
        <v>0</v>
      </c>
      <c r="P720" s="44"/>
      <c r="Q720" s="44"/>
    </row>
    <row r="721" spans="1:17" x14ac:dyDescent="0.4">
      <c r="A721" s="70"/>
      <c r="B721" s="46"/>
      <c r="C721" s="46"/>
      <c r="D721" s="34" t="e">
        <f>INDEX('Equipment list'!$B$227:$B$256, (MATCH(C721,'Equipment list'!$D$227:$D$256,0)),1)</f>
        <v>#N/A</v>
      </c>
      <c r="E721" s="34" t="e">
        <f>INDEX('Equipment list'!$C$227:$C$256, (MATCH(C721,'Equipment list'!$D$227:$D$256,0)),1)</f>
        <v>#N/A</v>
      </c>
      <c r="F721" s="34">
        <f t="shared" si="60"/>
        <v>0</v>
      </c>
      <c r="G721" s="34">
        <f t="shared" si="61"/>
        <v>0</v>
      </c>
      <c r="H721" s="34" t="e">
        <f t="shared" si="62"/>
        <v>#N/A</v>
      </c>
      <c r="I721" s="34" t="e">
        <f t="shared" si="63"/>
        <v>#N/A</v>
      </c>
      <c r="J721" s="45"/>
      <c r="K721" s="46"/>
      <c r="L721" s="49"/>
      <c r="M721" s="39"/>
      <c r="N721" s="39"/>
      <c r="O721" s="37">
        <f t="shared" si="64"/>
        <v>0</v>
      </c>
      <c r="P721" s="44"/>
      <c r="Q721" s="44"/>
    </row>
    <row r="722" spans="1:17" x14ac:dyDescent="0.4">
      <c r="A722" s="70"/>
      <c r="B722" s="46"/>
      <c r="C722" s="46"/>
      <c r="D722" s="34" t="e">
        <f>INDEX('Equipment list'!$B$227:$B$256, (MATCH(C722,'Equipment list'!$D$227:$D$256,0)),1)</f>
        <v>#N/A</v>
      </c>
      <c r="E722" s="34" t="e">
        <f>INDEX('Equipment list'!$C$227:$C$256, (MATCH(C722,'Equipment list'!$D$227:$D$256,0)),1)</f>
        <v>#N/A</v>
      </c>
      <c r="F722" s="34">
        <f t="shared" si="60"/>
        <v>0</v>
      </c>
      <c r="G722" s="34">
        <f t="shared" si="61"/>
        <v>0</v>
      </c>
      <c r="H722" s="34" t="e">
        <f t="shared" si="62"/>
        <v>#N/A</v>
      </c>
      <c r="I722" s="34" t="e">
        <f t="shared" si="63"/>
        <v>#N/A</v>
      </c>
      <c r="J722" s="45"/>
      <c r="K722" s="46"/>
      <c r="L722" s="49"/>
      <c r="M722" s="39"/>
      <c r="N722" s="39"/>
      <c r="O722" s="37">
        <f t="shared" si="64"/>
        <v>0</v>
      </c>
      <c r="P722" s="44"/>
      <c r="Q722" s="44"/>
    </row>
    <row r="723" spans="1:17" x14ac:dyDescent="0.4">
      <c r="A723" s="70"/>
      <c r="B723" s="46"/>
      <c r="C723" s="46"/>
      <c r="D723" s="34" t="e">
        <f>INDEX('Equipment list'!$B$227:$B$256, (MATCH(C723,'Equipment list'!$D$227:$D$256,0)),1)</f>
        <v>#N/A</v>
      </c>
      <c r="E723" s="34" t="e">
        <f>INDEX('Equipment list'!$C$227:$C$256, (MATCH(C723,'Equipment list'!$D$227:$D$256,0)),1)</f>
        <v>#N/A</v>
      </c>
      <c r="F723" s="34">
        <f t="shared" si="60"/>
        <v>0</v>
      </c>
      <c r="G723" s="34">
        <f t="shared" si="61"/>
        <v>0</v>
      </c>
      <c r="H723" s="34" t="e">
        <f t="shared" si="62"/>
        <v>#N/A</v>
      </c>
      <c r="I723" s="34" t="e">
        <f t="shared" si="63"/>
        <v>#N/A</v>
      </c>
      <c r="J723" s="45"/>
      <c r="K723" s="46"/>
      <c r="L723" s="49"/>
      <c r="M723" s="39"/>
      <c r="N723" s="39"/>
      <c r="O723" s="37">
        <f t="shared" si="64"/>
        <v>0</v>
      </c>
      <c r="P723" s="44"/>
      <c r="Q723" s="44"/>
    </row>
    <row r="724" spans="1:17" x14ac:dyDescent="0.4">
      <c r="A724" s="70"/>
      <c r="B724" s="46"/>
      <c r="C724" s="46"/>
      <c r="D724" s="34" t="e">
        <f>INDEX('Equipment list'!$B$227:$B$256, (MATCH(C724,'Equipment list'!$D$227:$D$256,0)),1)</f>
        <v>#N/A</v>
      </c>
      <c r="E724" s="34" t="e">
        <f>INDEX('Equipment list'!$C$227:$C$256, (MATCH(C724,'Equipment list'!$D$227:$D$256,0)),1)</f>
        <v>#N/A</v>
      </c>
      <c r="F724" s="34">
        <f t="shared" si="60"/>
        <v>0</v>
      </c>
      <c r="G724" s="34">
        <f t="shared" si="61"/>
        <v>0</v>
      </c>
      <c r="H724" s="34" t="e">
        <f t="shared" si="62"/>
        <v>#N/A</v>
      </c>
      <c r="I724" s="34" t="e">
        <f t="shared" si="63"/>
        <v>#N/A</v>
      </c>
      <c r="J724" s="45"/>
      <c r="K724" s="46"/>
      <c r="L724" s="49"/>
      <c r="M724" s="39"/>
      <c r="N724" s="39"/>
      <c r="O724" s="37">
        <f t="shared" si="64"/>
        <v>0</v>
      </c>
      <c r="P724" s="44"/>
      <c r="Q724" s="44"/>
    </row>
  </sheetData>
  <sheetProtection sheet="1" objects="1" scenarios="1" formatCells="0" formatColumns="0" formatRows="0" insertColumns="0" insertRows="0"/>
  <mergeCells count="21">
    <mergeCell ref="O1:O4"/>
    <mergeCell ref="P1:Q3"/>
    <mergeCell ref="A1:A4"/>
    <mergeCell ref="B1:B4"/>
    <mergeCell ref="C1:C4"/>
    <mergeCell ref="D1:D4"/>
    <mergeCell ref="E1:E4"/>
    <mergeCell ref="F1:F4"/>
    <mergeCell ref="G1:G4"/>
    <mergeCell ref="H1:H4"/>
    <mergeCell ref="M1:M4"/>
    <mergeCell ref="N1:N4"/>
    <mergeCell ref="I1:I4"/>
    <mergeCell ref="J1:J4"/>
    <mergeCell ref="K1:K4"/>
    <mergeCell ref="L1:L4"/>
    <mergeCell ref="L20:L30"/>
    <mergeCell ref="L5:L19"/>
    <mergeCell ref="M14:M15"/>
    <mergeCell ref="M16:M17"/>
    <mergeCell ref="M27:M28"/>
  </mergeCells>
  <phoneticPr fontId="1" type="noConversion"/>
  <conditionalFormatting sqref="H5:I5">
    <cfRule type="cellIs" dxfId="22" priority="167" operator="lessThan">
      <formula>-7</formula>
    </cfRule>
    <cfRule type="cellIs" dxfId="21" priority="168" operator="greaterThan">
      <formula>7</formula>
    </cfRule>
  </conditionalFormatting>
  <conditionalFormatting sqref="H6:I6">
    <cfRule type="cellIs" dxfId="20" priority="5" operator="lessThan">
      <formula>-7</formula>
    </cfRule>
    <cfRule type="cellIs" dxfId="19" priority="6" operator="greaterThan">
      <formula>7</formula>
    </cfRule>
  </conditionalFormatting>
  <conditionalFormatting sqref="H7:I48">
    <cfRule type="cellIs" dxfId="18" priority="3" operator="lessThan">
      <formula>-7</formula>
    </cfRule>
    <cfRule type="cellIs" dxfId="17" priority="4" operator="greaterThan">
      <formula>7</formula>
    </cfRule>
  </conditionalFormatting>
  <conditionalFormatting sqref="H49:I724">
    <cfRule type="cellIs" dxfId="16" priority="1" operator="lessThan">
      <formula>-7</formula>
    </cfRule>
    <cfRule type="cellIs" dxfId="15" priority="2" operator="greaterThan">
      <formula>7</formula>
    </cfRule>
  </conditionalFormatting>
  <dataValidations count="6">
    <dataValidation allowBlank="1" showInputMessage="1" showErrorMessage="1" promptTitle="Date" prompt="유효성 검사 날짜_x000a_예) 2019-09-17" sqref="J5:J724" xr:uid="{00000000-0002-0000-0200-000000000000}"/>
    <dataValidation allowBlank="1" showInputMessage="1" showErrorMessage="1" promptTitle="Liquid Temp. (°C)" prompt="측정 용액 온도_x000a_예) 23.2" sqref="K5:L724" xr:uid="{00000000-0002-0000-0200-000001000000}"/>
    <dataValidation allowBlank="1" showInputMessage="1" showErrorMessage="1" promptTitle="Band" prompt="측정 밴드" sqref="M5:M724" xr:uid="{00000000-0002-0000-0200-000002000000}"/>
    <dataValidation allowBlank="1" showInputMessage="1" showErrorMessage="1" promptTitle="Chamber" prompt="측정 챔버" sqref="N5:N724" xr:uid="{00000000-0002-0000-0200-000003000000}"/>
    <dataValidation allowBlank="1" showInputMessage="1" showErrorMessage="1" promptTitle="1g" prompt="1g SAR 측정값" sqref="P5:P724" xr:uid="{00000000-0002-0000-0200-000004000000}"/>
    <dataValidation allowBlank="1" showInputMessage="1" showErrorMessage="1" promptTitle="10g" prompt="10g SAR 측정값" sqref="Q5:Q724" xr:uid="{00000000-0002-0000-0200-000005000000}"/>
  </dataValidations>
  <printOptions horizontalCentered="1"/>
  <pageMargins left="0.23622047244094491" right="0.23622047244094491" top="0.98425196850393704" bottom="0.74803149606299213" header="0.47244094488188981" footer="0.31496062992125984"/>
  <pageSetup paperSize="9" scale="81" firstPageNumber="4" fitToHeight="0" orientation="portrait" useFirstPageNumber="1" r:id="rId1"/>
  <headerFooter>
    <oddHeader>&amp;L&amp;G&amp;C&amp;"-,굵게"&amp;25SAR Test Worksheet</oddHeader>
    <oddFooter>&amp;LRTT5041-49(2018.01.01)(5)                                                      &amp;C&amp;P/&amp;N&amp;RA4(210mm*297mm)</oddFooter>
  </headerFooter>
  <legacyDrawingHF r:id="rId2"/>
  <extLst>
    <ext xmlns:x14="http://schemas.microsoft.com/office/spreadsheetml/2009/9/main" uri="{CCE6A557-97BC-4b89-ADB6-D9C93CAAB3DF}">
      <x14:dataValidations xmlns:xm="http://schemas.microsoft.com/office/excel/2006/main" count="3">
        <x14:dataValidation type="list" allowBlank="1" showInputMessage="1" showErrorMessage="1" promptTitle="Probe S/N" prompt="사용 프로브" xr:uid="{00000000-0002-0000-0200-000006000000}">
          <x14:formula1>
            <xm:f>'Equipment list'!$D$72:$D$78</xm:f>
          </x14:formula1>
          <xm:sqref>B5:B724</xm:sqref>
        </x14:dataValidation>
        <x14:dataValidation type="list" allowBlank="1" showInputMessage="1" showErrorMessage="1" promptTitle="Tissue (MHz)" prompt="용액 대역" xr:uid="{00000000-0002-0000-0200-000007000000}">
          <x14:formula1>
            <xm:f>'Equipment list'!$D$227:$D$256</xm:f>
          </x14:formula1>
          <xm:sqref>C5:C724</xm:sqref>
        </x14:dataValidation>
        <x14:dataValidation type="list" allowBlank="1" showInputMessage="1" showErrorMessage="1" promptTitle="Verification Kit" prompt="사용 다이폴" xr:uid="{00000000-0002-0000-0200-000008000000}">
          <x14:formula1>
            <xm:f>'Equipment list'!$B$152:$B$183</xm:f>
          </x14:formula1>
          <xm:sqref>A5:A724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X74"/>
  <sheetViews>
    <sheetView workbookViewId="0">
      <selection activeCell="F9" sqref="F9"/>
    </sheetView>
  </sheetViews>
  <sheetFormatPr defaultRowHeight="17.399999999999999" x14ac:dyDescent="0.4"/>
  <cols>
    <col min="10" max="10" width="12.09765625" bestFit="1" customWidth="1"/>
  </cols>
  <sheetData>
    <row r="1" spans="1:24" x14ac:dyDescent="0.4">
      <c r="A1">
        <v>1</v>
      </c>
      <c r="B1" t="s">
        <v>318</v>
      </c>
      <c r="C1" t="s">
        <v>135</v>
      </c>
      <c r="D1" t="s">
        <v>134</v>
      </c>
      <c r="E1" t="s">
        <v>136</v>
      </c>
      <c r="F1" t="s">
        <v>134</v>
      </c>
      <c r="G1" t="s">
        <v>137</v>
      </c>
      <c r="H1" t="s">
        <v>134</v>
      </c>
      <c r="J1" t="s">
        <v>138</v>
      </c>
      <c r="K1" t="b">
        <v>0</v>
      </c>
      <c r="M1" t="s">
        <v>148</v>
      </c>
      <c r="N1">
        <v>1</v>
      </c>
      <c r="O1" t="s">
        <v>133</v>
      </c>
      <c r="P1" t="s">
        <v>135</v>
      </c>
      <c r="Q1" t="s">
        <v>134</v>
      </c>
      <c r="R1" t="s">
        <v>136</v>
      </c>
      <c r="S1" t="s">
        <v>134</v>
      </c>
      <c r="T1" t="s">
        <v>137</v>
      </c>
      <c r="U1" t="s">
        <v>134</v>
      </c>
      <c r="V1" t="s">
        <v>309</v>
      </c>
      <c r="W1" t="s">
        <v>137</v>
      </c>
      <c r="X1" t="s">
        <v>134</v>
      </c>
    </row>
    <row r="2" spans="1:24" x14ac:dyDescent="0.4">
      <c r="A2">
        <v>1</v>
      </c>
      <c r="B2" t="s">
        <v>140</v>
      </c>
      <c r="C2">
        <v>1</v>
      </c>
      <c r="E2">
        <v>1</v>
      </c>
      <c r="G2">
        <v>1</v>
      </c>
      <c r="H2" t="s">
        <v>140</v>
      </c>
      <c r="J2" t="s">
        <v>139</v>
      </c>
      <c r="K2" t="b">
        <v>0</v>
      </c>
      <c r="N2">
        <v>1</v>
      </c>
      <c r="O2" t="s">
        <v>133</v>
      </c>
      <c r="P2">
        <v>1</v>
      </c>
      <c r="Q2" t="s">
        <v>310</v>
      </c>
      <c r="R2">
        <v>1</v>
      </c>
      <c r="T2">
        <v>1</v>
      </c>
      <c r="U2" t="s">
        <v>311</v>
      </c>
      <c r="W2">
        <v>1</v>
      </c>
      <c r="X2" t="s">
        <v>140</v>
      </c>
    </row>
    <row r="3" spans="1:24" x14ac:dyDescent="0.4">
      <c r="A3">
        <v>1</v>
      </c>
      <c r="B3" t="s">
        <v>140</v>
      </c>
      <c r="C3">
        <v>1</v>
      </c>
      <c r="D3" t="s">
        <v>141</v>
      </c>
      <c r="E3">
        <v>1</v>
      </c>
      <c r="G3">
        <v>1</v>
      </c>
      <c r="H3" t="s">
        <v>140</v>
      </c>
      <c r="J3" t="s">
        <v>144</v>
      </c>
      <c r="K3" t="b">
        <v>0</v>
      </c>
      <c r="N3">
        <v>1</v>
      </c>
      <c r="O3" t="s">
        <v>140</v>
      </c>
      <c r="P3">
        <v>1</v>
      </c>
      <c r="R3">
        <v>1</v>
      </c>
      <c r="T3">
        <v>1</v>
      </c>
      <c r="U3" t="s">
        <v>140</v>
      </c>
      <c r="W3">
        <v>1</v>
      </c>
      <c r="X3" t="s">
        <v>140</v>
      </c>
    </row>
    <row r="4" spans="1:24" x14ac:dyDescent="0.4">
      <c r="A4">
        <v>1</v>
      </c>
      <c r="B4" t="s">
        <v>140</v>
      </c>
      <c r="C4">
        <v>1</v>
      </c>
      <c r="D4" t="s">
        <v>141</v>
      </c>
      <c r="E4">
        <v>1</v>
      </c>
      <c r="G4">
        <v>1</v>
      </c>
      <c r="H4" t="s">
        <v>140</v>
      </c>
      <c r="J4" t="s">
        <v>145</v>
      </c>
      <c r="K4" t="b">
        <v>0</v>
      </c>
      <c r="N4">
        <v>1</v>
      </c>
      <c r="O4" t="s">
        <v>140</v>
      </c>
      <c r="P4">
        <v>1</v>
      </c>
      <c r="R4">
        <v>1</v>
      </c>
      <c r="T4">
        <v>1</v>
      </c>
      <c r="U4" t="s">
        <v>140</v>
      </c>
      <c r="W4">
        <v>1</v>
      </c>
      <c r="X4" t="s">
        <v>140</v>
      </c>
    </row>
    <row r="5" spans="1:24" x14ac:dyDescent="0.4">
      <c r="A5">
        <v>1</v>
      </c>
      <c r="B5" t="s">
        <v>140</v>
      </c>
      <c r="C5">
        <v>1</v>
      </c>
      <c r="D5" t="s">
        <v>141</v>
      </c>
      <c r="E5">
        <v>1</v>
      </c>
      <c r="G5">
        <v>1</v>
      </c>
      <c r="H5" t="s">
        <v>140</v>
      </c>
      <c r="J5" t="s">
        <v>146</v>
      </c>
      <c r="K5" t="b">
        <v>0</v>
      </c>
      <c r="N5">
        <v>1</v>
      </c>
      <c r="O5" t="s">
        <v>140</v>
      </c>
      <c r="P5">
        <v>1</v>
      </c>
      <c r="R5">
        <v>1</v>
      </c>
      <c r="T5">
        <v>1</v>
      </c>
      <c r="U5" t="s">
        <v>140</v>
      </c>
      <c r="W5">
        <v>1</v>
      </c>
      <c r="X5" t="s">
        <v>140</v>
      </c>
    </row>
    <row r="6" spans="1:24" x14ac:dyDescent="0.4">
      <c r="A6">
        <v>1</v>
      </c>
      <c r="B6" t="s">
        <v>140</v>
      </c>
      <c r="E6">
        <v>1</v>
      </c>
      <c r="G6">
        <v>1</v>
      </c>
      <c r="H6" t="s">
        <v>142</v>
      </c>
      <c r="J6" t="s">
        <v>147</v>
      </c>
      <c r="K6" t="b">
        <v>0</v>
      </c>
      <c r="N6">
        <v>1</v>
      </c>
      <c r="O6" t="s">
        <v>140</v>
      </c>
      <c r="R6">
        <v>1</v>
      </c>
      <c r="T6">
        <v>1</v>
      </c>
      <c r="U6" t="s">
        <v>133</v>
      </c>
      <c r="W6">
        <v>1</v>
      </c>
      <c r="X6" t="s">
        <v>133</v>
      </c>
    </row>
    <row r="7" spans="1:24" x14ac:dyDescent="0.4">
      <c r="A7">
        <v>1</v>
      </c>
      <c r="B7" t="s">
        <v>140</v>
      </c>
      <c r="E7">
        <v>1</v>
      </c>
      <c r="G7">
        <v>1</v>
      </c>
      <c r="H7" t="s">
        <v>140</v>
      </c>
      <c r="J7" t="s">
        <v>137</v>
      </c>
      <c r="K7" t="b">
        <v>0</v>
      </c>
      <c r="N7">
        <v>1</v>
      </c>
      <c r="O7" t="s">
        <v>140</v>
      </c>
      <c r="R7">
        <v>1</v>
      </c>
      <c r="T7">
        <v>1</v>
      </c>
      <c r="U7" t="s">
        <v>140</v>
      </c>
      <c r="W7">
        <v>1</v>
      </c>
      <c r="X7" t="s">
        <v>140</v>
      </c>
    </row>
    <row r="8" spans="1:24" x14ac:dyDescent="0.4">
      <c r="A8">
        <v>1</v>
      </c>
      <c r="B8" t="s">
        <v>140</v>
      </c>
      <c r="G8">
        <v>1</v>
      </c>
      <c r="H8" t="s">
        <v>140</v>
      </c>
      <c r="J8" t="s">
        <v>149</v>
      </c>
      <c r="K8" t="b">
        <v>0</v>
      </c>
      <c r="N8">
        <v>1</v>
      </c>
      <c r="O8" t="s">
        <v>140</v>
      </c>
      <c r="T8">
        <v>1</v>
      </c>
      <c r="U8" t="s">
        <v>140</v>
      </c>
      <c r="W8">
        <v>1</v>
      </c>
      <c r="X8" t="s">
        <v>140</v>
      </c>
    </row>
    <row r="9" spans="1:24" x14ac:dyDescent="0.4">
      <c r="A9">
        <v>1</v>
      </c>
      <c r="B9" t="s">
        <v>140</v>
      </c>
      <c r="G9">
        <v>1</v>
      </c>
      <c r="H9" t="s">
        <v>140</v>
      </c>
      <c r="J9" t="s">
        <v>150</v>
      </c>
      <c r="K9" t="b">
        <v>0</v>
      </c>
      <c r="N9">
        <v>1</v>
      </c>
      <c r="O9" t="s">
        <v>140</v>
      </c>
      <c r="T9">
        <v>1</v>
      </c>
      <c r="U9" t="s">
        <v>140</v>
      </c>
      <c r="W9">
        <v>1</v>
      </c>
      <c r="X9" t="s">
        <v>140</v>
      </c>
    </row>
    <row r="10" spans="1:24" x14ac:dyDescent="0.4">
      <c r="A10">
        <v>1</v>
      </c>
      <c r="B10" t="s">
        <v>140</v>
      </c>
      <c r="G10">
        <v>1</v>
      </c>
      <c r="H10" t="s">
        <v>140</v>
      </c>
      <c r="J10" t="s">
        <v>151</v>
      </c>
      <c r="K10" t="b">
        <v>0</v>
      </c>
      <c r="N10">
        <v>1</v>
      </c>
      <c r="O10" t="s">
        <v>140</v>
      </c>
      <c r="T10">
        <v>1</v>
      </c>
      <c r="U10" t="s">
        <v>140</v>
      </c>
      <c r="W10">
        <v>1</v>
      </c>
      <c r="X10" t="s">
        <v>140</v>
      </c>
    </row>
    <row r="11" spans="1:24" x14ac:dyDescent="0.4">
      <c r="A11">
        <v>1</v>
      </c>
      <c r="B11" t="s">
        <v>140</v>
      </c>
      <c r="G11">
        <v>1</v>
      </c>
      <c r="H11" t="s">
        <v>140</v>
      </c>
      <c r="J11" t="s">
        <v>152</v>
      </c>
      <c r="K11" t="b">
        <v>0</v>
      </c>
      <c r="N11">
        <v>1</v>
      </c>
      <c r="O11" t="s">
        <v>140</v>
      </c>
      <c r="T11">
        <v>1</v>
      </c>
      <c r="U11" t="s">
        <v>140</v>
      </c>
      <c r="W11">
        <v>1</v>
      </c>
      <c r="X11" t="s">
        <v>140</v>
      </c>
    </row>
    <row r="12" spans="1:24" x14ac:dyDescent="0.4">
      <c r="A12">
        <v>1</v>
      </c>
      <c r="B12" t="s">
        <v>140</v>
      </c>
      <c r="G12">
        <v>1</v>
      </c>
      <c r="H12" t="s">
        <v>140</v>
      </c>
      <c r="J12" t="s">
        <v>153</v>
      </c>
      <c r="K12" t="b">
        <v>0</v>
      </c>
      <c r="N12">
        <v>1</v>
      </c>
      <c r="O12" t="s">
        <v>140</v>
      </c>
      <c r="T12">
        <v>1</v>
      </c>
      <c r="U12" t="s">
        <v>140</v>
      </c>
      <c r="W12">
        <v>1</v>
      </c>
      <c r="X12" t="s">
        <v>140</v>
      </c>
    </row>
    <row r="13" spans="1:24" x14ac:dyDescent="0.4">
      <c r="A13">
        <v>1</v>
      </c>
      <c r="B13" t="s">
        <v>140</v>
      </c>
      <c r="G13">
        <v>1</v>
      </c>
      <c r="H13" t="s">
        <v>140</v>
      </c>
      <c r="J13" t="s">
        <v>154</v>
      </c>
      <c r="K13" t="b">
        <v>0</v>
      </c>
      <c r="N13">
        <v>1</v>
      </c>
      <c r="O13" t="s">
        <v>140</v>
      </c>
      <c r="T13">
        <v>1</v>
      </c>
      <c r="U13" t="s">
        <v>140</v>
      </c>
      <c r="W13">
        <v>1</v>
      </c>
      <c r="X13" t="s">
        <v>140</v>
      </c>
    </row>
    <row r="14" spans="1:24" x14ac:dyDescent="0.4">
      <c r="A14">
        <v>1</v>
      </c>
      <c r="B14" t="s">
        <v>140</v>
      </c>
      <c r="G14">
        <v>1</v>
      </c>
      <c r="H14" t="s">
        <v>140</v>
      </c>
      <c r="J14" t="s">
        <v>155</v>
      </c>
      <c r="K14" t="b">
        <v>0</v>
      </c>
      <c r="N14">
        <v>1</v>
      </c>
      <c r="O14" t="s">
        <v>140</v>
      </c>
      <c r="T14">
        <v>1</v>
      </c>
      <c r="U14" t="s">
        <v>140</v>
      </c>
      <c r="W14">
        <v>1</v>
      </c>
      <c r="X14" t="s">
        <v>140</v>
      </c>
    </row>
    <row r="15" spans="1:24" x14ac:dyDescent="0.4">
      <c r="A15">
        <v>1</v>
      </c>
      <c r="B15" t="s">
        <v>140</v>
      </c>
      <c r="G15">
        <v>1</v>
      </c>
      <c r="H15" t="s">
        <v>140</v>
      </c>
      <c r="N15">
        <v>1</v>
      </c>
      <c r="O15" t="s">
        <v>140</v>
      </c>
      <c r="T15">
        <v>1</v>
      </c>
      <c r="U15" t="s">
        <v>140</v>
      </c>
      <c r="W15">
        <v>1</v>
      </c>
      <c r="X15" t="s">
        <v>140</v>
      </c>
    </row>
    <row r="16" spans="1:24" x14ac:dyDescent="0.4">
      <c r="A16">
        <v>1</v>
      </c>
      <c r="B16" t="s">
        <v>140</v>
      </c>
      <c r="G16">
        <v>1</v>
      </c>
      <c r="H16" t="s">
        <v>140</v>
      </c>
      <c r="N16">
        <v>1</v>
      </c>
      <c r="O16" t="s">
        <v>140</v>
      </c>
      <c r="T16">
        <v>1</v>
      </c>
      <c r="U16" t="s">
        <v>140</v>
      </c>
      <c r="W16">
        <v>1</v>
      </c>
      <c r="X16" t="s">
        <v>140</v>
      </c>
    </row>
    <row r="17" spans="1:24" x14ac:dyDescent="0.4">
      <c r="A17">
        <v>1</v>
      </c>
      <c r="B17" t="s">
        <v>140</v>
      </c>
      <c r="G17">
        <v>1</v>
      </c>
      <c r="H17" t="s">
        <v>140</v>
      </c>
      <c r="N17">
        <v>1</v>
      </c>
      <c r="O17" t="s">
        <v>140</v>
      </c>
      <c r="T17">
        <v>1</v>
      </c>
      <c r="U17" t="s">
        <v>133</v>
      </c>
      <c r="W17">
        <v>1</v>
      </c>
      <c r="X17" t="s">
        <v>133</v>
      </c>
    </row>
    <row r="18" spans="1:24" x14ac:dyDescent="0.4">
      <c r="A18">
        <v>1</v>
      </c>
      <c r="B18" t="s">
        <v>140</v>
      </c>
      <c r="N18">
        <v>1</v>
      </c>
      <c r="O18" t="s">
        <v>140</v>
      </c>
    </row>
    <row r="19" spans="1:24" x14ac:dyDescent="0.4">
      <c r="A19">
        <v>1</v>
      </c>
      <c r="B19" t="s">
        <v>140</v>
      </c>
      <c r="N19">
        <v>1</v>
      </c>
      <c r="O19" t="s">
        <v>140</v>
      </c>
    </row>
    <row r="20" spans="1:24" x14ac:dyDescent="0.4">
      <c r="A20">
        <v>1</v>
      </c>
      <c r="B20" t="s">
        <v>140</v>
      </c>
      <c r="N20">
        <v>1</v>
      </c>
      <c r="O20" t="s">
        <v>140</v>
      </c>
    </row>
    <row r="21" spans="1:24" x14ac:dyDescent="0.4">
      <c r="A21">
        <v>1</v>
      </c>
      <c r="B21" t="s">
        <v>140</v>
      </c>
      <c r="N21">
        <v>1</v>
      </c>
      <c r="O21" t="s">
        <v>140</v>
      </c>
    </row>
    <row r="22" spans="1:24" x14ac:dyDescent="0.4">
      <c r="A22">
        <v>1</v>
      </c>
      <c r="B22" t="s">
        <v>140</v>
      </c>
      <c r="N22">
        <v>1</v>
      </c>
      <c r="O22" t="s">
        <v>140</v>
      </c>
    </row>
    <row r="23" spans="1:24" x14ac:dyDescent="0.4">
      <c r="A23">
        <v>1</v>
      </c>
      <c r="B23" t="s">
        <v>140</v>
      </c>
      <c r="N23">
        <v>1</v>
      </c>
      <c r="O23" t="s">
        <v>140</v>
      </c>
    </row>
    <row r="24" spans="1:24" x14ac:dyDescent="0.4">
      <c r="A24">
        <v>1</v>
      </c>
      <c r="B24" t="s">
        <v>140</v>
      </c>
      <c r="N24">
        <v>1</v>
      </c>
      <c r="O24" t="s">
        <v>140</v>
      </c>
    </row>
    <row r="25" spans="1:24" x14ac:dyDescent="0.4">
      <c r="A25">
        <v>1</v>
      </c>
      <c r="B25" t="s">
        <v>140</v>
      </c>
      <c r="N25">
        <v>1</v>
      </c>
      <c r="O25" t="s">
        <v>140</v>
      </c>
    </row>
    <row r="26" spans="1:24" x14ac:dyDescent="0.4">
      <c r="A26">
        <v>1</v>
      </c>
      <c r="B26" t="s">
        <v>140</v>
      </c>
      <c r="N26">
        <v>1</v>
      </c>
      <c r="O26" t="s">
        <v>140</v>
      </c>
    </row>
    <row r="27" spans="1:24" x14ac:dyDescent="0.4">
      <c r="A27">
        <v>1</v>
      </c>
      <c r="B27" t="s">
        <v>140</v>
      </c>
      <c r="N27">
        <v>1</v>
      </c>
      <c r="O27" t="s">
        <v>140</v>
      </c>
    </row>
    <row r="28" spans="1:24" x14ac:dyDescent="0.4">
      <c r="A28">
        <v>1</v>
      </c>
      <c r="B28" t="s">
        <v>140</v>
      </c>
      <c r="N28">
        <v>1</v>
      </c>
      <c r="O28" t="s">
        <v>140</v>
      </c>
    </row>
    <row r="29" spans="1:24" x14ac:dyDescent="0.4">
      <c r="A29">
        <v>1</v>
      </c>
      <c r="B29" t="s">
        <v>140</v>
      </c>
      <c r="N29">
        <v>1</v>
      </c>
      <c r="O29" t="s">
        <v>140</v>
      </c>
    </row>
    <row r="30" spans="1:24" x14ac:dyDescent="0.4">
      <c r="A30">
        <v>1</v>
      </c>
      <c r="B30" t="s">
        <v>140</v>
      </c>
      <c r="N30">
        <v>1</v>
      </c>
      <c r="O30" t="s">
        <v>140</v>
      </c>
    </row>
    <row r="31" spans="1:24" x14ac:dyDescent="0.4">
      <c r="A31">
        <v>1</v>
      </c>
      <c r="B31" t="s">
        <v>140</v>
      </c>
      <c r="N31">
        <v>1</v>
      </c>
      <c r="O31" t="s">
        <v>140</v>
      </c>
    </row>
    <row r="32" spans="1:24" x14ac:dyDescent="0.4">
      <c r="A32">
        <v>1</v>
      </c>
      <c r="B32" t="s">
        <v>140</v>
      </c>
      <c r="N32">
        <v>1</v>
      </c>
      <c r="O32" t="s">
        <v>140</v>
      </c>
    </row>
    <row r="33" spans="1:15" x14ac:dyDescent="0.4">
      <c r="A33">
        <v>1</v>
      </c>
      <c r="B33" t="s">
        <v>140</v>
      </c>
      <c r="N33">
        <v>1</v>
      </c>
      <c r="O33" t="s">
        <v>140</v>
      </c>
    </row>
    <row r="34" spans="1:15" x14ac:dyDescent="0.4">
      <c r="A34">
        <v>1</v>
      </c>
      <c r="B34" t="s">
        <v>140</v>
      </c>
      <c r="N34">
        <v>1</v>
      </c>
      <c r="O34" t="s">
        <v>140</v>
      </c>
    </row>
    <row r="35" spans="1:15" x14ac:dyDescent="0.4">
      <c r="A35">
        <v>1</v>
      </c>
      <c r="B35" t="s">
        <v>140</v>
      </c>
      <c r="N35">
        <v>1</v>
      </c>
      <c r="O35" t="s">
        <v>140</v>
      </c>
    </row>
    <row r="36" spans="1:15" x14ac:dyDescent="0.4">
      <c r="A36">
        <v>1</v>
      </c>
      <c r="B36" t="s">
        <v>140</v>
      </c>
      <c r="N36">
        <v>1</v>
      </c>
      <c r="O36" t="s">
        <v>140</v>
      </c>
    </row>
    <row r="37" spans="1:15" x14ac:dyDescent="0.4">
      <c r="A37">
        <v>1</v>
      </c>
      <c r="B37" t="s">
        <v>140</v>
      </c>
      <c r="N37">
        <v>1</v>
      </c>
      <c r="O37" t="s">
        <v>140</v>
      </c>
    </row>
    <row r="38" spans="1:15" x14ac:dyDescent="0.4">
      <c r="A38">
        <v>1</v>
      </c>
      <c r="B38" t="s">
        <v>140</v>
      </c>
      <c r="N38">
        <v>1</v>
      </c>
      <c r="O38" t="s">
        <v>140</v>
      </c>
    </row>
    <row r="39" spans="1:15" x14ac:dyDescent="0.4">
      <c r="A39">
        <v>1</v>
      </c>
      <c r="B39" t="s">
        <v>140</v>
      </c>
      <c r="N39">
        <v>1</v>
      </c>
      <c r="O39" t="s">
        <v>140</v>
      </c>
    </row>
    <row r="40" spans="1:15" x14ac:dyDescent="0.4">
      <c r="A40">
        <v>1</v>
      </c>
      <c r="B40" t="s">
        <v>140</v>
      </c>
      <c r="N40">
        <v>1</v>
      </c>
      <c r="O40" t="s">
        <v>140</v>
      </c>
    </row>
    <row r="41" spans="1:15" x14ac:dyDescent="0.4">
      <c r="A41">
        <v>1</v>
      </c>
      <c r="B41" t="s">
        <v>140</v>
      </c>
      <c r="N41">
        <v>1</v>
      </c>
      <c r="O41" t="s">
        <v>140</v>
      </c>
    </row>
    <row r="42" spans="1:15" x14ac:dyDescent="0.4">
      <c r="A42">
        <v>1</v>
      </c>
      <c r="B42" t="s">
        <v>140</v>
      </c>
      <c r="N42">
        <v>1</v>
      </c>
      <c r="O42" t="s">
        <v>140</v>
      </c>
    </row>
    <row r="43" spans="1:15" x14ac:dyDescent="0.4">
      <c r="A43">
        <v>1</v>
      </c>
      <c r="B43" t="s">
        <v>140</v>
      </c>
      <c r="N43">
        <v>1</v>
      </c>
      <c r="O43" t="s">
        <v>140</v>
      </c>
    </row>
    <row r="44" spans="1:15" x14ac:dyDescent="0.4">
      <c r="A44">
        <v>1</v>
      </c>
      <c r="B44" t="s">
        <v>140</v>
      </c>
      <c r="N44">
        <v>1</v>
      </c>
      <c r="O44" t="s">
        <v>140</v>
      </c>
    </row>
    <row r="45" spans="1:15" x14ac:dyDescent="0.4">
      <c r="A45">
        <v>1</v>
      </c>
      <c r="B45" t="s">
        <v>140</v>
      </c>
      <c r="N45">
        <v>1</v>
      </c>
      <c r="O45" t="s">
        <v>140</v>
      </c>
    </row>
    <row r="46" spans="1:15" x14ac:dyDescent="0.4">
      <c r="A46">
        <v>1</v>
      </c>
      <c r="B46" t="s">
        <v>140</v>
      </c>
      <c r="N46">
        <v>1</v>
      </c>
      <c r="O46" t="s">
        <v>140</v>
      </c>
    </row>
    <row r="47" spans="1:15" x14ac:dyDescent="0.4">
      <c r="A47">
        <v>1</v>
      </c>
      <c r="B47" t="s">
        <v>140</v>
      </c>
      <c r="N47">
        <v>1</v>
      </c>
      <c r="O47" t="s">
        <v>140</v>
      </c>
    </row>
    <row r="48" spans="1:15" x14ac:dyDescent="0.4">
      <c r="A48">
        <v>1</v>
      </c>
      <c r="B48" t="s">
        <v>140</v>
      </c>
      <c r="N48">
        <v>1</v>
      </c>
      <c r="O48" t="s">
        <v>140</v>
      </c>
    </row>
    <row r="49" spans="1:15" x14ac:dyDescent="0.4">
      <c r="A49">
        <v>1</v>
      </c>
      <c r="B49" t="s">
        <v>140</v>
      </c>
      <c r="N49">
        <v>1</v>
      </c>
      <c r="O49" t="s">
        <v>140</v>
      </c>
    </row>
    <row r="50" spans="1:15" x14ac:dyDescent="0.4">
      <c r="A50">
        <v>1</v>
      </c>
      <c r="B50" t="s">
        <v>140</v>
      </c>
      <c r="N50">
        <v>1</v>
      </c>
      <c r="O50" t="s">
        <v>140</v>
      </c>
    </row>
    <row r="65" spans="1:2" x14ac:dyDescent="0.4">
      <c r="A65">
        <v>1</v>
      </c>
      <c r="B65" t="s">
        <v>143</v>
      </c>
    </row>
    <row r="66" spans="1:2" x14ac:dyDescent="0.4">
      <c r="A66">
        <v>1</v>
      </c>
      <c r="B66" t="s">
        <v>140</v>
      </c>
    </row>
    <row r="68" spans="1:2" x14ac:dyDescent="0.4">
      <c r="A68">
        <v>1</v>
      </c>
      <c r="B68" t="s">
        <v>140</v>
      </c>
    </row>
    <row r="70" spans="1:2" x14ac:dyDescent="0.4">
      <c r="A70">
        <v>1</v>
      </c>
      <c r="B70" t="s">
        <v>140</v>
      </c>
    </row>
    <row r="71" spans="1:2" x14ac:dyDescent="0.4">
      <c r="A71">
        <v>1</v>
      </c>
      <c r="B71" t="s">
        <v>140</v>
      </c>
    </row>
    <row r="72" spans="1:2" x14ac:dyDescent="0.4">
      <c r="A72">
        <v>1</v>
      </c>
      <c r="B72" t="s">
        <v>140</v>
      </c>
    </row>
    <row r="74" spans="1:2" x14ac:dyDescent="0.4">
      <c r="A74">
        <v>1</v>
      </c>
      <c r="B74" t="s">
        <v>140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P256"/>
  <sheetViews>
    <sheetView tabSelected="1" view="pageBreakPreview" topLeftCell="A7" zoomScale="60" zoomScaleNormal="115" workbookViewId="0">
      <selection activeCell="V95" sqref="V95"/>
    </sheetView>
  </sheetViews>
  <sheetFormatPr defaultColWidth="9" defaultRowHeight="15.6" x14ac:dyDescent="0.4"/>
  <cols>
    <col min="1" max="1" width="4.59765625" style="1" customWidth="1"/>
    <col min="2" max="2" width="16" style="1" bestFit="1" customWidth="1"/>
    <col min="3" max="3" width="16.59765625" style="1" bestFit="1" customWidth="1"/>
    <col min="4" max="4" width="14.8984375" style="1" bestFit="1" customWidth="1"/>
    <col min="5" max="5" width="15.69921875" style="1" customWidth="1"/>
    <col min="6" max="6" width="16.5" style="1" customWidth="1"/>
    <col min="7" max="7" width="12.5" style="1" customWidth="1"/>
    <col min="8" max="8" width="2.5" style="1" customWidth="1"/>
    <col min="9" max="9" width="11.5" style="1" customWidth="1"/>
    <col min="10" max="10" width="13.5" style="1" customWidth="1"/>
    <col min="11" max="11" width="9" style="1" customWidth="1"/>
    <col min="12" max="12" width="2.5" style="1" customWidth="1"/>
    <col min="13" max="15" width="9" style="1" customWidth="1"/>
    <col min="16" max="16384" width="9" style="1"/>
  </cols>
  <sheetData>
    <row r="1" spans="1:16" x14ac:dyDescent="0.4">
      <c r="B1" s="8"/>
    </row>
    <row r="2" spans="1:16" x14ac:dyDescent="0.4">
      <c r="A2" s="7"/>
      <c r="B2" s="22" t="s">
        <v>198</v>
      </c>
      <c r="C2" s="21"/>
      <c r="D2" s="8"/>
      <c r="E2" s="8"/>
      <c r="F2" s="8"/>
    </row>
    <row r="3" spans="1:16" ht="31.2" x14ac:dyDescent="0.4">
      <c r="A3" s="7"/>
      <c r="B3" s="9" t="s">
        <v>185</v>
      </c>
      <c r="C3" s="18" t="s">
        <v>184</v>
      </c>
      <c r="D3" s="19" t="s">
        <v>183</v>
      </c>
      <c r="E3" s="9" t="s">
        <v>19</v>
      </c>
      <c r="F3" s="9" t="s">
        <v>157</v>
      </c>
      <c r="G3" s="9" t="s">
        <v>208</v>
      </c>
    </row>
    <row r="4" spans="1:16" x14ac:dyDescent="0.4">
      <c r="A4" s="7"/>
      <c r="B4" s="16" t="s">
        <v>182</v>
      </c>
      <c r="C4" s="23" t="s">
        <v>202</v>
      </c>
      <c r="D4" s="16" t="s">
        <v>179</v>
      </c>
      <c r="E4" s="16" t="s">
        <v>177</v>
      </c>
      <c r="F4" s="35" t="s">
        <v>314</v>
      </c>
      <c r="G4" s="16" t="s">
        <v>209</v>
      </c>
      <c r="H4" s="31"/>
    </row>
    <row r="5" spans="1:16" x14ac:dyDescent="0.4">
      <c r="A5" s="7"/>
      <c r="B5" s="16" t="s">
        <v>180</v>
      </c>
      <c r="C5" s="17" t="s">
        <v>203</v>
      </c>
      <c r="D5" s="16" t="s">
        <v>177</v>
      </c>
      <c r="E5" s="16" t="s">
        <v>179</v>
      </c>
      <c r="F5" s="32"/>
      <c r="G5" s="16" t="s">
        <v>213</v>
      </c>
      <c r="H5" s="31"/>
    </row>
    <row r="6" spans="1:16" x14ac:dyDescent="0.4">
      <c r="A6" s="7"/>
      <c r="B6" s="16" t="s">
        <v>178</v>
      </c>
      <c r="C6" s="17" t="s">
        <v>204</v>
      </c>
      <c r="D6" s="16" t="s">
        <v>175</v>
      </c>
      <c r="E6" s="5"/>
      <c r="F6" s="36"/>
      <c r="G6" s="16" t="s">
        <v>214</v>
      </c>
      <c r="H6" s="31"/>
    </row>
    <row r="7" spans="1:16" x14ac:dyDescent="0.4">
      <c r="A7" s="7"/>
      <c r="B7" s="16" t="s">
        <v>176</v>
      </c>
      <c r="C7" s="17" t="s">
        <v>205</v>
      </c>
      <c r="D7" s="16" t="s">
        <v>173</v>
      </c>
      <c r="E7" s="4"/>
      <c r="G7" s="30"/>
    </row>
    <row r="8" spans="1:16" x14ac:dyDescent="0.4">
      <c r="A8" s="7"/>
      <c r="B8" s="16" t="s">
        <v>174</v>
      </c>
      <c r="C8" s="17" t="s">
        <v>206</v>
      </c>
      <c r="D8" s="16" t="s">
        <v>171</v>
      </c>
      <c r="E8" s="4"/>
    </row>
    <row r="9" spans="1:16" x14ac:dyDescent="0.4">
      <c r="A9" s="7"/>
      <c r="B9" s="16" t="s">
        <v>172</v>
      </c>
      <c r="C9" s="17" t="s">
        <v>207</v>
      </c>
      <c r="D9" s="16" t="s">
        <v>169</v>
      </c>
    </row>
    <row r="10" spans="1:16" x14ac:dyDescent="0.4">
      <c r="A10" s="7"/>
      <c r="B10" s="16" t="s">
        <v>170</v>
      </c>
      <c r="C10" s="6"/>
      <c r="D10" s="16" t="s">
        <v>168</v>
      </c>
      <c r="E10" s="4"/>
    </row>
    <row r="11" spans="1:16" x14ac:dyDescent="0.4">
      <c r="B11" s="3"/>
      <c r="C11" s="7"/>
      <c r="D11" s="16" t="s">
        <v>181</v>
      </c>
      <c r="E11" s="4"/>
    </row>
    <row r="12" spans="1:16" x14ac:dyDescent="0.4">
      <c r="C12" s="7"/>
      <c r="D12" s="16" t="s">
        <v>197</v>
      </c>
      <c r="E12" s="4"/>
    </row>
    <row r="13" spans="1:16" x14ac:dyDescent="0.4">
      <c r="B13" s="8"/>
      <c r="C13" s="8"/>
      <c r="D13" s="4"/>
      <c r="E13" s="4"/>
    </row>
    <row r="14" spans="1:16" x14ac:dyDescent="0.4">
      <c r="B14" s="8"/>
      <c r="D14" s="3"/>
    </row>
    <row r="15" spans="1:16" x14ac:dyDescent="0.4">
      <c r="A15" s="7"/>
      <c r="B15" s="22" t="s">
        <v>199</v>
      </c>
      <c r="C15" s="21"/>
      <c r="D15" s="8"/>
      <c r="E15" s="8"/>
      <c r="F15" s="8"/>
      <c r="G15" s="8"/>
      <c r="I15" s="8"/>
      <c r="J15" s="8"/>
      <c r="K15" s="8"/>
      <c r="M15" s="8"/>
      <c r="N15" s="8"/>
      <c r="O15" s="8"/>
    </row>
    <row r="16" spans="1:16" ht="13.5" customHeight="1" x14ac:dyDescent="0.4">
      <c r="A16" s="7"/>
      <c r="B16" s="20" t="s">
        <v>0</v>
      </c>
      <c r="C16" s="20" t="s">
        <v>1</v>
      </c>
      <c r="D16" s="20" t="s">
        <v>167</v>
      </c>
      <c r="E16" s="20" t="s">
        <v>2</v>
      </c>
      <c r="F16" s="20" t="s">
        <v>3</v>
      </c>
      <c r="G16" s="20" t="s">
        <v>4</v>
      </c>
      <c r="H16" s="6"/>
      <c r="L16" s="6"/>
      <c r="P16" s="4"/>
    </row>
    <row r="17" spans="1:16" x14ac:dyDescent="0.4">
      <c r="A17" s="7"/>
      <c r="B17" s="58" t="s">
        <v>5</v>
      </c>
      <c r="C17" s="65" t="s">
        <v>48</v>
      </c>
      <c r="D17" s="60" t="s">
        <v>320</v>
      </c>
      <c r="E17" s="60" t="s">
        <v>295</v>
      </c>
      <c r="F17" s="60" t="s">
        <v>295</v>
      </c>
      <c r="G17" s="60" t="s">
        <v>295</v>
      </c>
      <c r="H17" s="6"/>
      <c r="L17" s="6"/>
      <c r="P17" s="4"/>
    </row>
    <row r="18" spans="1:16" x14ac:dyDescent="0.4">
      <c r="A18" s="7"/>
      <c r="B18" s="58" t="s">
        <v>5</v>
      </c>
      <c r="C18" s="65" t="s">
        <v>48</v>
      </c>
      <c r="D18" s="60" t="s">
        <v>322</v>
      </c>
      <c r="E18" s="60" t="s">
        <v>295</v>
      </c>
      <c r="F18" s="60" t="s">
        <v>295</v>
      </c>
      <c r="G18" s="60" t="s">
        <v>295</v>
      </c>
      <c r="H18" s="6"/>
      <c r="L18" s="6"/>
      <c r="P18" s="4"/>
    </row>
    <row r="19" spans="1:16" x14ac:dyDescent="0.4">
      <c r="A19" s="7"/>
      <c r="B19" s="58" t="s">
        <v>5</v>
      </c>
      <c r="C19" s="65" t="s">
        <v>48</v>
      </c>
      <c r="D19" s="60" t="s">
        <v>243</v>
      </c>
      <c r="E19" s="60" t="s">
        <v>295</v>
      </c>
      <c r="F19" s="60" t="s">
        <v>295</v>
      </c>
      <c r="G19" s="60" t="s">
        <v>295</v>
      </c>
      <c r="H19" s="6"/>
      <c r="L19" s="6"/>
      <c r="P19" s="4"/>
    </row>
    <row r="20" spans="1:16" x14ac:dyDescent="0.4">
      <c r="A20" s="7"/>
      <c r="B20" s="58" t="s">
        <v>5</v>
      </c>
      <c r="C20" s="65" t="s">
        <v>48</v>
      </c>
      <c r="D20" s="60" t="s">
        <v>244</v>
      </c>
      <c r="E20" s="60" t="s">
        <v>295</v>
      </c>
      <c r="F20" s="60" t="s">
        <v>295</v>
      </c>
      <c r="G20" s="60" t="s">
        <v>295</v>
      </c>
      <c r="H20" s="6"/>
      <c r="L20" s="6"/>
      <c r="P20" s="4"/>
    </row>
    <row r="21" spans="1:16" x14ac:dyDescent="0.4">
      <c r="A21" s="7"/>
      <c r="B21" s="58" t="s">
        <v>5</v>
      </c>
      <c r="C21" s="65" t="s">
        <v>48</v>
      </c>
      <c r="D21" s="60" t="s">
        <v>245</v>
      </c>
      <c r="E21" s="60" t="s">
        <v>295</v>
      </c>
      <c r="F21" s="60" t="s">
        <v>295</v>
      </c>
      <c r="G21" s="60" t="s">
        <v>295</v>
      </c>
      <c r="H21" s="6"/>
      <c r="L21" s="6"/>
      <c r="P21" s="4"/>
    </row>
    <row r="22" spans="1:16" x14ac:dyDescent="0.4">
      <c r="A22" s="7"/>
      <c r="B22" s="58" t="s">
        <v>5</v>
      </c>
      <c r="C22" s="65" t="s">
        <v>48</v>
      </c>
      <c r="D22" s="60" t="s">
        <v>246</v>
      </c>
      <c r="E22" s="60" t="s">
        <v>295</v>
      </c>
      <c r="F22" s="60" t="s">
        <v>295</v>
      </c>
      <c r="G22" s="60" t="s">
        <v>295</v>
      </c>
      <c r="H22" s="6"/>
      <c r="L22" s="6"/>
      <c r="P22" s="4"/>
    </row>
    <row r="23" spans="1:16" x14ac:dyDescent="0.4">
      <c r="A23" s="7"/>
      <c r="B23" s="58" t="s">
        <v>5</v>
      </c>
      <c r="C23" s="65" t="s">
        <v>48</v>
      </c>
      <c r="D23" s="60" t="s">
        <v>250</v>
      </c>
      <c r="E23" s="60" t="s">
        <v>295</v>
      </c>
      <c r="F23" s="60" t="s">
        <v>295</v>
      </c>
      <c r="G23" s="60" t="s">
        <v>295</v>
      </c>
      <c r="H23" s="6"/>
      <c r="L23" s="6"/>
      <c r="P23" s="4"/>
    </row>
    <row r="24" spans="1:16" x14ac:dyDescent="0.4">
      <c r="A24" s="7"/>
      <c r="B24" s="58" t="s">
        <v>5</v>
      </c>
      <c r="C24" s="65" t="s">
        <v>48</v>
      </c>
      <c r="D24" s="60" t="s">
        <v>251</v>
      </c>
      <c r="E24" s="60" t="s">
        <v>295</v>
      </c>
      <c r="F24" s="60" t="s">
        <v>295</v>
      </c>
      <c r="G24" s="60" t="s">
        <v>295</v>
      </c>
      <c r="H24" s="6"/>
      <c r="L24" s="6"/>
      <c r="P24" s="4"/>
    </row>
    <row r="25" spans="1:16" x14ac:dyDescent="0.4">
      <c r="A25" s="7"/>
      <c r="B25" s="58" t="s">
        <v>5</v>
      </c>
      <c r="C25" s="65" t="s">
        <v>48</v>
      </c>
      <c r="D25" s="60" t="s">
        <v>252</v>
      </c>
      <c r="E25" s="60" t="s">
        <v>295</v>
      </c>
      <c r="F25" s="60" t="s">
        <v>295</v>
      </c>
      <c r="G25" s="60" t="s">
        <v>295</v>
      </c>
      <c r="H25" s="6"/>
      <c r="L25" s="6"/>
      <c r="P25" s="4"/>
    </row>
    <row r="26" spans="1:16" x14ac:dyDescent="0.4">
      <c r="A26" s="7"/>
      <c r="B26" s="58" t="s">
        <v>5</v>
      </c>
      <c r="C26" s="65" t="s">
        <v>48</v>
      </c>
      <c r="D26" s="60" t="s">
        <v>253</v>
      </c>
      <c r="E26" s="60" t="s">
        <v>295</v>
      </c>
      <c r="F26" s="60" t="s">
        <v>295</v>
      </c>
      <c r="G26" s="60" t="s">
        <v>295</v>
      </c>
      <c r="H26" s="6"/>
      <c r="L26" s="6"/>
      <c r="P26" s="4"/>
    </row>
    <row r="27" spans="1:16" x14ac:dyDescent="0.4">
      <c r="A27" s="7"/>
      <c r="B27" s="58" t="s">
        <v>5</v>
      </c>
      <c r="C27" s="66" t="s">
        <v>296</v>
      </c>
      <c r="D27" s="60" t="s">
        <v>247</v>
      </c>
      <c r="E27" s="60" t="s">
        <v>295</v>
      </c>
      <c r="F27" s="60" t="s">
        <v>295</v>
      </c>
      <c r="G27" s="60" t="s">
        <v>295</v>
      </c>
      <c r="H27" s="6"/>
      <c r="L27" s="6"/>
      <c r="P27" s="4"/>
    </row>
    <row r="28" spans="1:16" x14ac:dyDescent="0.4">
      <c r="A28" s="7"/>
      <c r="B28" s="58" t="s">
        <v>5</v>
      </c>
      <c r="C28" s="66" t="s">
        <v>296</v>
      </c>
      <c r="D28" s="60" t="s">
        <v>248</v>
      </c>
      <c r="E28" s="60" t="s">
        <v>295</v>
      </c>
      <c r="F28" s="60" t="s">
        <v>295</v>
      </c>
      <c r="G28" s="60" t="s">
        <v>295</v>
      </c>
      <c r="H28" s="6"/>
      <c r="L28" s="6"/>
      <c r="P28" s="4"/>
    </row>
    <row r="29" spans="1:16" x14ac:dyDescent="0.4">
      <c r="A29" s="7"/>
      <c r="B29" s="58" t="s">
        <v>5</v>
      </c>
      <c r="C29" s="66" t="s">
        <v>296</v>
      </c>
      <c r="D29" s="60" t="s">
        <v>249</v>
      </c>
      <c r="E29" s="60" t="s">
        <v>295</v>
      </c>
      <c r="F29" s="60" t="s">
        <v>295</v>
      </c>
      <c r="G29" s="60" t="s">
        <v>295</v>
      </c>
      <c r="H29" s="6"/>
      <c r="L29" s="6"/>
      <c r="P29" s="4"/>
    </row>
    <row r="30" spans="1:16" x14ac:dyDescent="0.4">
      <c r="A30" s="7"/>
      <c r="B30" s="58" t="s">
        <v>297</v>
      </c>
      <c r="C30" s="59" t="s">
        <v>23</v>
      </c>
      <c r="D30" s="59" t="s">
        <v>24</v>
      </c>
      <c r="E30" s="61">
        <v>43578</v>
      </c>
      <c r="F30" s="59" t="s">
        <v>84</v>
      </c>
      <c r="G30" s="63">
        <f>EDATE(E30,24)</f>
        <v>44309</v>
      </c>
      <c r="H30" s="6"/>
      <c r="L30" s="6"/>
      <c r="P30" s="4"/>
    </row>
    <row r="31" spans="1:16" x14ac:dyDescent="0.4">
      <c r="A31" s="7"/>
      <c r="B31" s="58" t="s">
        <v>297</v>
      </c>
      <c r="C31" s="59" t="s">
        <v>25</v>
      </c>
      <c r="D31" s="59" t="s">
        <v>26</v>
      </c>
      <c r="E31" s="61">
        <v>43305</v>
      </c>
      <c r="F31" s="59" t="s">
        <v>84</v>
      </c>
      <c r="G31" s="63">
        <f t="shared" ref="G31:G60" si="0">EDATE(E31,24)</f>
        <v>44036</v>
      </c>
      <c r="H31" s="6"/>
      <c r="L31" s="6"/>
      <c r="P31" s="4"/>
    </row>
    <row r="32" spans="1:16" x14ac:dyDescent="0.4">
      <c r="A32" s="7"/>
      <c r="B32" s="58" t="s">
        <v>297</v>
      </c>
      <c r="C32" s="59" t="s">
        <v>27</v>
      </c>
      <c r="D32" s="59">
        <v>1116</v>
      </c>
      <c r="E32" s="61">
        <v>43665</v>
      </c>
      <c r="F32" s="59" t="s">
        <v>84</v>
      </c>
      <c r="G32" s="63">
        <f t="shared" si="0"/>
        <v>44396</v>
      </c>
      <c r="H32" s="6"/>
      <c r="L32" s="6"/>
      <c r="P32" s="4"/>
    </row>
    <row r="33" spans="1:16" x14ac:dyDescent="0.4">
      <c r="A33" s="7"/>
      <c r="B33" s="58" t="s">
        <v>297</v>
      </c>
      <c r="C33" s="59" t="s">
        <v>28</v>
      </c>
      <c r="D33" s="59" t="s">
        <v>29</v>
      </c>
      <c r="E33" s="61">
        <v>43326</v>
      </c>
      <c r="F33" s="59" t="s">
        <v>84</v>
      </c>
      <c r="G33" s="63">
        <f t="shared" si="0"/>
        <v>44057</v>
      </c>
      <c r="H33" s="6"/>
      <c r="L33" s="6"/>
      <c r="P33" s="4"/>
    </row>
    <row r="34" spans="1:16" x14ac:dyDescent="0.4">
      <c r="A34" s="7"/>
      <c r="B34" s="58" t="s">
        <v>297</v>
      </c>
      <c r="C34" s="59" t="s">
        <v>30</v>
      </c>
      <c r="D34" s="59" t="s">
        <v>31</v>
      </c>
      <c r="E34" s="61">
        <v>43578</v>
      </c>
      <c r="F34" s="59" t="s">
        <v>84</v>
      </c>
      <c r="G34" s="63">
        <f t="shared" si="0"/>
        <v>44309</v>
      </c>
      <c r="H34" s="6"/>
      <c r="L34" s="6"/>
      <c r="P34" s="4"/>
    </row>
    <row r="35" spans="1:16" x14ac:dyDescent="0.4">
      <c r="A35" s="7"/>
      <c r="B35" s="58" t="s">
        <v>297</v>
      </c>
      <c r="C35" s="59" t="s">
        <v>32</v>
      </c>
      <c r="D35" s="58">
        <v>1071</v>
      </c>
      <c r="E35" s="62">
        <v>43250</v>
      </c>
      <c r="F35" s="59" t="s">
        <v>84</v>
      </c>
      <c r="G35" s="63">
        <f t="shared" si="0"/>
        <v>43981</v>
      </c>
      <c r="H35" s="6"/>
      <c r="L35" s="6"/>
      <c r="P35" s="4"/>
    </row>
    <row r="36" spans="1:16" x14ac:dyDescent="0.4">
      <c r="A36" s="7"/>
      <c r="B36" s="58" t="s">
        <v>297</v>
      </c>
      <c r="C36" s="59" t="s">
        <v>33</v>
      </c>
      <c r="D36" s="59">
        <v>892</v>
      </c>
      <c r="E36" s="62">
        <v>43579</v>
      </c>
      <c r="F36" s="59" t="s">
        <v>84</v>
      </c>
      <c r="G36" s="63">
        <f t="shared" si="0"/>
        <v>44310</v>
      </c>
      <c r="H36" s="6"/>
      <c r="L36" s="6"/>
      <c r="P36" s="4"/>
    </row>
    <row r="37" spans="1:16" x14ac:dyDescent="0.4">
      <c r="A37" s="7"/>
      <c r="B37" s="58" t="s">
        <v>297</v>
      </c>
      <c r="C37" s="58" t="s">
        <v>34</v>
      </c>
      <c r="D37" s="58">
        <v>1124</v>
      </c>
      <c r="E37" s="61">
        <v>43307</v>
      </c>
      <c r="F37" s="59" t="s">
        <v>84</v>
      </c>
      <c r="G37" s="63">
        <f t="shared" si="0"/>
        <v>44038</v>
      </c>
      <c r="H37" s="6"/>
      <c r="L37" s="6"/>
      <c r="P37" s="4"/>
    </row>
    <row r="38" spans="1:16" x14ac:dyDescent="0.4">
      <c r="A38" s="7"/>
      <c r="B38" s="58" t="s">
        <v>297</v>
      </c>
      <c r="C38" s="58" t="s">
        <v>35</v>
      </c>
      <c r="D38" s="58">
        <v>1130</v>
      </c>
      <c r="E38" s="61">
        <v>43245</v>
      </c>
      <c r="F38" s="59" t="s">
        <v>84</v>
      </c>
      <c r="G38" s="63">
        <f t="shared" si="0"/>
        <v>43976</v>
      </c>
      <c r="H38" s="6"/>
      <c r="L38" s="6"/>
      <c r="P38" s="4"/>
    </row>
    <row r="39" spans="1:16" x14ac:dyDescent="0.4">
      <c r="A39" s="7"/>
      <c r="B39" s="58" t="s">
        <v>297</v>
      </c>
      <c r="C39" s="59" t="s">
        <v>36</v>
      </c>
      <c r="D39" s="59">
        <v>4013</v>
      </c>
      <c r="E39" s="61">
        <v>43304</v>
      </c>
      <c r="F39" s="59" t="s">
        <v>84</v>
      </c>
      <c r="G39" s="63">
        <f t="shared" si="0"/>
        <v>44035</v>
      </c>
      <c r="H39" s="6"/>
      <c r="L39" s="4"/>
      <c r="M39" s="3"/>
      <c r="N39" s="3"/>
      <c r="O39" s="3"/>
    </row>
    <row r="40" spans="1:16" x14ac:dyDescent="0.4">
      <c r="A40" s="7"/>
      <c r="B40" s="58" t="s">
        <v>297</v>
      </c>
      <c r="C40" s="59" t="s">
        <v>37</v>
      </c>
      <c r="D40" s="58">
        <v>1020</v>
      </c>
      <c r="E40" s="61">
        <v>43392</v>
      </c>
      <c r="F40" s="59" t="s">
        <v>84</v>
      </c>
      <c r="G40" s="63">
        <f t="shared" si="0"/>
        <v>44123</v>
      </c>
      <c r="H40" s="6"/>
      <c r="L40" s="4"/>
    </row>
    <row r="41" spans="1:16" x14ac:dyDescent="0.4">
      <c r="A41" s="7"/>
      <c r="B41" s="58" t="s">
        <v>297</v>
      </c>
      <c r="C41" s="59" t="s">
        <v>38</v>
      </c>
      <c r="D41" s="58">
        <v>1084</v>
      </c>
      <c r="E41" s="61">
        <v>43392</v>
      </c>
      <c r="F41" s="59" t="s">
        <v>84</v>
      </c>
      <c r="G41" s="63">
        <f t="shared" si="0"/>
        <v>44123</v>
      </c>
      <c r="H41" s="4"/>
      <c r="I41" s="3"/>
      <c r="J41" s="3"/>
      <c r="K41" s="3"/>
    </row>
    <row r="42" spans="1:16" x14ac:dyDescent="0.4">
      <c r="A42" s="7"/>
      <c r="B42" s="58" t="s">
        <v>297</v>
      </c>
      <c r="C42" s="59" t="s">
        <v>39</v>
      </c>
      <c r="D42" s="58">
        <v>1004</v>
      </c>
      <c r="E42" s="61">
        <v>43179</v>
      </c>
      <c r="F42" s="59" t="s">
        <v>84</v>
      </c>
      <c r="G42" s="63">
        <f t="shared" si="0"/>
        <v>43910</v>
      </c>
      <c r="H42" s="4"/>
      <c r="I42" s="3"/>
      <c r="J42" s="3"/>
      <c r="K42" s="3"/>
    </row>
    <row r="43" spans="1:16" x14ac:dyDescent="0.4">
      <c r="A43" s="7"/>
      <c r="B43" s="58" t="s">
        <v>297</v>
      </c>
      <c r="C43" s="59" t="s">
        <v>40</v>
      </c>
      <c r="D43" s="59">
        <v>1085</v>
      </c>
      <c r="E43" s="61">
        <v>43545</v>
      </c>
      <c r="F43" s="59" t="s">
        <v>84</v>
      </c>
      <c r="G43" s="63">
        <f t="shared" si="0"/>
        <v>44276</v>
      </c>
      <c r="H43" s="4"/>
    </row>
    <row r="44" spans="1:16" x14ac:dyDescent="0.4">
      <c r="A44" s="7"/>
      <c r="B44" s="58" t="s">
        <v>297</v>
      </c>
      <c r="C44" s="59" t="s">
        <v>23</v>
      </c>
      <c r="D44" s="59">
        <v>490</v>
      </c>
      <c r="E44" s="61">
        <v>43252</v>
      </c>
      <c r="F44" s="59" t="s">
        <v>84</v>
      </c>
      <c r="G44" s="63">
        <f t="shared" si="0"/>
        <v>43983</v>
      </c>
      <c r="H44" s="4"/>
    </row>
    <row r="45" spans="1:16" x14ac:dyDescent="0.4">
      <c r="A45" s="7"/>
      <c r="B45" s="58" t="s">
        <v>297</v>
      </c>
      <c r="C45" s="59" t="s">
        <v>25</v>
      </c>
      <c r="D45" s="59">
        <v>188</v>
      </c>
      <c r="E45" s="61">
        <v>43700</v>
      </c>
      <c r="F45" s="59" t="s">
        <v>84</v>
      </c>
      <c r="G45" s="63">
        <f t="shared" si="0"/>
        <v>44431</v>
      </c>
      <c r="H45" s="4"/>
    </row>
    <row r="46" spans="1:16" x14ac:dyDescent="0.4">
      <c r="A46" s="7"/>
      <c r="B46" s="58" t="s">
        <v>297</v>
      </c>
      <c r="C46" s="59" t="s">
        <v>41</v>
      </c>
      <c r="D46" s="59">
        <v>1060</v>
      </c>
      <c r="E46" s="61">
        <v>43665</v>
      </c>
      <c r="F46" s="59" t="s">
        <v>84</v>
      </c>
      <c r="G46" s="63">
        <f t="shared" si="0"/>
        <v>44396</v>
      </c>
      <c r="H46" s="4"/>
    </row>
    <row r="47" spans="1:16" x14ac:dyDescent="0.4">
      <c r="A47" s="7"/>
      <c r="B47" s="58" t="s">
        <v>297</v>
      </c>
      <c r="C47" s="59" t="s">
        <v>42</v>
      </c>
      <c r="D47" s="59">
        <v>331</v>
      </c>
      <c r="E47" s="61">
        <v>43248</v>
      </c>
      <c r="F47" s="59" t="s">
        <v>84</v>
      </c>
      <c r="G47" s="63">
        <f t="shared" si="0"/>
        <v>43979</v>
      </c>
      <c r="H47" s="4"/>
    </row>
    <row r="48" spans="1:16" x14ac:dyDescent="0.4">
      <c r="A48" s="7"/>
      <c r="B48" s="58" t="s">
        <v>297</v>
      </c>
      <c r="C48" s="59" t="s">
        <v>27</v>
      </c>
      <c r="D48" s="59">
        <v>1070</v>
      </c>
      <c r="E48" s="61">
        <v>43301</v>
      </c>
      <c r="F48" s="59" t="s">
        <v>84</v>
      </c>
      <c r="G48" s="63">
        <f t="shared" si="0"/>
        <v>44032</v>
      </c>
      <c r="H48" s="4"/>
    </row>
    <row r="49" spans="1:8" x14ac:dyDescent="0.4">
      <c r="A49" s="7"/>
      <c r="B49" s="58" t="s">
        <v>297</v>
      </c>
      <c r="C49" s="59" t="s">
        <v>28</v>
      </c>
      <c r="D49" s="59" t="s">
        <v>43</v>
      </c>
      <c r="E49" s="61">
        <v>43707</v>
      </c>
      <c r="F49" s="59" t="s">
        <v>84</v>
      </c>
      <c r="G49" s="63">
        <f t="shared" si="0"/>
        <v>44438</v>
      </c>
      <c r="H49" s="4"/>
    </row>
    <row r="50" spans="1:8" x14ac:dyDescent="0.4">
      <c r="A50" s="7"/>
      <c r="B50" s="58" t="s">
        <v>297</v>
      </c>
      <c r="C50" s="59" t="s">
        <v>30</v>
      </c>
      <c r="D50" s="59" t="s">
        <v>44</v>
      </c>
      <c r="E50" s="61">
        <v>43248</v>
      </c>
      <c r="F50" s="59" t="s">
        <v>84</v>
      </c>
      <c r="G50" s="63">
        <f t="shared" si="0"/>
        <v>43979</v>
      </c>
      <c r="H50" s="4"/>
    </row>
    <row r="51" spans="1:8" x14ac:dyDescent="0.4">
      <c r="A51" s="7"/>
      <c r="B51" s="58" t="s">
        <v>297</v>
      </c>
      <c r="C51" s="58" t="s">
        <v>45</v>
      </c>
      <c r="D51" s="58">
        <v>1110</v>
      </c>
      <c r="E51" s="61">
        <v>43501</v>
      </c>
      <c r="F51" s="59" t="s">
        <v>84</v>
      </c>
      <c r="G51" s="63">
        <f t="shared" si="0"/>
        <v>44232</v>
      </c>
      <c r="H51" s="4"/>
    </row>
    <row r="52" spans="1:8" s="55" customFormat="1" x14ac:dyDescent="0.4">
      <c r="A52" s="57"/>
      <c r="B52" s="67" t="s">
        <v>297</v>
      </c>
      <c r="C52" s="68" t="s">
        <v>32</v>
      </c>
      <c r="D52" s="68">
        <v>1037</v>
      </c>
      <c r="E52" s="61">
        <v>43493</v>
      </c>
      <c r="F52" s="68" t="s">
        <v>84</v>
      </c>
      <c r="G52" s="63">
        <f t="shared" ref="G52" si="1">EDATE(E52,24)</f>
        <v>44224</v>
      </c>
      <c r="H52" s="56"/>
    </row>
    <row r="53" spans="1:8" s="55" customFormat="1" x14ac:dyDescent="0.4">
      <c r="A53" s="57"/>
      <c r="B53" s="67" t="s">
        <v>297</v>
      </c>
      <c r="C53" s="68" t="s">
        <v>33</v>
      </c>
      <c r="D53" s="68">
        <v>734</v>
      </c>
      <c r="E53" s="61">
        <v>43865</v>
      </c>
      <c r="F53" s="68" t="s">
        <v>84</v>
      </c>
      <c r="G53" s="63">
        <f t="shared" ref="G53" si="2">EDATE(E53,24)</f>
        <v>44596</v>
      </c>
      <c r="H53" s="56"/>
    </row>
    <row r="54" spans="1:8" x14ac:dyDescent="0.4">
      <c r="A54" s="7"/>
      <c r="B54" s="58" t="s">
        <v>297</v>
      </c>
      <c r="C54" s="58" t="s">
        <v>34</v>
      </c>
      <c r="D54" s="58">
        <v>1038</v>
      </c>
      <c r="E54" s="61">
        <v>43613</v>
      </c>
      <c r="F54" s="59" t="s">
        <v>84</v>
      </c>
      <c r="G54" s="63">
        <f t="shared" si="0"/>
        <v>44344</v>
      </c>
      <c r="H54" s="4"/>
    </row>
    <row r="55" spans="1:8" s="55" customFormat="1" x14ac:dyDescent="0.4">
      <c r="A55" s="57"/>
      <c r="B55" s="67" t="s">
        <v>297</v>
      </c>
      <c r="C55" s="67" t="s">
        <v>46</v>
      </c>
      <c r="D55" s="67">
        <v>1058</v>
      </c>
      <c r="E55" s="61">
        <v>43762</v>
      </c>
      <c r="F55" s="68" t="s">
        <v>84</v>
      </c>
      <c r="G55" s="63">
        <f t="shared" ref="G55:G58" si="3">EDATE(E55,24)</f>
        <v>44493</v>
      </c>
      <c r="H55" s="56"/>
    </row>
    <row r="56" spans="1:8" s="55" customFormat="1" x14ac:dyDescent="0.4">
      <c r="A56" s="57"/>
      <c r="B56" s="67" t="s">
        <v>297</v>
      </c>
      <c r="C56" s="67" t="s">
        <v>298</v>
      </c>
      <c r="D56" s="67">
        <v>1005</v>
      </c>
      <c r="E56" s="61">
        <v>43762</v>
      </c>
      <c r="F56" s="68" t="s">
        <v>84</v>
      </c>
      <c r="G56" s="63">
        <f t="shared" si="3"/>
        <v>44493</v>
      </c>
      <c r="H56" s="56"/>
    </row>
    <row r="57" spans="1:8" s="55" customFormat="1" x14ac:dyDescent="0.4">
      <c r="A57" s="57"/>
      <c r="B57" s="67" t="s">
        <v>297</v>
      </c>
      <c r="C57" s="67" t="s">
        <v>323</v>
      </c>
      <c r="D57" s="67">
        <v>1036</v>
      </c>
      <c r="E57" s="61">
        <v>43795</v>
      </c>
      <c r="F57" s="68" t="s">
        <v>84</v>
      </c>
      <c r="G57" s="63">
        <f t="shared" si="3"/>
        <v>44526</v>
      </c>
      <c r="H57" s="56"/>
    </row>
    <row r="58" spans="1:8" s="55" customFormat="1" x14ac:dyDescent="0.4">
      <c r="A58" s="57"/>
      <c r="B58" s="67" t="s">
        <v>297</v>
      </c>
      <c r="C58" s="67" t="s">
        <v>324</v>
      </c>
      <c r="D58" s="67">
        <v>1036</v>
      </c>
      <c r="E58" s="61">
        <v>43795</v>
      </c>
      <c r="F58" s="68" t="s">
        <v>84</v>
      </c>
      <c r="G58" s="63">
        <f t="shared" si="3"/>
        <v>44526</v>
      </c>
      <c r="H58" s="56"/>
    </row>
    <row r="59" spans="1:8" s="55" customFormat="1" x14ac:dyDescent="0.4">
      <c r="A59" s="57"/>
      <c r="B59" s="67" t="s">
        <v>297</v>
      </c>
      <c r="C59" s="67" t="s">
        <v>312</v>
      </c>
      <c r="D59" s="67">
        <v>1020</v>
      </c>
      <c r="E59" s="61">
        <v>43732</v>
      </c>
      <c r="F59" s="68" t="s">
        <v>84</v>
      </c>
      <c r="G59" s="63">
        <f t="shared" ref="G59" si="4">EDATE(E59,24)</f>
        <v>44463</v>
      </c>
      <c r="H59" s="56"/>
    </row>
    <row r="60" spans="1:8" x14ac:dyDescent="0.4">
      <c r="A60" s="7"/>
      <c r="B60" s="58" t="s">
        <v>297</v>
      </c>
      <c r="C60" s="58" t="s">
        <v>35</v>
      </c>
      <c r="D60" s="58">
        <v>1106</v>
      </c>
      <c r="E60" s="61">
        <v>43500</v>
      </c>
      <c r="F60" s="59" t="s">
        <v>84</v>
      </c>
      <c r="G60" s="63">
        <f t="shared" si="0"/>
        <v>44231</v>
      </c>
      <c r="H60" s="4"/>
    </row>
    <row r="61" spans="1:8" s="55" customFormat="1" ht="31.2" x14ac:dyDescent="0.4">
      <c r="A61" s="57"/>
      <c r="B61" s="68" t="s">
        <v>327</v>
      </c>
      <c r="C61" s="68" t="s">
        <v>326</v>
      </c>
      <c r="D61" s="68">
        <v>1062</v>
      </c>
      <c r="E61" s="61">
        <v>43846</v>
      </c>
      <c r="F61" s="60" t="s">
        <v>131</v>
      </c>
      <c r="G61" s="63">
        <f>EDATE(E61,12)</f>
        <v>44212</v>
      </c>
      <c r="H61" s="56"/>
    </row>
    <row r="62" spans="1:8" ht="31.2" x14ac:dyDescent="0.4">
      <c r="A62" s="7"/>
      <c r="B62" s="59" t="s">
        <v>6</v>
      </c>
      <c r="C62" s="59" t="s">
        <v>47</v>
      </c>
      <c r="D62" s="59">
        <v>1068</v>
      </c>
      <c r="E62" s="61">
        <v>43516</v>
      </c>
      <c r="F62" s="60" t="s">
        <v>131</v>
      </c>
      <c r="G62" s="63">
        <f>EDATE(E62,12)</f>
        <v>43881</v>
      </c>
      <c r="H62" s="4"/>
    </row>
    <row r="63" spans="1:8" ht="31.2" x14ac:dyDescent="0.4">
      <c r="A63" s="7"/>
      <c r="B63" s="59" t="s">
        <v>6</v>
      </c>
      <c r="C63" s="59" t="s">
        <v>49</v>
      </c>
      <c r="D63" s="59">
        <v>1107</v>
      </c>
      <c r="E63" s="61">
        <v>43607</v>
      </c>
      <c r="F63" s="60" t="s">
        <v>131</v>
      </c>
      <c r="G63" s="63">
        <f t="shared" ref="G63:G136" si="5">EDATE(E63,12)</f>
        <v>43973</v>
      </c>
      <c r="H63" s="4"/>
    </row>
    <row r="64" spans="1:8" ht="31.2" x14ac:dyDescent="0.4">
      <c r="A64" s="7"/>
      <c r="B64" s="59" t="s">
        <v>6</v>
      </c>
      <c r="C64" s="59" t="s">
        <v>49</v>
      </c>
      <c r="D64" s="59">
        <v>1228</v>
      </c>
      <c r="E64" s="61">
        <v>43788</v>
      </c>
      <c r="F64" s="60" t="s">
        <v>131</v>
      </c>
      <c r="G64" s="63">
        <f t="shared" si="5"/>
        <v>44154</v>
      </c>
      <c r="H64" s="4"/>
    </row>
    <row r="65" spans="1:8" x14ac:dyDescent="0.4">
      <c r="A65" s="7"/>
      <c r="B65" s="59" t="s">
        <v>7</v>
      </c>
      <c r="C65" s="59" t="s">
        <v>50</v>
      </c>
      <c r="D65" s="59">
        <v>567</v>
      </c>
      <c r="E65" s="61">
        <v>43521</v>
      </c>
      <c r="F65" s="60" t="s">
        <v>131</v>
      </c>
      <c r="G65" s="63">
        <f t="shared" si="5"/>
        <v>43886</v>
      </c>
      <c r="H65" s="4"/>
    </row>
    <row r="66" spans="1:8" x14ac:dyDescent="0.4">
      <c r="A66" s="7"/>
      <c r="B66" s="59" t="s">
        <v>7</v>
      </c>
      <c r="C66" s="59" t="s">
        <v>85</v>
      </c>
      <c r="D66" s="59">
        <v>1340</v>
      </c>
      <c r="E66" s="61">
        <v>43608</v>
      </c>
      <c r="F66" s="60" t="s">
        <v>131</v>
      </c>
      <c r="G66" s="63">
        <f t="shared" si="5"/>
        <v>43974</v>
      </c>
      <c r="H66" s="4"/>
    </row>
    <row r="67" spans="1:8" x14ac:dyDescent="0.4">
      <c r="A67" s="7"/>
      <c r="B67" s="59" t="s">
        <v>7</v>
      </c>
      <c r="C67" s="59" t="s">
        <v>85</v>
      </c>
      <c r="D67" s="59">
        <v>1430</v>
      </c>
      <c r="E67" s="61">
        <v>43545</v>
      </c>
      <c r="F67" s="60" t="s">
        <v>131</v>
      </c>
      <c r="G67" s="63">
        <f t="shared" si="5"/>
        <v>43911</v>
      </c>
      <c r="H67" s="4"/>
    </row>
    <row r="68" spans="1:8" s="55" customFormat="1" x14ac:dyDescent="0.4">
      <c r="A68" s="57"/>
      <c r="B68" s="68" t="s">
        <v>7</v>
      </c>
      <c r="C68" s="68" t="s">
        <v>85</v>
      </c>
      <c r="D68" s="68">
        <v>1595</v>
      </c>
      <c r="E68" s="61">
        <v>43843</v>
      </c>
      <c r="F68" s="60" t="s">
        <v>131</v>
      </c>
      <c r="G68" s="63">
        <f t="shared" ref="G68" si="6">EDATE(E68,12)</f>
        <v>44209</v>
      </c>
      <c r="H68" s="56"/>
    </row>
    <row r="69" spans="1:8" x14ac:dyDescent="0.4">
      <c r="A69" s="7"/>
      <c r="B69" s="59" t="s">
        <v>7</v>
      </c>
      <c r="C69" s="59" t="s">
        <v>85</v>
      </c>
      <c r="D69" s="59">
        <v>1504</v>
      </c>
      <c r="E69" s="61">
        <v>43854</v>
      </c>
      <c r="F69" s="60" t="s">
        <v>131</v>
      </c>
      <c r="G69" s="63">
        <f t="shared" si="5"/>
        <v>44220</v>
      </c>
      <c r="H69" s="4"/>
    </row>
    <row r="70" spans="1:8" x14ac:dyDescent="0.4">
      <c r="A70" s="7"/>
      <c r="B70" s="59" t="s">
        <v>7</v>
      </c>
      <c r="C70" s="59" t="s">
        <v>85</v>
      </c>
      <c r="D70" s="59">
        <v>1503</v>
      </c>
      <c r="E70" s="61">
        <v>43665</v>
      </c>
      <c r="F70" s="60" t="s">
        <v>131</v>
      </c>
      <c r="G70" s="63">
        <f t="shared" si="5"/>
        <v>44031</v>
      </c>
      <c r="H70" s="4"/>
    </row>
    <row r="71" spans="1:8" x14ac:dyDescent="0.4">
      <c r="A71" s="7"/>
      <c r="B71" s="59" t="s">
        <v>7</v>
      </c>
      <c r="C71" s="59" t="s">
        <v>85</v>
      </c>
      <c r="D71" s="59">
        <v>1507</v>
      </c>
      <c r="E71" s="61">
        <v>43726</v>
      </c>
      <c r="F71" s="60" t="s">
        <v>131</v>
      </c>
      <c r="G71" s="63">
        <f t="shared" si="5"/>
        <v>44092</v>
      </c>
      <c r="H71" s="4"/>
    </row>
    <row r="72" spans="1:8" x14ac:dyDescent="0.4">
      <c r="A72" s="7"/>
      <c r="B72" s="58" t="s">
        <v>8</v>
      </c>
      <c r="C72" s="59" t="s">
        <v>51</v>
      </c>
      <c r="D72" s="59">
        <v>7412</v>
      </c>
      <c r="E72" s="61">
        <v>43581</v>
      </c>
      <c r="F72" s="60" t="s">
        <v>131</v>
      </c>
      <c r="G72" s="63">
        <f t="shared" si="5"/>
        <v>43947</v>
      </c>
      <c r="H72" s="4"/>
    </row>
    <row r="73" spans="1:8" x14ac:dyDescent="0.4">
      <c r="A73" s="7"/>
      <c r="B73" s="58" t="s">
        <v>8</v>
      </c>
      <c r="C73" s="59" t="s">
        <v>51</v>
      </c>
      <c r="D73" s="59">
        <v>7413</v>
      </c>
      <c r="E73" s="61">
        <v>43734</v>
      </c>
      <c r="F73" s="60" t="s">
        <v>131</v>
      </c>
      <c r="G73" s="63">
        <f t="shared" si="5"/>
        <v>44100</v>
      </c>
      <c r="H73" s="4"/>
    </row>
    <row r="74" spans="1:8" x14ac:dyDescent="0.4">
      <c r="A74" s="7"/>
      <c r="B74" s="58" t="s">
        <v>8</v>
      </c>
      <c r="C74" s="59" t="s">
        <v>51</v>
      </c>
      <c r="D74" s="59">
        <v>3791</v>
      </c>
      <c r="E74" s="61">
        <v>43612</v>
      </c>
      <c r="F74" s="60" t="s">
        <v>131</v>
      </c>
      <c r="G74" s="63">
        <f t="shared" si="5"/>
        <v>43978</v>
      </c>
      <c r="H74" s="4"/>
    </row>
    <row r="75" spans="1:8" x14ac:dyDescent="0.4">
      <c r="A75" s="7"/>
      <c r="B75" s="58" t="s">
        <v>8</v>
      </c>
      <c r="C75" s="59" t="s">
        <v>51</v>
      </c>
      <c r="D75" s="59">
        <v>3862</v>
      </c>
      <c r="E75" s="61">
        <v>43766</v>
      </c>
      <c r="F75" s="60" t="s">
        <v>131</v>
      </c>
      <c r="G75" s="63">
        <f t="shared" si="5"/>
        <v>44132</v>
      </c>
      <c r="H75" s="4"/>
    </row>
    <row r="76" spans="1:8" x14ac:dyDescent="0.4">
      <c r="A76" s="7"/>
      <c r="B76" s="58" t="s">
        <v>8</v>
      </c>
      <c r="C76" s="59" t="s">
        <v>51</v>
      </c>
      <c r="D76" s="59">
        <v>3986</v>
      </c>
      <c r="E76" s="61">
        <v>43551</v>
      </c>
      <c r="F76" s="60" t="s">
        <v>131</v>
      </c>
      <c r="G76" s="63">
        <f t="shared" si="5"/>
        <v>43917</v>
      </c>
      <c r="H76" s="4"/>
    </row>
    <row r="77" spans="1:8" s="55" customFormat="1" x14ac:dyDescent="0.4">
      <c r="A77" s="57"/>
      <c r="B77" s="67" t="s">
        <v>8</v>
      </c>
      <c r="C77" s="68" t="s">
        <v>51</v>
      </c>
      <c r="D77" s="68">
        <v>7574</v>
      </c>
      <c r="E77" s="61">
        <v>43850</v>
      </c>
      <c r="F77" s="60" t="s">
        <v>131</v>
      </c>
      <c r="G77" s="63">
        <f t="shared" ref="G77" si="7">EDATE(E77,12)</f>
        <v>44216</v>
      </c>
      <c r="H77" s="56"/>
    </row>
    <row r="78" spans="1:8" x14ac:dyDescent="0.4">
      <c r="A78" s="7"/>
      <c r="B78" s="58" t="s">
        <v>8</v>
      </c>
      <c r="C78" s="59" t="s">
        <v>86</v>
      </c>
      <c r="D78" s="59">
        <v>1782</v>
      </c>
      <c r="E78" s="61">
        <v>43522</v>
      </c>
      <c r="F78" s="60" t="s">
        <v>131</v>
      </c>
      <c r="G78" s="63">
        <f t="shared" si="5"/>
        <v>43887</v>
      </c>
      <c r="H78" s="4"/>
    </row>
    <row r="79" spans="1:8" s="55" customFormat="1" x14ac:dyDescent="0.4">
      <c r="A79" s="57"/>
      <c r="B79" s="67" t="s">
        <v>8</v>
      </c>
      <c r="C79" s="68" t="s">
        <v>325</v>
      </c>
      <c r="D79" s="68">
        <v>9462</v>
      </c>
      <c r="E79" s="61">
        <v>43850</v>
      </c>
      <c r="F79" s="60" t="s">
        <v>131</v>
      </c>
      <c r="G79" s="63">
        <f t="shared" ref="G79" si="8">EDATE(E79,12)</f>
        <v>44216</v>
      </c>
      <c r="H79" s="56"/>
    </row>
    <row r="80" spans="1:8" x14ac:dyDescent="0.4">
      <c r="A80" s="7"/>
      <c r="B80" s="59" t="s">
        <v>9</v>
      </c>
      <c r="C80" s="59" t="s">
        <v>52</v>
      </c>
      <c r="D80" s="59" t="s">
        <v>53</v>
      </c>
      <c r="E80" s="61">
        <v>43599</v>
      </c>
      <c r="F80" s="60" t="s">
        <v>131</v>
      </c>
      <c r="G80" s="63">
        <f t="shared" si="5"/>
        <v>43965</v>
      </c>
      <c r="H80" s="4"/>
    </row>
    <row r="81" spans="1:8" x14ac:dyDescent="0.4">
      <c r="A81" s="7"/>
      <c r="B81" s="59" t="s">
        <v>9</v>
      </c>
      <c r="C81" s="59" t="s">
        <v>87</v>
      </c>
      <c r="D81" s="59" t="s">
        <v>254</v>
      </c>
      <c r="E81" s="61">
        <v>43801</v>
      </c>
      <c r="F81" s="60" t="s">
        <v>131</v>
      </c>
      <c r="G81" s="63">
        <f t="shared" si="5"/>
        <v>44167</v>
      </c>
      <c r="H81" s="4"/>
    </row>
    <row r="82" spans="1:8" x14ac:dyDescent="0.4">
      <c r="A82" s="7"/>
      <c r="B82" s="59" t="s">
        <v>9</v>
      </c>
      <c r="C82" s="59" t="s">
        <v>128</v>
      </c>
      <c r="D82" s="59">
        <v>160115</v>
      </c>
      <c r="E82" s="61">
        <v>43539</v>
      </c>
      <c r="F82" s="60" t="s">
        <v>131</v>
      </c>
      <c r="G82" s="63">
        <f t="shared" si="5"/>
        <v>43905</v>
      </c>
      <c r="H82" s="4"/>
    </row>
    <row r="83" spans="1:8" x14ac:dyDescent="0.4">
      <c r="A83" s="7"/>
      <c r="B83" s="59" t="s">
        <v>10</v>
      </c>
      <c r="C83" s="59" t="s">
        <v>54</v>
      </c>
      <c r="D83" s="59" t="s">
        <v>88</v>
      </c>
      <c r="E83" s="61">
        <v>43538</v>
      </c>
      <c r="F83" s="60" t="s">
        <v>131</v>
      </c>
      <c r="G83" s="63">
        <f t="shared" si="5"/>
        <v>43904</v>
      </c>
      <c r="H83" s="4"/>
    </row>
    <row r="84" spans="1:8" x14ac:dyDescent="0.4">
      <c r="A84" s="7"/>
      <c r="B84" s="59" t="s">
        <v>10</v>
      </c>
      <c r="C84" s="59" t="s">
        <v>89</v>
      </c>
      <c r="D84" s="59" t="s">
        <v>90</v>
      </c>
      <c r="E84" s="61">
        <v>43628</v>
      </c>
      <c r="F84" s="60" t="s">
        <v>131</v>
      </c>
      <c r="G84" s="63">
        <f t="shared" si="5"/>
        <v>43994</v>
      </c>
      <c r="H84" s="4"/>
    </row>
    <row r="85" spans="1:8" x14ac:dyDescent="0.4">
      <c r="A85" s="7"/>
      <c r="B85" s="59" t="s">
        <v>10</v>
      </c>
      <c r="C85" s="59" t="s">
        <v>56</v>
      </c>
      <c r="D85" s="59" t="s">
        <v>255</v>
      </c>
      <c r="E85" s="61">
        <v>43803</v>
      </c>
      <c r="F85" s="60" t="s">
        <v>131</v>
      </c>
      <c r="G85" s="63">
        <f t="shared" si="5"/>
        <v>44169</v>
      </c>
      <c r="H85" s="4"/>
    </row>
    <row r="86" spans="1:8" x14ac:dyDescent="0.4">
      <c r="A86" s="7"/>
      <c r="B86" s="59" t="s">
        <v>10</v>
      </c>
      <c r="C86" s="59" t="s">
        <v>54</v>
      </c>
      <c r="D86" s="59" t="s">
        <v>55</v>
      </c>
      <c r="E86" s="61">
        <v>43538</v>
      </c>
      <c r="F86" s="60" t="s">
        <v>131</v>
      </c>
      <c r="G86" s="63">
        <f t="shared" si="5"/>
        <v>43904</v>
      </c>
      <c r="H86" s="4"/>
    </row>
    <row r="87" spans="1:8" x14ac:dyDescent="0.4">
      <c r="A87" s="7"/>
      <c r="B87" s="59" t="s">
        <v>10</v>
      </c>
      <c r="C87" s="59" t="s">
        <v>56</v>
      </c>
      <c r="D87" s="59" t="s">
        <v>57</v>
      </c>
      <c r="E87" s="61">
        <v>43850</v>
      </c>
      <c r="F87" s="60" t="s">
        <v>131</v>
      </c>
      <c r="G87" s="63">
        <f t="shared" si="5"/>
        <v>44216</v>
      </c>
      <c r="H87" s="4"/>
    </row>
    <row r="88" spans="1:8" x14ac:dyDescent="0.4">
      <c r="A88" s="7"/>
      <c r="B88" s="59" t="s">
        <v>11</v>
      </c>
      <c r="C88" s="59" t="s">
        <v>91</v>
      </c>
      <c r="D88" s="59" t="s">
        <v>92</v>
      </c>
      <c r="E88" s="61">
        <v>43628</v>
      </c>
      <c r="F88" s="60" t="s">
        <v>131</v>
      </c>
      <c r="G88" s="63">
        <f t="shared" si="5"/>
        <v>43994</v>
      </c>
      <c r="H88" s="4"/>
    </row>
    <row r="89" spans="1:8" x14ac:dyDescent="0.4">
      <c r="A89" s="7"/>
      <c r="B89" s="59" t="s">
        <v>11</v>
      </c>
      <c r="C89" s="59" t="s">
        <v>91</v>
      </c>
      <c r="D89" s="59" t="s">
        <v>93</v>
      </c>
      <c r="E89" s="61">
        <v>43628</v>
      </c>
      <c r="F89" s="60" t="s">
        <v>131</v>
      </c>
      <c r="G89" s="63">
        <f t="shared" si="5"/>
        <v>43994</v>
      </c>
      <c r="H89" s="4"/>
    </row>
    <row r="90" spans="1:8" x14ac:dyDescent="0.4">
      <c r="A90" s="7"/>
      <c r="B90" s="59" t="s">
        <v>11</v>
      </c>
      <c r="C90" s="59" t="s">
        <v>58</v>
      </c>
      <c r="D90" s="59" t="s">
        <v>59</v>
      </c>
      <c r="E90" s="61">
        <v>43600</v>
      </c>
      <c r="F90" s="60" t="s">
        <v>131</v>
      </c>
      <c r="G90" s="63">
        <f t="shared" si="5"/>
        <v>43966</v>
      </c>
      <c r="H90" s="4"/>
    </row>
    <row r="91" spans="1:8" x14ac:dyDescent="0.4">
      <c r="A91" s="7"/>
      <c r="B91" s="59" t="s">
        <v>11</v>
      </c>
      <c r="C91" s="59" t="s">
        <v>61</v>
      </c>
      <c r="D91" s="59" t="s">
        <v>62</v>
      </c>
      <c r="E91" s="61">
        <v>43803</v>
      </c>
      <c r="F91" s="60" t="s">
        <v>131</v>
      </c>
      <c r="G91" s="63">
        <f t="shared" si="5"/>
        <v>44169</v>
      </c>
      <c r="H91" s="4"/>
    </row>
    <row r="92" spans="1:8" x14ac:dyDescent="0.4">
      <c r="A92" s="7"/>
      <c r="B92" s="59" t="s">
        <v>11</v>
      </c>
      <c r="C92" s="59" t="s">
        <v>58</v>
      </c>
      <c r="D92" s="59" t="s">
        <v>60</v>
      </c>
      <c r="E92" s="61">
        <v>43538</v>
      </c>
      <c r="F92" s="60" t="s">
        <v>131</v>
      </c>
      <c r="G92" s="63">
        <f t="shared" si="5"/>
        <v>43904</v>
      </c>
      <c r="H92" s="4"/>
    </row>
    <row r="93" spans="1:8" x14ac:dyDescent="0.4">
      <c r="A93" s="7"/>
      <c r="B93" s="59" t="s">
        <v>11</v>
      </c>
      <c r="C93" s="59" t="s">
        <v>94</v>
      </c>
      <c r="D93" s="59">
        <v>102909</v>
      </c>
      <c r="E93" s="61">
        <v>43538</v>
      </c>
      <c r="F93" s="60" t="s">
        <v>131</v>
      </c>
      <c r="G93" s="63">
        <f t="shared" si="5"/>
        <v>43904</v>
      </c>
      <c r="H93" s="4"/>
    </row>
    <row r="94" spans="1:8" x14ac:dyDescent="0.4">
      <c r="A94" s="7"/>
      <c r="B94" s="59" t="s">
        <v>12</v>
      </c>
      <c r="C94" s="59" t="s">
        <v>95</v>
      </c>
      <c r="D94" s="59" t="s">
        <v>97</v>
      </c>
      <c r="E94" s="61">
        <v>43537</v>
      </c>
      <c r="F94" s="60" t="s">
        <v>131</v>
      </c>
      <c r="G94" s="63">
        <f t="shared" si="5"/>
        <v>43903</v>
      </c>
      <c r="H94" s="4"/>
    </row>
    <row r="95" spans="1:8" x14ac:dyDescent="0.4">
      <c r="A95" s="7"/>
      <c r="B95" s="59" t="s">
        <v>12</v>
      </c>
      <c r="C95" s="59" t="s">
        <v>96</v>
      </c>
      <c r="D95" s="59" t="s">
        <v>98</v>
      </c>
      <c r="E95" s="61">
        <v>43537</v>
      </c>
      <c r="F95" s="60" t="s">
        <v>131</v>
      </c>
      <c r="G95" s="63">
        <f t="shared" si="5"/>
        <v>43903</v>
      </c>
      <c r="H95" s="4"/>
    </row>
    <row r="96" spans="1:8" x14ac:dyDescent="0.4">
      <c r="A96" s="7"/>
      <c r="B96" s="59" t="s">
        <v>12</v>
      </c>
      <c r="C96" s="59" t="s">
        <v>63</v>
      </c>
      <c r="D96" s="59" t="s">
        <v>64</v>
      </c>
      <c r="E96" s="61">
        <v>43626</v>
      </c>
      <c r="F96" s="60" t="s">
        <v>131</v>
      </c>
      <c r="G96" s="63">
        <f t="shared" si="5"/>
        <v>43992</v>
      </c>
      <c r="H96" s="4"/>
    </row>
    <row r="97" spans="1:8" x14ac:dyDescent="0.4">
      <c r="A97" s="7"/>
      <c r="B97" s="59" t="s">
        <v>12</v>
      </c>
      <c r="C97" s="59" t="s">
        <v>99</v>
      </c>
      <c r="D97" s="59">
        <v>262093</v>
      </c>
      <c r="E97" s="61">
        <v>43626</v>
      </c>
      <c r="F97" s="60" t="s">
        <v>131</v>
      </c>
      <c r="G97" s="63">
        <f t="shared" si="5"/>
        <v>43992</v>
      </c>
      <c r="H97" s="4"/>
    </row>
    <row r="98" spans="1:8" x14ac:dyDescent="0.4">
      <c r="A98" s="7"/>
      <c r="B98" s="59" t="s">
        <v>13</v>
      </c>
      <c r="C98" s="59" t="s">
        <v>100</v>
      </c>
      <c r="D98" s="59">
        <v>10008</v>
      </c>
      <c r="E98" s="61">
        <v>43539</v>
      </c>
      <c r="F98" s="60" t="s">
        <v>131</v>
      </c>
      <c r="G98" s="63">
        <f t="shared" si="5"/>
        <v>43905</v>
      </c>
      <c r="H98" s="4"/>
    </row>
    <row r="99" spans="1:8" x14ac:dyDescent="0.4">
      <c r="A99" s="7"/>
      <c r="B99" s="59" t="s">
        <v>13</v>
      </c>
      <c r="C99" s="59" t="s">
        <v>66</v>
      </c>
      <c r="D99" s="59" t="s">
        <v>101</v>
      </c>
      <c r="E99" s="61">
        <v>43801</v>
      </c>
      <c r="F99" s="60" t="s">
        <v>131</v>
      </c>
      <c r="G99" s="63">
        <f t="shared" si="5"/>
        <v>44167</v>
      </c>
      <c r="H99" s="4"/>
    </row>
    <row r="100" spans="1:8" x14ac:dyDescent="0.4">
      <c r="A100" s="7"/>
      <c r="B100" s="59" t="s">
        <v>13</v>
      </c>
      <c r="C100" s="59" t="s">
        <v>102</v>
      </c>
      <c r="D100" s="59">
        <v>1010</v>
      </c>
      <c r="E100" s="61">
        <v>43628</v>
      </c>
      <c r="F100" s="60" t="s">
        <v>131</v>
      </c>
      <c r="G100" s="63">
        <f t="shared" si="5"/>
        <v>43994</v>
      </c>
      <c r="H100" s="4"/>
    </row>
    <row r="101" spans="1:8" x14ac:dyDescent="0.4">
      <c r="A101" s="7"/>
      <c r="B101" s="59" t="s">
        <v>13</v>
      </c>
      <c r="C101" s="59" t="s">
        <v>65</v>
      </c>
      <c r="D101" s="59">
        <v>1711221</v>
      </c>
      <c r="E101" s="61">
        <v>43628</v>
      </c>
      <c r="F101" s="60" t="s">
        <v>131</v>
      </c>
      <c r="G101" s="63">
        <f t="shared" si="5"/>
        <v>43994</v>
      </c>
      <c r="H101" s="4"/>
    </row>
    <row r="102" spans="1:8" ht="31.2" x14ac:dyDescent="0.4">
      <c r="A102" s="7"/>
      <c r="B102" s="59" t="s">
        <v>14</v>
      </c>
      <c r="C102" s="59" t="s">
        <v>67</v>
      </c>
      <c r="D102" s="59" t="s">
        <v>103</v>
      </c>
      <c r="E102" s="61">
        <v>43628</v>
      </c>
      <c r="F102" s="60" t="s">
        <v>131</v>
      </c>
      <c r="G102" s="63">
        <f t="shared" si="5"/>
        <v>43994</v>
      </c>
      <c r="H102" s="4"/>
    </row>
    <row r="103" spans="1:8" ht="31.2" x14ac:dyDescent="0.4">
      <c r="A103" s="7"/>
      <c r="B103" s="59" t="s">
        <v>14</v>
      </c>
      <c r="C103" s="59" t="s">
        <v>69</v>
      </c>
      <c r="D103" s="59" t="s">
        <v>104</v>
      </c>
      <c r="E103" s="61">
        <v>43628</v>
      </c>
      <c r="F103" s="60" t="s">
        <v>131</v>
      </c>
      <c r="G103" s="63">
        <f t="shared" si="5"/>
        <v>43994</v>
      </c>
      <c r="H103" s="4"/>
    </row>
    <row r="104" spans="1:8" ht="31.2" x14ac:dyDescent="0.4">
      <c r="A104" s="7"/>
      <c r="B104" s="59" t="s">
        <v>14</v>
      </c>
      <c r="C104" s="59" t="s">
        <v>105</v>
      </c>
      <c r="D104" s="59">
        <v>50128</v>
      </c>
      <c r="E104" s="61">
        <v>43628</v>
      </c>
      <c r="F104" s="60" t="s">
        <v>131</v>
      </c>
      <c r="G104" s="63">
        <f t="shared" si="5"/>
        <v>43994</v>
      </c>
      <c r="H104" s="4"/>
    </row>
    <row r="105" spans="1:8" ht="31.2" x14ac:dyDescent="0.4">
      <c r="A105" s="7"/>
      <c r="B105" s="59" t="s">
        <v>14</v>
      </c>
      <c r="C105" s="59" t="s">
        <v>106</v>
      </c>
      <c r="D105" s="59" t="s">
        <v>107</v>
      </c>
      <c r="E105" s="61">
        <v>43628</v>
      </c>
      <c r="F105" s="60" t="s">
        <v>131</v>
      </c>
      <c r="G105" s="63">
        <f t="shared" si="5"/>
        <v>43994</v>
      </c>
      <c r="H105" s="4"/>
    </row>
    <row r="106" spans="1:8" ht="31.2" x14ac:dyDescent="0.4">
      <c r="A106" s="7"/>
      <c r="B106" s="59" t="s">
        <v>14</v>
      </c>
      <c r="C106" s="59" t="s">
        <v>67</v>
      </c>
      <c r="D106" s="59" t="s">
        <v>68</v>
      </c>
      <c r="E106" s="61">
        <v>43537</v>
      </c>
      <c r="F106" s="60" t="s">
        <v>131</v>
      </c>
      <c r="G106" s="63">
        <f t="shared" si="5"/>
        <v>43903</v>
      </c>
      <c r="H106" s="4"/>
    </row>
    <row r="107" spans="1:8" ht="31.2" x14ac:dyDescent="0.4">
      <c r="A107" s="7"/>
      <c r="B107" s="59" t="s">
        <v>14</v>
      </c>
      <c r="C107" s="59" t="s">
        <v>69</v>
      </c>
      <c r="D107" s="59" t="s">
        <v>70</v>
      </c>
      <c r="E107" s="61">
        <v>43537</v>
      </c>
      <c r="F107" s="60" t="s">
        <v>131</v>
      </c>
      <c r="G107" s="63">
        <f t="shared" si="5"/>
        <v>43903</v>
      </c>
      <c r="H107" s="4"/>
    </row>
    <row r="108" spans="1:8" ht="31.2" x14ac:dyDescent="0.4">
      <c r="A108" s="7"/>
      <c r="B108" s="59" t="s">
        <v>15</v>
      </c>
      <c r="C108" s="59" t="s">
        <v>108</v>
      </c>
      <c r="D108" s="59">
        <v>1</v>
      </c>
      <c r="E108" s="64">
        <v>43628</v>
      </c>
      <c r="F108" s="60" t="s">
        <v>131</v>
      </c>
      <c r="G108" s="63">
        <f t="shared" si="5"/>
        <v>43994</v>
      </c>
      <c r="H108" s="4"/>
    </row>
    <row r="109" spans="1:8" ht="31.2" x14ac:dyDescent="0.4">
      <c r="A109" s="7"/>
      <c r="B109" s="59" t="s">
        <v>15</v>
      </c>
      <c r="C109" s="59" t="s">
        <v>109</v>
      </c>
      <c r="D109" s="59">
        <v>1</v>
      </c>
      <c r="E109" s="64">
        <v>43628</v>
      </c>
      <c r="F109" s="60" t="s">
        <v>131</v>
      </c>
      <c r="G109" s="63">
        <f t="shared" si="5"/>
        <v>43994</v>
      </c>
      <c r="H109" s="4"/>
    </row>
    <row r="110" spans="1:8" ht="31.2" x14ac:dyDescent="0.4">
      <c r="A110" s="7"/>
      <c r="B110" s="59" t="s">
        <v>15</v>
      </c>
      <c r="C110" s="59" t="s">
        <v>110</v>
      </c>
      <c r="D110" s="59">
        <v>1</v>
      </c>
      <c r="E110" s="64">
        <v>43628</v>
      </c>
      <c r="F110" s="60" t="s">
        <v>131</v>
      </c>
      <c r="G110" s="63">
        <f t="shared" si="5"/>
        <v>43994</v>
      </c>
      <c r="H110" s="4"/>
    </row>
    <row r="111" spans="1:8" ht="31.2" x14ac:dyDescent="0.4">
      <c r="A111" s="7"/>
      <c r="B111" s="59" t="s">
        <v>15</v>
      </c>
      <c r="C111" s="59" t="s">
        <v>111</v>
      </c>
      <c r="D111" s="59">
        <v>1</v>
      </c>
      <c r="E111" s="64">
        <v>43628</v>
      </c>
      <c r="F111" s="60" t="s">
        <v>131</v>
      </c>
      <c r="G111" s="63">
        <f t="shared" si="5"/>
        <v>43994</v>
      </c>
      <c r="H111" s="4"/>
    </row>
    <row r="112" spans="1:8" x14ac:dyDescent="0.4">
      <c r="A112" s="7"/>
      <c r="B112" s="59" t="s">
        <v>15</v>
      </c>
      <c r="C112" s="59" t="s">
        <v>112</v>
      </c>
      <c r="D112" s="59" t="s">
        <v>113</v>
      </c>
      <c r="E112" s="61">
        <v>43537</v>
      </c>
      <c r="F112" s="60" t="s">
        <v>131</v>
      </c>
      <c r="G112" s="63">
        <f t="shared" si="5"/>
        <v>43903</v>
      </c>
      <c r="H112" s="4"/>
    </row>
    <row r="113" spans="1:8" x14ac:dyDescent="0.4">
      <c r="A113" s="7"/>
      <c r="B113" s="59" t="s">
        <v>15</v>
      </c>
      <c r="C113" s="59" t="s">
        <v>71</v>
      </c>
      <c r="D113" s="59" t="s">
        <v>72</v>
      </c>
      <c r="E113" s="61">
        <v>43537</v>
      </c>
      <c r="F113" s="60" t="s">
        <v>131</v>
      </c>
      <c r="G113" s="63">
        <f t="shared" si="5"/>
        <v>43903</v>
      </c>
      <c r="H113" s="4"/>
    </row>
    <row r="114" spans="1:8" x14ac:dyDescent="0.4">
      <c r="A114" s="7"/>
      <c r="B114" s="59" t="s">
        <v>15</v>
      </c>
      <c r="C114" s="59" t="s">
        <v>73</v>
      </c>
      <c r="D114" s="59" t="s">
        <v>74</v>
      </c>
      <c r="E114" s="61">
        <v>43537</v>
      </c>
      <c r="F114" s="60" t="s">
        <v>131</v>
      </c>
      <c r="G114" s="63">
        <f t="shared" si="5"/>
        <v>43903</v>
      </c>
      <c r="H114" s="4"/>
    </row>
    <row r="115" spans="1:8" x14ac:dyDescent="0.4">
      <c r="A115" s="7"/>
      <c r="B115" s="59" t="s">
        <v>15</v>
      </c>
      <c r="C115" s="59" t="s">
        <v>114</v>
      </c>
      <c r="D115" s="59" t="s">
        <v>115</v>
      </c>
      <c r="E115" s="61">
        <v>43537</v>
      </c>
      <c r="F115" s="60" t="s">
        <v>131</v>
      </c>
      <c r="G115" s="63">
        <f t="shared" si="5"/>
        <v>43903</v>
      </c>
      <c r="H115" s="4"/>
    </row>
    <row r="116" spans="1:8" ht="13.5" customHeight="1" x14ac:dyDescent="0.4">
      <c r="A116" s="7"/>
      <c r="B116" s="59" t="s">
        <v>16</v>
      </c>
      <c r="C116" s="59">
        <v>2</v>
      </c>
      <c r="D116" s="59" t="s">
        <v>116</v>
      </c>
      <c r="E116" s="64">
        <v>43628</v>
      </c>
      <c r="F116" s="60" t="s">
        <v>131</v>
      </c>
      <c r="G116" s="63">
        <f t="shared" si="5"/>
        <v>43994</v>
      </c>
      <c r="H116" s="4"/>
    </row>
    <row r="117" spans="1:8" x14ac:dyDescent="0.4">
      <c r="A117" s="7"/>
      <c r="B117" s="59" t="s">
        <v>16</v>
      </c>
      <c r="C117" s="59">
        <v>2</v>
      </c>
      <c r="D117" s="59" t="s">
        <v>117</v>
      </c>
      <c r="E117" s="64">
        <v>43628</v>
      </c>
      <c r="F117" s="60" t="s">
        <v>131</v>
      </c>
      <c r="G117" s="63">
        <f t="shared" si="5"/>
        <v>43994</v>
      </c>
      <c r="H117" s="4"/>
    </row>
    <row r="118" spans="1:8" x14ac:dyDescent="0.4">
      <c r="A118" s="7"/>
      <c r="B118" s="59" t="s">
        <v>16</v>
      </c>
      <c r="C118" s="59" t="s">
        <v>75</v>
      </c>
      <c r="D118" s="59" t="s">
        <v>118</v>
      </c>
      <c r="E118" s="64">
        <v>43628</v>
      </c>
      <c r="F118" s="60" t="s">
        <v>131</v>
      </c>
      <c r="G118" s="63">
        <f t="shared" si="5"/>
        <v>43994</v>
      </c>
      <c r="H118" s="4"/>
    </row>
    <row r="119" spans="1:8" x14ac:dyDescent="0.4">
      <c r="A119" s="7"/>
      <c r="B119" s="59" t="s">
        <v>16</v>
      </c>
      <c r="C119" s="59" t="s">
        <v>75</v>
      </c>
      <c r="D119" s="59" t="s">
        <v>76</v>
      </c>
      <c r="E119" s="61">
        <v>43802</v>
      </c>
      <c r="F119" s="60" t="s">
        <v>131</v>
      </c>
      <c r="G119" s="63">
        <f t="shared" si="5"/>
        <v>44168</v>
      </c>
      <c r="H119" s="4"/>
    </row>
    <row r="120" spans="1:8" x14ac:dyDescent="0.4">
      <c r="A120" s="7"/>
      <c r="B120" s="59" t="s">
        <v>16</v>
      </c>
      <c r="C120" s="59" t="s">
        <v>77</v>
      </c>
      <c r="D120" s="59" t="s">
        <v>78</v>
      </c>
      <c r="E120" s="61">
        <v>43802</v>
      </c>
      <c r="F120" s="60" t="s">
        <v>131</v>
      </c>
      <c r="G120" s="63">
        <f t="shared" si="5"/>
        <v>44168</v>
      </c>
      <c r="H120" s="4"/>
    </row>
    <row r="121" spans="1:8" s="55" customFormat="1" x14ac:dyDescent="0.4">
      <c r="A121" s="57"/>
      <c r="B121" s="68" t="s">
        <v>16</v>
      </c>
      <c r="C121" s="68" t="s">
        <v>334</v>
      </c>
      <c r="D121" s="68" t="s">
        <v>329</v>
      </c>
      <c r="E121" s="61">
        <v>43803</v>
      </c>
      <c r="F121" s="60" t="s">
        <v>131</v>
      </c>
      <c r="G121" s="63">
        <f t="shared" ref="G121:G125" si="9">EDATE(E121,12)</f>
        <v>44169</v>
      </c>
      <c r="H121" s="56"/>
    </row>
    <row r="122" spans="1:8" s="55" customFormat="1" x14ac:dyDescent="0.4">
      <c r="A122" s="57"/>
      <c r="B122" s="68" t="s">
        <v>16</v>
      </c>
      <c r="C122" s="68" t="s">
        <v>334</v>
      </c>
      <c r="D122" s="68" t="s">
        <v>330</v>
      </c>
      <c r="E122" s="61">
        <v>43803</v>
      </c>
      <c r="F122" s="60" t="s">
        <v>131</v>
      </c>
      <c r="G122" s="63">
        <f t="shared" si="9"/>
        <v>44169</v>
      </c>
      <c r="H122" s="56"/>
    </row>
    <row r="123" spans="1:8" s="55" customFormat="1" x14ac:dyDescent="0.4">
      <c r="A123" s="57"/>
      <c r="B123" s="68" t="s">
        <v>16</v>
      </c>
      <c r="C123" s="68" t="s">
        <v>335</v>
      </c>
      <c r="D123" s="68" t="s">
        <v>331</v>
      </c>
      <c r="E123" s="61">
        <v>43803</v>
      </c>
      <c r="F123" s="60" t="s">
        <v>131</v>
      </c>
      <c r="G123" s="63">
        <f t="shared" si="9"/>
        <v>44169</v>
      </c>
      <c r="H123" s="56"/>
    </row>
    <row r="124" spans="1:8" s="55" customFormat="1" x14ac:dyDescent="0.4">
      <c r="A124" s="57"/>
      <c r="B124" s="68" t="s">
        <v>16</v>
      </c>
      <c r="C124" s="68" t="s">
        <v>334</v>
      </c>
      <c r="D124" s="68" t="s">
        <v>332</v>
      </c>
      <c r="E124" s="61">
        <v>43803</v>
      </c>
      <c r="F124" s="60" t="s">
        <v>131</v>
      </c>
      <c r="G124" s="63">
        <f t="shared" si="9"/>
        <v>44169</v>
      </c>
      <c r="H124" s="56"/>
    </row>
    <row r="125" spans="1:8" s="55" customFormat="1" x14ac:dyDescent="0.4">
      <c r="A125" s="57"/>
      <c r="B125" s="68" t="s">
        <v>16</v>
      </c>
      <c r="C125" s="68" t="s">
        <v>336</v>
      </c>
      <c r="D125" s="68" t="s">
        <v>333</v>
      </c>
      <c r="E125" s="61">
        <v>43803</v>
      </c>
      <c r="F125" s="60" t="s">
        <v>131</v>
      </c>
      <c r="G125" s="63">
        <f t="shared" si="9"/>
        <v>44169</v>
      </c>
      <c r="H125" s="56"/>
    </row>
    <row r="126" spans="1:8" x14ac:dyDescent="0.4">
      <c r="A126" s="7"/>
      <c r="B126" s="59" t="s">
        <v>16</v>
      </c>
      <c r="C126" s="59" t="s">
        <v>119</v>
      </c>
      <c r="D126" s="59">
        <v>34744</v>
      </c>
      <c r="E126" s="61">
        <v>43537</v>
      </c>
      <c r="F126" s="60" t="s">
        <v>131</v>
      </c>
      <c r="G126" s="63">
        <f t="shared" si="5"/>
        <v>43903</v>
      </c>
      <c r="H126" s="4"/>
    </row>
    <row r="127" spans="1:8" x14ac:dyDescent="0.4">
      <c r="A127" s="7"/>
      <c r="B127" s="60" t="s">
        <v>126</v>
      </c>
      <c r="C127" s="59" t="s">
        <v>79</v>
      </c>
      <c r="D127" s="59" t="s">
        <v>80</v>
      </c>
      <c r="E127" s="61">
        <v>43628</v>
      </c>
      <c r="F127" s="60" t="s">
        <v>131</v>
      </c>
      <c r="G127" s="63">
        <f t="shared" si="5"/>
        <v>43994</v>
      </c>
      <c r="H127" s="4"/>
    </row>
    <row r="128" spans="1:8" x14ac:dyDescent="0.4">
      <c r="A128" s="7"/>
      <c r="B128" s="60" t="s">
        <v>126</v>
      </c>
      <c r="C128" s="59" t="s">
        <v>120</v>
      </c>
      <c r="D128" s="59" t="s">
        <v>121</v>
      </c>
      <c r="E128" s="61">
        <v>43537</v>
      </c>
      <c r="F128" s="60" t="s">
        <v>131</v>
      </c>
      <c r="G128" s="63">
        <f t="shared" si="5"/>
        <v>43903</v>
      </c>
      <c r="H128" s="4"/>
    </row>
    <row r="129" spans="1:8" x14ac:dyDescent="0.4">
      <c r="A129" s="7"/>
      <c r="B129" s="60" t="s">
        <v>126</v>
      </c>
      <c r="C129" s="59">
        <v>98585</v>
      </c>
      <c r="D129" s="59">
        <v>130188</v>
      </c>
      <c r="E129" s="61">
        <v>43538</v>
      </c>
      <c r="F129" s="60" t="s">
        <v>131</v>
      </c>
      <c r="G129" s="63">
        <f t="shared" si="5"/>
        <v>43904</v>
      </c>
      <c r="H129" s="4"/>
    </row>
    <row r="130" spans="1:8" x14ac:dyDescent="0.4">
      <c r="A130" s="7"/>
      <c r="B130" s="60" t="s">
        <v>126</v>
      </c>
      <c r="C130" s="59">
        <v>98585</v>
      </c>
      <c r="D130" s="59">
        <v>130205</v>
      </c>
      <c r="E130" s="61">
        <v>43537</v>
      </c>
      <c r="F130" s="60" t="s">
        <v>131</v>
      </c>
      <c r="G130" s="63">
        <f t="shared" si="5"/>
        <v>43903</v>
      </c>
      <c r="H130" s="4"/>
    </row>
    <row r="131" spans="1:8" s="55" customFormat="1" x14ac:dyDescent="0.4">
      <c r="A131" s="57"/>
      <c r="B131" s="60" t="s">
        <v>126</v>
      </c>
      <c r="C131" s="68" t="s">
        <v>328</v>
      </c>
      <c r="D131" s="68">
        <v>180718830</v>
      </c>
      <c r="E131" s="61">
        <v>43802</v>
      </c>
      <c r="F131" s="60" t="s">
        <v>131</v>
      </c>
      <c r="G131" s="63">
        <f t="shared" ref="G131:G133" si="10">EDATE(E131,12)</f>
        <v>44168</v>
      </c>
      <c r="H131" s="56"/>
    </row>
    <row r="132" spans="1:8" s="55" customFormat="1" x14ac:dyDescent="0.4">
      <c r="A132" s="57"/>
      <c r="B132" s="60" t="s">
        <v>126</v>
      </c>
      <c r="C132" s="68" t="s">
        <v>328</v>
      </c>
      <c r="D132" s="68">
        <v>180718881</v>
      </c>
      <c r="E132" s="61">
        <v>43847</v>
      </c>
      <c r="F132" s="60" t="s">
        <v>131</v>
      </c>
      <c r="G132" s="63">
        <f t="shared" si="10"/>
        <v>44213</v>
      </c>
      <c r="H132" s="56"/>
    </row>
    <row r="133" spans="1:8" s="55" customFormat="1" x14ac:dyDescent="0.4">
      <c r="A133" s="57"/>
      <c r="B133" s="60" t="s">
        <v>126</v>
      </c>
      <c r="C133" s="68" t="s">
        <v>328</v>
      </c>
      <c r="D133" s="68">
        <v>180718913</v>
      </c>
      <c r="E133" s="61">
        <v>43847</v>
      </c>
      <c r="F133" s="60" t="s">
        <v>131</v>
      </c>
      <c r="G133" s="63">
        <f t="shared" si="10"/>
        <v>44213</v>
      </c>
      <c r="H133" s="56"/>
    </row>
    <row r="134" spans="1:8" x14ac:dyDescent="0.4">
      <c r="A134" s="7"/>
      <c r="B134" s="60" t="s">
        <v>126</v>
      </c>
      <c r="C134" s="59" t="s">
        <v>122</v>
      </c>
      <c r="D134" s="59" t="s">
        <v>123</v>
      </c>
      <c r="E134" s="64">
        <v>43628</v>
      </c>
      <c r="F134" s="60" t="s">
        <v>131</v>
      </c>
      <c r="G134" s="63">
        <f t="shared" si="5"/>
        <v>43994</v>
      </c>
      <c r="H134" s="4"/>
    </row>
    <row r="135" spans="1:8" x14ac:dyDescent="0.4">
      <c r="A135" s="7"/>
      <c r="B135" s="60" t="s">
        <v>126</v>
      </c>
      <c r="C135" s="59" t="s">
        <v>122</v>
      </c>
      <c r="D135" s="59" t="s">
        <v>124</v>
      </c>
      <c r="E135" s="64">
        <v>43628</v>
      </c>
      <c r="F135" s="60" t="s">
        <v>131</v>
      </c>
      <c r="G135" s="63">
        <f t="shared" si="5"/>
        <v>43994</v>
      </c>
      <c r="H135" s="4"/>
    </row>
    <row r="136" spans="1:8" x14ac:dyDescent="0.4">
      <c r="A136" s="7"/>
      <c r="B136" s="60" t="s">
        <v>126</v>
      </c>
      <c r="C136" s="59" t="s">
        <v>122</v>
      </c>
      <c r="D136" s="59" t="s">
        <v>125</v>
      </c>
      <c r="E136" s="64">
        <v>43628</v>
      </c>
      <c r="F136" s="60" t="s">
        <v>131</v>
      </c>
      <c r="G136" s="63">
        <f t="shared" si="5"/>
        <v>43994</v>
      </c>
      <c r="H136" s="4"/>
    </row>
    <row r="137" spans="1:8" ht="31.2" x14ac:dyDescent="0.4">
      <c r="A137" s="7"/>
      <c r="B137" s="59" t="s">
        <v>17</v>
      </c>
      <c r="C137" s="59" t="s">
        <v>81</v>
      </c>
      <c r="D137" s="59">
        <v>19041500179</v>
      </c>
      <c r="E137" s="64">
        <v>43739</v>
      </c>
      <c r="F137" s="60" t="s">
        <v>131</v>
      </c>
      <c r="G137" s="63">
        <f t="shared" ref="G137:G146" si="11">EDATE(E137,12)</f>
        <v>44105</v>
      </c>
      <c r="H137" s="4"/>
    </row>
    <row r="138" spans="1:8" ht="31.2" x14ac:dyDescent="0.4">
      <c r="A138" s="7"/>
      <c r="B138" s="59" t="s">
        <v>17</v>
      </c>
      <c r="C138" s="59" t="s">
        <v>81</v>
      </c>
      <c r="D138" s="59">
        <v>16031500243</v>
      </c>
      <c r="E138" s="64">
        <v>43628</v>
      </c>
      <c r="F138" s="60" t="s">
        <v>131</v>
      </c>
      <c r="G138" s="63">
        <f t="shared" si="11"/>
        <v>43994</v>
      </c>
      <c r="H138" s="4"/>
    </row>
    <row r="139" spans="1:8" s="55" customFormat="1" ht="31.2" x14ac:dyDescent="0.4">
      <c r="A139" s="57"/>
      <c r="B139" s="68" t="s">
        <v>18</v>
      </c>
      <c r="C139" s="68" t="s">
        <v>82</v>
      </c>
      <c r="D139" s="68">
        <v>144031</v>
      </c>
      <c r="E139" s="61">
        <v>43514</v>
      </c>
      <c r="F139" s="60" t="s">
        <v>131</v>
      </c>
      <c r="G139" s="63">
        <f t="shared" ref="G139" si="12">EDATE(E139,12)</f>
        <v>43879</v>
      </c>
      <c r="H139" s="56"/>
    </row>
    <row r="140" spans="1:8" ht="31.2" x14ac:dyDescent="0.4">
      <c r="A140" s="7"/>
      <c r="B140" s="59" t="s">
        <v>18</v>
      </c>
      <c r="C140" s="59" t="s">
        <v>127</v>
      </c>
      <c r="D140" s="59">
        <v>6201074216</v>
      </c>
      <c r="E140" s="64">
        <v>43819</v>
      </c>
      <c r="F140" s="60" t="s">
        <v>131</v>
      </c>
      <c r="G140" s="63">
        <f t="shared" si="11"/>
        <v>44185</v>
      </c>
      <c r="H140" s="4"/>
    </row>
    <row r="141" spans="1:8" ht="31.2" x14ac:dyDescent="0.4">
      <c r="A141" s="7"/>
      <c r="B141" s="59" t="s">
        <v>18</v>
      </c>
      <c r="C141" s="59" t="s">
        <v>83</v>
      </c>
      <c r="D141" s="59">
        <v>6201502996</v>
      </c>
      <c r="E141" s="61">
        <v>43724</v>
      </c>
      <c r="F141" s="60" t="s">
        <v>131</v>
      </c>
      <c r="G141" s="63">
        <f t="shared" si="11"/>
        <v>44090</v>
      </c>
      <c r="H141" s="4"/>
    </row>
    <row r="142" spans="1:8" s="55" customFormat="1" ht="31.2" x14ac:dyDescent="0.4">
      <c r="A142" s="57"/>
      <c r="B142" s="68" t="s">
        <v>18</v>
      </c>
      <c r="C142" s="68" t="s">
        <v>83</v>
      </c>
      <c r="D142" s="68">
        <v>6262044721</v>
      </c>
      <c r="E142" s="61">
        <v>43811</v>
      </c>
      <c r="F142" s="60" t="s">
        <v>131</v>
      </c>
      <c r="G142" s="63">
        <f t="shared" ref="G142" si="13">EDATE(E142,12)</f>
        <v>44177</v>
      </c>
      <c r="H142" s="56"/>
    </row>
    <row r="143" spans="1:8" s="55" customFormat="1" ht="46.8" x14ac:dyDescent="0.4">
      <c r="A143" s="57"/>
      <c r="B143" s="68" t="s">
        <v>299</v>
      </c>
      <c r="C143" s="68" t="s">
        <v>300</v>
      </c>
      <c r="D143" s="68">
        <v>6261906013</v>
      </c>
      <c r="E143" s="64">
        <v>43724</v>
      </c>
      <c r="F143" s="60" t="s">
        <v>131</v>
      </c>
      <c r="G143" s="63">
        <f t="shared" ref="G143" si="14">EDATE(E143,12)</f>
        <v>44090</v>
      </c>
      <c r="H143" s="56"/>
    </row>
    <row r="144" spans="1:8" s="55" customFormat="1" ht="46.8" x14ac:dyDescent="0.4">
      <c r="A144" s="57"/>
      <c r="B144" s="68" t="s">
        <v>299</v>
      </c>
      <c r="C144" s="68" t="s">
        <v>300</v>
      </c>
      <c r="D144" s="68">
        <v>6262036831</v>
      </c>
      <c r="E144" s="64">
        <v>43811</v>
      </c>
      <c r="F144" s="60" t="s">
        <v>131</v>
      </c>
      <c r="G144" s="63">
        <f t="shared" ref="G144" si="15">EDATE(E144,12)</f>
        <v>44177</v>
      </c>
      <c r="H144" s="56"/>
    </row>
    <row r="145" spans="1:8" s="51" customFormat="1" x14ac:dyDescent="0.4">
      <c r="A145" s="53"/>
      <c r="B145" s="60" t="s">
        <v>130</v>
      </c>
      <c r="C145" s="59" t="s">
        <v>129</v>
      </c>
      <c r="D145" s="59">
        <v>103082</v>
      </c>
      <c r="E145" s="63">
        <v>43537</v>
      </c>
      <c r="F145" s="60" t="s">
        <v>131</v>
      </c>
      <c r="G145" s="63">
        <f t="shared" si="11"/>
        <v>43903</v>
      </c>
      <c r="H145" s="52"/>
    </row>
    <row r="146" spans="1:8" x14ac:dyDescent="0.4">
      <c r="A146" s="7"/>
      <c r="B146" s="60" t="s">
        <v>130</v>
      </c>
      <c r="C146" s="59" t="s">
        <v>316</v>
      </c>
      <c r="D146" s="59">
        <v>100007</v>
      </c>
      <c r="E146" s="63">
        <v>43804</v>
      </c>
      <c r="F146" s="60" t="s">
        <v>131</v>
      </c>
      <c r="G146" s="63">
        <f t="shared" si="11"/>
        <v>44170</v>
      </c>
      <c r="H146" s="4"/>
    </row>
    <row r="147" spans="1:8" ht="14.25" customHeight="1" x14ac:dyDescent="0.4">
      <c r="B147" s="3"/>
      <c r="C147" s="3"/>
      <c r="D147" s="3"/>
      <c r="E147" s="3"/>
      <c r="F147" s="3"/>
      <c r="G147" s="3"/>
    </row>
    <row r="148" spans="1:8" ht="14.25" customHeight="1" x14ac:dyDescent="0.4">
      <c r="A148" s="7"/>
      <c r="B148" s="3"/>
      <c r="C148" s="5"/>
      <c r="D148" s="3"/>
      <c r="E148" s="3"/>
      <c r="F148" s="3"/>
      <c r="G148" s="3"/>
    </row>
    <row r="149" spans="1:8" ht="14.25" customHeight="1" x14ac:dyDescent="0.4">
      <c r="A149" s="7"/>
      <c r="B149" s="3"/>
      <c r="C149" s="5"/>
      <c r="D149" s="3"/>
      <c r="E149" s="3"/>
      <c r="F149" s="3"/>
      <c r="G149" s="3"/>
    </row>
    <row r="150" spans="1:8" ht="14.25" customHeight="1" x14ac:dyDescent="0.4">
      <c r="A150" s="7"/>
      <c r="B150" s="22" t="s">
        <v>200</v>
      </c>
      <c r="C150" s="5"/>
      <c r="D150" s="3"/>
      <c r="E150" s="3"/>
      <c r="F150" s="3"/>
      <c r="G150" s="3"/>
    </row>
    <row r="151" spans="1:8" x14ac:dyDescent="0.4">
      <c r="A151" s="7"/>
      <c r="B151" s="20" t="s">
        <v>162</v>
      </c>
      <c r="C151" s="4"/>
    </row>
    <row r="152" spans="1:8" ht="31.2" x14ac:dyDescent="0.4">
      <c r="A152" s="7"/>
      <c r="B152" s="68" t="s">
        <v>284</v>
      </c>
      <c r="C152" s="4"/>
    </row>
    <row r="153" spans="1:8" ht="31.2" x14ac:dyDescent="0.4">
      <c r="A153" s="7"/>
      <c r="B153" s="68" t="s">
        <v>285</v>
      </c>
      <c r="C153" s="4"/>
    </row>
    <row r="154" spans="1:8" ht="31.2" x14ac:dyDescent="0.4">
      <c r="A154" s="7"/>
      <c r="B154" s="68" t="s">
        <v>301</v>
      </c>
      <c r="C154" s="4"/>
    </row>
    <row r="155" spans="1:8" ht="31.2" x14ac:dyDescent="0.4">
      <c r="A155" s="7"/>
      <c r="B155" s="68" t="s">
        <v>286</v>
      </c>
      <c r="C155" s="4"/>
    </row>
    <row r="156" spans="1:8" ht="31.2" x14ac:dyDescent="0.4">
      <c r="A156" s="7"/>
      <c r="B156" s="68" t="s">
        <v>287</v>
      </c>
      <c r="C156" s="4"/>
    </row>
    <row r="157" spans="1:8" ht="31.2" x14ac:dyDescent="0.4">
      <c r="A157" s="7"/>
      <c r="B157" s="68" t="s">
        <v>288</v>
      </c>
      <c r="C157" s="4"/>
    </row>
    <row r="158" spans="1:8" ht="31.2" x14ac:dyDescent="0.4">
      <c r="A158" s="7"/>
      <c r="B158" s="68" t="s">
        <v>289</v>
      </c>
      <c r="C158" s="4"/>
    </row>
    <row r="159" spans="1:8" ht="31.2" x14ac:dyDescent="0.4">
      <c r="A159" s="7"/>
      <c r="B159" s="67" t="s">
        <v>290</v>
      </c>
      <c r="C159" s="4"/>
    </row>
    <row r="160" spans="1:8" ht="31.2" x14ac:dyDescent="0.4">
      <c r="A160" s="7"/>
      <c r="B160" s="67" t="s">
        <v>291</v>
      </c>
      <c r="C160" s="4"/>
    </row>
    <row r="161" spans="1:3" ht="31.2" x14ac:dyDescent="0.4">
      <c r="A161" s="7"/>
      <c r="B161" s="68" t="s">
        <v>302</v>
      </c>
      <c r="C161" s="4"/>
    </row>
    <row r="162" spans="1:3" ht="31.2" x14ac:dyDescent="0.4">
      <c r="A162" s="7"/>
      <c r="B162" s="68" t="s">
        <v>303</v>
      </c>
      <c r="C162" s="4"/>
    </row>
    <row r="163" spans="1:3" ht="31.2" x14ac:dyDescent="0.4">
      <c r="A163" s="7"/>
      <c r="B163" s="68" t="s">
        <v>304</v>
      </c>
      <c r="C163" s="4"/>
    </row>
    <row r="164" spans="1:3" ht="31.2" x14ac:dyDescent="0.4">
      <c r="A164" s="7"/>
      <c r="B164" s="68" t="s">
        <v>305</v>
      </c>
      <c r="C164" s="4"/>
    </row>
    <row r="165" spans="1:3" ht="31.2" x14ac:dyDescent="0.4">
      <c r="A165" s="7"/>
      <c r="B165" s="68" t="s">
        <v>272</v>
      </c>
      <c r="C165" s="4"/>
    </row>
    <row r="166" spans="1:3" ht="31.2" x14ac:dyDescent="0.4">
      <c r="A166" s="7"/>
      <c r="B166" s="68" t="s">
        <v>273</v>
      </c>
      <c r="C166" s="4"/>
    </row>
    <row r="167" spans="1:3" ht="31.2" x14ac:dyDescent="0.4">
      <c r="A167" s="7"/>
      <c r="B167" s="68" t="s">
        <v>274</v>
      </c>
      <c r="C167" s="4"/>
    </row>
    <row r="168" spans="1:3" ht="31.2" x14ac:dyDescent="0.4">
      <c r="A168" s="7"/>
      <c r="B168" s="68" t="s">
        <v>306</v>
      </c>
      <c r="C168" s="4"/>
    </row>
    <row r="169" spans="1:3" ht="31.2" x14ac:dyDescent="0.4">
      <c r="A169" s="7"/>
      <c r="B169" s="68" t="s">
        <v>307</v>
      </c>
      <c r="C169" s="4"/>
    </row>
    <row r="170" spans="1:3" ht="31.2" x14ac:dyDescent="0.4">
      <c r="A170" s="7"/>
      <c r="B170" s="68" t="s">
        <v>308</v>
      </c>
      <c r="C170" s="4"/>
    </row>
    <row r="171" spans="1:3" ht="31.2" x14ac:dyDescent="0.4">
      <c r="A171" s="7"/>
      <c r="B171" s="68" t="s">
        <v>275</v>
      </c>
      <c r="C171" s="4"/>
    </row>
    <row r="172" spans="1:3" ht="31.2" x14ac:dyDescent="0.4">
      <c r="A172" s="7"/>
      <c r="B172" s="68" t="s">
        <v>276</v>
      </c>
      <c r="C172" s="4"/>
    </row>
    <row r="173" spans="1:3" ht="31.2" x14ac:dyDescent="0.4">
      <c r="A173" s="7"/>
      <c r="B173" s="67" t="s">
        <v>277</v>
      </c>
      <c r="C173" s="4"/>
    </row>
    <row r="174" spans="1:3" ht="31.2" x14ac:dyDescent="0.4">
      <c r="A174" s="7"/>
      <c r="B174" s="68" t="s">
        <v>279</v>
      </c>
      <c r="C174" s="4"/>
    </row>
    <row r="175" spans="1:3" ht="31.2" x14ac:dyDescent="0.4">
      <c r="A175" s="7"/>
      <c r="B175" s="68" t="s">
        <v>278</v>
      </c>
      <c r="C175" s="4"/>
    </row>
    <row r="176" spans="1:3" ht="31.2" x14ac:dyDescent="0.4">
      <c r="A176" s="7"/>
      <c r="B176" s="67" t="s">
        <v>280</v>
      </c>
      <c r="C176" s="4"/>
    </row>
    <row r="177" spans="1:4" s="55" customFormat="1" ht="31.2" x14ac:dyDescent="0.4">
      <c r="A177" s="57"/>
      <c r="B177" s="67" t="s">
        <v>281</v>
      </c>
      <c r="C177" s="56"/>
    </row>
    <row r="178" spans="1:4" s="55" customFormat="1" ht="31.2" x14ac:dyDescent="0.4">
      <c r="A178" s="57"/>
      <c r="B178" s="67" t="s">
        <v>282</v>
      </c>
      <c r="C178" s="56"/>
    </row>
    <row r="179" spans="1:4" s="55" customFormat="1" ht="31.2" x14ac:dyDescent="0.4">
      <c r="A179" s="57"/>
      <c r="B179" s="67" t="s">
        <v>337</v>
      </c>
      <c r="C179" s="56"/>
    </row>
    <row r="180" spans="1:4" s="55" customFormat="1" ht="31.2" x14ac:dyDescent="0.4">
      <c r="A180" s="57"/>
      <c r="B180" s="67" t="s">
        <v>338</v>
      </c>
      <c r="C180" s="56"/>
    </row>
    <row r="181" spans="1:4" s="55" customFormat="1" ht="31.2" x14ac:dyDescent="0.4">
      <c r="A181" s="57"/>
      <c r="B181" s="67" t="s">
        <v>313</v>
      </c>
      <c r="C181" s="56"/>
    </row>
    <row r="182" spans="1:4" s="55" customFormat="1" ht="31.2" x14ac:dyDescent="0.4">
      <c r="A182" s="57"/>
      <c r="B182" s="67" t="s">
        <v>283</v>
      </c>
      <c r="C182" s="56"/>
    </row>
    <row r="183" spans="1:4" s="55" customFormat="1" ht="46.8" x14ac:dyDescent="0.4">
      <c r="A183" s="57"/>
      <c r="B183" s="67" t="s">
        <v>339</v>
      </c>
      <c r="C183" s="56"/>
    </row>
    <row r="184" spans="1:4" x14ac:dyDescent="0.4">
      <c r="B184" s="3"/>
    </row>
    <row r="186" spans="1:4" ht="13.5" customHeight="1" x14ac:dyDescent="0.4">
      <c r="B186" s="22" t="s">
        <v>201</v>
      </c>
    </row>
    <row r="187" spans="1:4" x14ac:dyDescent="0.4">
      <c r="B187" s="108" t="s">
        <v>20</v>
      </c>
      <c r="C187" s="108"/>
      <c r="D187" s="108" t="s">
        <v>165</v>
      </c>
    </row>
    <row r="188" spans="1:4" ht="13.5" customHeight="1" x14ac:dyDescent="0.4">
      <c r="B188" s="9" t="s">
        <v>21</v>
      </c>
      <c r="C188" s="9" t="s">
        <v>22</v>
      </c>
      <c r="D188" s="108"/>
    </row>
    <row r="189" spans="1:4" x14ac:dyDescent="0.4">
      <c r="B189" s="2">
        <v>52.3</v>
      </c>
      <c r="C189" s="2">
        <v>0.76</v>
      </c>
      <c r="D189" s="13">
        <v>150</v>
      </c>
    </row>
    <row r="190" spans="1:4" x14ac:dyDescent="0.4">
      <c r="B190" s="2">
        <v>45.3</v>
      </c>
      <c r="C190" s="2">
        <v>0.87</v>
      </c>
      <c r="D190" s="12">
        <v>300</v>
      </c>
    </row>
    <row r="191" spans="1:4" x14ac:dyDescent="0.4">
      <c r="B191" s="2">
        <v>43.5</v>
      </c>
      <c r="C191" s="2">
        <v>0.87</v>
      </c>
      <c r="D191" s="12">
        <v>450</v>
      </c>
    </row>
    <row r="192" spans="1:4" x14ac:dyDescent="0.4">
      <c r="B192" s="2">
        <v>41.9</v>
      </c>
      <c r="C192" s="2">
        <v>0.89</v>
      </c>
      <c r="D192" s="12">
        <v>750</v>
      </c>
    </row>
    <row r="193" spans="2:4" x14ac:dyDescent="0.4">
      <c r="B193" s="2">
        <v>41.5</v>
      </c>
      <c r="C193" s="2">
        <v>0.9</v>
      </c>
      <c r="D193" s="12">
        <v>835</v>
      </c>
    </row>
    <row r="194" spans="2:4" x14ac:dyDescent="0.4">
      <c r="B194" s="2">
        <v>41.5</v>
      </c>
      <c r="C194" s="2">
        <v>0.97</v>
      </c>
      <c r="D194" s="12">
        <v>900</v>
      </c>
    </row>
    <row r="195" spans="2:4" x14ac:dyDescent="0.4">
      <c r="B195" s="2">
        <v>40.5</v>
      </c>
      <c r="C195" s="2">
        <v>1.2</v>
      </c>
      <c r="D195" s="12">
        <v>1450</v>
      </c>
    </row>
    <row r="196" spans="2:4" x14ac:dyDescent="0.4">
      <c r="B196" s="2">
        <v>40</v>
      </c>
      <c r="C196" s="2">
        <v>1.4</v>
      </c>
      <c r="D196" s="12">
        <v>1800</v>
      </c>
    </row>
    <row r="197" spans="2:4" x14ac:dyDescent="0.4">
      <c r="B197" s="2">
        <v>40</v>
      </c>
      <c r="C197" s="2">
        <v>1.4</v>
      </c>
      <c r="D197" s="12">
        <v>1900</v>
      </c>
    </row>
    <row r="198" spans="2:4" x14ac:dyDescent="0.4">
      <c r="B198" s="2">
        <v>40</v>
      </c>
      <c r="C198" s="2">
        <v>1.4</v>
      </c>
      <c r="D198" s="12">
        <v>1950</v>
      </c>
    </row>
    <row r="199" spans="2:4" x14ac:dyDescent="0.4">
      <c r="B199" s="2">
        <v>40</v>
      </c>
      <c r="C199" s="2">
        <v>1.4</v>
      </c>
      <c r="D199" s="12">
        <v>2000</v>
      </c>
    </row>
    <row r="200" spans="2:4" x14ac:dyDescent="0.4">
      <c r="B200" s="2">
        <v>39.799999999999997</v>
      </c>
      <c r="C200" s="2">
        <v>1.49</v>
      </c>
      <c r="D200" s="12">
        <v>2100</v>
      </c>
    </row>
    <row r="201" spans="2:4" x14ac:dyDescent="0.4">
      <c r="B201" s="2">
        <v>39.5</v>
      </c>
      <c r="C201" s="2">
        <v>1.67</v>
      </c>
      <c r="D201" s="12">
        <v>2300</v>
      </c>
    </row>
    <row r="202" spans="2:4" x14ac:dyDescent="0.4">
      <c r="B202" s="2">
        <v>39.200000000000003</v>
      </c>
      <c r="C202" s="2">
        <v>1.8</v>
      </c>
      <c r="D202" s="12">
        <v>2450</v>
      </c>
    </row>
    <row r="203" spans="2:4" x14ac:dyDescent="0.4">
      <c r="B203" s="2">
        <v>39</v>
      </c>
      <c r="C203" s="2">
        <v>1.96</v>
      </c>
      <c r="D203" s="12">
        <v>2600</v>
      </c>
    </row>
    <row r="204" spans="2:4" x14ac:dyDescent="0.4">
      <c r="B204" s="2">
        <v>38.5</v>
      </c>
      <c r="C204" s="2">
        <v>2.4</v>
      </c>
      <c r="D204" s="12">
        <v>3000</v>
      </c>
    </row>
    <row r="205" spans="2:4" s="55" customFormat="1" x14ac:dyDescent="0.4">
      <c r="B205" s="2">
        <v>37.4</v>
      </c>
      <c r="C205" s="2">
        <v>2.81</v>
      </c>
      <c r="D205" s="12">
        <v>3400</v>
      </c>
    </row>
    <row r="206" spans="2:4" x14ac:dyDescent="0.4">
      <c r="B206" s="2">
        <v>37.9</v>
      </c>
      <c r="C206" s="2">
        <v>2.91</v>
      </c>
      <c r="D206" s="12">
        <v>3500</v>
      </c>
    </row>
    <row r="207" spans="2:4" x14ac:dyDescent="0.4">
      <c r="B207" s="2">
        <v>37.700000000000003</v>
      </c>
      <c r="C207" s="2">
        <v>3.12</v>
      </c>
      <c r="D207" s="12">
        <v>3700</v>
      </c>
    </row>
    <row r="208" spans="2:4" s="55" customFormat="1" x14ac:dyDescent="0.4">
      <c r="B208" s="2">
        <v>37.5</v>
      </c>
      <c r="C208" s="2">
        <v>3.32</v>
      </c>
      <c r="D208" s="12">
        <v>3900</v>
      </c>
    </row>
    <row r="209" spans="2:4" x14ac:dyDescent="0.4">
      <c r="B209" s="2">
        <v>37.4</v>
      </c>
      <c r="C209" s="2">
        <v>3.43</v>
      </c>
      <c r="D209" s="12">
        <v>4000</v>
      </c>
    </row>
    <row r="210" spans="2:4" s="55" customFormat="1" x14ac:dyDescent="0.4">
      <c r="B210" s="2">
        <v>37.200000000000003</v>
      </c>
      <c r="C210" s="2">
        <v>3.53</v>
      </c>
      <c r="D210" s="12">
        <v>4100</v>
      </c>
    </row>
    <row r="211" spans="2:4" x14ac:dyDescent="0.4">
      <c r="B211" s="2">
        <v>36.799999999999997</v>
      </c>
      <c r="C211" s="2">
        <v>3.94</v>
      </c>
      <c r="D211" s="12">
        <v>4500</v>
      </c>
    </row>
    <row r="212" spans="2:4" s="55" customFormat="1" x14ac:dyDescent="0.4">
      <c r="B212" s="2">
        <v>36.299999999999997</v>
      </c>
      <c r="C212" s="2">
        <v>4.3499999999999996</v>
      </c>
      <c r="D212" s="12">
        <v>4900</v>
      </c>
    </row>
    <row r="213" spans="2:4" x14ac:dyDescent="0.4">
      <c r="B213" s="2">
        <v>36.200000000000003</v>
      </c>
      <c r="C213" s="2">
        <v>4.45</v>
      </c>
      <c r="D213" s="12">
        <v>5000</v>
      </c>
    </row>
    <row r="214" spans="2:4" x14ac:dyDescent="0.4">
      <c r="B214" s="2">
        <v>36</v>
      </c>
      <c r="C214" s="2">
        <v>4.66</v>
      </c>
      <c r="D214" s="12">
        <v>5200</v>
      </c>
    </row>
    <row r="215" spans="2:4" x14ac:dyDescent="0.4">
      <c r="B215" s="2">
        <v>35.9</v>
      </c>
      <c r="C215" s="2">
        <v>4.76</v>
      </c>
      <c r="D215" s="12">
        <v>5300</v>
      </c>
    </row>
    <row r="216" spans="2:4" x14ac:dyDescent="0.4">
      <c r="B216" s="2">
        <v>35.799999999999997</v>
      </c>
      <c r="C216" s="2">
        <v>4.8600000000000003</v>
      </c>
      <c r="D216" s="12">
        <v>5400</v>
      </c>
    </row>
    <row r="217" spans="2:4" x14ac:dyDescent="0.4">
      <c r="B217" s="2">
        <v>35.6</v>
      </c>
      <c r="C217" s="2">
        <v>4.96</v>
      </c>
      <c r="D217" s="12">
        <v>5500</v>
      </c>
    </row>
    <row r="218" spans="2:4" x14ac:dyDescent="0.4">
      <c r="B218" s="2">
        <v>35.5</v>
      </c>
      <c r="C218" s="2">
        <v>5.07</v>
      </c>
      <c r="D218" s="12">
        <v>5600</v>
      </c>
    </row>
    <row r="219" spans="2:4" x14ac:dyDescent="0.4">
      <c r="B219" s="2">
        <v>35.299999999999997</v>
      </c>
      <c r="C219" s="2">
        <v>5.27</v>
      </c>
      <c r="D219" s="12">
        <v>5800</v>
      </c>
    </row>
    <row r="220" spans="2:4" x14ac:dyDescent="0.4">
      <c r="B220" s="2">
        <v>35.1</v>
      </c>
      <c r="C220" s="2">
        <v>5.48</v>
      </c>
      <c r="D220" s="12">
        <v>6000</v>
      </c>
    </row>
    <row r="224" spans="2:4" x14ac:dyDescent="0.4">
      <c r="B224" s="22" t="s">
        <v>166</v>
      </c>
    </row>
    <row r="225" spans="2:4" x14ac:dyDescent="0.4">
      <c r="B225" s="108" t="s">
        <v>166</v>
      </c>
      <c r="C225" s="108"/>
      <c r="D225" s="108" t="s">
        <v>165</v>
      </c>
    </row>
    <row r="226" spans="2:4" x14ac:dyDescent="0.4">
      <c r="B226" s="9" t="s">
        <v>164</v>
      </c>
      <c r="C226" s="9" t="s">
        <v>163</v>
      </c>
      <c r="D226" s="108"/>
    </row>
    <row r="227" spans="2:4" x14ac:dyDescent="0.4">
      <c r="B227" s="2">
        <v>2.85</v>
      </c>
      <c r="C227" s="2">
        <v>1.94</v>
      </c>
      <c r="D227" s="12">
        <v>300</v>
      </c>
    </row>
    <row r="228" spans="2:4" x14ac:dyDescent="0.4">
      <c r="B228" s="2">
        <v>4.58</v>
      </c>
      <c r="C228" s="2">
        <v>3.06</v>
      </c>
      <c r="D228" s="12">
        <v>450</v>
      </c>
    </row>
    <row r="229" spans="2:4" x14ac:dyDescent="0.4">
      <c r="B229" s="2">
        <v>8.49</v>
      </c>
      <c r="C229" s="2">
        <v>5.55</v>
      </c>
      <c r="D229" s="12">
        <v>750</v>
      </c>
    </row>
    <row r="230" spans="2:4" x14ac:dyDescent="0.4">
      <c r="B230" s="2">
        <v>9.56</v>
      </c>
      <c r="C230" s="2">
        <v>6.22</v>
      </c>
      <c r="D230" s="12">
        <v>835</v>
      </c>
    </row>
    <row r="231" spans="2:4" x14ac:dyDescent="0.4">
      <c r="B231" s="2">
        <v>10.9</v>
      </c>
      <c r="C231" s="2">
        <v>6.99</v>
      </c>
      <c r="D231" s="12">
        <v>900</v>
      </c>
    </row>
    <row r="232" spans="2:4" x14ac:dyDescent="0.4">
      <c r="B232" s="2">
        <v>29</v>
      </c>
      <c r="C232" s="2">
        <v>16</v>
      </c>
      <c r="D232" s="12">
        <v>1450</v>
      </c>
    </row>
    <row r="233" spans="2:4" x14ac:dyDescent="0.4">
      <c r="B233" s="2">
        <v>30.5</v>
      </c>
      <c r="C233" s="2">
        <v>16.8</v>
      </c>
      <c r="D233" s="12">
        <v>1500</v>
      </c>
    </row>
    <row r="234" spans="2:4" x14ac:dyDescent="0.4">
      <c r="B234" s="2">
        <v>34.200000000000003</v>
      </c>
      <c r="C234" s="2">
        <v>18.399999999999999</v>
      </c>
      <c r="D234" s="12">
        <v>1640</v>
      </c>
    </row>
    <row r="235" spans="2:4" x14ac:dyDescent="0.4">
      <c r="B235" s="2">
        <v>36.4</v>
      </c>
      <c r="C235" s="2">
        <v>19.3</v>
      </c>
      <c r="D235" s="12">
        <v>1750</v>
      </c>
    </row>
    <row r="236" spans="2:4" x14ac:dyDescent="0.4">
      <c r="B236" s="2">
        <v>38.4</v>
      </c>
      <c r="C236" s="2">
        <v>20.100000000000001</v>
      </c>
      <c r="D236" s="12">
        <v>1800</v>
      </c>
    </row>
    <row r="237" spans="2:4" x14ac:dyDescent="0.4">
      <c r="B237" s="2">
        <v>39.700000000000003</v>
      </c>
      <c r="C237" s="2">
        <v>20.5</v>
      </c>
      <c r="D237" s="12">
        <v>1900</v>
      </c>
    </row>
    <row r="238" spans="2:4" x14ac:dyDescent="0.4">
      <c r="B238" s="2">
        <v>40.5</v>
      </c>
      <c r="C238" s="2">
        <v>20.9</v>
      </c>
      <c r="D238" s="12">
        <v>1950</v>
      </c>
    </row>
    <row r="239" spans="2:4" x14ac:dyDescent="0.4">
      <c r="B239" s="2">
        <v>41.1</v>
      </c>
      <c r="C239" s="2">
        <v>21.1</v>
      </c>
      <c r="D239" s="12">
        <v>2000</v>
      </c>
    </row>
    <row r="240" spans="2:4" x14ac:dyDescent="0.4">
      <c r="B240" s="2">
        <v>43.6</v>
      </c>
      <c r="C240" s="2">
        <v>21.9</v>
      </c>
      <c r="D240" s="12">
        <v>2100</v>
      </c>
    </row>
    <row r="241" spans="2:4" x14ac:dyDescent="0.4">
      <c r="B241" s="2">
        <v>48.7</v>
      </c>
      <c r="C241" s="2">
        <v>23.3</v>
      </c>
      <c r="D241" s="12">
        <v>2300</v>
      </c>
    </row>
    <row r="242" spans="2:4" x14ac:dyDescent="0.4">
      <c r="B242" s="2">
        <v>52.4</v>
      </c>
      <c r="C242" s="2">
        <v>24</v>
      </c>
      <c r="D242" s="12">
        <v>2450</v>
      </c>
    </row>
    <row r="243" spans="2:4" x14ac:dyDescent="0.4">
      <c r="B243" s="2">
        <v>55.3</v>
      </c>
      <c r="C243" s="2">
        <v>24.6</v>
      </c>
      <c r="D243" s="12">
        <v>2600</v>
      </c>
    </row>
    <row r="244" spans="2:4" x14ac:dyDescent="0.4">
      <c r="B244" s="2">
        <v>63.4</v>
      </c>
      <c r="C244" s="2">
        <v>25.6</v>
      </c>
      <c r="D244" s="12">
        <v>3000</v>
      </c>
    </row>
    <row r="245" spans="2:4" s="55" customFormat="1" x14ac:dyDescent="0.4">
      <c r="B245" s="2"/>
      <c r="C245" s="2"/>
      <c r="D245" s="12">
        <v>3400</v>
      </c>
    </row>
    <row r="246" spans="2:4" x14ac:dyDescent="0.4">
      <c r="B246" s="2">
        <v>67.099999999999994</v>
      </c>
      <c r="C246" s="2">
        <v>25</v>
      </c>
      <c r="D246" s="12">
        <v>3500</v>
      </c>
    </row>
    <row r="247" spans="2:4" x14ac:dyDescent="0.4">
      <c r="B247" s="2">
        <v>67.400000000000006</v>
      </c>
      <c r="C247" s="2">
        <v>24.2</v>
      </c>
      <c r="D247" s="12">
        <v>3700</v>
      </c>
    </row>
    <row r="248" spans="2:4" s="55" customFormat="1" x14ac:dyDescent="0.4">
      <c r="B248" s="2"/>
      <c r="C248" s="2"/>
      <c r="D248" s="12">
        <v>3900</v>
      </c>
    </row>
    <row r="249" spans="2:4" s="55" customFormat="1" x14ac:dyDescent="0.4">
      <c r="B249" s="2"/>
      <c r="C249" s="2"/>
      <c r="D249" s="12">
        <v>4100</v>
      </c>
    </row>
    <row r="250" spans="2:4" s="55" customFormat="1" x14ac:dyDescent="0.4">
      <c r="B250" s="2">
        <v>71.3</v>
      </c>
      <c r="C250" s="2">
        <v>22.4</v>
      </c>
      <c r="D250" s="12">
        <v>4900</v>
      </c>
    </row>
    <row r="251" spans="2:4" x14ac:dyDescent="0.4">
      <c r="B251" s="2">
        <v>77.900000000000006</v>
      </c>
      <c r="C251" s="2">
        <v>22.1</v>
      </c>
      <c r="D251" s="12">
        <v>5000</v>
      </c>
    </row>
    <row r="252" spans="2:4" x14ac:dyDescent="0.4">
      <c r="B252" s="2">
        <v>76.5</v>
      </c>
      <c r="C252" s="2">
        <v>21.6</v>
      </c>
      <c r="D252" s="12">
        <v>5200</v>
      </c>
    </row>
    <row r="253" spans="2:4" x14ac:dyDescent="0.4">
      <c r="B253" s="2"/>
      <c r="C253" s="2"/>
      <c r="D253" s="12">
        <v>5300</v>
      </c>
    </row>
    <row r="254" spans="2:4" x14ac:dyDescent="0.4">
      <c r="B254" s="2">
        <v>83.3</v>
      </c>
      <c r="C254" s="2">
        <v>23.4</v>
      </c>
      <c r="D254" s="12">
        <v>5500</v>
      </c>
    </row>
    <row r="255" spans="2:4" x14ac:dyDescent="0.4">
      <c r="B255" s="2"/>
      <c r="C255" s="2"/>
      <c r="D255" s="12">
        <v>5600</v>
      </c>
    </row>
    <row r="256" spans="2:4" x14ac:dyDescent="0.4">
      <c r="B256" s="2">
        <v>78</v>
      </c>
      <c r="C256" s="2">
        <v>21.9</v>
      </c>
      <c r="D256" s="12">
        <v>5800</v>
      </c>
    </row>
  </sheetData>
  <mergeCells count="4">
    <mergeCell ref="B187:C187"/>
    <mergeCell ref="D225:D226"/>
    <mergeCell ref="B225:C225"/>
    <mergeCell ref="D187:D188"/>
  </mergeCells>
  <phoneticPr fontId="1" type="noConversion"/>
  <conditionalFormatting sqref="G17:G51 G54 G60 G69:G76 G78 G80:G120 G62:G67 G126:G130 G134:G138 G140:G141 G145:G146">
    <cfRule type="cellIs" dxfId="14" priority="16" operator="lessThan">
      <formula>NOW()</formula>
    </cfRule>
  </conditionalFormatting>
  <conditionalFormatting sqref="G59">
    <cfRule type="cellIs" dxfId="13" priority="15" operator="lessThan">
      <formula>NOW()</formula>
    </cfRule>
  </conditionalFormatting>
  <conditionalFormatting sqref="G53">
    <cfRule type="cellIs" dxfId="12" priority="14" operator="lessThan">
      <formula>NOW()</formula>
    </cfRule>
  </conditionalFormatting>
  <conditionalFormatting sqref="G52">
    <cfRule type="cellIs" dxfId="11" priority="13" operator="lessThan">
      <formula>NOW()</formula>
    </cfRule>
  </conditionalFormatting>
  <conditionalFormatting sqref="G55:G58">
    <cfRule type="cellIs" dxfId="10" priority="12" operator="lessThan">
      <formula>NOW()</formula>
    </cfRule>
  </conditionalFormatting>
  <conditionalFormatting sqref="G68">
    <cfRule type="cellIs" dxfId="9" priority="11" operator="lessThan">
      <formula>NOW()</formula>
    </cfRule>
  </conditionalFormatting>
  <conditionalFormatting sqref="G77">
    <cfRule type="cellIs" dxfId="8" priority="10" operator="lessThan">
      <formula>NOW()</formula>
    </cfRule>
  </conditionalFormatting>
  <conditionalFormatting sqref="G79">
    <cfRule type="cellIs" dxfId="7" priority="9" operator="lessThan">
      <formula>NOW()</formula>
    </cfRule>
  </conditionalFormatting>
  <conditionalFormatting sqref="G61">
    <cfRule type="cellIs" dxfId="6" priority="8" operator="lessThan">
      <formula>NOW()</formula>
    </cfRule>
  </conditionalFormatting>
  <conditionalFormatting sqref="G131:G133">
    <cfRule type="cellIs" dxfId="5" priority="7" operator="lessThan">
      <formula>NOW()</formula>
    </cfRule>
  </conditionalFormatting>
  <conditionalFormatting sqref="G121:G125">
    <cfRule type="cellIs" dxfId="4" priority="6" operator="lessThan">
      <formula>NOW()</formula>
    </cfRule>
  </conditionalFormatting>
  <conditionalFormatting sqref="G143">
    <cfRule type="cellIs" dxfId="3" priority="3" operator="lessThan">
      <formula>NOW()</formula>
    </cfRule>
  </conditionalFormatting>
  <conditionalFormatting sqref="G139">
    <cfRule type="cellIs" dxfId="2" priority="4" operator="lessThan">
      <formula>NOW()</formula>
    </cfRule>
  </conditionalFormatting>
  <conditionalFormatting sqref="G142">
    <cfRule type="cellIs" dxfId="1" priority="2" operator="lessThan">
      <formula>NOW()</formula>
    </cfRule>
  </conditionalFormatting>
  <conditionalFormatting sqref="G144">
    <cfRule type="cellIs" dxfId="0" priority="1" operator="lessThan">
      <formula>NOW()</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6</vt:i4>
      </vt:variant>
    </vt:vector>
  </HeadingPairs>
  <TitlesOfParts>
    <vt:vector size="11" baseType="lpstr">
      <vt:lpstr>General Information</vt:lpstr>
      <vt:lpstr>Tissue Dielectric Parameters</vt:lpstr>
      <vt:lpstr>SAR System Verification</vt:lpstr>
      <vt:lpstr>info</vt:lpstr>
      <vt:lpstr>Equipment list</vt:lpstr>
      <vt:lpstr>'Equipment list'!Print_Area</vt:lpstr>
      <vt:lpstr>'General Information'!Print_Area</vt:lpstr>
      <vt:lpstr>'SAR System Verification'!Print_Area</vt:lpstr>
      <vt:lpstr>'Tissue Dielectric Parameters'!Print_Area</vt:lpstr>
      <vt:lpstr>'Equipment list'!SerialNumber</vt:lpstr>
      <vt:lpstr>'General Information'!SerialNumber</vt:lpstr>
    </vt:vector>
  </TitlesOfParts>
  <Company>SGS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Jongwon_Ma</dc:creator>
  <cp:lastModifiedBy>Ryu</cp:lastModifiedBy>
  <cp:lastPrinted>2019-03-19T01:11:11Z</cp:lastPrinted>
  <dcterms:created xsi:type="dcterms:W3CDTF">2017-12-26T02:15:24Z</dcterms:created>
  <dcterms:modified xsi:type="dcterms:W3CDTF">2020-06-02T05:29:09Z</dcterms:modified>
</cp:coreProperties>
</file>